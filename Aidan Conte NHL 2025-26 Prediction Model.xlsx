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227" documentId="14_{BC0C37BD-5950-BD49-823D-87212FE79B51}" xr6:coauthVersionLast="47" xr6:coauthVersionMax="47" xr10:uidLastSave="{6F1BCD00-E5B1-1F42-848B-CC6BAF35CDC6}"/>
  <bookViews>
    <workbookView xWindow="0" yWindow="680" windowWidth="29400" windowHeight="1732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Sheet2" sheetId="9" r:id="rId6"/>
  </sheets>
  <definedNames>
    <definedName name="ExternalData_1" localSheetId="0" hidden="1">'NHL2025-26Results'!$A$1:$J$1313</definedName>
    <definedName name="ExternalData_4" localSheetId="4" hidden="1">'ML Prediction Model'!$A$1:$T$16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1" r:id="rId7"/>
    <pivotCache cacheId="2" r:id="rId8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32" i="1" l="1"/>
  <c r="H432" i="1"/>
  <c r="I432" i="1"/>
  <c r="G433" i="1"/>
  <c r="H433" i="1" s="1"/>
  <c r="I433" i="1"/>
  <c r="G434" i="1"/>
  <c r="H434" i="1"/>
  <c r="I434" i="1"/>
  <c r="G435" i="1"/>
  <c r="H435" i="1"/>
  <c r="I435" i="1"/>
  <c r="J435" i="1" s="1"/>
  <c r="G436" i="1"/>
  <c r="H436" i="1"/>
  <c r="I436" i="1"/>
  <c r="G437" i="1"/>
  <c r="H437" i="1"/>
  <c r="I437" i="1"/>
  <c r="J437" i="1" s="1"/>
  <c r="G438" i="1"/>
  <c r="H438" i="1"/>
  <c r="I438" i="1"/>
  <c r="G439" i="1"/>
  <c r="H439" i="1"/>
  <c r="I439" i="1"/>
  <c r="J439" i="1" s="1"/>
  <c r="G440" i="1"/>
  <c r="H440" i="1"/>
  <c r="I440" i="1"/>
  <c r="G441" i="1"/>
  <c r="H441" i="1"/>
  <c r="I441" i="1"/>
  <c r="J441" i="1" s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H430" i="1" s="1"/>
  <c r="I430" i="1"/>
  <c r="G431" i="1"/>
  <c r="H431" i="1" s="1"/>
  <c r="I431" i="1"/>
  <c r="E427" i="1"/>
  <c r="E428" i="1"/>
  <c r="E429" i="1"/>
  <c r="H429" i="1" s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H419" i="1" s="1"/>
  <c r="I419" i="1"/>
  <c r="G420" i="1"/>
  <c r="H420" i="1" s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3" i="4"/>
  <c r="V5" i="4" s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J434" i="1" l="1"/>
  <c r="J440" i="1"/>
  <c r="J438" i="1"/>
  <c r="J433" i="1"/>
  <c r="J432" i="1"/>
  <c r="J436" i="1"/>
  <c r="J431" i="1"/>
  <c r="H428" i="1"/>
  <c r="H427" i="1"/>
  <c r="J429" i="1"/>
  <c r="H421" i="1"/>
  <c r="J427" i="1"/>
  <c r="J428" i="1"/>
  <c r="J430" i="1"/>
  <c r="V6" i="4"/>
  <c r="H423" i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J423" i="1"/>
  <c r="H417" i="1"/>
  <c r="J417" i="1" s="1"/>
  <c r="J419" i="1"/>
  <c r="H425" i="1"/>
  <c r="J425" i="1" s="1"/>
  <c r="J421" i="1"/>
  <c r="H426" i="1"/>
  <c r="J426" i="1" s="1"/>
  <c r="J420" i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J401" i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H307" i="1"/>
  <c r="H314" i="1"/>
  <c r="H334" i="1"/>
  <c r="H340" i="1"/>
  <c r="J340" i="1" s="1"/>
  <c r="H329" i="1"/>
  <c r="J329" i="1" s="1"/>
  <c r="H335" i="1"/>
  <c r="J335" i="1" s="1"/>
  <c r="H315" i="1"/>
  <c r="J315" i="1" s="1"/>
  <c r="J339" i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J334" i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J314" i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H253" i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J253" i="1"/>
  <c r="J239" i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H124" i="1" s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H123" i="1" s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H101" i="1" s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130" i="1"/>
  <c r="H97" i="1"/>
  <c r="H68" i="1"/>
  <c r="H9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116" i="1" l="1"/>
  <c r="H83" i="1"/>
  <c r="F4" i="5"/>
  <c r="H223" i="1"/>
  <c r="J223" i="1" s="1"/>
  <c r="H85" i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J121" i="1" s="1"/>
  <c r="H78" i="1"/>
  <c r="J78" i="1" s="1"/>
  <c r="H102" i="1"/>
  <c r="J102" i="1" s="1"/>
  <c r="H110" i="1"/>
  <c r="H118" i="1"/>
  <c r="H125" i="1"/>
  <c r="H117" i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H113" i="1"/>
  <c r="J113" i="1" s="1"/>
  <c r="H126" i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B2" i="5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J117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85" i="1"/>
  <c r="J123" i="1"/>
  <c r="J125" i="1"/>
  <c r="J126" i="1"/>
  <c r="J109" i="1"/>
  <c r="J166" i="1"/>
  <c r="J87" i="1"/>
  <c r="J96" i="1"/>
  <c r="J111" i="1"/>
  <c r="J95" i="1"/>
  <c r="J91" i="1"/>
  <c r="J88" i="1"/>
  <c r="J130" i="1"/>
  <c r="J105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L427" i="4" l="1"/>
  <c r="L341" i="4"/>
  <c r="J3" i="1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N357" i="4" s="1"/>
  <c r="K1068" i="4"/>
  <c r="M1068" i="4" s="1"/>
  <c r="L1308" i="4"/>
  <c r="N1308" i="4" s="1"/>
  <c r="K446" i="4"/>
  <c r="M446" i="4" s="1"/>
  <c r="N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N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N534" i="4" s="1"/>
  <c r="K437" i="4"/>
  <c r="M437" i="4" s="1"/>
  <c r="N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N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N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N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N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N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N287" i="4" s="1"/>
  <c r="L4" i="4"/>
  <c r="N4" i="4" s="1"/>
  <c r="K507" i="4"/>
  <c r="M507" i="4" s="1"/>
  <c r="N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L275" i="4"/>
  <c r="N275" i="4" s="1"/>
  <c r="K453" i="4"/>
  <c r="M453" i="4" s="1"/>
  <c r="N453" i="4" s="1"/>
  <c r="K360" i="4"/>
  <c r="M360" i="4" s="1"/>
  <c r="N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N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N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N352" i="4" s="1"/>
  <c r="K699" i="4"/>
  <c r="M699" i="4" s="1"/>
  <c r="N699" i="4" s="1"/>
  <c r="K443" i="4"/>
  <c r="M443" i="4" s="1"/>
  <c r="N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L477" i="4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N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N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N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413" i="4" l="1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<sst xmlns="http://schemas.openxmlformats.org/spreadsheetml/2006/main" count="12624" uniqueCount="292">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</sst>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6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8.574677430559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1.6211574240381006" maxValue="1.5475013591489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51775546328552802"/>
  </r>
  <r>
    <x v="1"/>
    <n v="4.029141914856392E-2"/>
  </r>
  <r>
    <x v="2"/>
    <n v="-0.8683412362501769"/>
  </r>
  <r>
    <x v="3"/>
    <n v="-1.3903684122795328"/>
  </r>
  <r>
    <x v="4"/>
    <n v="0.67193921242367816"/>
  </r>
  <r>
    <x v="5"/>
    <n v="0.30570968833820172"/>
  </r>
  <r>
    <x v="6"/>
    <n v="1.5475013591489768"/>
  </r>
  <r>
    <x v="7"/>
    <n v="-0.40822279081308277"/>
  </r>
  <r>
    <x v="8"/>
    <n v="0.19809534061227302"/>
  </r>
  <r>
    <x v="9"/>
    <n v="-0.513643833119658"/>
  </r>
  <r>
    <x v="10"/>
    <n v="-0.61980804137564283"/>
  </r>
  <r>
    <x v="11"/>
    <n v="-0.28105923893144158"/>
  </r>
  <r>
    <x v="12"/>
    <n v="-7.5459708298993802E-2"/>
  </r>
  <r>
    <x v="13"/>
    <n v="-0.53650300840565446"/>
  </r>
  <r>
    <x v="14"/>
    <n v="-0.52437726201848234"/>
  </r>
  <r>
    <x v="15"/>
    <n v="-1.3516250707060606"/>
  </r>
  <r>
    <x v="16"/>
    <n v="0.559441163373953"/>
  </r>
  <r>
    <x v="17"/>
    <n v="-6.4729560818359025E-2"/>
  </r>
  <r>
    <x v="18"/>
    <n v="-0.30719665303039001"/>
  </r>
  <r>
    <x v="19"/>
    <n v="-0.40651947573390851"/>
  </r>
  <r>
    <x v="20"/>
    <n v="-0.51358590497437617"/>
  </r>
  <r>
    <x v="21"/>
    <n v="0.26289091192875702"/>
  </r>
  <r>
    <x v="22"/>
    <n v="-0.39418177254008485"/>
  </r>
  <r>
    <x v="23"/>
    <n v="-0.361361309178443"/>
  </r>
  <r>
    <x v="24"/>
    <n v="-1.6211574240381006"/>
  </r>
  <r>
    <x v="25"/>
    <n v="-0.11309445867623392"/>
  </r>
  <r>
    <x v="26"/>
    <n v="-0.635565543477981"/>
  </r>
  <r>
    <x v="27"/>
    <n v="-0.12212311954851815"/>
  </r>
  <r>
    <x v="28"/>
    <n v="-0.6902088310934803"/>
  </r>
  <r>
    <x v="29"/>
    <n v="-6.3745791019188943E-4"/>
  </r>
  <r>
    <x v="30"/>
    <n v="-6.1308839486784707E-2"/>
  </r>
  <r>
    <x v="31"/>
    <n v="0.1051052583697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67"/>
    <tableColumn id="3" xr3:uid="{2C87C5E2-BA51-8A42-89C8-535F9675CB8F}" uniqueName="3" name="Visitor" queryTableFieldId="3" dataDxfId="66"/>
    <tableColumn id="4" xr3:uid="{CE6ABB56-546F-BB46-9A09-2A1A92669C31}" uniqueName="4" name="G" queryTableFieldId="4" dataDxfId="65"/>
    <tableColumn id="5" xr3:uid="{C1234731-C200-EA4C-B756-2CA67776A39C}" uniqueName="5" name="Home" queryTableFieldId="5" dataDxfId="64"/>
    <tableColumn id="6" xr3:uid="{339325E9-BBA1-9A48-8657-C4AC5A969A45}" uniqueName="6" name="G_1" queryTableFieldId="6" dataDxfId="63"/>
    <tableColumn id="11" xr3:uid="{D5C53254-CDEF-7A46-97BA-0F3F94C9C0F8}" uniqueName="11" name="Column1" queryTableFieldId="11" dataDxfId="62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1"/>
    <tableColumn id="10" xr3:uid="{D8B4237A-01AB-6648-9F38-4F24C83C2F02}" uniqueName="10" name="Losing_G" queryTableFieldId="10" dataDxfId="6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59" headerRowBorderDxfId="58" tableBorderDxfId="57">
  <autoFilter ref="D6:J1318" xr:uid="{082AB263-30A0-9143-A4CB-E8E85CF645DA}"/>
  <tableColumns count="7">
    <tableColumn id="1" xr3:uid="{A2DA1977-C625-F248-8922-D45BEAE345E6}" name="Visitor" dataDxfId="56"/>
    <tableColumn id="2" xr3:uid="{7F142366-1AE0-5D45-A506-465FBF578C3A}" name="G" dataDxfId="55"/>
    <tableColumn id="3" xr3:uid="{F73B07A5-94FF-C843-900F-F37684899EAA}" name="Home" dataDxfId="54"/>
    <tableColumn id="4" xr3:uid="{7D6FADB5-28D9-9449-ADC0-599788BF0B16}" name="G_1" dataDxfId="53"/>
    <tableColumn id="5" xr3:uid="{98CF2B62-3F88-D44B-AF59-BE4BB5C0604E}" name="HomeMargin" dataDxfId="52">
      <calculatedColumnFormula>Table3[[#This Row],[G_1]]-Table3[[#This Row],[G]]</calculatedColumnFormula>
    </tableColumn>
    <tableColumn id="6" xr3:uid="{FD0EC919-55F2-CA43-8B92-CA3E6283FCFD}" name="HomeForecast" dataDxfId="51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0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49" dataDxfId="48">
  <autoFilter ref="D1:R1313" xr:uid="{B940C27F-1AFD-1A45-A69A-42FED3D3591C}"/>
  <tableColumns count="15">
    <tableColumn id="1" xr3:uid="{27200A7D-FC6F-7D47-A38B-8116F873A9D8}" name="Date" dataDxfId="47"/>
    <tableColumn id="2" xr3:uid="{E6247AA5-111B-9544-9F6D-FFC524512888}" name="Time" dataDxfId="46"/>
    <tableColumn id="3" xr3:uid="{EDCD8AB3-2C72-284E-B537-7168C3C8687B}" name="Home" dataDxfId="45"/>
    <tableColumn id="4" xr3:uid="{EC6C1412-AAC2-6646-BF48-0D4526947D52}" name="Home Differential" dataDxfId="44">
      <calculatedColumnFormula>VLOOKUP(Table4[[#This Row],[Home]],'NHL Model'!$A$6:$B$38,2,FALSE)</calculatedColumnFormula>
    </tableColumn>
    <tableColumn id="5" xr3:uid="{67F5F1C4-5CC9-B648-BE7C-7E4EF3A85290}" name="Visitor" dataDxfId="43"/>
    <tableColumn id="6" xr3:uid="{84F489BE-33B4-0E4D-959D-E87A85C1D38D}" name="Away Differential" dataDxfId="42">
      <calculatedColumnFormula>VLOOKUP(Table4[[#This Row],[Visitor]],'NHL Model'!$A$6:$B$38,2,FALSE)</calculatedColumnFormula>
    </tableColumn>
    <tableColumn id="7" xr3:uid="{A6F9ABE3-1844-E54D-9016-325B538D2969}" name="HomeIce Differential" dataDxfId="41">
      <calculatedColumnFormula>($B$1+Table4[[#This Row],[Home Differential]])-Table4[[#This Row],[Away Differential]]</calculatedColumnFormula>
    </tableColumn>
    <tableColumn id="8" xr3:uid="{8FFD520F-0CF9-9D4A-93B6-B45373384612}" name="Predicted Winner" dataDxfId="40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39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38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37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36"/>
    <tableColumn id="13" xr3:uid="{F50D85A3-D772-F247-BFBE-86E765FD0BF6}" name="Locked Correct" dataDxfId="35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34">
  <autoFilter ref="A1:R33" xr:uid="{1B34B514-E1CC-0949-A7DD-8D37387465DD}"/>
  <tableColumns count="18">
    <tableColumn id="1" xr3:uid="{C9F77F0F-7B0D-CC44-9D34-395D1E3FA55B}" name="Team" dataDxfId="33"/>
    <tableColumn id="2" xr3:uid="{4080CFDD-7980-DD4D-A4DE-25DB03E50B7C}" name="GP" dataDxfId="32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1">
      <calculatedColumnFormula>COUNTIFS('NHL2025-26Results'!$H:$H,A2,'NHL2025-26Results'!$F:$F,"")</calculatedColumnFormula>
    </tableColumn>
    <tableColumn id="5" xr3:uid="{5EA2DCC3-F71A-5A40-B3F3-8F2F8CB0A7CE}" name="OTL" dataDxfId="30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29">
      <calculatedColumnFormula>(Table1[[#This Row],[W]]*2)+Table1[[#This Row],[OTL]]</calculatedColumnFormula>
    </tableColumn>
    <tableColumn id="7" xr3:uid="{40EA95E8-9958-E040-A5BE-EC17EEDC1CBD}" name="HomeWins" dataDxfId="28">
      <calculatedColumnFormula>COUNTIFS('NHL2025-26Results'!$D:$D,A2,'NHL2025-26Results'!$G:$G,A2)</calculatedColumnFormula>
    </tableColumn>
    <tableColumn id="9" xr3:uid="{F3FA5C24-502A-6446-A4B9-25DB670D2CB7}" name="HomeLoss" dataDxfId="27">
      <calculatedColumnFormula>COUNTIFS('NHL2025-26Results'!$D:$D,A2,'NHL2025-26Results'!$H:$H,A2,'NHL2025-26Results'!$F:$F,"")</calculatedColumnFormula>
    </tableColumn>
    <tableColumn id="8" xr3:uid="{999F1273-113E-7F4B-990E-AC7B23C4A496}" name="HomeOTL" dataDxfId="26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25">
      <calculatedColumnFormula>COUNTIFS('NHL2025-26Results'!$B:$B,A2,'NHL2025-26Results'!$G:$G,A2)</calculatedColumnFormula>
    </tableColumn>
    <tableColumn id="10" xr3:uid="{1A63BDD0-5CF0-0C48-B684-3675FC716427}" name="AwayLoss" dataDxfId="24">
      <calculatedColumnFormula>COUNTIFS('NHL2025-26Results'!$B:$B,A2,'NHL2025-26Results'!$H:$H,A2,'NHL2025-26Results'!$F:$F,"")</calculatedColumnFormula>
    </tableColumn>
    <tableColumn id="12" xr3:uid="{59628040-0BA7-5042-BB5A-1E9D40ABC469}" name="AwayOTL" dataDxfId="23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2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1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0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19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16" tableType="queryTable" totalsRowShown="0">
  <autoFilter ref="A1:T16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415" zoomScale="90" zoomScaleNormal="120" workbookViewId="0">
      <selection activeCell="G437" sqref="G437:I1313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D437" t="s">
        <v>31</v>
      </c>
      <c r="F437" t="s">
        <v>60</v>
      </c>
    </row>
    <row r="438" spans="1:10" x14ac:dyDescent="0.2">
      <c r="A438" s="1" t="s">
        <v>233</v>
      </c>
      <c r="B438" t="s">
        <v>33</v>
      </c>
      <c r="D438" t="s">
        <v>39</v>
      </c>
      <c r="F438" t="s">
        <v>60</v>
      </c>
    </row>
    <row r="439" spans="1:10" x14ac:dyDescent="0.2">
      <c r="A439" s="1" t="s">
        <v>233</v>
      </c>
      <c r="B439" t="s">
        <v>20</v>
      </c>
      <c r="D439" t="s">
        <v>24</v>
      </c>
      <c r="F439" t="s">
        <v>60</v>
      </c>
    </row>
    <row r="440" spans="1:10" x14ac:dyDescent="0.2">
      <c r="A440" s="1" t="s">
        <v>233</v>
      </c>
      <c r="B440" t="s">
        <v>55</v>
      </c>
      <c r="D440" t="s">
        <v>38</v>
      </c>
      <c r="F440" t="s">
        <v>60</v>
      </c>
    </row>
    <row r="441" spans="1:10" x14ac:dyDescent="0.2">
      <c r="A441" s="1" t="s">
        <v>233</v>
      </c>
      <c r="B441" t="s">
        <v>23</v>
      </c>
      <c r="D441" t="s">
        <v>40</v>
      </c>
      <c r="F441" t="s">
        <v>60</v>
      </c>
    </row>
    <row r="442" spans="1:10" x14ac:dyDescent="0.2">
      <c r="A442" s="1" t="s">
        <v>234</v>
      </c>
      <c r="B442" t="s">
        <v>24</v>
      </c>
      <c r="D442" t="s">
        <v>21</v>
      </c>
      <c r="F442" t="s">
        <v>60</v>
      </c>
    </row>
    <row r="443" spans="1:10" x14ac:dyDescent="0.2">
      <c r="A443" s="1" t="s">
        <v>234</v>
      </c>
      <c r="B443" t="s">
        <v>29</v>
      </c>
      <c r="D443" t="s">
        <v>25</v>
      </c>
      <c r="F443" t="s">
        <v>60</v>
      </c>
    </row>
    <row r="444" spans="1:10" x14ac:dyDescent="0.2">
      <c r="A444" s="1" t="s">
        <v>234</v>
      </c>
      <c r="B444" t="s">
        <v>55</v>
      </c>
      <c r="D444" t="s">
        <v>16</v>
      </c>
      <c r="F444" t="s">
        <v>60</v>
      </c>
    </row>
    <row r="445" spans="1:10" x14ac:dyDescent="0.2">
      <c r="A445" s="1" t="s">
        <v>234</v>
      </c>
      <c r="B445" t="s">
        <v>40</v>
      </c>
      <c r="D445" t="s">
        <v>17</v>
      </c>
      <c r="F445" t="s">
        <v>60</v>
      </c>
    </row>
    <row r="446" spans="1:10" x14ac:dyDescent="0.2">
      <c r="A446" s="1" t="s">
        <v>234</v>
      </c>
      <c r="B446" t="s">
        <v>28</v>
      </c>
      <c r="D446" t="s">
        <v>11</v>
      </c>
      <c r="F446" t="s">
        <v>60</v>
      </c>
    </row>
    <row r="447" spans="1:10" x14ac:dyDescent="0.2">
      <c r="A447" s="1" t="s">
        <v>234</v>
      </c>
      <c r="B447" t="s">
        <v>10</v>
      </c>
      <c r="D447" t="s">
        <v>13</v>
      </c>
      <c r="F447" t="s">
        <v>60</v>
      </c>
    </row>
    <row r="448" spans="1:10" x14ac:dyDescent="0.2">
      <c r="A448" s="1" t="s">
        <v>234</v>
      </c>
      <c r="B448" t="s">
        <v>12</v>
      </c>
      <c r="D448" t="s">
        <v>15</v>
      </c>
      <c r="F448" t="s">
        <v>60</v>
      </c>
    </row>
    <row r="449" spans="1:6" x14ac:dyDescent="0.2">
      <c r="A449" s="1" t="s">
        <v>234</v>
      </c>
      <c r="B449" t="s">
        <v>35</v>
      </c>
      <c r="D449" t="s">
        <v>36</v>
      </c>
      <c r="F449" t="s">
        <v>60</v>
      </c>
    </row>
    <row r="450" spans="1:6" x14ac:dyDescent="0.2">
      <c r="A450" s="1" t="s">
        <v>234</v>
      </c>
      <c r="B450" t="s">
        <v>26</v>
      </c>
      <c r="D450" t="s">
        <v>32</v>
      </c>
      <c r="F450" t="s">
        <v>60</v>
      </c>
    </row>
    <row r="451" spans="1:6" x14ac:dyDescent="0.2">
      <c r="A451" s="1" t="s">
        <v>234</v>
      </c>
      <c r="B451" t="s">
        <v>30</v>
      </c>
      <c r="D451" t="s">
        <v>37</v>
      </c>
      <c r="F451" t="s">
        <v>60</v>
      </c>
    </row>
    <row r="452" spans="1:6" x14ac:dyDescent="0.2">
      <c r="A452" s="1" t="s">
        <v>234</v>
      </c>
      <c r="B452" t="s">
        <v>18</v>
      </c>
      <c r="D452" t="s">
        <v>19</v>
      </c>
      <c r="F452" t="s">
        <v>60</v>
      </c>
    </row>
    <row r="453" spans="1:6" x14ac:dyDescent="0.2">
      <c r="A453" s="1" t="s">
        <v>234</v>
      </c>
      <c r="B453" t="s">
        <v>34</v>
      </c>
      <c r="D453" t="s">
        <v>38</v>
      </c>
      <c r="F453" t="s">
        <v>60</v>
      </c>
    </row>
    <row r="454" spans="1:6" x14ac:dyDescent="0.2">
      <c r="A454" s="1" t="s">
        <v>235</v>
      </c>
      <c r="B454" t="s">
        <v>10</v>
      </c>
      <c r="D454" t="s">
        <v>31</v>
      </c>
      <c r="F454" t="s">
        <v>60</v>
      </c>
    </row>
    <row r="455" spans="1:6" x14ac:dyDescent="0.2">
      <c r="A455" s="1" t="s">
        <v>235</v>
      </c>
      <c r="B455" t="s">
        <v>33</v>
      </c>
      <c r="D455" t="s">
        <v>25</v>
      </c>
      <c r="F455" t="s">
        <v>60</v>
      </c>
    </row>
    <row r="456" spans="1:6" x14ac:dyDescent="0.2">
      <c r="A456" s="1" t="s">
        <v>235</v>
      </c>
      <c r="B456" t="s">
        <v>14</v>
      </c>
      <c r="D456" t="s">
        <v>39</v>
      </c>
      <c r="F456" t="s">
        <v>60</v>
      </c>
    </row>
    <row r="457" spans="1:6" x14ac:dyDescent="0.2">
      <c r="A457" s="1" t="s">
        <v>235</v>
      </c>
      <c r="B457" t="s">
        <v>30</v>
      </c>
      <c r="D457" t="s">
        <v>11</v>
      </c>
      <c r="F457" t="s">
        <v>60</v>
      </c>
    </row>
    <row r="458" spans="1:6" x14ac:dyDescent="0.2">
      <c r="A458" s="1" t="s">
        <v>235</v>
      </c>
      <c r="B458" t="s">
        <v>35</v>
      </c>
      <c r="D458" t="s">
        <v>18</v>
      </c>
      <c r="F458" t="s">
        <v>60</v>
      </c>
    </row>
    <row r="459" spans="1:6" x14ac:dyDescent="0.2">
      <c r="A459" s="1" t="s">
        <v>235</v>
      </c>
      <c r="B459" t="s">
        <v>20</v>
      </c>
      <c r="D459" t="s">
        <v>15</v>
      </c>
      <c r="F459" t="s">
        <v>60</v>
      </c>
    </row>
    <row r="460" spans="1:6" x14ac:dyDescent="0.2">
      <c r="A460" s="1" t="s">
        <v>235</v>
      </c>
      <c r="B460" t="s">
        <v>12</v>
      </c>
      <c r="D460" t="s">
        <v>27</v>
      </c>
      <c r="F460" t="s">
        <v>60</v>
      </c>
    </row>
    <row r="461" spans="1:6" x14ac:dyDescent="0.2">
      <c r="A461" s="1" t="s">
        <v>235</v>
      </c>
      <c r="B461" t="s">
        <v>28</v>
      </c>
      <c r="D461" t="s">
        <v>22</v>
      </c>
      <c r="F461" t="s">
        <v>60</v>
      </c>
    </row>
    <row r="462" spans="1:6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6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6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4.3739154528189599E-2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2461.6339874253899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-1.1472178948952137E-2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-0.32438860089414823</v>
      </c>
      <c r="J7">
        <f>(Table3[[#This Row],[HomeMargin]]-Table3[[#This Row],[HomeForecast]])^2</f>
        <v>1.7540051661783591</v>
      </c>
    </row>
    <row r="8" spans="1:10" x14ac:dyDescent="0.2">
      <c r="A8" s="4" t="s">
        <v>21</v>
      </c>
      <c r="B8">
        <v>-9.0944170863708096E-2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-1.8192455064819559</v>
      </c>
      <c r="J8">
        <f>(Table3[[#This Row],[HomeMargin]]-Table3[[#This Row],[HomeForecast]])^2</f>
        <v>1.3941811739630527</v>
      </c>
    </row>
    <row r="9" spans="1:10" x14ac:dyDescent="0.2">
      <c r="A9" s="4" t="s">
        <v>23</v>
      </c>
      <c r="B9">
        <v>-0.43117543965133126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-5.0479371645651333E-2</v>
      </c>
      <c r="J9">
        <f>(Table3[[#This Row],[HomeMargin]]-Table3[[#This Row],[HomeForecast]])^2</f>
        <v>8.6996719370878317</v>
      </c>
    </row>
    <row r="10" spans="1:10" x14ac:dyDescent="0.2">
      <c r="A10" s="4" t="s">
        <v>16</v>
      </c>
      <c r="B10">
        <v>-0.94586858045267985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0.46248113590874934</v>
      </c>
      <c r="J10">
        <f>(Table3[[#This Row],[HomeMargin]]-Table3[[#This Row],[HomeForecast]])^2</f>
        <v>2.1388510728889454</v>
      </c>
    </row>
    <row r="11" spans="1:10" x14ac:dyDescent="0.2">
      <c r="A11" s="4" t="s">
        <v>25</v>
      </c>
      <c r="B11">
        <v>0.36021966242194059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0.3404470182356838</v>
      </c>
      <c r="J11">
        <f>(Table3[[#This Row],[HomeMargin]]-Table3[[#This Row],[HomeForecast]])^2</f>
        <v>7.0732220628114648</v>
      </c>
    </row>
    <row r="12" spans="1:10" x14ac:dyDescent="0.2">
      <c r="A12" s="4" t="s">
        <v>10</v>
      </c>
      <c r="B12">
        <v>-9.5800647102357028E-2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0.20957533212379739</v>
      </c>
      <c r="J12">
        <f>(Table3[[#This Row],[HomeMargin]]-Table3[[#This Row],[HomeForecast]])^2</f>
        <v>1.4630724840823948</v>
      </c>
    </row>
    <row r="13" spans="1:10" x14ac:dyDescent="0.2">
      <c r="A13" s="4" t="s">
        <v>12</v>
      </c>
      <c r="B13">
        <v>1.5507956238651657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0.93312033954362994</v>
      </c>
      <c r="J13">
        <f>(Table3[[#This Row],[HomeMargin]]-Table3[[#This Row],[HomeForecast]])^2</f>
        <v>8.6031949262445391</v>
      </c>
    </row>
    <row r="14" spans="1:10" x14ac:dyDescent="0.2">
      <c r="A14" s="4" t="s">
        <v>28</v>
      </c>
      <c r="B14">
        <v>-0.38525981166347251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4.8595630766838531E-2</v>
      </c>
      <c r="J14">
        <f>(Table3[[#This Row],[HomeMargin]]-Table3[[#This Row],[HomeForecast]])^2</f>
        <v>0.90517027379594994</v>
      </c>
    </row>
    <row r="15" spans="1:10" x14ac:dyDescent="0.2">
      <c r="A15" s="4" t="s">
        <v>39</v>
      </c>
      <c r="B15">
        <v>0.57904383162035133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-0.36172568026393304</v>
      </c>
      <c r="J15">
        <f>(Table3[[#This Row],[HomeMargin]]-Table3[[#This Row],[HomeForecast]])^2</f>
        <v>13.237040025650941</v>
      </c>
    </row>
    <row r="16" spans="1:10" x14ac:dyDescent="0.2">
      <c r="A16" s="4" t="s">
        <v>26</v>
      </c>
      <c r="B16">
        <v>-0.71226595502109791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0.40320493249272976</v>
      </c>
      <c r="J16">
        <f>(Table3[[#This Row],[HomeMargin]]-Table3[[#This Row],[HomeForecast]])^2</f>
        <v>6.7433446226300875</v>
      </c>
    </row>
    <row r="17" spans="1:10" x14ac:dyDescent="0.2">
      <c r="A17" s="4" t="s">
        <v>17</v>
      </c>
      <c r="B17">
        <v>-0.52712659907212012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1.640734963827106</v>
      </c>
      <c r="J17">
        <f>(Table3[[#This Row],[HomeMargin]]-Table3[[#This Row],[HomeForecast]])^2</f>
        <v>0.41054129387052291</v>
      </c>
    </row>
    <row r="18" spans="1:10" x14ac:dyDescent="0.2">
      <c r="A18" s="4" t="s">
        <v>11</v>
      </c>
      <c r="B18">
        <v>-0.46392840252469486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-0.18240292489573112</v>
      </c>
      <c r="J18">
        <f>(Table3[[#This Row],[HomeMargin]]-Table3[[#This Row],[HomeForecast]])^2</f>
        <v>14.574047427844668</v>
      </c>
    </row>
    <row r="19" spans="1:10" x14ac:dyDescent="0.2">
      <c r="A19" s="4" t="s">
        <v>13</v>
      </c>
      <c r="B19">
        <v>-0.31218903714497998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-0.28115986957928002</v>
      </c>
      <c r="J19">
        <f>(Table3[[#This Row],[HomeMargin]]-Table3[[#This Row],[HomeForecast]])^2</f>
        <v>1.6413706114203979</v>
      </c>
    </row>
    <row r="20" spans="1:10" x14ac:dyDescent="0.2">
      <c r="A20" s="4" t="s">
        <v>34</v>
      </c>
      <c r="B20">
        <v>-6.7671768126352963E-2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-0.5983415815298998</v>
      </c>
      <c r="J20">
        <f>(Table3[[#This Row],[HomeMargin]]-Table3[[#This Row],[HomeForecast]])^2</f>
        <v>2.5546958112475013</v>
      </c>
    </row>
    <row r="21" spans="1:10" x14ac:dyDescent="0.2">
      <c r="A21" s="4" t="s">
        <v>18</v>
      </c>
      <c r="B21">
        <v>-0.48612387559717724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-1.8769515555475819E-2</v>
      </c>
      <c r="J21">
        <f>(Table3[[#This Row],[HomeMargin]]-Table3[[#This Row],[HomeForecast]])^2</f>
        <v>1.037891325825139</v>
      </c>
    </row>
    <row r="22" spans="1:10" x14ac:dyDescent="0.2">
      <c r="A22" s="4" t="s">
        <v>29</v>
      </c>
      <c r="B22">
        <v>-1.0273405477215618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-0.63997990469198673</v>
      </c>
      <c r="J22">
        <f>(Table3[[#This Row],[HomeMargin]]-Table3[[#This Row],[HomeForecast]])^2</f>
        <v>6.96949389717751</v>
      </c>
    </row>
    <row r="23" spans="1:10" x14ac:dyDescent="0.2">
      <c r="A23" s="4" t="s">
        <v>24</v>
      </c>
      <c r="B23">
        <v>7.5388445740041043E-4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-0.34764412031243375</v>
      </c>
      <c r="J23">
        <f>(Table3[[#This Row],[HomeMargin]]-Table3[[#This Row],[HomeForecast]])^2</f>
        <v>0.42556819376293842</v>
      </c>
    </row>
    <row r="24" spans="1:10" x14ac:dyDescent="0.2">
      <c r="A24" s="4" t="s">
        <v>30</v>
      </c>
      <c r="B24">
        <v>0.13101659139829774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-1.1801866842344069</v>
      </c>
      <c r="J24">
        <f>(Table3[[#This Row],[HomeMargin]]-Table3[[#This Row],[HomeForecast]])^2</f>
        <v>14.590973767300135</v>
      </c>
    </row>
    <row r="25" spans="1:10" x14ac:dyDescent="0.2">
      <c r="A25" s="4" t="s">
        <v>15</v>
      </c>
      <c r="B25">
        <v>-2.5710604859208615E-2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0.95581801817932655</v>
      </c>
      <c r="J25">
        <f>(Table3[[#This Row],[HomeMargin]]-Table3[[#This Row],[HomeForecast]])^2</f>
        <v>3.8252241202349087</v>
      </c>
    </row>
    <row r="26" spans="1:10" x14ac:dyDescent="0.2">
      <c r="A26" s="4" t="s">
        <v>36</v>
      </c>
      <c r="B26">
        <v>-0.35623783458898745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0.17275758931178764</v>
      </c>
      <c r="J26">
        <f>(Table3[[#This Row],[HomeMargin]]-Table3[[#This Row],[HomeForecast]])^2</f>
        <v>14.647784470170519</v>
      </c>
    </row>
    <row r="27" spans="1:10" x14ac:dyDescent="0.2">
      <c r="A27" s="4" t="s">
        <v>27</v>
      </c>
      <c r="B27">
        <v>-0.13902937841722524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-0.78605983514298827</v>
      </c>
      <c r="J27">
        <f>(Table3[[#This Row],[HomeMargin]]-Table3[[#This Row],[HomeForecast]])^2</f>
        <v>4.5770394139045358E-2</v>
      </c>
    </row>
    <row r="28" spans="1:10" x14ac:dyDescent="0.2">
      <c r="A28" s="4" t="s">
        <v>14</v>
      </c>
      <c r="B28">
        <v>6.850792131463232E-2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0.38397042331581277</v>
      </c>
      <c r="J28">
        <f>(Table3[[#This Row],[HomeMargin]]-Table3[[#This Row],[HomeForecast]])^2</f>
        <v>2.6115515927180732</v>
      </c>
    </row>
    <row r="29" spans="1:10" x14ac:dyDescent="0.2">
      <c r="A29" s="4" t="s">
        <v>33</v>
      </c>
      <c r="B29">
        <v>-0.53773613438999557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0.54298819536735543</v>
      </c>
      <c r="J29">
        <f>(Table3[[#This Row],[HomeMargin]]-Table3[[#This Row],[HomeForecast]])^2</f>
        <v>0.2088597895735865</v>
      </c>
    </row>
    <row r="30" spans="1:10" x14ac:dyDescent="0.2">
      <c r="A30" s="4" t="s">
        <v>32</v>
      </c>
      <c r="B30">
        <v>-0.69519123816912842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0.38946818096445912</v>
      </c>
      <c r="J30">
        <f>(Table3[[#This Row],[HomeMargin]]-Table3[[#This Row],[HomeForecast]])^2</f>
        <v>5.7095581878416022</v>
      </c>
    </row>
    <row r="31" spans="1:10" x14ac:dyDescent="0.2">
      <c r="A31" s="4" t="s">
        <v>35</v>
      </c>
      <c r="B31">
        <v>-1.2915976068889494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0.43406238302300981</v>
      </c>
      <c r="J31">
        <f>(Table3[[#This Row],[HomeMargin]]-Table3[[#This Row],[HomeForecast]])^2</f>
        <v>2.0565349184016335</v>
      </c>
    </row>
    <row r="32" spans="1:10" x14ac:dyDescent="0.2">
      <c r="A32" s="4" t="s">
        <v>37</v>
      </c>
      <c r="B32">
        <v>0.55584102906214949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1.0154909467730038</v>
      </c>
      <c r="J32">
        <f>(Table3[[#This Row],[HomeMargin]]-Table3[[#This Row],[HomeForecast]])^2</f>
        <v>4.0622037565239388</v>
      </c>
    </row>
    <row r="33" spans="1:10" x14ac:dyDescent="0.2">
      <c r="A33" s="4" t="s">
        <v>19</v>
      </c>
      <c r="B33">
        <v>-0.18941601188968307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-0.47911078860322531</v>
      </c>
      <c r="J33">
        <f>(Table3[[#This Row],[HomeMargin]]-Table3[[#This Row],[HomeForecast]])^2</f>
        <v>12.104211879375356</v>
      </c>
    </row>
    <row r="34" spans="1:10" x14ac:dyDescent="0.2">
      <c r="A34" t="s">
        <v>55</v>
      </c>
      <c r="B34">
        <v>-4.6200185433750804E-2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0.33346270112515125</v>
      </c>
      <c r="J34">
        <f>(Table3[[#This Row],[HomeMargin]]-Table3[[#This Row],[HomeForecast]])^2</f>
        <v>2.777346568541077</v>
      </c>
    </row>
    <row r="35" spans="1:10" x14ac:dyDescent="0.2">
      <c r="A35" s="4" t="s">
        <v>38</v>
      </c>
      <c r="B35">
        <v>-0.81685014566908176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-6.395141340751781E-2</v>
      </c>
      <c r="J35">
        <f>(Table3[[#This Row],[HomeMargin]]-Table3[[#This Row],[HomeForecast]])^2</f>
        <v>16.515701090536957</v>
      </c>
    </row>
    <row r="36" spans="1:10" x14ac:dyDescent="0.2">
      <c r="A36" s="4" t="s">
        <v>20</v>
      </c>
      <c r="B36">
        <v>-0.14635285954937219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0.36132719806530916</v>
      </c>
      <c r="J36">
        <f>(Table3[[#This Row],[HomeMargin]]-Table3[[#This Row],[HomeForecast]])^2</f>
        <v>11.298520532453583</v>
      </c>
    </row>
    <row r="37" spans="1:10" x14ac:dyDescent="0.2">
      <c r="A37" s="4" t="s">
        <v>22</v>
      </c>
      <c r="B37">
        <v>0.79843701415173229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-0.93740120775962144</v>
      </c>
      <c r="J37">
        <f>(Table3[[#This Row],[HomeMargin]]-Table3[[#This Row],[HomeForecast]])^2</f>
        <v>3.9186087899540792E-3</v>
      </c>
    </row>
    <row r="38" spans="1:10" x14ac:dyDescent="0.2">
      <c r="A38" s="4" t="s">
        <v>40</v>
      </c>
      <c r="B38">
        <v>-0.25075515805082654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-0.62368126822524494</v>
      </c>
      <c r="J38">
        <f>(Table3[[#This Row],[HomeMargin]]-Table3[[#This Row],[HomeForecast]])^2</f>
        <v>1.8942532514340698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0.13795768070203054</v>
      </c>
      <c r="J39">
        <f>(Table3[[#This Row],[HomeMargin]]-Table3[[#This Row],[HomeForecast]])^2</f>
        <v>26.398609128684992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-0.50509922409156671</v>
      </c>
      <c r="J40">
        <f>(Table3[[#This Row],[HomeMargin]]-Table3[[#This Row],[HomeForecast]])^2</f>
        <v>2.2653236743610359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-0.48252480091285382</v>
      </c>
      <c r="J41">
        <f>(Table3[[#This Row],[HomeMargin]]-Table3[[#This Row],[HomeForecast]])^2</f>
        <v>0.26778058167028163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0.59882629913293861</v>
      </c>
      <c r="J42">
        <f>(Table3[[#This Row],[HomeMargin]]-Table3[[#This Row],[HomeForecast]])^2</f>
        <v>6.7538981330650065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0.10517303362234304</v>
      </c>
      <c r="J43">
        <f>(Table3[[#This Row],[HomeMargin]]-Table3[[#This Row],[HomeForecast]])^2</f>
        <v>0.80071529975664035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-0.78040846448275136</v>
      </c>
      <c r="J44">
        <f>(Table3[[#This Row],[HomeMargin]]-Table3[[#This Row],[HomeForecast]])^2</f>
        <v>4.822044247082307E-2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-0.60304604539766804</v>
      </c>
      <c r="J45">
        <f>(Table3[[#This Row],[HomeMargin]]-Table3[[#This Row],[HomeForecast]])^2</f>
        <v>0.15757244207443022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-1.9382319089883073</v>
      </c>
      <c r="J46">
        <f>(Table3[[#This Row],[HomeMargin]]-Table3[[#This Row],[HomeForecast]])^2</f>
        <v>3.8152970672287491E-3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-0.34227454159268333</v>
      </c>
      <c r="J47">
        <f>(Table3[[#This Row],[HomeMargin]]-Table3[[#This Row],[HomeForecast]])^2</f>
        <v>0.43260277863711483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-5.8613071404166259E-3</v>
      </c>
      <c r="J48">
        <f>(Table3[[#This Row],[HomeMargin]]-Table3[[#This Row],[HomeForecast]])^2</f>
        <v>4.0234795834830601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0.28825642354681663</v>
      </c>
      <c r="J49">
        <f>(Table3[[#This Row],[HomeMargin]]-Table3[[#This Row],[HomeForecast]])^2</f>
        <v>0.50657891862236859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0.42551090397731389</v>
      </c>
      <c r="J50">
        <f>(Table3[[#This Row],[HomeMargin]]-Table3[[#This Row],[HomeForecast]])^2</f>
        <v>11.734124953267475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0.71484186766076396</v>
      </c>
      <c r="J51">
        <f>(Table3[[#This Row],[HomeMargin]]-Table3[[#This Row],[HomeForecast]])^2</f>
        <v>13.800050101725313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0.36863817863565923</v>
      </c>
      <c r="J52">
        <f>(Table3[[#This Row],[HomeMargin]]-Table3[[#This Row],[HomeForecast]])^2</f>
        <v>6.9240650349338599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0.56658909765960441</v>
      </c>
      <c r="J53">
        <f>(Table3[[#This Row],[HomeMargin]]-Table3[[#This Row],[HomeForecast]])^2</f>
        <v>2.4542014009059336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0.51848661574805721</v>
      </c>
      <c r="J54">
        <f>(Table3[[#This Row],[HomeMargin]]-Table3[[#This Row],[HomeForecast]])^2</f>
        <v>12.379748065198216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-3.624094573539486E-2</v>
      </c>
      <c r="J55">
        <f>(Table3[[#This Row],[HomeMargin]]-Table3[[#This Row],[HomeForecast]])^2</f>
        <v>1.0737952976185856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-0.75577656637511814</v>
      </c>
      <c r="J56">
        <f>(Table3[[#This Row],[HomeMargin]]-Table3[[#This Row],[HomeForecast]])^2</f>
        <v>1.5480919527812909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0.69045475427489389</v>
      </c>
      <c r="J57">
        <f>(Table3[[#This Row],[HomeMargin]]-Table3[[#This Row],[HomeForecast]])^2</f>
        <v>5.3339992420514406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0.25280651710014079</v>
      </c>
      <c r="J58">
        <f>(Table3[[#This Row],[HomeMargin]]-Table3[[#This Row],[HomeForecast]])^2</f>
        <v>0.55829810088802223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0.54515514874110105</v>
      </c>
      <c r="J59">
        <f>(Table3[[#This Row],[HomeMargin]]-Table3[[#This Row],[HomeForecast]])^2</f>
        <v>6.4778147311633365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-0.8542166422837465</v>
      </c>
      <c r="J60">
        <f>(Table3[[#This Row],[HomeMargin]]-Table3[[#This Row],[HomeForecast]])^2</f>
        <v>9.8959529336845478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0.88166369036006831</v>
      </c>
      <c r="J61">
        <f>(Table3[[#This Row],[HomeMargin]]-Table3[[#This Row],[HomeForecast]])^2</f>
        <v>4.4873487207389244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0.28633513961777235</v>
      </c>
      <c r="J62">
        <f>(Table3[[#This Row],[HomeMargin]]-Table3[[#This Row],[HomeForecast]])^2</f>
        <v>0.50931753294438453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-3.119845053415421E-2</v>
      </c>
      <c r="J63">
        <f>(Table3[[#This Row],[HomeMargin]]-Table3[[#This Row],[HomeForecast]])^2</f>
        <v>16.250560947588962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-0.2045983979682135</v>
      </c>
      <c r="J64">
        <f>(Table3[[#This Row],[HomeMargin]]-Table3[[#This Row],[HomeForecast]])^2</f>
        <v>10.269450892260439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-1.1520578052584027</v>
      </c>
      <c r="J65">
        <f>(Table3[[#This Row],[HomeMargin]]-Table3[[#This Row],[HomeForecast]])^2</f>
        <v>14.806659134072781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0.9434075495471187</v>
      </c>
      <c r="J66">
        <f>(Table3[[#This Row],[HomeMargin]]-Table3[[#This Row],[HomeForecast]])^2</f>
        <v>1.1163876063540246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-0.32795268684270312</v>
      </c>
      <c r="J67">
        <f>(Table3[[#This Row],[HomeMargin]]-Table3[[#This Row],[HomeForecast]])^2</f>
        <v>7.1398368437511301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-1.8923162810004486</v>
      </c>
      <c r="J68">
        <f>(Table3[[#This Row],[HomeMargin]]-Table3[[#This Row],[HomeForecast]])^2</f>
        <v>1.2269632213366772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1.4396331318176228</v>
      </c>
      <c r="J69">
        <f>(Table3[[#This Row],[HomeMargin]]-Table3[[#This Row],[HomeForecast]])^2</f>
        <v>11.831076081497509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-0.33695780393142272</v>
      </c>
      <c r="J70">
        <f>(Table3[[#This Row],[HomeMargin]]-Table3[[#This Row],[HomeForecast]])^2</f>
        <v>2.7657093459045963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0.58495582665257417</v>
      </c>
      <c r="J71">
        <f>(Table3[[#This Row],[HomeMargin]]-Table3[[#This Row],[HomeForecast]])^2</f>
        <v>0.17226166582964805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0.5084214415102849</v>
      </c>
      <c r="J72">
        <f>(Table3[[#This Row],[HomeMargin]]-Table3[[#This Row],[HomeForecast]])^2</f>
        <v>2.224806596146256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0.70188234499860747</v>
      </c>
      <c r="J73">
        <f>(Table3[[#This Row],[HomeMargin]]-Table3[[#This Row],[HomeForecast]])^2</f>
        <v>1.6851094462263148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0.38269255810833058</v>
      </c>
      <c r="J74">
        <f>(Table3[[#This Row],[HomeMargin]]-Table3[[#This Row],[HomeForecast]])^2</f>
        <v>0.38106847781483683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0.15546493416179091</v>
      </c>
      <c r="J75">
        <f>(Table3[[#This Row],[HomeMargin]]-Table3[[#This Row],[HomeForecast]])^2</f>
        <v>9.9569589507246743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-0.11996625250228485</v>
      </c>
      <c r="J76">
        <f>(Table3[[#This Row],[HomeMargin]]-Table3[[#This Row],[HomeForecast]])^2</f>
        <v>1.2543244067440118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-1.1669534157474487E-2</v>
      </c>
      <c r="J77">
        <f>(Table3[[#This Row],[HomeMargin]]-Table3[[#This Row],[HomeForecast]])^2</f>
        <v>1.0234752463424013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0.76478865309491428</v>
      </c>
      <c r="J78">
        <f>(Table3[[#This Row],[HomeMargin]]-Table3[[#This Row],[HomeForecast]])^2</f>
        <v>3.1144789900925622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-1.224367829555058</v>
      </c>
      <c r="J79">
        <f>(Table3[[#This Row],[HomeMargin]]-Table3[[#This Row],[HomeForecast]])^2</f>
        <v>4.9478122411594798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0.53527510348443441</v>
      </c>
      <c r="J80">
        <f>(Table3[[#This Row],[HomeMargin]]-Table3[[#This Row],[HomeForecast]])^2</f>
        <v>6.0748688155036659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0.90984793680627485</v>
      </c>
      <c r="J81">
        <f>(Table3[[#This Row],[HomeMargin]]-Table3[[#This Row],[HomeForecast]])^2</f>
        <v>9.5490397736604358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7.6492117401553206E-2</v>
      </c>
      <c r="J82">
        <f>(Table3[[#This Row],[HomeMargin]]-Table3[[#This Row],[HomeForecast]])^2</f>
        <v>8.546898339615252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-0.8973616861974324</v>
      </c>
      <c r="J83">
        <f>(Table3[[#This Row],[HomeMargin]]-Table3[[#This Row],[HomeForecast]])^2</f>
        <v>3.5999813682499635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1.6854789492570634</v>
      </c>
      <c r="J84">
        <f>(Table3[[#This Row],[HomeMargin]]-Table3[[#This Row],[HomeForecast]])^2</f>
        <v>1.727965592846314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-0.62866954503873096</v>
      </c>
      <c r="J85">
        <f>(Table3[[#This Row],[HomeMargin]]-Table3[[#This Row],[HomeForecast]])^2</f>
        <v>0.13788630678174305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-0.41667411620977901</v>
      </c>
      <c r="J86">
        <f>(Table3[[#This Row],[HomeMargin]]-Table3[[#This Row],[HomeForecast]])^2</f>
        <v>0.3402690866996424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0.5716196380577101</v>
      </c>
      <c r="J87">
        <f>(Table3[[#This Row],[HomeMargin]]-Table3[[#This Row],[HomeForecast]])^2</f>
        <v>2.0402704583823872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-0.44351527145909558</v>
      </c>
      <c r="J88">
        <f>(Table3[[#This Row],[HomeMargin]]-Table3[[#This Row],[HomeForecast]])^2</f>
        <v>0.30967525309924415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-2.7618455762682667E-2</v>
      </c>
      <c r="J89">
        <f>(Table3[[#This Row],[HomeMargin]]-Table3[[#This Row],[HomeForecast]])^2</f>
        <v>1.0559996906240805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-0.56250490117643825</v>
      </c>
      <c r="J90">
        <f>(Table3[[#This Row],[HomeMargin]]-Table3[[#This Row],[HomeForecast]])^2</f>
        <v>5.9413823567888864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-1.8269022839811111</v>
      </c>
      <c r="J91">
        <f>(Table3[[#This Row],[HomeMargin]]-Table3[[#This Row],[HomeForecast]])^2</f>
        <v>14.645181091139845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0.54951438080763493</v>
      </c>
      <c r="J92">
        <f>(Table3[[#This Row],[HomeMargin]]-Table3[[#This Row],[HomeForecast]])^2</f>
        <v>2.4009948163296686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0.84325487543149724</v>
      </c>
      <c r="J93">
        <f>(Table3[[#This Row],[HomeMargin]]-Table3[[#This Row],[HomeForecast]])^2</f>
        <v>17.278530030624019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0.82032454419892487</v>
      </c>
      <c r="J94">
        <f>(Table3[[#This Row],[HomeMargin]]-Table3[[#This Row],[HomeForecast]])^2</f>
        <v>4.750985092621625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-4.0589313625215291E-2</v>
      </c>
      <c r="J95">
        <f>(Table3[[#This Row],[HomeMargin]]-Table3[[#This Row],[HomeForecast]])^2</f>
        <v>1.0828261196309967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-0.14140020142078824</v>
      </c>
      <c r="J96">
        <f>(Table3[[#This Row],[HomeMargin]]-Table3[[#This Row],[HomeForecast]])^2</f>
        <v>4.5855948226449934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8.8483139958146884E-2</v>
      </c>
      <c r="J97">
        <f>(Table3[[#This Row],[HomeMargin]]-Table3[[#This Row],[HomeForecast]])^2</f>
        <v>0.83086298614055909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1.6590263143490036</v>
      </c>
      <c r="J98">
        <f>(Table3[[#This Row],[HomeMargin]]-Table3[[#This Row],[HomeForecast]])^2</f>
        <v>7.0704209404004459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-0.65137426787366381</v>
      </c>
      <c r="J99">
        <f>(Table3[[#This Row],[HomeMargin]]-Table3[[#This Row],[HomeForecast]])^2</f>
        <v>0.12153990110062392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-1.1209281417656369E-2</v>
      </c>
      <c r="J100">
        <f>(Table3[[#This Row],[HomeMargin]]-Table3[[#This Row],[HomeForecast]])^2</f>
        <v>4.0449627736605258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8.570031779533395E-2</v>
      </c>
      <c r="J101">
        <f>(Table3[[#This Row],[HomeMargin]]-Table3[[#This Row],[HomeForecast]])^2</f>
        <v>4.3501458156515582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0.59990101428009279</v>
      </c>
      <c r="J102">
        <f>(Table3[[#This Row],[HomeMargin]]-Table3[[#This Row],[HomeForecast]])^2</f>
        <v>5.7604751412537283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-0.4628333674431232</v>
      </c>
      <c r="J103">
        <f>(Table3[[#This Row],[HomeMargin]]-Table3[[#This Row],[HomeForecast]])^2</f>
        <v>11.991214930677481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0.41672338618917637</v>
      </c>
      <c r="J104">
        <f>(Table3[[#This Row],[HomeMargin]]-Table3[[#This Row],[HomeForecast]])^2</f>
        <v>2.0071051529753263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1.0080427978120134</v>
      </c>
      <c r="J105">
        <f>(Table3[[#This Row],[HomeMargin]]-Table3[[#This Row],[HomeForecast]])^2</f>
        <v>25.080492664716779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-0.97212921424442011</v>
      </c>
      <c r="J106">
        <f>(Table3[[#This Row],[HomeMargin]]-Table3[[#This Row],[HomeForecast]])^2</f>
        <v>4.1122599237209529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0.71249188031648292</v>
      </c>
      <c r="J107">
        <f>(Table3[[#This Row],[HomeMargin]]-Table3[[#This Row],[HomeForecast]])^2</f>
        <v>8.2660918883951578E-2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0.21462791901132228</v>
      </c>
      <c r="J108">
        <f>(Table3[[#This Row],[HomeMargin]]-Table3[[#This Row],[HomeForecast]])^2</f>
        <v>1.4753209816417752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0.92909722151190366</v>
      </c>
      <c r="J109">
        <f>(Table3[[#This Row],[HomeMargin]]-Table3[[#This Row],[HomeForecast]])^2</f>
        <v>9.4304438749259116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-0.93566941521577984</v>
      </c>
      <c r="J110">
        <f>(Table3[[#This Row],[HomeMargin]]-Table3[[#This Row],[HomeForecast]])^2</f>
        <v>4.1384241386797378E-3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-0.14643074181889387</v>
      </c>
      <c r="J111">
        <f>(Table3[[#This Row],[HomeMargin]]-Table3[[#This Row],[HomeForecast]])^2</f>
        <v>8.1428575112362687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-1.5532566547707269</v>
      </c>
      <c r="J112">
        <f>(Table3[[#This Row],[HomeMargin]]-Table3[[#This Row],[HomeForecast]])^2</f>
        <v>6.5191195451310016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1.5373674068490502</v>
      </c>
      <c r="J113">
        <f>(Table3[[#This Row],[HomeMargin]]-Table3[[#This Row],[HomeForecast]])^2</f>
        <v>2.1392941025474719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0.32482966989795625</v>
      </c>
      <c r="J114">
        <f>(Table3[[#This Row],[HomeMargin]]-Table3[[#This Row],[HomeForecast]])^2</f>
        <v>2.8061956348541903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-0.41600555032731307</v>
      </c>
      <c r="J115">
        <f>(Table3[[#This Row],[HomeMargin]]-Table3[[#This Row],[HomeForecast]])^2</f>
        <v>0.34104951724850452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0.11216480711194297</v>
      </c>
      <c r="J116">
        <f>(Table3[[#This Row],[HomeMargin]]-Table3[[#This Row],[HomeForecast]])^2</f>
        <v>8.3395921012828023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-3.5732837386566359E-2</v>
      </c>
      <c r="J117">
        <f>(Table3[[#This Row],[HomeMargin]]-Table3[[#This Row],[HomeForecast]])^2</f>
        <v>3.8583454861214292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1.2343151159714147</v>
      </c>
      <c r="J118">
        <f>(Table3[[#This Row],[HomeMargin]]-Table3[[#This Row],[HomeForecast]])^2</f>
        <v>4.9921640374583562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0.9349720232935208</v>
      </c>
      <c r="J119">
        <f>(Table3[[#This Row],[HomeMargin]]-Table3[[#This Row],[HomeForecast]])^2</f>
        <v>3.7441167309286216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2.736431053246724E-3</v>
      </c>
      <c r="J120">
        <f>(Table3[[#This Row],[HomeMargin]]-Table3[[#This Row],[HomeForecast]])^2</f>
        <v>0.99453462594841568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-0.4886971693111376</v>
      </c>
      <c r="J121">
        <f>(Table3[[#This Row],[HomeMargin]]-Table3[[#This Row],[HomeForecast]])^2</f>
        <v>2.284036246048168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-0.16675124752429049</v>
      </c>
      <c r="J122">
        <f>(Table3[[#This Row],[HomeMargin]]-Table3[[#This Row],[HomeForecast]])^2</f>
        <v>1.3613084735994883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0.88702170094758526</v>
      </c>
      <c r="J123">
        <f>(Table3[[#This Row],[HomeMargin]]-Table3[[#This Row],[HomeForecast]])^2</f>
        <v>16.916590488476096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0.5557646840589765</v>
      </c>
      <c r="J124">
        <f>(Table3[[#This Row],[HomeMargin]]-Table3[[#This Row],[HomeForecast]])^2</f>
        <v>2.4204037521651269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-0.1734693016435726</v>
      </c>
      <c r="J125">
        <f>(Table3[[#This Row],[HomeMargin]]-Table3[[#This Row],[HomeForecast]])^2</f>
        <v>1.3770302018998541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-1.2016582669270091</v>
      </c>
      <c r="J126">
        <f>(Table3[[#This Row],[HomeMargin]]-Table3[[#This Row],[HomeForecast]])^2</f>
        <v>3.2340329889119688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0.69538083069269607</v>
      </c>
      <c r="J127">
        <f>(Table3[[#This Row],[HomeMargin]]-Table3[[#This Row],[HomeForecast]])^2</f>
        <v>2.8743161610802561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0.48817523464649148</v>
      </c>
      <c r="J128">
        <f>(Table3[[#This Row],[HomeMargin]]-Table3[[#This Row],[HomeForecast]])^2</f>
        <v>12.167366467601108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-0.19802027323345858</v>
      </c>
      <c r="J129">
        <f>(Table3[[#This Row],[HomeMargin]]-Table3[[#This Row],[HomeForecast]])^2</f>
        <v>4.8312931215452881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-1.1399576712870152</v>
      </c>
      <c r="J130">
        <f>(Table3[[#This Row],[HomeMargin]]-Table3[[#This Row],[HomeForecast]])^2</f>
        <v>8.1798421220299922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0.58222917337558555</v>
      </c>
      <c r="J131">
        <f>(Table3[[#This Row],[HomeMargin]]-Table3[[#This Row],[HomeForecast]])^2</f>
        <v>2.0100741168272753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0.73885257693004291</v>
      </c>
      <c r="J132">
        <f>(Table3[[#This Row],[HomeMargin]]-Table3[[#This Row],[HomeForecast]])^2</f>
        <v>1.5904928227159933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-1.5980006402006841</v>
      </c>
      <c r="J133">
        <f>(Table3[[#This Row],[HomeMargin]]-Table3[[#This Row],[HomeForecast]])^2</f>
        <v>6.749607326483166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0.2625633237266003</v>
      </c>
      <c r="J134">
        <f>(Table3[[#This Row],[HomeMargin]]-Table3[[#This Row],[HomeForecast]])^2</f>
        <v>0.54381285151315895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0.62307080639604107</v>
      </c>
      <c r="J135">
        <f>(Table3[[#This Row],[HomeMargin]]-Table3[[#This Row],[HomeForecast]])^2</f>
        <v>1.8959340041988486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-0.27383638844713309</v>
      </c>
      <c r="J136">
        <f>(Table3[[#This Row],[HomeMargin]]-Table3[[#This Row],[HomeForecast]])^2</f>
        <v>10.71800469832057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2.2267571835587439E-2</v>
      </c>
      <c r="J137">
        <f>(Table3[[#This Row],[HomeMargin]]-Table3[[#This Row],[HomeForecast]])^2</f>
        <v>16.178636419440149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-0.67141235604839222</v>
      </c>
      <c r="J138">
        <f>(Table3[[#This Row],[HomeMargin]]-Table3[[#This Row],[HomeForecast]])^2</f>
        <v>2.7936192639512374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-0.22630681528733337</v>
      </c>
      <c r="J139">
        <f>(Table3[[#This Row],[HomeMargin]]-Table3[[#This Row],[HomeForecast]])^2</f>
        <v>1.5038284052201618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0.49750688750629446</v>
      </c>
      <c r="J140">
        <f>(Table3[[#This Row],[HomeMargin]]-Table3[[#This Row],[HomeForecast]])^2</f>
        <v>2.2425268781287895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-0.12432548456881876</v>
      </c>
      <c r="J141">
        <f>(Table3[[#This Row],[HomeMargin]]-Table3[[#This Row],[HomeForecast]])^2</f>
        <v>1.2641077952509088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0.61105236253929118</v>
      </c>
      <c r="J142">
        <f>(Table3[[#This Row],[HomeMargin]]-Table3[[#This Row],[HomeForecast]])^2</f>
        <v>0.15128026468626699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0.28549858228983782</v>
      </c>
      <c r="J143">
        <f>(Table3[[#This Row],[HomeMargin]]-Table3[[#This Row],[HomeForecast]])^2</f>
        <v>0.51051227590983161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-0.28698711554371498</v>
      </c>
      <c r="J144">
        <f>(Table3[[#This Row],[HomeMargin]]-Table3[[#This Row],[HomeForecast]])^2</f>
        <v>0.50838737340067175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1.1984140032689092</v>
      </c>
      <c r="J145">
        <f>(Table3[[#This Row],[HomeMargin]]-Table3[[#This Row],[HomeForecast]])^2</f>
        <v>51.817164162457921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-0.87641882106528168</v>
      </c>
      <c r="J146">
        <f>(Table3[[#This Row],[HomeMargin]]-Table3[[#This Row],[HomeForecast]])^2</f>
        <v>23.779460518439713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0.26012754457081255</v>
      </c>
      <c r="J147">
        <f>(Table3[[#This Row],[HomeMargin]]-Table3[[#This Row],[HomeForecast]])^2</f>
        <v>5.1081765177276912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0.51380352079183222</v>
      </c>
      <c r="J148">
        <f>(Table3[[#This Row],[HomeMargin]]-Table3[[#This Row],[HomeForecast]])^2</f>
        <v>2.2916010995617468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-1.5063025848795757</v>
      </c>
      <c r="J149">
        <f>(Table3[[#This Row],[HomeMargin]]-Table3[[#This Row],[HomeForecast]])^2</f>
        <v>6.2815526469740428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-1.5626452248137235</v>
      </c>
      <c r="J150">
        <f>(Table3[[#This Row],[HomeMargin]]-Table3[[#This Row],[HomeForecast]])^2</f>
        <v>0.31656964900568541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0.7459330431397112</v>
      </c>
      <c r="J151">
        <f>(Table3[[#This Row],[HomeMargin]]-Table3[[#This Row],[HomeForecast]])^2</f>
        <v>6.4550018568247852E-2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-0.2459843920687721</v>
      </c>
      <c r="J152">
        <f>(Table3[[#This Row],[HomeMargin]]-Table3[[#This Row],[HomeForecast]])^2</f>
        <v>1.5524771052789876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-0.16081581808888612</v>
      </c>
      <c r="J153">
        <f>(Table3[[#This Row],[HomeMargin]]-Table3[[#This Row],[HomeForecast]])^2</f>
        <v>0.70423009116982549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-0.22155450919708974</v>
      </c>
      <c r="J154">
        <f>(Table3[[#This Row],[HomeMargin]]-Table3[[#This Row],[HomeForecast]])^2</f>
        <v>27.264631492516465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1.4038446827317714</v>
      </c>
      <c r="J155">
        <f>(Table3[[#This Row],[HomeMargin]]-Table3[[#This Row],[HomeForecast]])^2</f>
        <v>2.5477117968436396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-0.17822160773381623</v>
      </c>
      <c r="J156">
        <f>(Table3[[#This Row],[HomeMargin]]-Table3[[#This Row],[HomeForecast]])^2</f>
        <v>10.101092587866125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-2.1764734596691482E-3</v>
      </c>
      <c r="J157">
        <f>(Table3[[#This Row],[HomeMargin]]-Table3[[#This Row],[HomeForecast]])^2</f>
        <v>0.99565179011738225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0.55031167649950241</v>
      </c>
      <c r="J158">
        <f>(Table3[[#This Row],[HomeMargin]]-Table3[[#This Row],[HomeForecast]])^2</f>
        <v>12.604713000288708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0.30417634201482002</v>
      </c>
      <c r="J159">
        <f>(Table3[[#This Row],[HomeMargin]]-Table3[[#This Row],[HomeForecast]])^2</f>
        <v>13.659112510922956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1.5937808939359548</v>
      </c>
      <c r="J160">
        <f>(Table3[[#This Row],[HomeMargin]]-Table3[[#This Row],[HomeForecast]])^2</f>
        <v>5.7898903863876532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-0.17565402800319141</v>
      </c>
      <c r="J161">
        <f>(Table3[[#This Row],[HomeMargin]]-Table3[[#This Row],[HomeForecast]])^2</f>
        <v>1.382162393560129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-0.43718725911017969</v>
      </c>
      <c r="J162">
        <f>(Table3[[#This Row],[HomeMargin]]-Table3[[#This Row],[HomeForecast]])^2</f>
        <v>11.814256254189351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-0.40871706904755312</v>
      </c>
      <c r="J163">
        <f>(Table3[[#This Row],[HomeMargin]]-Table3[[#This Row],[HomeForecast]])^2</f>
        <v>0.3496155044357161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0.22682254445266317</v>
      </c>
      <c r="J164">
        <f>(Table3[[#This Row],[HomeMargin]]-Table3[[#This Row],[HomeForecast]])^2</f>
        <v>1.5050935555773068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-1.5394424222555219</v>
      </c>
      <c r="J165">
        <f>(Table3[[#This Row],[HomeMargin]]-Table3[[#This Row],[HomeForecast]])^2</f>
        <v>2.1332284379068174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-0.16379814520366795</v>
      </c>
      <c r="J166">
        <f>(Table3[[#This Row],[HomeMargin]]-Table3[[#This Row],[HomeForecast]])^2</f>
        <v>1.3544261227794976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-0.16532820804376164</v>
      </c>
      <c r="J167">
        <f>(Table3[[#This Row],[HomeMargin]]-Table3[[#This Row],[HomeForecast]])^2</f>
        <v>0.69667700028743795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-0.18180794271682599</v>
      </c>
      <c r="J168">
        <f>(Table3[[#This Row],[HomeMargin]]-Table3[[#This Row],[HomeForecast]])^2</f>
        <v>0.66943824260127271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-0.53559249733966197</v>
      </c>
      <c r="J169">
        <f>(Table3[[#This Row],[HomeMargin]]-Table3[[#This Row],[HomeForecast]])^2</f>
        <v>6.0733043391685628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0.80019172309118636</v>
      </c>
      <c r="J170">
        <f>(Table3[[#This Row],[HomeMargin]]-Table3[[#This Row],[HomeForecast]])^2</f>
        <v>3.9923347521269151E-2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-0.74740038628168359</v>
      </c>
      <c r="J171">
        <f>(Table3[[#This Row],[HomeMargin]]-Table3[[#This Row],[HomeForecast]])^2</f>
        <v>1.5690057922872755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-0.15210464524559983</v>
      </c>
      <c r="J172">
        <f>(Table3[[#This Row],[HomeMargin]]-Table3[[#This Row],[HomeForecast]])^2</f>
        <v>9.9357636945788883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0.38397042331581277</v>
      </c>
      <c r="J173">
        <f>(Table3[[#This Row],[HomeMargin]]-Table3[[#This Row],[HomeForecast]])^2</f>
        <v>0.3794924393496989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0.27294222555183245</v>
      </c>
      <c r="J174">
        <f>(Table3[[#This Row],[HomeMargin]]-Table3[[#This Row],[HomeForecast]])^2</f>
        <v>13.890959654074528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-0.45767683968472189</v>
      </c>
      <c r="J175">
        <f>(Table3[[#This Row],[HomeMargin]]-Table3[[#This Row],[HomeForecast]])^2</f>
        <v>0.29411441021435075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0.44381607240430754</v>
      </c>
      <c r="J176">
        <f>(Table3[[#This Row],[HomeMargin]]-Table3[[#This Row],[HomeForecast]])^2</f>
        <v>2.0846048509330002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-9.2440534912795691E-2</v>
      </c>
      <c r="J177">
        <f>(Table3[[#This Row],[HomeMargin]]-Table3[[#This Row],[HomeForecast]])^2</f>
        <v>8.4539020430181893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0.63336990039188201</v>
      </c>
      <c r="J178">
        <f>(Table3[[#This Row],[HomeMargin]]-Table3[[#This Row],[HomeForecast]])^2</f>
        <v>0.13441762993865852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0.93205032383252617</v>
      </c>
      <c r="J179">
        <f>(Table3[[#This Row],[HomeMargin]]-Table3[[#This Row],[HomeForecast]])^2</f>
        <v>4.2764158631611586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-0.4947508643192064</v>
      </c>
      <c r="J180">
        <f>(Table3[[#This Row],[HomeMargin]]-Table3[[#This Row],[HomeForecast]])^2</f>
        <v>12.213283603659839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-0.43100830669167811</v>
      </c>
      <c r="J181">
        <f>(Table3[[#This Row],[HomeMargin]]-Table3[[#This Row],[HomeForecast]])^2</f>
        <v>0.32375154705387144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2.053635196998771E-2</v>
      </c>
      <c r="J182">
        <f>(Table3[[#This Row],[HomeMargin]]-Table3[[#This Row],[HomeForecast]])^2</f>
        <v>0.95934903781225978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-0.11121535642027991</v>
      </c>
      <c r="J183">
        <f>(Table3[[#This Row],[HomeMargin]]-Table3[[#This Row],[HomeForecast]])^2</f>
        <v>9.6796609940253706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0.74453293060033532</v>
      </c>
      <c r="J184">
        <f>(Table3[[#This Row],[HomeMargin]]-Table3[[#This Row],[HomeForecast]])^2</f>
        <v>5.0871317011463111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-1.6534093288863483</v>
      </c>
      <c r="J185">
        <f>(Table3[[#This Row],[HomeMargin]]-Table3[[#This Row],[HomeForecast]])^2</f>
        <v>0.12012509330301149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0.71115957728162416</v>
      </c>
      <c r="J186">
        <f>(Table3[[#This Row],[HomeMargin]]-Table3[[#This Row],[HomeForecast]])^2</f>
        <v>7.3503862534858753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-0.40742467875745908</v>
      </c>
      <c r="J187">
        <f>(Table3[[#This Row],[HomeMargin]]-Table3[[#This Row],[HomeForecast]])^2</f>
        <v>1.980844226375537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-1.1858732992748739</v>
      </c>
      <c r="J188">
        <f>(Table3[[#This Row],[HomeMargin]]-Table3[[#This Row],[HomeForecast]])^2</f>
        <v>4.7780420804828232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0.95007694975366652</v>
      </c>
      <c r="J189">
        <f>(Table3[[#This Row],[HomeMargin]]-Table3[[#This Row],[HomeForecast]])^2</f>
        <v>2.492310945897937E-3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-0.38758679744157348</v>
      </c>
      <c r="J190">
        <f>(Table3[[#This Row],[HomeMargin]]-Table3[[#This Row],[HomeForecast]])^2</f>
        <v>1.9253971204341622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-0.99923307961685659</v>
      </c>
      <c r="J191">
        <f>(Table3[[#This Row],[HomeMargin]]-Table3[[#This Row],[HomeForecast]])^2</f>
        <v>3.9969329066342998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-0.2692037670741908</v>
      </c>
      <c r="J192">
        <f>(Table3[[#This Row],[HomeMargin]]-Table3[[#This Row],[HomeForecast]])^2</f>
        <v>7.4572480657617897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0.79291753207091842</v>
      </c>
      <c r="J193">
        <f>(Table3[[#This Row],[HomeMargin]]-Table3[[#This Row],[HomeForecast]])^2</f>
        <v>4.8712130202399253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-8.6146886480000184E-2</v>
      </c>
      <c r="J194">
        <f>(Table3[[#This Row],[HomeMargin]]-Table3[[#This Row],[HomeForecast]])^2</f>
        <v>1.1797150590101984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-3.7732812740692401E-2</v>
      </c>
      <c r="J195">
        <f>(Table3[[#This Row],[HomeMargin]]-Table3[[#This Row],[HomeForecast]])^2</f>
        <v>4.1523550161200946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9.4125788000647442E-2</v>
      </c>
      <c r="J196">
        <f>(Table3[[#This Row],[HomeMargin]]-Table3[[#This Row],[HomeForecast]])^2</f>
        <v>9.5736143919706276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-0.62574147878173025</v>
      </c>
      <c r="J197">
        <f>(Table3[[#This Row],[HomeMargin]]-Table3[[#This Row],[HomeForecast]])^2</f>
        <v>0.14006944070448607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-2.0447926037269717</v>
      </c>
      <c r="J198">
        <f>(Table3[[#This Row],[HomeMargin]]-Table3[[#This Row],[HomeForecast]])^2</f>
        <v>9.2707619997104711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-0.27552392483726929</v>
      </c>
      <c r="J199">
        <f>(Table3[[#This Row],[HomeMargin]]-Table3[[#This Row],[HomeForecast]])^2</f>
        <v>10.729056982181348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3.1513091121837047E-2</v>
      </c>
      <c r="J200">
        <f>(Table3[[#This Row],[HomeMargin]]-Table3[[#This Row],[HomeForecast]])^2</f>
        <v>8.8119145281810312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0.56001555758995991</v>
      </c>
      <c r="J201">
        <f>(Table3[[#This Row],[HomeMargin]]-Table3[[#This Row],[HomeForecast]])^2</f>
        <v>0.19358630956287387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0.85057835656364422</v>
      </c>
      <c r="J202">
        <f>(Table3[[#This Row],[HomeMargin]]-Table3[[#This Row],[HomeForecast]])^2</f>
        <v>3.4246402537817984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0.21826897515929194</v>
      </c>
      <c r="J203">
        <f>(Table3[[#This Row],[HomeMargin]]-Table3[[#This Row],[HomeForecast]])^2</f>
        <v>1.4841792958356714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-0.55830205996771065</v>
      </c>
      <c r="J204">
        <f>(Table3[[#This Row],[HomeMargin]]-Table3[[#This Row],[HomeForecast]])^2</f>
        <v>2.0784929502933465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-0.16675124752429049</v>
      </c>
      <c r="J205">
        <f>(Table3[[#This Row],[HomeMargin]]-Table3[[#This Row],[HomeForecast]])^2</f>
        <v>0.69430348350232618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-0.55565143653858184</v>
      </c>
      <c r="J206">
        <f>(Table3[[#This Row],[HomeMargin]]-Table3[[#This Row],[HomeForecast]])^2</f>
        <v>6.5313542650817169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-0.72073185328863976</v>
      </c>
      <c r="J207">
        <f>(Table3[[#This Row],[HomeMargin]]-Table3[[#This Row],[HomeForecast]])^2</f>
        <v>2.9609181109221567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-0.21418477867612579</v>
      </c>
      <c r="J208">
        <f>(Table3[[#This Row],[HomeMargin]]-Table3[[#This Row],[HomeForecast]])^2</f>
        <v>1.4742446767687925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0.49619537810393233</v>
      </c>
      <c r="J209">
        <f>(Table3[[#This Row],[HomeMargin]]-Table3[[#This Row],[HomeForecast]])^2</f>
        <v>12.276646828420246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-0.34123609968939084</v>
      </c>
      <c r="J210">
        <f>(Table3[[#This Row],[HomeMargin]]-Table3[[#This Row],[HomeForecast]])^2</f>
        <v>0.43396987635244622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1.0386937493312058</v>
      </c>
      <c r="J211">
        <f>(Table3[[#This Row],[HomeMargin]]-Table3[[#This Row],[HomeForecast]])^2</f>
        <v>1.4972062373061923E-3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1.1499095852206609</v>
      </c>
      <c r="J212">
        <f>(Table3[[#This Row],[HomeMargin]]-Table3[[#This Row],[HomeForecast]])^2</f>
        <v>2.247288374103059E-2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-1.7694724565963826E-2</v>
      </c>
      <c r="J213">
        <f>(Table3[[#This Row],[HomeMargin]]-Table3[[#This Row],[HomeForecast]])^2</f>
        <v>9.1064814506732485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1.0034079341233983</v>
      </c>
      <c r="J214">
        <f>(Table3[[#This Row],[HomeMargin]]-Table3[[#This Row],[HomeForecast]])^2</f>
        <v>1.161401498942287E-5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-0.30335534265176239</v>
      </c>
      <c r="J215">
        <f>(Table3[[#This Row],[HomeMargin]]-Table3[[#This Row],[HomeForecast]])^2</f>
        <v>0.48531377861184344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0.26569991679019545</v>
      </c>
      <c r="J216">
        <f>(Table3[[#This Row],[HomeMargin]]-Table3[[#This Row],[HomeForecast]])^2</f>
        <v>1.6019962793627076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-0.3421911127529596</v>
      </c>
      <c r="J217">
        <f>(Table3[[#This Row],[HomeMargin]]-Table3[[#This Row],[HomeForecast]])^2</f>
        <v>7.0639480811293511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0.6096522499999153</v>
      </c>
      <c r="J218">
        <f>(Table3[[#This Row],[HomeMargin]]-Table3[[#This Row],[HomeForecast]])^2</f>
        <v>0.15237136593012862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-0.51686961426101785</v>
      </c>
      <c r="J219">
        <f>(Table3[[#This Row],[HomeMargin]]-Table3[[#This Row],[HomeForecast]])^2</f>
        <v>20.402111112234476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-0.1137159492509433</v>
      </c>
      <c r="J220">
        <f>(Table3[[#This Row],[HomeMargin]]-Table3[[#This Row],[HomeForecast]])^2</f>
        <v>23.875771824604605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-9.9476671927742663E-2</v>
      </c>
      <c r="J221">
        <f>(Table3[[#This Row],[HomeMargin]]-Table3[[#This Row],[HomeForecast]])^2</f>
        <v>4.4078022959687893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-0.67731034403853518</v>
      </c>
      <c r="J222">
        <f>(Table3[[#This Row],[HomeMargin]]-Table3[[#This Row],[HomeForecast]])^2</f>
        <v>5.3948872379103872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2.133773775568871</v>
      </c>
      <c r="J223">
        <f>(Table3[[#This Row],[HomeMargin]]-Table3[[#This Row],[HomeForecast]])^2</f>
        <v>8.2152527696167237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0.30903281825346895</v>
      </c>
      <c r="J224">
        <f>(Table3[[#This Row],[HomeMargin]]-Table3[[#This Row],[HomeForecast]])^2</f>
        <v>0.47743564625074364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0.90416132176580777</v>
      </c>
      <c r="J225">
        <f>(Table3[[#This Row],[HomeMargin]]-Table3[[#This Row],[HomeForecast]])^2</f>
        <v>15.242475626372141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0.47163058507648314</v>
      </c>
      <c r="J226">
        <f>(Table3[[#This Row],[HomeMargin]]-Table3[[#This Row],[HomeForecast]])^2</f>
        <v>0.2791742386266195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0.63425516509749302</v>
      </c>
      <c r="J227">
        <f>(Table3[[#This Row],[HomeMargin]]-Table3[[#This Row],[HomeForecast]])^2</f>
        <v>6.9393002748428199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0.19547851990790449</v>
      </c>
      <c r="J228">
        <f>(Table3[[#This Row],[HomeMargin]]-Table3[[#This Row],[HomeForecast]])^2</f>
        <v>10.211082971192811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0.53061691458276727</v>
      </c>
      <c r="J229">
        <f>(Table3[[#This Row],[HomeMargin]]-Table3[[#This Row],[HomeForecast]])^2</f>
        <v>0.22032048087580119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-0.84457201477614707</v>
      </c>
      <c r="J230">
        <f>(Table3[[#This Row],[HomeMargin]]-Table3[[#This Row],[HomeForecast]])^2</f>
        <v>1.3350138290384521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-0.6861899383089104</v>
      </c>
      <c r="J231">
        <f>(Table3[[#This Row],[HomeMargin]]-Table3[[#This Row],[HomeForecast]])^2</f>
        <v>7.2156163846720274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-0.6584547340833321</v>
      </c>
      <c r="J232">
        <f>(Table3[[#This Row],[HomeMargin]]-Table3[[#This Row],[HomeForecast]])^2</f>
        <v>5.4828342323367583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-0.80632877882213327</v>
      </c>
      <c r="J233">
        <f>(Table3[[#This Row],[HomeMargin]]-Table3[[#This Row],[HomeForecast]])^2</f>
        <v>10.199535868979726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-0.64281619563369974</v>
      </c>
      <c r="J234">
        <f>(Table3[[#This Row],[HomeMargin]]-Table3[[#This Row],[HomeForecast]])^2</f>
        <v>5.5563154875667848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0.2424275140528403</v>
      </c>
      <c r="J235">
        <f>(Table3[[#This Row],[HomeMargin]]-Table3[[#This Row],[HomeForecast]])^2</f>
        <v>10.513336183886883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-0.24324182181097942</v>
      </c>
      <c r="J236">
        <f>(Table3[[#This Row],[HomeMargin]]-Table3[[#This Row],[HomeForecast]])^2</f>
        <v>1.5456502274998833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0.83513425660146146</v>
      </c>
      <c r="J237">
        <f>(Table3[[#This Row],[HomeMargin]]-Table3[[#This Row],[HomeForecast]])^2</f>
        <v>4.6866436869405073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-2.0341830684090962</v>
      </c>
      <c r="J238">
        <f>(Table3[[#This Row],[HomeMargin]]-Table3[[#This Row],[HomeForecast]])^2</f>
        <v>35.59097166125671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-0.39618453563523681</v>
      </c>
      <c r="J239">
        <f>(Table3[[#This Row],[HomeMargin]]-Table3[[#This Row],[HomeForecast]])^2</f>
        <v>19.326438471358401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-2.4014882329042309E-2</v>
      </c>
      <c r="J240">
        <f>(Table3[[#This Row],[HomeMargin]]-Table3[[#This Row],[HomeForecast]])^2</f>
        <v>1.0486064792313623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-1.5626452248137235</v>
      </c>
      <c r="J241">
        <f>(Table3[[#This Row],[HomeMargin]]-Table3[[#This Row],[HomeForecast]])^2</f>
        <v>0.31656964900568541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-0.11298804172931676</v>
      </c>
      <c r="J242">
        <f>(Table3[[#This Row],[HomeMargin]]-Table3[[#This Row],[HomeForecast]])^2</f>
        <v>23.882885880280661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0.26094761069995182</v>
      </c>
      <c r="J243">
        <f>(Table3[[#This Row],[HomeMargin]]-Table3[[#This Row],[HomeForecast]])^2</f>
        <v>1.5899888769299171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-3.0068577337111102E-2</v>
      </c>
      <c r="J244">
        <f>(Table3[[#This Row],[HomeMargin]]-Table3[[#This Row],[HomeForecast]])^2</f>
        <v>4.1211784286915218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-0.55266721419163145</v>
      </c>
      <c r="J245">
        <f>(Table3[[#This Row],[HomeMargin]]-Table3[[#This Row],[HomeForecast]])^2</f>
        <v>0.20010662125907575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-0.19885683056139325</v>
      </c>
      <c r="J246">
        <f>(Table3[[#This Row],[HomeMargin]]-Table3[[#This Row],[HomeForecast]])^2</f>
        <v>1.4372577001837088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-5.4732686497785371E-2</v>
      </c>
      <c r="J247">
        <f>(Table3[[#This Row],[HomeMargin]]-Table3[[#This Row],[HomeForecast]])^2</f>
        <v>3.7840649209801236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-0.38785117947741971</v>
      </c>
      <c r="J248">
        <f>(Table3[[#This Row],[HomeMargin]]-Table3[[#This Row],[HomeForecast]])^2</f>
        <v>1.9261308963768653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-9.1141526072230444E-2</v>
      </c>
      <c r="J249">
        <f>(Table3[[#This Row],[HomeMargin]]-Table3[[#This Row],[HomeForecast]])^2</f>
        <v>0.82602372563031412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0.28302213363006401</v>
      </c>
      <c r="J250">
        <f>(Table3[[#This Row],[HomeMargin]]-Table3[[#This Row],[HomeForecast]])^2</f>
        <v>7.3819687263441285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1.3179742243176693</v>
      </c>
      <c r="J251">
        <f>(Table3[[#This Row],[HomeMargin]]-Table3[[#This Row],[HomeForecast]])^2</f>
        <v>0.10110760733042348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-0.57272615339055133</v>
      </c>
      <c r="J252">
        <f>(Table3[[#This Row],[HomeMargin]]-Table3[[#This Row],[HomeForecast]])^2</f>
        <v>11.746206019653128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0.92193596685451651</v>
      </c>
      <c r="J253">
        <f>(Table3[[#This Row],[HomeMargin]]-Table3[[#This Row],[HomeForecast]])^2</f>
        <v>1.1622220595619064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-0.26629849462704702</v>
      </c>
      <c r="J254">
        <f>(Table3[[#This Row],[HomeMargin]]-Table3[[#This Row],[HomeForecast]])^2</f>
        <v>5.1361088667488186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0.42443611298780193</v>
      </c>
      <c r="J255">
        <f>(Table3[[#This Row],[HomeMargin]]-Table3[[#This Row],[HomeForecast]])^2</f>
        <v>2.0290182399837975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-0.50589651978343408</v>
      </c>
      <c r="J256">
        <f>(Table3[[#This Row],[HomeMargin]]-Table3[[#This Row],[HomeForecast]])^2</f>
        <v>0.24413824916212234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-2.3239066150060577</v>
      </c>
      <c r="J257">
        <f>(Table3[[#This Row],[HomeMargin]]-Table3[[#This Row],[HomeForecast]])^2</f>
        <v>1.7527287252567978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-9.8127632880458004E-2</v>
      </c>
      <c r="J258">
        <f>(Table3[[#This Row],[HomeMargin]]-Table3[[#This Row],[HomeForecast]])^2</f>
        <v>1.2058842980956381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-8.6523552412707733E-2</v>
      </c>
      <c r="J259">
        <f>(Table3[[#This Row],[HomeMargin]]-Table3[[#This Row],[HomeForecast]])^2</f>
        <v>0.83443922029669915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1.0453690973905427</v>
      </c>
      <c r="J260">
        <f>(Table3[[#This Row],[HomeMargin]]-Table3[[#This Row],[HomeForecast]])^2</f>
        <v>3.8205819654358617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0.36131469750351231</v>
      </c>
      <c r="J261">
        <f>(Table3[[#This Row],[HomeMargin]]-Table3[[#This Row],[HomeForecast]])^2</f>
        <v>1.8531777056390795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0.14221099555416458</v>
      </c>
      <c r="J262">
        <f>(Table3[[#This Row],[HomeMargin]]-Table3[[#This Row],[HomeForecast]])^2</f>
        <v>3.4513799850398481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-0.3944781972016021</v>
      </c>
      <c r="J263">
        <f>(Table3[[#This Row],[HomeMargin]]-Table3[[#This Row],[HomeForecast]])^2</f>
        <v>6.788743864857814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1.6060069573423073</v>
      </c>
      <c r="J264">
        <f>(Table3[[#This Row],[HomeMargin]]-Table3[[#This Row],[HomeForecast]])^2</f>
        <v>1.943216602978052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0.51380352079183222</v>
      </c>
      <c r="J265">
        <f>(Table3[[#This Row],[HomeMargin]]-Table3[[#This Row],[HomeForecast]])^2</f>
        <v>2.2916010995617468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-0.13019568392400765</v>
      </c>
      <c r="J266">
        <f>(Table3[[#This Row],[HomeMargin]]-Table3[[#This Row],[HomeForecast]])^2</f>
        <v>14.975385444720379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-0.89154251168114917</v>
      </c>
      <c r="J267">
        <f>(Table3[[#This Row],[HomeMargin]]-Table3[[#This Row],[HomeForecast]])^2</f>
        <v>1.1763026772433663E-2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-0.26619227197746637</v>
      </c>
      <c r="J268">
        <f>(Table3[[#This Row],[HomeMargin]]-Table3[[#This Row],[HomeForecast]])^2</f>
        <v>0.53847378170559279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-0.30198987190808002</v>
      </c>
      <c r="J269">
        <f>(Table3[[#This Row],[HomeMargin]]-Table3[[#This Row],[HomeForecast]])^2</f>
        <v>1.6951776265512186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-0.52235583309006572</v>
      </c>
      <c r="J270">
        <f>(Table3[[#This Row],[HomeMargin]]-Table3[[#This Row],[HomeForecast]])^2</f>
        <v>2.1834322840029539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-5.2815377031567842E-2</v>
      </c>
      <c r="J271">
        <f>(Table3[[#This Row],[HomeMargin]]-Table3[[#This Row],[HomeForecast]])^2</f>
        <v>0.89715870998785108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0.43183637518308449</v>
      </c>
      <c r="J272">
        <f>(Table3[[#This Row],[HomeMargin]]-Table3[[#This Row],[HomeForecast]])^2</f>
        <v>2.0501554052974349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0.62529078844954766</v>
      </c>
      <c r="J273">
        <f>(Table3[[#This Row],[HomeMargin]]-Table3[[#This Row],[HomeForecast]])^2</f>
        <v>21.393314877716243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0.42871440874577005</v>
      </c>
      <c r="J274">
        <f>(Table3[[#This Row],[HomeMargin]]-Table3[[#This Row],[HomeForecast]])^2</f>
        <v>6.6115095917916156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0.18560594193683722</v>
      </c>
      <c r="J275">
        <f>(Table3[[#This Row],[HomeMargin]]-Table3[[#This Row],[HomeForecast]])^2</f>
        <v>0.66323768180858611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-0.36439329153449473</v>
      </c>
      <c r="J276">
        <f>(Table3[[#This Row],[HomeMargin]]-Table3[[#This Row],[HomeForecast]])^2</f>
        <v>5.5903556370533236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2.0257102180446864</v>
      </c>
      <c r="J277">
        <f>(Table3[[#This Row],[HomeMargin]]-Table3[[#This Row],[HomeForecast]])^2</f>
        <v>0.94924057922253247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-0.65705462154395622</v>
      </c>
      <c r="J278">
        <f>(Table3[[#This Row],[HomeMargin]]-Table3[[#This Row],[HomeForecast]])^2</f>
        <v>13.37404850495601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-1.2186262621482375</v>
      </c>
      <c r="J279">
        <f>(Table3[[#This Row],[HomeMargin]]-Table3[[#This Row],[HomeForecast]])^2</f>
        <v>17.796807539686814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-1.021428552689339</v>
      </c>
      <c r="J280">
        <f>(Table3[[#This Row],[HomeMargin]]-Table3[[#This Row],[HomeForecast]])^2</f>
        <v>35.743316550598294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-0.22155450919708974</v>
      </c>
      <c r="J281">
        <f>(Table3[[#This Row],[HomeMargin]]-Table3[[#This Row],[HomeForecast]])^2</f>
        <v>4.9353044373339214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-0.40069692559011233</v>
      </c>
      <c r="J282">
        <f>(Table3[[#This Row],[HomeMargin]]-Table3[[#This Row],[HomeForecast]])^2</f>
        <v>5.7633457285378178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0.16651217978348651</v>
      </c>
      <c r="J283">
        <f>(Table3[[#This Row],[HomeMargin]]-Table3[[#This Row],[HomeForecast]])^2</f>
        <v>1.3607506655832211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-0.23363029641948033</v>
      </c>
      <c r="J284">
        <f>(Table3[[#This Row],[HomeMargin]]-Table3[[#This Row],[HomeForecast]])^2</f>
        <v>0.58732252256609363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1.220808962619212</v>
      </c>
      <c r="J285">
        <f>(Table3[[#This Row],[HomeMargin]]-Table3[[#This Row],[HomeForecast]])^2</f>
        <v>4.8756597972972569E-2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-1.0521093145080045</v>
      </c>
      <c r="J286">
        <f>(Table3[[#This Row],[HomeMargin]]-Table3[[#This Row],[HomeForecast]])^2</f>
        <v>4.2111526386905114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-1.1088290739435347</v>
      </c>
      <c r="J287">
        <f>(Table3[[#This Row],[HomeMargin]]-Table3[[#This Row],[HomeForecast]])^2</f>
        <v>1.1843767335407342E-2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-0.13347762230385896</v>
      </c>
      <c r="J288">
        <f>(Table3[[#This Row],[HomeMargin]]-Table3[[#This Row],[HomeForecast]])^2</f>
        <v>0.7508610310481737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0.93108541602225037</v>
      </c>
      <c r="J289">
        <f>(Table3[[#This Row],[HomeMargin]]-Table3[[#This Row],[HomeForecast]])^2</f>
        <v>3.7290908839738277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-0.31581005227607428</v>
      </c>
      <c r="J290">
        <f>(Table3[[#This Row],[HomeMargin]]-Table3[[#This Row],[HomeForecast]])^2</f>
        <v>0.46811588456646819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-0.65137426787366381</v>
      </c>
      <c r="J291">
        <f>(Table3[[#This Row],[HomeMargin]]-Table3[[#This Row],[HomeForecast]])^2</f>
        <v>0.12153990110062392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0.13735451931551565</v>
      </c>
      <c r="J292">
        <f>(Table3[[#This Row],[HomeMargin]]-Table3[[#This Row],[HomeForecast]])^2</f>
        <v>0.74415722534536499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0.76181236456576618</v>
      </c>
      <c r="J293">
        <f>(Table3[[#This Row],[HomeMargin]]-Table3[[#This Row],[HomeForecast]])^2</f>
        <v>10.485859162279155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-0.2373513608415771</v>
      </c>
      <c r="J294">
        <f>(Table3[[#This Row],[HomeMargin]]-Table3[[#This Row],[HomeForecast]])^2</f>
        <v>0.58163294681019428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-0.97603027705865475</v>
      </c>
      <c r="J295">
        <f>(Table3[[#This Row],[HomeMargin]]-Table3[[#This Row],[HomeForecast]])^2</f>
        <v>1.0485139935005752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-1.2460434649211228E-2</v>
      </c>
      <c r="J296">
        <f>(Table3[[#This Row],[HomeMargin]]-Table3[[#This Row],[HomeForecast]])^2</f>
        <v>4.0499970010284922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-0.35144055020527953</v>
      </c>
      <c r="J297">
        <f>(Table3[[#This Row],[HomeMargin]]-Table3[[#This Row],[HomeForecast]])^2</f>
        <v>0.42062935991803052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-3.0964291581786485E-4</v>
      </c>
      <c r="J298">
        <f>(Table3[[#This Row],[HomeMargin]]-Table3[[#This Row],[HomeForecast]])^2</f>
        <v>0.99938081004709967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-0.1137159492509433</v>
      </c>
      <c r="J299">
        <f>(Table3[[#This Row],[HomeMargin]]-Table3[[#This Row],[HomeForecast]])^2</f>
        <v>9.6952270126197018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-1.1015055928113877</v>
      </c>
      <c r="J300">
        <f>(Table3[[#This Row],[HomeMargin]]-Table3[[#This Row],[HomeForecast]])^2</f>
        <v>3.6042810141264403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0.84142228422252141</v>
      </c>
      <c r="J301">
        <f>(Table3[[#This Row],[HomeMargin]]-Table3[[#This Row],[HomeForecast]])^2</f>
        <v>3.3908360288312882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1.4635181869950575</v>
      </c>
      <c r="J302">
        <f>(Table3[[#This Row],[HomeMargin]]-Table3[[#This Row],[HomeForecast]])^2</f>
        <v>2.3607763616949549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0.12242024595120882</v>
      </c>
      <c r="J303">
        <f>(Table3[[#This Row],[HomeMargin]]-Table3[[#This Row],[HomeForecast]])^2</f>
        <v>0.77014622471633687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0.73029450469007884</v>
      </c>
      <c r="J304">
        <f>(Table3[[#This Row],[HomeMargin]]-Table3[[#This Row],[HomeForecast]])^2</f>
        <v>2.993919072960685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1.1395876235643838</v>
      </c>
      <c r="J305">
        <f>(Table3[[#This Row],[HomeMargin]]-Table3[[#This Row],[HomeForecast]])^2</f>
        <v>8.1819589632660499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1.4164303292594207</v>
      </c>
      <c r="J306">
        <f>(Table3[[#This Row],[HomeMargin]]-Table3[[#This Row],[HomeForecast]])^2</f>
        <v>29.337717511721316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7.8467161012988257E-2</v>
      </c>
      <c r="J307">
        <f>(Table3[[#This Row],[HomeMargin]]-Table3[[#This Row],[HomeForecast]])^2</f>
        <v>0.84922277333146179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-0.40742467875745908</v>
      </c>
      <c r="J308">
        <f>(Table3[[#This Row],[HomeMargin]]-Table3[[#This Row],[HomeForecast]])^2</f>
        <v>2.5362961538307824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0.13969031394897846</v>
      </c>
      <c r="J309">
        <f>(Table3[[#This Row],[HomeMargin]]-Table3[[#This Row],[HomeForecast]])^2</f>
        <v>14.901990872219335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0.14460321846189433</v>
      </c>
      <c r="J310">
        <f>(Table3[[#This Row],[HomeMargin]]-Table3[[#This Row],[HomeForecast]])^2</f>
        <v>0.73170365386574954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0.39666089767257651</v>
      </c>
      <c r="J311">
        <f>(Table3[[#This Row],[HomeMargin]]-Table3[[#This Row],[HomeForecast]])^2</f>
        <v>6.7773744817069552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1.1543652058249019</v>
      </c>
      <c r="J312">
        <f>(Table3[[#This Row],[HomeMargin]]-Table3[[#This Row],[HomeForecast]])^2</f>
        <v>2.3828616769364319E-2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0.89380708787851237</v>
      </c>
      <c r="J313">
        <f>(Table3[[#This Row],[HomeMargin]]-Table3[[#This Row],[HomeForecast]])^2</f>
        <v>4.436048583070793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0.49176639475024314</v>
      </c>
      <c r="J314">
        <f>(Table3[[#This Row],[HomeMargin]]-Table3[[#This Row],[HomeForecast]])^2</f>
        <v>2.2253669765061379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2.6664437676220065E-2</v>
      </c>
      <c r="J315">
        <f>(Table3[[#This Row],[HomeMargin]]-Table3[[#This Row],[HomeForecast]])^2</f>
        <v>3.8940532415317093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-0.44779679442805514</v>
      </c>
      <c r="J316">
        <f>(Table3[[#This Row],[HomeMargin]]-Table3[[#This Row],[HomeForecast]])^2</f>
        <v>2.0961155579561521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0.59882629913293861</v>
      </c>
      <c r="J317">
        <f>(Table3[[#This Row],[HomeMargin]]-Table3[[#This Row],[HomeForecast]])^2</f>
        <v>11.567982543469743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1.1459207495274559</v>
      </c>
      <c r="J318">
        <f>(Table3[[#This Row],[HomeMargin]]-Table3[[#This Row],[HomeForecast]])^2</f>
        <v>2.1292865142654528E-2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-7.6903100161973964E-2</v>
      </c>
      <c r="J319">
        <f>(Table3[[#This Row],[HomeMargin]]-Table3[[#This Row],[HomeForecast]])^2</f>
        <v>1.1597202871384706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0.17824380814083557</v>
      </c>
      <c r="J320">
        <f>(Table3[[#This Row],[HomeMargin]]-Table3[[#This Row],[HomeForecast]])^2</f>
        <v>7.9623080062955323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0.12321114644294556</v>
      </c>
      <c r="J321">
        <f>(Table3[[#This Row],[HomeMargin]]-Table3[[#This Row],[HomeForecast]])^2</f>
        <v>0.76875869372189398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0.5584322953295382</v>
      </c>
      <c r="J322">
        <f>(Table3[[#This Row],[HomeMargin]]-Table3[[#This Row],[HomeForecast]])^2</f>
        <v>20.779304991103324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-0.38415227602010393</v>
      </c>
      <c r="J323">
        <f>(Table3[[#This Row],[HomeMargin]]-Table3[[#This Row],[HomeForecast]])^2</f>
        <v>1.9158775232116341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1.369302767752042</v>
      </c>
      <c r="J324">
        <f>(Table3[[#This Row],[HomeMargin]]-Table3[[#This Row],[HomeForecast]])^2</f>
        <v>2.6591734632611508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0.38850481016822491</v>
      </c>
      <c r="J325">
        <f>(Table3[[#This Row],[HomeMargin]]-Table3[[#This Row],[HomeForecast]])^2</f>
        <v>1.9279456078602983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0.64312974559496094</v>
      </c>
      <c r="J326">
        <f>(Table3[[#This Row],[HomeMargin]]-Table3[[#This Row],[HomeForecast]])^2</f>
        <v>2.699875360858961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1.6202453832525638</v>
      </c>
      <c r="J327">
        <f>(Table3[[#This Row],[HomeMargin]]-Table3[[#This Row],[HomeForecast]])^2</f>
        <v>1.9037228024358643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-0.79954339189120605</v>
      </c>
      <c r="J328">
        <f>(Table3[[#This Row],[HomeMargin]]-Table3[[#This Row],[HomeForecast]])^2</f>
        <v>17.643835716604837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-0.42094313245390569</v>
      </c>
      <c r="J329">
        <f>(Table3[[#This Row],[HomeMargin]]-Table3[[#This Row],[HomeForecast]])^2</f>
        <v>2.0190793856679177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-1.2408217352207198</v>
      </c>
      <c r="J330">
        <f>(Table3[[#This Row],[HomeMargin]]-Table3[[#This Row],[HomeForecast]])^2</f>
        <v>7.6130646968303992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1.1963073829999138</v>
      </c>
      <c r="J331">
        <f>(Table3[[#This Row],[HomeMargin]]-Table3[[#This Row],[HomeForecast]])^2</f>
        <v>3.8536588620274842E-2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-0.18180794271682599</v>
      </c>
      <c r="J332">
        <f>(Table3[[#This Row],[HomeMargin]]-Table3[[#This Row],[HomeForecast]])^2</f>
        <v>1.3966700134685766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1.1267067826624593</v>
      </c>
      <c r="J333">
        <f>(Table3[[#This Row],[HomeMargin]]-Table3[[#This Row],[HomeForecast]])^2</f>
        <v>1.6054608772671689E-2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0.23958295430197904</v>
      </c>
      <c r="J334">
        <f>(Table3[[#This Row],[HomeMargin]]-Table3[[#This Row],[HomeForecast]])^2</f>
        <v>1.5365659005960222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0.14389182864381098</v>
      </c>
      <c r="J335">
        <f>(Table3[[#This Row],[HomeMargin]]-Table3[[#This Row],[HomeForecast]])^2</f>
        <v>9.8840558302133257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-1.3521548227612437</v>
      </c>
      <c r="J336">
        <f>(Table3[[#This Row],[HomeMargin]]-Table3[[#This Row],[HomeForecast]])^2</f>
        <v>0.41970337367151561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-0.29163563802078463</v>
      </c>
      <c r="J337">
        <f>(Table3[[#This Row],[HomeMargin]]-Table3[[#This Row],[HomeForecast]])^2</f>
        <v>39.58467900161321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-0.17750571175308227</v>
      </c>
      <c r="J338">
        <f>(Table3[[#This Row],[HomeMargin]]-Table3[[#This Row],[HomeForecast]])^2</f>
        <v>0.67649685419880379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0.1799188439691749</v>
      </c>
      <c r="J339">
        <f>(Table3[[#This Row],[HomeMargin]]-Table3[[#This Row],[HomeForecast]])^2</f>
        <v>26.831559230106958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-0.56723566594457753</v>
      </c>
      <c r="J340">
        <f>(Table3[[#This Row],[HomeMargin]]-Table3[[#This Row],[HomeForecast]])^2</f>
        <v>0.1872849688304333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0.17861983512860966</v>
      </c>
      <c r="J341">
        <f>(Table3[[#This Row],[HomeMargin]]-Table3[[#This Row],[HomeForecast]])^2</f>
        <v>0.67466537524415238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-1.4811732575448415</v>
      </c>
      <c r="J342">
        <f>(Table3[[#This Row],[HomeMargin]]-Table3[[#This Row],[HomeForecast]])^2</f>
        <v>6.1562207339556805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-0.28326698882943585</v>
      </c>
      <c r="J343">
        <f>(Table3[[#This Row],[HomeMargin]]-Table3[[#This Row],[HomeForecast]])^2</f>
        <v>1.6467741646193677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0.10693735107561486</v>
      </c>
      <c r="J344">
        <f>(Table3[[#This Row],[HomeMargin]]-Table3[[#This Row],[HomeForecast]])^2</f>
        <v>9.6530597035087595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-0.25296870917930458</v>
      </c>
      <c r="J345">
        <f>(Table3[[#This Row],[HomeMargin]]-Table3[[#This Row],[HomeForecast]])^2</f>
        <v>10.581805422899672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-2.5343970170585379</v>
      </c>
      <c r="J346">
        <f>(Table3[[#This Row],[HomeMargin]]-Table3[[#This Row],[HomeForecast]])^2</f>
        <v>0.21678613772398742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1.4663533528154367</v>
      </c>
      <c r="J347">
        <f>(Table3[[#This Row],[HomeMargin]]-Table3[[#This Row],[HomeForecast]])^2</f>
        <v>6.0828988609439456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-9.6044108346436036E-2</v>
      </c>
      <c r="J348">
        <f>(Table3[[#This Row],[HomeMargin]]-Table3[[#This Row],[HomeForecast]])^2</f>
        <v>9.5854891208266775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0.80743831401195032</v>
      </c>
      <c r="J349">
        <f>(Table3[[#This Row],[HomeMargin]]-Table3[[#This Row],[HomeForecast]])^2</f>
        <v>3.2668332589583615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-0.13775914527281852</v>
      </c>
      <c r="J350">
        <f>(Table3[[#This Row],[HomeMargin]]-Table3[[#This Row],[HomeForecast]])^2</f>
        <v>0.74345929156066048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2.324957395364741E-2</v>
      </c>
      <c r="J351">
        <f>(Table3[[#This Row],[HomeMargin]]-Table3[[#This Row],[HomeForecast]])^2</f>
        <v>0.95404139478173122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0.28633513961777235</v>
      </c>
      <c r="J352">
        <f>(Table3[[#This Row],[HomeMargin]]-Table3[[#This Row],[HomeForecast]])^2</f>
        <v>5.2273283706510183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-0.74765594754508224</v>
      </c>
      <c r="J353">
        <f>(Table3[[#This Row],[HomeMargin]]-Table3[[#This Row],[HomeForecast]])^2</f>
        <v>14.04492510117003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-1.602857116439333</v>
      </c>
      <c r="J354">
        <f>(Table3[[#This Row],[HomeMargin]]-Table3[[#This Row],[HomeForecast]])^2</f>
        <v>0.36343670284154755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0.86994698409561577</v>
      </c>
      <c r="J355">
        <f>(Table3[[#This Row],[HomeMargin]]-Table3[[#This Row],[HomeForecast]])^2</f>
        <v>1.6913786945826018E-2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-0.40305280899809787</v>
      </c>
      <c r="J356">
        <f>(Table3[[#This Row],[HomeMargin]]-Table3[[#This Row],[HomeForecast]])^2</f>
        <v>5.7746628028336495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0.17275758931178764</v>
      </c>
      <c r="J357">
        <f>(Table3[[#This Row],[HomeMargin]]-Table3[[#This Row],[HomeForecast]])^2</f>
        <v>10.066390720535546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-0.13934423539628399</v>
      </c>
      <c r="J358">
        <f>(Table3[[#This Row],[HomeMargin]]-Table3[[#This Row],[HomeForecast]])^2</f>
        <v>8.1833514035604704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8.7787951972197076E-2</v>
      </c>
      <c r="J359">
        <f>(Table3[[#This Row],[HomeMargin]]-Table3[[#This Row],[HomeForecast]])^2</f>
        <v>0.83213082056707854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0.75675899400668789</v>
      </c>
      <c r="J360">
        <f>(Table3[[#This Row],[HomeMargin]]-Table3[[#This Row],[HomeForecast]])^2</f>
        <v>5.9166186996638497E-2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-0.51967299066867745</v>
      </c>
      <c r="J361">
        <f>(Table3[[#This Row],[HomeMargin]]-Table3[[#This Row],[HomeForecast]])^2</f>
        <v>20.07333011054375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1.3096261565579304</v>
      </c>
      <c r="J362">
        <f>(Table3[[#This Row],[HomeMargin]]-Table3[[#This Row],[HomeForecast]])^2</f>
        <v>9.5868356824835993E-2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0.73860956200756434</v>
      </c>
      <c r="J363">
        <f>(Table3[[#This Row],[HomeMargin]]-Table3[[#This Row],[HomeForecast]])^2</f>
        <v>5.1138867130436196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0.14389182864381098</v>
      </c>
      <c r="J364">
        <f>(Table3[[#This Row],[HomeMargin]]-Table3[[#This Row],[HomeForecast]])^2</f>
        <v>14.869570229199972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1.2274359803433943</v>
      </c>
      <c r="J365">
        <f>(Table3[[#This Row],[HomeMargin]]-Table3[[#This Row],[HomeForecast]])^2</f>
        <v>7.6871112430943951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-1.0624312761642818</v>
      </c>
      <c r="J366">
        <f>(Table3[[#This Row],[HomeMargin]]-Table3[[#This Row],[HomeForecast]])^2</f>
        <v>15.504447454929247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0.84911712124831917</v>
      </c>
      <c r="J367">
        <f>(Table3[[#This Row],[HomeMargin]]-Table3[[#This Row],[HomeForecast]])^2</f>
        <v>3.4192341280936707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0.42966942180933881</v>
      </c>
      <c r="J368">
        <f>(Table3[[#This Row],[HomeMargin]]-Table3[[#This Row],[HomeForecast]])^2</f>
        <v>5.9032934992753257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-0.15210464524559983</v>
      </c>
      <c r="J369">
        <f>(Table3[[#This Row],[HomeMargin]]-Table3[[#This Row],[HomeForecast]])^2</f>
        <v>0.71892653261409012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1.5610275552185533E-2</v>
      </c>
      <c r="J370">
        <f>(Table3[[#This Row],[HomeMargin]]-Table3[[#This Row],[HomeForecast]])^2</f>
        <v>1.0314642318071865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2.1322709127833508</v>
      </c>
      <c r="J371">
        <f>(Table3[[#This Row],[HomeMargin]]-Table3[[#This Row],[HomeForecast]])^2</f>
        <v>14.959328292101734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0.35881374722865345</v>
      </c>
      <c r="J372">
        <f>(Table3[[#This Row],[HomeMargin]]-Table3[[#This Row],[HomeForecast]])^2</f>
        <v>11.281629788572189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-0.28115986957928002</v>
      </c>
      <c r="J373">
        <f>(Table3[[#This Row],[HomeMargin]]-Table3[[#This Row],[HomeForecast]])^2</f>
        <v>2.9544113939447176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1.3360906458745394</v>
      </c>
      <c r="J374">
        <f>(Table3[[#This Row],[HomeMargin]]-Table3[[#This Row],[HomeForecast]])^2</f>
        <v>0.11295692224436506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0.26569991679019545</v>
      </c>
      <c r="J375">
        <f>(Table3[[#This Row],[HomeMargin]]-Table3[[#This Row],[HomeForecast]])^2</f>
        <v>5.1333961129430987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0.54342251549415321</v>
      </c>
      <c r="J376">
        <f>(Table3[[#This Row],[HomeMargin]]-Table3[[#This Row],[HomeForecast]])^2</f>
        <v>2.1216179683693803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-1.2304959152612902</v>
      </c>
      <c r="J377">
        <f>(Table3[[#This Row],[HomeMargin]]-Table3[[#This Row],[HomeForecast]])^2</f>
        <v>5.3128366952139877E-2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1.545448764043019</v>
      </c>
      <c r="J378">
        <f>(Table3[[#This Row],[HomeMargin]]-Table3[[#This Row],[HomeForecast]])^2</f>
        <v>6.0248217699379429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0.48366284469161602</v>
      </c>
      <c r="J379">
        <f>(Table3[[#This Row],[HomeMargin]]-Table3[[#This Row],[HomeForecast]])^2</f>
        <v>2.2012554367184185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0.25362412956780489</v>
      </c>
      <c r="J380">
        <f>(Table3[[#This Row],[HomeMargin]]-Table3[[#This Row],[HomeForecast]])^2</f>
        <v>1.5715734582346361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1.0929313267307483</v>
      </c>
      <c r="J381">
        <f>(Table3[[#This Row],[HomeMargin]]-Table3[[#This Row],[HomeForecast]])^2</f>
        <v>8.6362314879370999E-3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0.34445601272421744</v>
      </c>
      <c r="J382">
        <f>(Table3[[#This Row],[HomeMargin]]-Table3[[#This Row],[HomeForecast]])^2</f>
        <v>0.42973791925343136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-2.1494411476309882E-2</v>
      </c>
      <c r="J383">
        <f>(Table3[[#This Row],[HomeMargin]]-Table3[[#This Row],[HomeForecast]])^2</f>
        <v>15.828506717914232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-0.38819016958054209</v>
      </c>
      <c r="J384">
        <f>(Table3[[#This Row],[HomeMargin]]-Table3[[#This Row],[HomeForecast]])^2</f>
        <v>21.268789911953547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0.65471397500095674</v>
      </c>
      <c r="J385">
        <f>(Table3[[#This Row],[HomeMargin]]-Table3[[#This Row],[HomeForecast]])^2</f>
        <v>11.190938589053902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-0.41002857844991525</v>
      </c>
      <c r="J386">
        <f>(Table3[[#This Row],[HomeMargin]]-Table3[[#This Row],[HomeForecast]])^2</f>
        <v>0.34806627824582781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0.97527905514739432</v>
      </c>
      <c r="J387">
        <f>(Table3[[#This Row],[HomeMargin]]-Table3[[#This Row],[HomeForecast]])^2</f>
        <v>3.9017273457039825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0.6689831715822917</v>
      </c>
      <c r="J388">
        <f>(Table3[[#This Row],[HomeMargin]]-Table3[[#This Row],[HomeForecast]])^2</f>
        <v>0.10957214069571854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-1.224367829555058</v>
      </c>
      <c r="J389">
        <f>(Table3[[#This Row],[HomeMargin]]-Table3[[#This Row],[HomeForecast]])^2</f>
        <v>3.1528696047190157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0.5256793324561746</v>
      </c>
      <c r="J390">
        <f>(Table3[[#This Row],[HomeMargin]]-Table3[[#This Row],[HomeForecast]])^2</f>
        <v>6.3790560903962685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-1.5747282374633291</v>
      </c>
      <c r="J391">
        <f>(Table3[[#This Row],[HomeMargin]]-Table3[[#This Row],[HomeForecast]])^2</f>
        <v>6.6292254967910225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0.31378512434371258</v>
      </c>
      <c r="J392">
        <f>(Table3[[#This Row],[HomeMargin]]-Table3[[#This Row],[HomeForecast]])^2</f>
        <v>1.7260313529468245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0.3228531658072758</v>
      </c>
      <c r="J393">
        <f>(Table3[[#This Row],[HomeMargin]]-Table3[[#This Row],[HomeForecast]])^2</f>
        <v>0.45852783505722877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-0.89162061777177248</v>
      </c>
      <c r="J394">
        <f>(Table3[[#This Row],[HomeMargin]]-Table3[[#This Row],[HomeForecast]])^2</f>
        <v>3.5782285615792624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0.38351017057599468</v>
      </c>
      <c r="J395">
        <f>(Table3[[#This Row],[HomeMargin]]-Table3[[#This Row],[HomeForecast]])^2</f>
        <v>11.448141074391195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1.0315921805696049</v>
      </c>
      <c r="J396">
        <f>(Table3[[#This Row],[HomeMargin]]-Table3[[#This Row],[HomeForecast]])^2</f>
        <v>0.93781370473393277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0.66506093868557936</v>
      </c>
      <c r="J397">
        <f>(Table3[[#This Row],[HomeMargin]]-Table3[[#This Row],[HomeForecast]])^2</f>
        <v>0.11218417479418523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2.0806586539905325</v>
      </c>
      <c r="J398">
        <f>(Table3[[#This Row],[HomeMargin]]-Table3[[#This Row],[HomeForecast]])^2</f>
        <v>8.5225538945203692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0.54840026305229139</v>
      </c>
      <c r="J399">
        <f>(Table3[[#This Row],[HomeMargin]]-Table3[[#This Row],[HomeForecast]])^2</f>
        <v>0.20394232241123961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0.40724282605316792</v>
      </c>
      <c r="J400">
        <f>(Table3[[#This Row],[HomeMargin]]-Table3[[#This Row],[HomeForecast]])^2</f>
        <v>1.9803323714781067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0.18352241740281525</v>
      </c>
      <c r="J401">
        <f>(Table3[[#This Row],[HomeMargin]]-Table3[[#This Row],[HomeForecast]])^2</f>
        <v>4.7677701473006344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-0.73284623514254577</v>
      </c>
      <c r="J402">
        <f>(Table3[[#This Row],[HomeMargin]]-Table3[[#This Row],[HomeForecast]])^2</f>
        <v>5.1399861935073288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-0.53781247939316856</v>
      </c>
      <c r="J403">
        <f>(Table3[[#This Row],[HomeMargin]]-Table3[[#This Row],[HomeForecast]])^2</f>
        <v>6.0623673866320162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0.301663087732505</v>
      </c>
      <c r="J404">
        <f>(Table3[[#This Row],[HomeMargin]]-Table3[[#This Row],[HomeForecast]])^2</f>
        <v>28.107631495825363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-0.12432548456881876</v>
      </c>
      <c r="J405">
        <f>(Table3[[#This Row],[HomeMargin]]-Table3[[#This Row],[HomeForecast]])^2</f>
        <v>15.020852949562723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-1.2016582669270091</v>
      </c>
      <c r="J406">
        <f>(Table3[[#This Row],[HomeMargin]]-Table3[[#This Row],[HomeForecast]])^2</f>
        <v>4.8472991243280408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0.43512242936881296</v>
      </c>
      <c r="J407">
        <f>(Table3[[#This Row],[HomeMargin]]-Table3[[#This Row],[HomeForecast]])^2</f>
        <v>0.31908666980219169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1.3498273974028101</v>
      </c>
      <c r="J408">
        <f>(Table3[[#This Row],[HomeMargin]]-Table3[[#This Row],[HomeForecast]])^2</f>
        <v>0.12237920797362363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-4.0589313625215291E-2</v>
      </c>
      <c r="J409">
        <f>(Table3[[#This Row],[HomeMargin]]-Table3[[#This Row],[HomeForecast]])^2</f>
        <v>4.1640047468814272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0.97902082073752839</v>
      </c>
      <c r="J410">
        <f>(Table3[[#This Row],[HomeMargin]]-Table3[[#This Row],[HomeForecast]])^2</f>
        <v>16.168273560062303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-0.62368126822524494</v>
      </c>
      <c r="J411">
        <f>(Table3[[#This Row],[HomeMargin]]-Table3[[#This Row],[HomeForecast]])^2</f>
        <v>5.6468907149835799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-0.13668112707231511</v>
      </c>
      <c r="J412">
        <f>(Table3[[#This Row],[HomeMargin]]-Table3[[#This Row],[HomeForecast]])^2</f>
        <v>17.112130747076275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0.42975285064906255</v>
      </c>
      <c r="J413">
        <f>(Table3[[#This Row],[HomeMargin]]-Table3[[#This Row],[HomeForecast]])^2</f>
        <v>5.9036989152372454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-0.16379814520366795</v>
      </c>
      <c r="J414">
        <f>(Table3[[#This Row],[HomeMargin]]-Table3[[#This Row],[HomeForecast]])^2</f>
        <v>14.716444670742817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-0.44779679442805514</v>
      </c>
      <c r="J415">
        <f>(Table3[[#This Row],[HomeMargin]]-Table3[[#This Row],[HomeForecast]])^2</f>
        <v>11.887302735668372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-1.2363862734118078</v>
      </c>
      <c r="J416">
        <f>(Table3[[#This Row],[HomeMargin]]-Table3[[#This Row],[HomeForecast]])^2</f>
        <v>3.1103333766102907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2.4113849240624372</v>
      </c>
      <c r="J417">
        <f>(Table3[[#This Row],[HomeMargin]]-Table3[[#This Row],[HomeForecast]])^2</f>
        <v>0.16923755574585722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-0.57758262962920026</v>
      </c>
      <c r="J418">
        <f>(Table3[[#This Row],[HomeMargin]]-Table3[[#This Row],[HomeForecast]])^2</f>
        <v>2.488766953307783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-0.41571567641757756</v>
      </c>
      <c r="J419">
        <f>(Table3[[#This Row],[HomeMargin]]-Table3[[#This Row],[HomeForecast]])^2</f>
        <v>0.34138817078416894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-0.23077323610682218</v>
      </c>
      <c r="J420">
        <f>(Table3[[#This Row],[HomeMargin]]-Table3[[#This Row],[HomeForecast]])^2</f>
        <v>7.6686168698622819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-1.0668868967685228</v>
      </c>
      <c r="J421">
        <f>(Table3[[#This Row],[HomeMargin]]-Table3[[#This Row],[HomeForecast]])^2</f>
        <v>0.87070006342227746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-8.6146886480000184E-2</v>
      </c>
      <c r="J422">
        <f>(Table3[[#This Row],[HomeMargin]]-Table3[[#This Row],[HomeForecast]])^2</f>
        <v>8.4905399671701964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-3.7732812740692401E-2</v>
      </c>
      <c r="J423">
        <f>(Table3[[#This Row],[HomeMargin]]-Table3[[#This Row],[HomeForecast]])^2</f>
        <v>16.303286267082864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-0.38108528313566215</v>
      </c>
      <c r="J424">
        <f>(Table3[[#This Row],[HomeMargin]]-Table3[[#This Row],[HomeForecast]])^2</f>
        <v>1.9073965592939122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-0.5610152819513704</v>
      </c>
      <c r="J425">
        <f>(Table3[[#This Row],[HomeMargin]]-Table3[[#This Row],[HomeForecast]])^2</f>
        <v>2.4367687104857167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-6.8130579188255547E-3</v>
      </c>
      <c r="J426">
        <f>(Table3[[#This Row],[HomeMargin]]-Table3[[#This Row],[HomeForecast]])^2</f>
        <v>1.0136725335958563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7.8467161012988257E-2</v>
      </c>
      <c r="J427">
        <f>(Table3[[#This Row],[HomeMargin]]-Table3[[#This Row],[HomeForecast]])^2</f>
        <v>50.104697349539279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-0.19162956301816109</v>
      </c>
      <c r="J428">
        <f>(Table3[[#This Row],[HomeMargin]]-Table3[[#This Row],[HomeForecast]])^2</f>
        <v>1.4199810154588535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-0.53455079263476135</v>
      </c>
      <c r="J429">
        <f>(Table3[[#This Row],[HomeMargin]]-Table3[[#This Row],[HomeForecast]])^2</f>
        <v>6.0784397940978838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0.33588521576229563</v>
      </c>
      <c r="J430">
        <f>(Table3[[#This Row],[HomeMargin]]-Table3[[#This Row],[HomeForecast]])^2</f>
        <v>7.0975075835939094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-1.2924339940135383</v>
      </c>
      <c r="J431">
        <f>(Table3[[#This Row],[HomeMargin]]-Table3[[#This Row],[HomeForecast]])^2</f>
        <v>22.161177700719328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1.244392590553431</v>
      </c>
      <c r="J432">
        <f>(Table3[[#This Row],[HomeMargin]]-Table3[[#This Row],[HomeForecast]])^2</f>
        <v>3.0821573761036931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0.5933748288398133</v>
      </c>
      <c r="J433">
        <f>(Table3[[#This Row],[HomeMargin]]-Table3[[#This Row],[HomeForecast]])^2</f>
        <v>21.099092318219185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0.37074529788581501</v>
      </c>
      <c r="J434">
        <f>(Table3[[#This Row],[HomeMargin]]-Table3[[#This Row],[HomeForecast]])^2</f>
        <v>0.39596148013281168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-0.8344576577981373</v>
      </c>
      <c r="J435">
        <f>(Table3[[#This Row],[HomeMargin]]-Table3[[#This Row],[HomeForecast]])^2</f>
        <v>14.703065529446777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0.21180379362519791</v>
      </c>
      <c r="J436">
        <f>(Table3[[#This Row],[HomeMargin]]-Table3[[#This Row],[HomeForecast]])^2</f>
        <v>22.926822910742043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0.60715129972505655</v>
      </c>
      <c r="J437">
        <f>(Table3[[#This Row],[HomeMargin]]-Table3[[#This Row],[HomeForecast]])^2</f>
        <v>2.5829353002079385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-0.17264923551443334</v>
      </c>
      <c r="J438">
        <f>(Table3[[#This Row],[HomeMargin]]-Table3[[#This Row],[HomeForecast]])^2</f>
        <v>0.68450928749485163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-1.3760398779386782</v>
      </c>
      <c r="J439">
        <f>(Table3[[#This Row],[HomeMargin]]-Table3[[#This Row],[HomeForecast]])^2</f>
        <v>19.149725013309567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-0.28678807520158922</v>
      </c>
      <c r="J440">
        <f>(Table3[[#This Row],[HomeMargin]]-Table3[[#This Row],[HomeForecast]])^2</f>
        <v>2.9350950992714755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0.5310722622757067</v>
      </c>
      <c r="J441">
        <f>(Table3[[#This Row],[HomeMargin]]-Table3[[#This Row],[HomeForecast]])^2</f>
        <v>2.3441822723100505</v>
      </c>
    </row>
    <row r="442" spans="4:10" x14ac:dyDescent="0.2">
      <c r="D442" t="s">
        <v>22</v>
      </c>
      <c r="F442" t="s">
        <v>31</v>
      </c>
    </row>
    <row r="443" spans="4:10" x14ac:dyDescent="0.2">
      <c r="D443" t="s">
        <v>33</v>
      </c>
      <c r="F443" t="s">
        <v>39</v>
      </c>
    </row>
    <row r="444" spans="4:10" x14ac:dyDescent="0.2">
      <c r="D444" t="s">
        <v>20</v>
      </c>
      <c r="F444" t="s">
        <v>24</v>
      </c>
    </row>
    <row r="445" spans="4:10" x14ac:dyDescent="0.2">
      <c r="D445" t="s">
        <v>55</v>
      </c>
      <c r="F445" t="s">
        <v>38</v>
      </c>
    </row>
    <row r="446" spans="4:10" x14ac:dyDescent="0.2">
      <c r="D446" t="s">
        <v>23</v>
      </c>
      <c r="F446" t="s">
        <v>40</v>
      </c>
    </row>
    <row r="447" spans="4:10" x14ac:dyDescent="0.2">
      <c r="D447" t="s">
        <v>24</v>
      </c>
      <c r="F447" t="s">
        <v>21</v>
      </c>
    </row>
    <row r="448" spans="4:10" x14ac:dyDescent="0.2">
      <c r="D448" t="s">
        <v>29</v>
      </c>
      <c r="F448" t="s">
        <v>25</v>
      </c>
    </row>
    <row r="449" spans="4:6" x14ac:dyDescent="0.2">
      <c r="D449" t="s">
        <v>55</v>
      </c>
      <c r="F449" t="s">
        <v>16</v>
      </c>
    </row>
    <row r="450" spans="4:6" x14ac:dyDescent="0.2">
      <c r="D450" t="s">
        <v>40</v>
      </c>
      <c r="F450" t="s">
        <v>17</v>
      </c>
    </row>
    <row r="451" spans="4:6" x14ac:dyDescent="0.2">
      <c r="D451" t="s">
        <v>28</v>
      </c>
      <c r="F451" t="s">
        <v>11</v>
      </c>
    </row>
    <row r="452" spans="4:6" x14ac:dyDescent="0.2">
      <c r="D452" t="s">
        <v>10</v>
      </c>
      <c r="F452" t="s">
        <v>13</v>
      </c>
    </row>
    <row r="453" spans="4:6" x14ac:dyDescent="0.2">
      <c r="D453" t="s">
        <v>12</v>
      </c>
      <c r="F453" t="s">
        <v>15</v>
      </c>
    </row>
    <row r="454" spans="4:6" x14ac:dyDescent="0.2">
      <c r="D454" t="s">
        <v>35</v>
      </c>
      <c r="F454" t="s">
        <v>36</v>
      </c>
    </row>
    <row r="455" spans="4:6" x14ac:dyDescent="0.2">
      <c r="D455" t="s">
        <v>26</v>
      </c>
      <c r="F455" t="s">
        <v>32</v>
      </c>
    </row>
    <row r="456" spans="4:6" x14ac:dyDescent="0.2">
      <c r="D456" t="s">
        <v>30</v>
      </c>
      <c r="F456" t="s">
        <v>37</v>
      </c>
    </row>
    <row r="457" spans="4:6" x14ac:dyDescent="0.2">
      <c r="D457" t="s">
        <v>18</v>
      </c>
      <c r="F457" t="s">
        <v>19</v>
      </c>
    </row>
    <row r="458" spans="4:6" x14ac:dyDescent="0.2">
      <c r="D458" t="s">
        <v>34</v>
      </c>
      <c r="F458" t="s">
        <v>38</v>
      </c>
    </row>
    <row r="459" spans="4:6" x14ac:dyDescent="0.2">
      <c r="D459" t="s">
        <v>10</v>
      </c>
      <c r="F459" t="s">
        <v>31</v>
      </c>
    </row>
    <row r="460" spans="4:6" x14ac:dyDescent="0.2">
      <c r="D460" t="s">
        <v>33</v>
      </c>
      <c r="F460" t="s">
        <v>25</v>
      </c>
    </row>
    <row r="461" spans="4:6" x14ac:dyDescent="0.2">
      <c r="D461" t="s">
        <v>14</v>
      </c>
      <c r="F461" t="s">
        <v>39</v>
      </c>
    </row>
    <row r="462" spans="4:6" x14ac:dyDescent="0.2">
      <c r="D462" t="s">
        <v>30</v>
      </c>
      <c r="F462" t="s">
        <v>11</v>
      </c>
    </row>
    <row r="463" spans="4:6" x14ac:dyDescent="0.2">
      <c r="D463" t="s">
        <v>35</v>
      </c>
      <c r="F463" t="s">
        <v>18</v>
      </c>
    </row>
    <row r="464" spans="4:6" x14ac:dyDescent="0.2">
      <c r="D464" t="s">
        <v>20</v>
      </c>
      <c r="F464" t="s">
        <v>15</v>
      </c>
    </row>
    <row r="465" spans="4:6" x14ac:dyDescent="0.2">
      <c r="D465" t="s">
        <v>12</v>
      </c>
      <c r="F465" t="s">
        <v>27</v>
      </c>
    </row>
    <row r="466" spans="4:6" x14ac:dyDescent="0.2">
      <c r="D466" t="s">
        <v>28</v>
      </c>
      <c r="F466" t="s">
        <v>22</v>
      </c>
    </row>
    <row r="467" spans="4:6" x14ac:dyDescent="0.2">
      <c r="D467" t="s">
        <v>23</v>
      </c>
      <c r="F467" t="s">
        <v>16</v>
      </c>
    </row>
    <row r="468" spans="4:6" x14ac:dyDescent="0.2">
      <c r="D468" t="s">
        <v>34</v>
      </c>
      <c r="F468" t="s">
        <v>32</v>
      </c>
    </row>
    <row r="469" spans="4:6" x14ac:dyDescent="0.2">
      <c r="D469" t="s">
        <v>37</v>
      </c>
      <c r="F469" t="s">
        <v>19</v>
      </c>
    </row>
    <row r="470" spans="4:6" x14ac:dyDescent="0.2">
      <c r="D470" t="s">
        <v>13</v>
      </c>
      <c r="F470" t="s">
        <v>55</v>
      </c>
    </row>
    <row r="471" spans="4:6" x14ac:dyDescent="0.2">
      <c r="D471" t="s">
        <v>26</v>
      </c>
      <c r="F471" t="s">
        <v>38</v>
      </c>
    </row>
    <row r="472" spans="4:6" x14ac:dyDescent="0.2">
      <c r="D472" t="s">
        <v>28</v>
      </c>
      <c r="F472" t="s">
        <v>25</v>
      </c>
    </row>
    <row r="473" spans="4:6" x14ac:dyDescent="0.2">
      <c r="D473" t="s">
        <v>23</v>
      </c>
      <c r="F473" t="s">
        <v>17</v>
      </c>
    </row>
    <row r="474" spans="4:6" x14ac:dyDescent="0.2">
      <c r="D474" t="s">
        <v>37</v>
      </c>
      <c r="F474" t="s">
        <v>18</v>
      </c>
    </row>
    <row r="475" spans="4:6" x14ac:dyDescent="0.2">
      <c r="D475" t="s">
        <v>12</v>
      </c>
      <c r="F475" t="s">
        <v>29</v>
      </c>
    </row>
    <row r="476" spans="4:6" x14ac:dyDescent="0.2">
      <c r="D476" t="s">
        <v>20</v>
      </c>
      <c r="F476" t="s">
        <v>30</v>
      </c>
    </row>
    <row r="477" spans="4:6" x14ac:dyDescent="0.2">
      <c r="D477" t="s">
        <v>24</v>
      </c>
      <c r="F477" t="s">
        <v>36</v>
      </c>
    </row>
    <row r="478" spans="4:6" x14ac:dyDescent="0.2">
      <c r="D478" t="s">
        <v>33</v>
      </c>
      <c r="F478" t="s">
        <v>27</v>
      </c>
    </row>
    <row r="479" spans="4:6" x14ac:dyDescent="0.2">
      <c r="D479" t="s">
        <v>31</v>
      </c>
      <c r="F479" t="s">
        <v>14</v>
      </c>
    </row>
    <row r="480" spans="4:6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C1" zoomScale="75" zoomScaleNormal="60" workbookViewId="0">
      <pane ySplit="1" topLeftCell="A405" activePane="bottomLeft" state="frozen"/>
      <selection activeCell="I1" sqref="I1"/>
      <selection pane="bottomLeft" activeCell="O437" sqref="O437:O441"/>
    </sheetView>
  </sheetViews>
  <sheetFormatPr baseColWidth="10" defaultColWidth="10.83203125" defaultRowHeight="16" x14ac:dyDescent="0.2"/>
  <cols>
    <col min="1" max="1" width="19.83203125" bestFit="1" customWidth="1"/>
    <col min="2" max="2" width="12.83203125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4.3739154528189599E-2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-0.46392840252469486</v>
      </c>
      <c r="H2" t="s">
        <v>10</v>
      </c>
      <c r="I2">
        <f>VLOOKUP(Table4[[#This Row],[Visitor]],'NHL Model'!$A$6:$B$38,2,FALSE)</f>
        <v>-9.5800647102357028E-2</v>
      </c>
      <c r="J2">
        <f>($B$1+Table4[[#This Row],[Home Differential]])-Table4[[#This Row],[Away Differential]]</f>
        <v>-0.32438860089414823</v>
      </c>
      <c r="K2" t="str">
        <f>IF(Table4[[#This Row],[HomeIce Differential]]&gt;0,Table4[[#This Row],[Home]],Table4[[#This Row],[Visitor]])</f>
        <v>Chicago Blackhawks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0.49562524289205534</v>
      </c>
      <c r="M2" t="str">
        <f>IF(OR((NHL2025_26Results[[#This Row],[Winning Team]]="")),"-",IF(Table4[[#This Row],[Predicted Winner]]=NHL2025_26Results[[#This Row],[Winning Team]],"YES","NO"))</f>
        <v>NO</v>
      </c>
      <c r="N2">
        <f>IF(Table4[[#This Row],[Adjusted Correct]]="-", "",IF(Table4[[#This Row],[Adjusted Correct]]="YES",(Table4[[#This Row],[Strength of Win]]-1)^2,(Table4[[#This Row],[Strength of Win]]-0)^2))</f>
        <v>0.24564438139180886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-0.31218903714497998</v>
      </c>
      <c r="H3" t="s">
        <v>12</v>
      </c>
      <c r="I3">
        <f>VLOOKUP(Table4[[#This Row],[Visitor]],'NHL Model'!$A$6:$B$38,2,FALSE)</f>
        <v>1.5507956238651657</v>
      </c>
      <c r="J3">
        <f>($B$1+Table4[[#This Row],[Home Differential]])-Table4[[#This Row],[Away Differential]]</f>
        <v>-1.8192455064819559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0.70928134499869266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8.4517336365769163E-2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247</v>
      </c>
      <c r="V3">
        <f>COUNTIF(Table4[Locked Correct],"YES")</f>
        <v>256</v>
      </c>
    </row>
    <row r="4" spans="1:22" x14ac:dyDescent="0.2">
      <c r="A4" s="4" t="s">
        <v>31</v>
      </c>
      <c r="B4">
        <v>0.51775546328552802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-2.5710604859208615E-2</v>
      </c>
      <c r="H4" t="s">
        <v>14</v>
      </c>
      <c r="I4">
        <f>VLOOKUP(Table4[[#This Row],[Visitor]],'NHL Model'!$A$6:$B$38,2,FALSE)</f>
        <v>6.850792131463232E-2</v>
      </c>
      <c r="J4">
        <f>($B$1+Table4[[#This Row],[Home Differential]])-Table4[[#This Row],[Away Differential]]</f>
        <v>-5.0479371645651333E-2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0.51955351941916272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0.23082882070251284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188</v>
      </c>
      <c r="V4">
        <f>COUNTIF(Table4[Locked Correct],"NO")</f>
        <v>179</v>
      </c>
    </row>
    <row r="5" spans="1:22" x14ac:dyDescent="0.2">
      <c r="A5" s="4" t="s">
        <v>21</v>
      </c>
      <c r="B5">
        <v>4.029141914856392E-2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-0.52712659907212012</v>
      </c>
      <c r="H5" t="s">
        <v>16</v>
      </c>
      <c r="I5">
        <f>VLOOKUP(Table4[[#This Row],[Visitor]],'NHL Model'!$A$6:$B$38,2,FALSE)</f>
        <v>-0.94586858045267985</v>
      </c>
      <c r="J5">
        <f>($B$1+Table4[[#This Row],[Home Differential]])-Table4[[#This Row],[Away Differential]]</f>
        <v>0.46248113590874934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0.59210381269701995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0.35058692501034766</v>
      </c>
      <c r="O5">
        <v>-4.1674767740132361E-3</v>
      </c>
      <c r="P5" s="11"/>
      <c r="Q5" t="s">
        <v>16</v>
      </c>
      <c r="R5" t="s">
        <v>248</v>
      </c>
      <c r="T5">
        <f>SUM(T3:T4)</f>
        <v>435</v>
      </c>
      <c r="V5">
        <f>SUM(V3:V4)</f>
        <v>435</v>
      </c>
    </row>
    <row r="6" spans="1:22" x14ac:dyDescent="0.2">
      <c r="A6" s="4" t="s">
        <v>23</v>
      </c>
      <c r="B6">
        <v>-0.8683412362501769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-0.18941601188968307</v>
      </c>
      <c r="H6" t="s">
        <v>18</v>
      </c>
      <c r="I6">
        <f>VLOOKUP(Table4[[#This Row],[Visitor]],'NHL Model'!$A$6:$B$38,2,FALSE)</f>
        <v>-0.48612387559717724</v>
      </c>
      <c r="J6">
        <f>($B$1+Table4[[#This Row],[Home Differential]])-Table4[[#This Row],[Away Differential]]</f>
        <v>0.3404470182356838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0.51723043233671129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0.23306645546179869</v>
      </c>
      <c r="O6">
        <v>-4.4363714293103977E-3</v>
      </c>
      <c r="P6" s="11"/>
      <c r="Q6" t="s">
        <v>18</v>
      </c>
      <c r="R6" t="s">
        <v>249</v>
      </c>
      <c r="T6" s="13">
        <f>T3/T5</f>
        <v>0.56781609195402294</v>
      </c>
      <c r="V6" s="13">
        <f>V3/V5</f>
        <v>0.58850574712643677</v>
      </c>
    </row>
    <row r="7" spans="1:22" x14ac:dyDescent="0.2">
      <c r="A7" s="4" t="s">
        <v>16</v>
      </c>
      <c r="B7">
        <v>-1.3903684122795328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-0.14635285954937219</v>
      </c>
      <c r="H7" t="s">
        <v>13</v>
      </c>
      <c r="I7">
        <f>VLOOKUP(Table4[[#This Row],[Visitor]],'NHL Model'!$A$6:$B$38,2,FALSE)</f>
        <v>-0.31218903714497998</v>
      </c>
      <c r="J7">
        <f>($B$1+Table4[[#This Row],[Home Differential]])-Table4[[#This Row],[Away Differential]]</f>
        <v>0.20957533212379739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0.49616444195761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0.24617915346310654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0.67193921242367816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0.79843701415173229</v>
      </c>
      <c r="H8" t="s">
        <v>21</v>
      </c>
      <c r="I8">
        <f>VLOOKUP(Table4[[#This Row],[Visitor]],'NHL Model'!$A$6:$B$38,2,FALSE)</f>
        <v>-9.0944170863708096E-2</v>
      </c>
      <c r="J8">
        <f>($B$1+Table4[[#This Row],[Home Differential]])-Table4[[#This Row],[Away Differential]]</f>
        <v>0.93312033954362994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0.66612948316308473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0.44372848833911838</v>
      </c>
      <c r="O8">
        <v>-4.9858230986448791E-3</v>
      </c>
      <c r="P8" s="11"/>
      <c r="Q8" t="s">
        <v>21</v>
      </c>
      <c r="R8" t="s">
        <v>248</v>
      </c>
      <c r="T8">
        <f>SUM(Table4[Error])</f>
        <v>100.71827366518006</v>
      </c>
      <c r="V8">
        <f>COUNTIF(Table4[Locked Correct],"")</f>
        <v>877</v>
      </c>
    </row>
    <row r="9" spans="1:22" x14ac:dyDescent="0.2">
      <c r="A9" s="4" t="s">
        <v>10</v>
      </c>
      <c r="B9">
        <v>0.30570968833820172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-9.0944170863708096E-2</v>
      </c>
      <c r="H9" t="s">
        <v>10</v>
      </c>
      <c r="I9">
        <f>VLOOKUP(Table4[[#This Row],[Visitor]],'NHL Model'!$A$6:$B$38,2,FALSE)</f>
        <v>-9.5800647102357028E-2</v>
      </c>
      <c r="J9">
        <f>($B$1+Table4[[#This Row],[Home Differential]])-Table4[[#This Row],[Away Differential]]</f>
        <v>4.8595630766838531E-2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0.59612173218284026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0.16311765521498942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1.5475013591489768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-0.43117543965133126</v>
      </c>
      <c r="H10" t="s">
        <v>15</v>
      </c>
      <c r="I10">
        <f>VLOOKUP(Table4[[#This Row],[Visitor]],'NHL Model'!$A$6:$B$38,2,FALSE)</f>
        <v>-2.5710604859208615E-2</v>
      </c>
      <c r="J10">
        <f>($B$1+Table4[[#This Row],[Home Differential]])-Table4[[#This Row],[Away Differential]]</f>
        <v>-0.36172568026393304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0.59532247452505715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0.16376389962452301</v>
      </c>
      <c r="O10">
        <v>2.893763878885032E-2</v>
      </c>
      <c r="P10" s="11"/>
      <c r="Q10" t="s">
        <v>23</v>
      </c>
      <c r="R10" t="s">
        <v>249</v>
      </c>
      <c r="T10">
        <v>0.10726563667338013</v>
      </c>
    </row>
    <row r="11" spans="1:22" x14ac:dyDescent="0.2">
      <c r="A11" s="4" t="s">
        <v>28</v>
      </c>
      <c r="B11">
        <v>-0.40822279081308277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0.36021966242194059</v>
      </c>
      <c r="H11" t="s">
        <v>24</v>
      </c>
      <c r="I11">
        <f>VLOOKUP(Table4[[#This Row],[Visitor]],'NHL Model'!$A$6:$B$38,2,FALSE)</f>
        <v>7.5388445740041043E-4</v>
      </c>
      <c r="J11">
        <f>($B$1+Table4[[#This Row],[Home Differential]])-Table4[[#This Row],[Away Differential]]</f>
        <v>0.40320493249272976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0.59497417172471434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0.16404592157008119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0.19809534061227302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1.5507956238651657</v>
      </c>
      <c r="H12" t="s">
        <v>55</v>
      </c>
      <c r="I12">
        <f>VLOOKUP(Table4[[#This Row],[Visitor]],'NHL Model'!$A$6:$B$38,2,FALSE)</f>
        <v>-4.6200185433750804E-2</v>
      </c>
      <c r="J12">
        <f>($B$1+Table4[[#This Row],[Home Differential]])-Table4[[#This Row],[Away Differential]]</f>
        <v>1.640734963827106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0.82381544634935699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3.1040996945076303E-2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-0.513643833119658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-0.71226595502109791</v>
      </c>
      <c r="H13" t="s">
        <v>18</v>
      </c>
      <c r="I13">
        <f>VLOOKUP(Table4[[#This Row],[Visitor]],'NHL Model'!$A$6:$B$38,2,FALSE)</f>
        <v>-0.48612387559717724</v>
      </c>
      <c r="J13">
        <f>($B$1+Table4[[#This Row],[Home Differential]])-Table4[[#This Row],[Away Differential]]</f>
        <v>-0.18240292489573112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0.52865647496093637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0.22216471859625039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-0.61980804137564283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-0.46392840252469486</v>
      </c>
      <c r="H14" t="s">
        <v>27</v>
      </c>
      <c r="I14">
        <f>VLOOKUP(Table4[[#This Row],[Visitor]],'NHL Model'!$A$6:$B$38,2,FALSE)</f>
        <v>-0.13902937841722524</v>
      </c>
      <c r="J14">
        <f>($B$1+Table4[[#This Row],[Home Differential]])-Table4[[#This Row],[Away Differential]]</f>
        <v>-0.28115986957928002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0.53267135523149634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0.28373877268415898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-0.28105923893144158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-1.0273405477215618</v>
      </c>
      <c r="H15" t="s">
        <v>28</v>
      </c>
      <c r="I15">
        <f>VLOOKUP(Table4[[#This Row],[Visitor]],'NHL Model'!$A$6:$B$38,2,FALSE)</f>
        <v>-0.38525981166347251</v>
      </c>
      <c r="J15">
        <f>($B$1+Table4[[#This Row],[Home Differential]])-Table4[[#This Row],[Away Differential]]</f>
        <v>-0.5983415815298998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0.52775764963135918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0.27852813674441645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-7.5459708298993802E-2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6.850792131463232E-2</v>
      </c>
      <c r="H16" t="s">
        <v>30</v>
      </c>
      <c r="I16">
        <f>VLOOKUP(Table4[[#This Row],[Visitor]],'NHL Model'!$A$6:$B$38,2,FALSE)</f>
        <v>0.13101659139829774</v>
      </c>
      <c r="J16">
        <f>($B$1+Table4[[#This Row],[Home Differential]])-Table4[[#This Row],[Away Differential]]</f>
        <v>-1.8769515555475819E-2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0.53463649314396522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0.28583617980127718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-0.53650300840565446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-0.69519123816912842</v>
      </c>
      <c r="H17" t="s">
        <v>31</v>
      </c>
      <c r="I17">
        <f>VLOOKUP(Table4[[#This Row],[Visitor]],'NHL Model'!$A$6:$B$38,2,FALSE)</f>
        <v>-1.1472178948952137E-2</v>
      </c>
      <c r="J17">
        <f>($B$1+Table4[[#This Row],[Home Differential]])-Table4[[#This Row],[Away Differential]]</f>
        <v>-0.63997990469198673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0.54941708270418577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0.30185913076717813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-0.52437726201848234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-0.53773613438999557</v>
      </c>
      <c r="H18" t="s">
        <v>20</v>
      </c>
      <c r="I18">
        <f>VLOOKUP(Table4[[#This Row],[Visitor]],'NHL Model'!$A$6:$B$38,2,FALSE)</f>
        <v>-0.14635285954937219</v>
      </c>
      <c r="J18">
        <f>($B$1+Table4[[#This Row],[Home Differential]])-Table4[[#This Row],[Away Differential]]</f>
        <v>-0.34764412031243375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0.49729026790107039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0.25271707474697752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-1.3516250707060606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-1.2915976068889494</v>
      </c>
      <c r="H19" t="s">
        <v>34</v>
      </c>
      <c r="I19">
        <f>VLOOKUP(Table4[[#This Row],[Visitor]],'NHL Model'!$A$6:$B$38,2,FALSE)</f>
        <v>-6.7671768126352963E-2</v>
      </c>
      <c r="J19">
        <f>($B$1+Table4[[#This Row],[Home Differential]])-Table4[[#This Row],[Away Differential]]</f>
        <v>-1.1801866842344069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0.62588020931608024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0.13996561778137995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0.559441163373953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0.55584102906214949</v>
      </c>
      <c r="H20" t="s">
        <v>36</v>
      </c>
      <c r="I20">
        <f>VLOOKUP(Table4[[#This Row],[Visitor]],'NHL Model'!$A$6:$B$38,2,FALSE)</f>
        <v>-0.35623783458898745</v>
      </c>
      <c r="J20">
        <f>($B$1+Table4[[#This Row],[Home Differential]])-Table4[[#This Row],[Away Differential]]</f>
        <v>0.95581801817932655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0.65298514386022422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0.42638959810215771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-6.4729560818359025E-2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-0.81685014566908176</v>
      </c>
      <c r="H21" t="s">
        <v>16</v>
      </c>
      <c r="I21">
        <f>VLOOKUP(Table4[[#This Row],[Visitor]],'NHL Model'!$A$6:$B$38,2,FALSE)</f>
        <v>-0.94586858045267985</v>
      </c>
      <c r="J21">
        <f>($B$1+Table4[[#This Row],[Home Differential]])-Table4[[#This Row],[Away Differential]]</f>
        <v>0.17275758931178764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0.55853095280768728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0.19489491962888844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-0.30719665303039001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-0.25075515805082654</v>
      </c>
      <c r="H22" t="s">
        <v>39</v>
      </c>
      <c r="I22">
        <f>VLOOKUP(Table4[[#This Row],[Visitor]],'NHL Model'!$A$6:$B$38,2,FALSE)</f>
        <v>0.57904383162035133</v>
      </c>
      <c r="J22">
        <f>($B$1+Table4[[#This Row],[Home Differential]])-Table4[[#This Row],[Away Differential]]</f>
        <v>-0.78605983514298827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0.63431720867998487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0.13372390386759772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-0.40651947573390851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-9.0944170863708096E-2</v>
      </c>
      <c r="H23" t="s">
        <v>23</v>
      </c>
      <c r="I23">
        <f>VLOOKUP(Table4[[#This Row],[Visitor]],'NHL Model'!$A$6:$B$38,2,FALSE)</f>
        <v>-0.43117543965133126</v>
      </c>
      <c r="J23">
        <f>($B$1+Table4[[#This Row],[Home Differential]])-Table4[[#This Row],[Away Differential]]</f>
        <v>0.38397042331581277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0.63290280825207879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0.13476034818921004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-0.51358590497437617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0.36021966242194059</v>
      </c>
      <c r="H24" t="s">
        <v>27</v>
      </c>
      <c r="I24">
        <f>VLOOKUP(Table4[[#This Row],[Visitor]],'NHL Model'!$A$6:$B$38,2,FALSE)</f>
        <v>-0.13902937841722524</v>
      </c>
      <c r="J24">
        <f>($B$1+Table4[[#This Row],[Home Differential]])-Table4[[#This Row],[Away Differential]]</f>
        <v>0.54298819536735543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0.58836445640991997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0.16944382074670067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0.26289091192875702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-0.94586858045267985</v>
      </c>
      <c r="H25" t="s">
        <v>35</v>
      </c>
      <c r="I25">
        <f>VLOOKUP(Table4[[#This Row],[Visitor]],'NHL Model'!$A$6:$B$38,2,FALSE)</f>
        <v>-1.2915976068889494</v>
      </c>
      <c r="J25">
        <f>($B$1+Table4[[#This Row],[Home Differential]])-Table4[[#This Row],[Away Differential]]</f>
        <v>0.38946818096445912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0.58177655239517601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0.33846395691681697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-0.39418177254008485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-9.5800647102357028E-2</v>
      </c>
      <c r="H26" t="s">
        <v>18</v>
      </c>
      <c r="I26">
        <f>VLOOKUP(Table4[[#This Row],[Visitor]],'NHL Model'!$A$6:$B$38,2,FALSE)</f>
        <v>-0.48612387559717724</v>
      </c>
      <c r="J26">
        <f>($B$1+Table4[[#This Row],[Home Differential]])-Table4[[#This Row],[Away Differential]]</f>
        <v>0.43406238302300981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0.52727214404303446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0.27801591388373847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-0.361361309178443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1.5507956238651657</v>
      </c>
      <c r="H27" t="s">
        <v>39</v>
      </c>
      <c r="I27">
        <f>VLOOKUP(Table4[[#This Row],[Visitor]],'NHL Model'!$A$6:$B$38,2,FALSE)</f>
        <v>0.57904383162035133</v>
      </c>
      <c r="J27">
        <f>($B$1+Table4[[#This Row],[Home Differential]])-Table4[[#This Row],[Away Differential]]</f>
        <v>1.0154909467730038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0.66824931683996502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0.44655714945707997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-1.6211574240381006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-0.71226595502109791</v>
      </c>
      <c r="H28" t="s">
        <v>19</v>
      </c>
      <c r="I28">
        <f>VLOOKUP(Table4[[#This Row],[Visitor]],'NHL Model'!$A$6:$B$38,2,FALSE)</f>
        <v>-0.18941601188968307</v>
      </c>
      <c r="J28">
        <f>($B$1+Table4[[#This Row],[Home Differential]])-Table4[[#This Row],[Away Differential]]</f>
        <v>-0.47911078860322531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0.50126987438785719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0.25127148696881813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-0.11309445867623392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-0.52712659907212012</v>
      </c>
      <c r="H29" t="s">
        <v>38</v>
      </c>
      <c r="I29">
        <f>VLOOKUP(Table4[[#This Row],[Visitor]],'NHL Model'!$A$6:$B$38,2,FALSE)</f>
        <v>-0.81685014566908176</v>
      </c>
      <c r="J29">
        <f>($B$1+Table4[[#This Row],[Home Differential]])-Table4[[#This Row],[Away Differential]]</f>
        <v>0.33346270112515125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0.57826456814735439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0.17786077447993751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-0.635565543477981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-0.46392840252469486</v>
      </c>
      <c r="H30" t="s">
        <v>36</v>
      </c>
      <c r="I30">
        <f>VLOOKUP(Table4[[#This Row],[Visitor]],'NHL Model'!$A$6:$B$38,2,FALSE)</f>
        <v>-0.35623783458898745</v>
      </c>
      <c r="J30">
        <f>($B$1+Table4[[#This Row],[Home Differential]])-Table4[[#This Row],[Away Differential]]</f>
        <v>-6.395141340751781E-2</v>
      </c>
      <c r="K30" t="str">
        <f>IF(Table4[[#This Row],[HomeIce Differential]]&gt;0,Table4[[#This Row],[Home]],Table4[[#This Row],[Visitor]])</f>
        <v>Ottawa Senators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0.4704359480157172</v>
      </c>
      <c r="M30" t="str">
        <f>IF(OR((NHL2025_26Results[[#This Row],[Winning Team]]="")),"-",IF(Table4[[#This Row],[Predicted Winner]]=NHL2025_26Results[[#This Row],[Winning Team]],"YES","NO"))</f>
        <v>NO</v>
      </c>
      <c r="N30">
        <f>IF(Table4[[#This Row],[Adjusted Correct]]="-", "",IF(Table4[[#This Row],[Adjusted Correct]]="YES",(Table4[[#This Row],[Strength of Win]]-1)^2,(Table4[[#This Row],[Strength of Win]]-0)^2))</f>
        <v>0.22130998118544656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-0.12212311954851815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-6.7671768126352963E-2</v>
      </c>
      <c r="H31" t="s">
        <v>28</v>
      </c>
      <c r="I31">
        <f>VLOOKUP(Table4[[#This Row],[Visitor]],'NHL Model'!$A$6:$B$38,2,FALSE)</f>
        <v>-0.38525981166347251</v>
      </c>
      <c r="J31">
        <f>($B$1+Table4[[#This Row],[Home Differential]])-Table4[[#This Row],[Away Differential]]</f>
        <v>0.36132719806530916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0.57518183300748649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0.33083414102185205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-0.6902088310934803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-1.0273405477215618</v>
      </c>
      <c r="H32" t="s">
        <v>55</v>
      </c>
      <c r="I32">
        <f>VLOOKUP(Table4[[#This Row],[Visitor]],'NHL Model'!$A$6:$B$38,2,FALSE)</f>
        <v>-4.6200185433750804E-2</v>
      </c>
      <c r="J32">
        <f>($B$1+Table4[[#This Row],[Home Differential]])-Table4[[#This Row],[Away Differential]]</f>
        <v>-0.93740120775962144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0.56055093736873129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0.19311547864750073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-6.3745791019188943E-4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0.13101659139829774</v>
      </c>
      <c r="H33" t="s">
        <v>22</v>
      </c>
      <c r="I33">
        <f>VLOOKUP(Table4[[#This Row],[Visitor]],'NHL Model'!$A$6:$B$38,2,FALSE)</f>
        <v>0.79843701415173229</v>
      </c>
      <c r="J33">
        <f>($B$1+Table4[[#This Row],[Home Differential]])-Table4[[#This Row],[Away Differential]]</f>
        <v>-0.62368126822524494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0.59952273742529827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0.16038203783932659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-6.1308839486784707E-2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6.850792131463232E-2</v>
      </c>
      <c r="H34" t="s">
        <v>15</v>
      </c>
      <c r="I34">
        <f>VLOOKUP(Table4[[#This Row],[Visitor]],'NHL Model'!$A$6:$B$38,2,FALSE)</f>
        <v>-2.5710604859208615E-2</v>
      </c>
      <c r="J34">
        <f>($B$1+Table4[[#This Row],[Home Differential]])-Table4[[#This Row],[Away Differential]]</f>
        <v>0.13795768070203054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0.44822588049414619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0.20090643994475263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0.105105258369765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-0.69519123816912842</v>
      </c>
      <c r="H35" t="s">
        <v>20</v>
      </c>
      <c r="I35">
        <f>VLOOKUP(Table4[[#This Row],[Visitor]],'NHL Model'!$A$6:$B$38,2,FALSE)</f>
        <v>-0.14635285954937219</v>
      </c>
      <c r="J35">
        <f>($B$1+Table4[[#This Row],[Home Differential]])-Table4[[#This Row],[Away Differential]]</f>
        <v>-0.50509922409156671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0.51417978985541224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0.26438085629575592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-7.6523491360758822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-0.53773613438999557</v>
      </c>
      <c r="H36" t="s">
        <v>31</v>
      </c>
      <c r="I36">
        <f>VLOOKUP(Table4[[#This Row],[Visitor]],'NHL Model'!$A$6:$B$38,2,FALSE)</f>
        <v>-1.1472178948952137E-2</v>
      </c>
      <c r="J36">
        <f>($B$1+Table4[[#This Row],[Home Differential]])-Table4[[#This Row],[Away Differential]]</f>
        <v>-0.48252480091285382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0.53252756074984398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0.21853048145849083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0.55584102906214949</v>
      </c>
      <c r="H37" t="s">
        <v>24</v>
      </c>
      <c r="I37">
        <f>VLOOKUP(Table4[[#This Row],[Visitor]],'NHL Model'!$A$6:$B$38,2,FALSE)</f>
        <v>7.5388445740041043E-4</v>
      </c>
      <c r="J37">
        <f>($B$1+Table4[[#This Row],[Home Differential]])-Table4[[#This Row],[Away Differential]]</f>
        <v>0.59882629913293861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0.59756681756659202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0.3570861014566647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-0.25075515805082654</v>
      </c>
      <c r="H38" t="s">
        <v>13</v>
      </c>
      <c r="I38">
        <f>VLOOKUP(Table4[[#This Row],[Visitor]],'NHL Model'!$A$6:$B$38,2,FALSE)</f>
        <v>-0.31218903714497998</v>
      </c>
      <c r="J38">
        <f>($B$1+Table4[[#This Row],[Home Differential]])-Table4[[#This Row],[Away Differential]]</f>
        <v>0.10517303362234304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0.48747192860284755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0.26268502397008464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-2.5710604859208615E-2</v>
      </c>
      <c r="H39" t="s">
        <v>22</v>
      </c>
      <c r="I39">
        <f>VLOOKUP(Table4[[#This Row],[Visitor]],'NHL Model'!$A$6:$B$38,2,FALSE)</f>
        <v>0.79843701415173229</v>
      </c>
      <c r="J39">
        <f>($B$1+Table4[[#This Row],[Home Differential]])-Table4[[#This Row],[Away Differential]]</f>
        <v>-0.78040846448275136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0.61633417991589357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0.14719946150080992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-9.0944170863708096E-2</v>
      </c>
      <c r="H40" t="s">
        <v>37</v>
      </c>
      <c r="I40">
        <f>VLOOKUP(Table4[[#This Row],[Visitor]],'NHL Model'!$A$6:$B$38,2,FALSE)</f>
        <v>0.55584102906214949</v>
      </c>
      <c r="J40">
        <f>($B$1+Table4[[#This Row],[Home Differential]])-Table4[[#This Row],[Away Differential]]</f>
        <v>-0.60304604539766804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0.54468611800294509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0.20731073113922804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-0.43117543965133126</v>
      </c>
      <c r="H41" t="s">
        <v>12</v>
      </c>
      <c r="I41">
        <f>VLOOKUP(Table4[[#This Row],[Visitor]],'NHL Model'!$A$6:$B$38,2,FALSE)</f>
        <v>1.5507956238651657</v>
      </c>
      <c r="J41">
        <f>($B$1+Table4[[#This Row],[Home Differential]])-Table4[[#This Row],[Away Differential]]</f>
        <v>-1.9382319089883073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0.71184268761230751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8.3034636682498192E-2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-0.38525981166347251</v>
      </c>
      <c r="H42" t="s">
        <v>24</v>
      </c>
      <c r="I42">
        <f>VLOOKUP(Table4[[#This Row],[Visitor]],'NHL Model'!$A$6:$B$38,2,FALSE)</f>
        <v>7.5388445740041043E-4</v>
      </c>
      <c r="J42">
        <f>($B$1+Table4[[#This Row],[Home Differential]])-Table4[[#This Row],[Away Differential]]</f>
        <v>-0.34227454159268333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0.51748352739025927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0.23282214633974668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-9.5800647102357028E-2</v>
      </c>
      <c r="H43" t="s">
        <v>55</v>
      </c>
      <c r="I43">
        <f>VLOOKUP(Table4[[#This Row],[Visitor]],'NHL Model'!$A$6:$B$38,2,FALSE)</f>
        <v>-4.6200185433750804E-2</v>
      </c>
      <c r="J43">
        <f>($B$1+Table4[[#This Row],[Home Differential]])-Table4[[#This Row],[Away Differential]]</f>
        <v>-5.8613071404166259E-3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0.46062871684215506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0.21217881477965025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-6.7671768126352963E-2</v>
      </c>
      <c r="H44" t="s">
        <v>13</v>
      </c>
      <c r="I44">
        <f>VLOOKUP(Table4[[#This Row],[Visitor]],'NHL Model'!$A$6:$B$38,2,FALSE)</f>
        <v>-0.31218903714497998</v>
      </c>
      <c r="J44">
        <f>($B$1+Table4[[#This Row],[Home Differential]])-Table4[[#This Row],[Away Differential]]</f>
        <v>0.28825642354681663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0.50460421932325661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0.24541697951232003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0.13101659139829774</v>
      </c>
      <c r="H45" t="s">
        <v>40</v>
      </c>
      <c r="I45">
        <f>VLOOKUP(Table4[[#This Row],[Visitor]],'NHL Model'!$A$6:$B$38,2,FALSE)</f>
        <v>-0.25075515805082654</v>
      </c>
      <c r="J45">
        <f>($B$1+Table4[[#This Row],[Home Differential]])-Table4[[#This Row],[Away Differential]]</f>
        <v>0.42551090397731389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0.58206653908619466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0.33880145592378058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-0.35623783458898745</v>
      </c>
      <c r="H46" t="s">
        <v>29</v>
      </c>
      <c r="I46">
        <f>VLOOKUP(Table4[[#This Row],[Visitor]],'NHL Model'!$A$6:$B$38,2,FALSE)</f>
        <v>-1.0273405477215618</v>
      </c>
      <c r="J46">
        <f>($B$1+Table4[[#This Row],[Home Differential]])-Table4[[#This Row],[Away Differential]]</f>
        <v>0.71484186766076396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0.61667796805541997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0.38029171628496156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-0.13902937841722524</v>
      </c>
      <c r="H47" t="s">
        <v>11</v>
      </c>
      <c r="I47">
        <f>VLOOKUP(Table4[[#This Row],[Visitor]],'NHL Model'!$A$6:$B$38,2,FALSE)</f>
        <v>-0.46392840252469486</v>
      </c>
      <c r="J47">
        <f>($B$1+Table4[[#This Row],[Home Differential]])-Table4[[#This Row],[Away Differential]]</f>
        <v>0.36863817863565923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0.60557994478252586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0.15556717995775535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-0.18941601188968307</v>
      </c>
      <c r="H48" t="s">
        <v>26</v>
      </c>
      <c r="I48">
        <f>VLOOKUP(Table4[[#This Row],[Visitor]],'NHL Model'!$A$6:$B$38,2,FALSE)</f>
        <v>-0.71226595502109791</v>
      </c>
      <c r="J48">
        <f>($B$1+Table4[[#This Row],[Home Differential]])-Table4[[#This Row],[Away Differential]]</f>
        <v>0.56658909765960441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0.60077554029265345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0.36093124981392966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-0.81685014566908176</v>
      </c>
      <c r="H49" t="s">
        <v>35</v>
      </c>
      <c r="I49">
        <f>VLOOKUP(Table4[[#This Row],[Visitor]],'NHL Model'!$A$6:$B$38,2,FALSE)</f>
        <v>-1.2915976068889494</v>
      </c>
      <c r="J49">
        <f>($B$1+Table4[[#This Row],[Home Differential]])-Table4[[#This Row],[Away Differential]]</f>
        <v>0.51848661574805721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0.59561579694484157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0.35475817757023875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-1.1472178948952137E-2</v>
      </c>
      <c r="H50" t="s">
        <v>14</v>
      </c>
      <c r="I50">
        <f>VLOOKUP(Table4[[#This Row],[Visitor]],'NHL Model'!$A$6:$B$38,2,FALSE)</f>
        <v>6.850792131463232E-2</v>
      </c>
      <c r="J50">
        <f>($B$1+Table4[[#This Row],[Home Differential]])-Table4[[#This Row],[Away Differential]]</f>
        <v>-3.624094573539486E-2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0.45606132116143083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0.20799192865950974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-0.94586858045267985</v>
      </c>
      <c r="H51" t="s">
        <v>20</v>
      </c>
      <c r="I51">
        <f>VLOOKUP(Table4[[#This Row],[Visitor]],'NHL Model'!$A$6:$B$38,2,FALSE)</f>
        <v>-0.14635285954937219</v>
      </c>
      <c r="J51">
        <f>($B$1+Table4[[#This Row],[Home Differential]])-Table4[[#This Row],[Away Differential]]</f>
        <v>-0.75577656637511814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0.54106885457504816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0.21061779624105828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0.57904383162035133</v>
      </c>
      <c r="H52" t="s">
        <v>34</v>
      </c>
      <c r="I52">
        <f>VLOOKUP(Table4[[#This Row],[Visitor]],'NHL Model'!$A$6:$B$38,2,FALSE)</f>
        <v>-6.7671768126352963E-2</v>
      </c>
      <c r="J52">
        <f>($B$1+Table4[[#This Row],[Home Differential]])-Table4[[#This Row],[Away Differential]]</f>
        <v>0.69045475427489389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0.60739540214479215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0.15413837025704946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-0.48612387559717724</v>
      </c>
      <c r="H53" t="s">
        <v>32</v>
      </c>
      <c r="I53">
        <f>VLOOKUP(Table4[[#This Row],[Visitor]],'NHL Model'!$A$6:$B$38,2,FALSE)</f>
        <v>-0.69519123816912842</v>
      </c>
      <c r="J53">
        <f>($B$1+Table4[[#This Row],[Home Differential]])-Table4[[#This Row],[Away Differential]]</f>
        <v>0.25280651710014079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0.56711745201192643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0.18738730035264681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-2.5710604859208615E-2</v>
      </c>
      <c r="H54" t="s">
        <v>17</v>
      </c>
      <c r="I54">
        <f>VLOOKUP(Table4[[#This Row],[Visitor]],'NHL Model'!$A$6:$B$38,2,FALSE)</f>
        <v>-0.52712659907212012</v>
      </c>
      <c r="J54">
        <f>($B$1+Table4[[#This Row],[Home Differential]])-Table4[[#This Row],[Away Differential]]</f>
        <v>0.54515514874110105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0.59847641411548547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0.35817401825253004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-0.53773613438999557</v>
      </c>
      <c r="H55" t="s">
        <v>25</v>
      </c>
      <c r="I55">
        <f>VLOOKUP(Table4[[#This Row],[Visitor]],'NHL Model'!$A$6:$B$38,2,FALSE)</f>
        <v>0.36021966242194059</v>
      </c>
      <c r="J55">
        <f>($B$1+Table4[[#This Row],[Home Differential]])-Table4[[#This Row],[Away Differential]]</f>
        <v>-0.8542166422837465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0.62425126109941931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0.14118711478537677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-0.18941601188968307</v>
      </c>
      <c r="H56" t="s">
        <v>29</v>
      </c>
      <c r="I56">
        <f>VLOOKUP(Table4[[#This Row],[Visitor]],'NHL Model'!$A$6:$B$38,2,FALSE)</f>
        <v>-1.0273405477215618</v>
      </c>
      <c r="J56">
        <f>($B$1+Table4[[#This Row],[Home Differential]])-Table4[[#This Row],[Away Differential]]</f>
        <v>0.88166369036006831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0.6345722170782746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0.13353746453108767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0.79843701415173229</v>
      </c>
      <c r="H57" t="s">
        <v>37</v>
      </c>
      <c r="I57">
        <f>VLOOKUP(Table4[[#This Row],[Visitor]],'NHL Model'!$A$6:$B$38,2,FALSE)</f>
        <v>0.55584102906214949</v>
      </c>
      <c r="J57">
        <f>($B$1+Table4[[#This Row],[Home Differential]])-Table4[[#This Row],[Away Differential]]</f>
        <v>0.28633513961777235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0.52438480712901081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0.22620981168970825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-0.43117543965133126</v>
      </c>
      <c r="H58" t="s">
        <v>36</v>
      </c>
      <c r="I58">
        <f>VLOOKUP(Table4[[#This Row],[Visitor]],'NHL Model'!$A$6:$B$38,2,FALSE)</f>
        <v>-0.35623783458898745</v>
      </c>
      <c r="J58">
        <f>($B$1+Table4[[#This Row],[Home Differential]])-Table4[[#This Row],[Away Differential]]</f>
        <v>-3.119845053415421E-2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0.45678781720632766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0.20865510994812142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-0.71226595502109791</v>
      </c>
      <c r="H59" t="s">
        <v>11</v>
      </c>
      <c r="I59">
        <f>VLOOKUP(Table4[[#This Row],[Visitor]],'NHL Model'!$A$6:$B$38,2,FALSE)</f>
        <v>-0.46392840252469486</v>
      </c>
      <c r="J59">
        <f>($B$1+Table4[[#This Row],[Home Differential]])-Table4[[#This Row],[Away Differential]]</f>
        <v>-0.2045983979682135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0.47182412803166096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0.22261800779283719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-1.2915976068889494</v>
      </c>
      <c r="H60" t="s">
        <v>10</v>
      </c>
      <c r="I60">
        <f>VLOOKUP(Table4[[#This Row],[Visitor]],'NHL Model'!$A$6:$B$38,2,FALSE)</f>
        <v>-9.5800647102357028E-2</v>
      </c>
      <c r="J60">
        <f>($B$1+Table4[[#This Row],[Home Differential]])-Table4[[#This Row],[Away Differential]]</f>
        <v>-1.1520578052584027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0.5844057070531371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0.17271861633000291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-4.6200185433750804E-2</v>
      </c>
      <c r="H61" t="s">
        <v>16</v>
      </c>
      <c r="I61">
        <f>VLOOKUP(Table4[[#This Row],[Visitor]],'NHL Model'!$A$6:$B$38,2,FALSE)</f>
        <v>-0.94586858045267985</v>
      </c>
      <c r="J61">
        <f>($B$1+Table4[[#This Row],[Home Differential]])-Table4[[#This Row],[Away Differential]]</f>
        <v>0.9434075495471187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0.68162638889074778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0.10136175625074537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-1.1472178948952137E-2</v>
      </c>
      <c r="H62" t="s">
        <v>25</v>
      </c>
      <c r="I62">
        <f>VLOOKUP(Table4[[#This Row],[Visitor]],'NHL Model'!$A$6:$B$38,2,FALSE)</f>
        <v>0.36021966242194059</v>
      </c>
      <c r="J62">
        <f>($B$1+Table4[[#This Row],[Home Differential]])-Table4[[#This Row],[Away Differential]]</f>
        <v>-0.32795268684270312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0.50576628904704579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0.24426696104232828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-0.38525981166347251</v>
      </c>
      <c r="H63" t="s">
        <v>12</v>
      </c>
      <c r="I63">
        <f>VLOOKUP(Table4[[#This Row],[Visitor]],'NHL Model'!$A$6:$B$38,2,FALSE)</f>
        <v>1.5507956238651657</v>
      </c>
      <c r="J63">
        <f>($B$1+Table4[[#This Row],[Home Differential]])-Table4[[#This Row],[Away Differential]]</f>
        <v>-1.8923162810004486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0.71711932814963575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8.0021474506513465E-2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0.57904383162035133</v>
      </c>
      <c r="H64" t="s">
        <v>38</v>
      </c>
      <c r="I64">
        <f>VLOOKUP(Table4[[#This Row],[Visitor]],'NHL Model'!$A$6:$B$38,2,FALSE)</f>
        <v>-0.81685014566908176</v>
      </c>
      <c r="J64">
        <f>($B$1+Table4[[#This Row],[Home Differential]])-Table4[[#This Row],[Away Differential]]</f>
        <v>1.4396331318176228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0.72666923026880714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0.52804817021946071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-0.31218903714497998</v>
      </c>
      <c r="H65" t="s">
        <v>14</v>
      </c>
      <c r="I65">
        <f>VLOOKUP(Table4[[#This Row],[Visitor]],'NHL Model'!$A$6:$B$38,2,FALSE)</f>
        <v>6.850792131463232E-2</v>
      </c>
      <c r="J65">
        <f>($B$1+Table4[[#This Row],[Home Differential]])-Table4[[#This Row],[Away Differential]]</f>
        <v>-0.33695780393142272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0.55028281085148778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0.20224555021563873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-0.48612387559717724</v>
      </c>
      <c r="H66" t="s">
        <v>29</v>
      </c>
      <c r="I66">
        <f>VLOOKUP(Table4[[#This Row],[Visitor]],'NHL Model'!$A$6:$B$38,2,FALSE)</f>
        <v>-1.0273405477215618</v>
      </c>
      <c r="J66">
        <f>($B$1+Table4[[#This Row],[Home Differential]])-Table4[[#This Row],[Away Differential]]</f>
        <v>0.58495582665257417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0.60274565917169176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0.15781101130693367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7.5388445740041043E-4</v>
      </c>
      <c r="H67" t="s">
        <v>11</v>
      </c>
      <c r="I67">
        <f>VLOOKUP(Table4[[#This Row],[Visitor]],'NHL Model'!$A$6:$B$38,2,FALSE)</f>
        <v>-0.46392840252469486</v>
      </c>
      <c r="J67">
        <f>($B$1+Table4[[#This Row],[Home Differential]])-Table4[[#This Row],[Away Differential]]</f>
        <v>0.5084214415102849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0.65533721771278608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0.11879243349396341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0.13101659139829774</v>
      </c>
      <c r="H68" t="s">
        <v>17</v>
      </c>
      <c r="I68">
        <f>VLOOKUP(Table4[[#This Row],[Visitor]],'NHL Model'!$A$6:$B$38,2,FALSE)</f>
        <v>-0.52712659907212012</v>
      </c>
      <c r="J68">
        <f>($B$1+Table4[[#This Row],[Home Differential]])-Table4[[#This Row],[Away Differential]]</f>
        <v>0.70188234499860747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0.61528785660608065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0.14800343327474355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-0.35623783458898745</v>
      </c>
      <c r="H69" t="s">
        <v>32</v>
      </c>
      <c r="I69">
        <f>VLOOKUP(Table4[[#This Row],[Visitor]],'NHL Model'!$A$6:$B$38,2,FALSE)</f>
        <v>-0.69519123816912842</v>
      </c>
      <c r="J69">
        <f>($B$1+Table4[[#This Row],[Home Differential]])-Table4[[#This Row],[Away Differential]]</f>
        <v>0.38269255810833058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0.58104976089565463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0.17551930284558814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-0.13902937841722524</v>
      </c>
      <c r="H70" t="s">
        <v>40</v>
      </c>
      <c r="I70">
        <f>VLOOKUP(Table4[[#This Row],[Visitor]],'NHL Model'!$A$6:$B$38,2,FALSE)</f>
        <v>-0.25075515805082654</v>
      </c>
      <c r="J70">
        <f>($B$1+Table4[[#This Row],[Home Differential]])-Table4[[#This Row],[Away Differential]]</f>
        <v>0.15546493416179091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0.57917604514324961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0.33544489126777549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-0.18941601188968307</v>
      </c>
      <c r="H71" t="s">
        <v>15</v>
      </c>
      <c r="I71">
        <f>VLOOKUP(Table4[[#This Row],[Visitor]],'NHL Model'!$A$6:$B$38,2,FALSE)</f>
        <v>-2.5710604859208615E-2</v>
      </c>
      <c r="J71">
        <f>($B$1+Table4[[#This Row],[Home Differential]])-Table4[[#This Row],[Away Differential]]</f>
        <v>-0.11996625250228485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0.57944049441431689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0.33575128656710801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-0.14635285954937219</v>
      </c>
      <c r="H72" t="s">
        <v>21</v>
      </c>
      <c r="I72">
        <f>VLOOKUP(Table4[[#This Row],[Visitor]],'NHL Model'!$A$6:$B$38,2,FALSE)</f>
        <v>-9.0944170863708096E-2</v>
      </c>
      <c r="J72">
        <f>($B$1+Table4[[#This Row],[Home Differential]])-Table4[[#This Row],[Away Differential]]</f>
        <v>-1.1669534157474487E-2</v>
      </c>
      <c r="K72" t="str">
        <f>IF(Table4[[#This Row],[HomeIce Differential]]&gt;0,Table4[[#This Row],[Home]],Table4[[#This Row],[Visitor]])</f>
        <v>Boston Bruins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0.46125174001108327</v>
      </c>
      <c r="M72" t="str">
        <f>IF(OR((NHL2025_26Results[[#This Row],[Winning Team]]="")),"-",IF(Table4[[#This Row],[Predicted Winner]]=NHL2025_26Results[[#This Row],[Winning Team]],"YES","NO"))</f>
        <v>NO</v>
      </c>
      <c r="N72">
        <f>IF(Table4[[#This Row],[Adjusted Correct]]="-", "",IF(Table4[[#This Row],[Adjusted Correct]]="YES",(Table4[[#This Row],[Strength of Win]]-1)^2,(Table4[[#This Row],[Strength of Win]]-0)^2))</f>
        <v>0.21275316766325195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-9.5800647102357028E-2</v>
      </c>
      <c r="H73" t="s">
        <v>38</v>
      </c>
      <c r="I73">
        <f>VLOOKUP(Table4[[#This Row],[Visitor]],'NHL Model'!$A$6:$B$38,2,FALSE)</f>
        <v>-0.81685014566908176</v>
      </c>
      <c r="J73">
        <f>($B$1+Table4[[#This Row],[Home Differential]])-Table4[[#This Row],[Away Differential]]</f>
        <v>0.76478865309491428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0.62203554179480292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0.386928215255954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-0.71226595502109791</v>
      </c>
      <c r="H74" t="s">
        <v>37</v>
      </c>
      <c r="I74">
        <f>VLOOKUP(Table4[[#This Row],[Visitor]],'NHL Model'!$A$6:$B$38,2,FALSE)</f>
        <v>0.55584102906214949</v>
      </c>
      <c r="J74">
        <f>($B$1+Table4[[#This Row],[Home Differential]])-Table4[[#This Row],[Away Differential]]</f>
        <v>-1.224367829555058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0.65378157435146467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0.42743034696147975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-4.6200185433750804E-2</v>
      </c>
      <c r="H75" t="s">
        <v>33</v>
      </c>
      <c r="I75">
        <f>VLOOKUP(Table4[[#This Row],[Visitor]],'NHL Model'!$A$6:$B$38,2,FALSE)</f>
        <v>-0.53773613438999557</v>
      </c>
      <c r="J75">
        <f>($B$1+Table4[[#This Row],[Home Differential]])-Table4[[#This Row],[Away Differential]]</f>
        <v>0.53527510348443441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0.63784780221677007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0.1311542143592237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0.79843701415173229</v>
      </c>
      <c r="H76" t="s">
        <v>34</v>
      </c>
      <c r="I76">
        <f>VLOOKUP(Table4[[#This Row],[Visitor]],'NHL Model'!$A$6:$B$38,2,FALSE)</f>
        <v>-6.7671768126352963E-2</v>
      </c>
      <c r="J76">
        <f>($B$1+Table4[[#This Row],[Home Differential]])-Table4[[#This Row],[Away Differential]]</f>
        <v>0.90984793680627485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0.62462244524451349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0.14090830861420828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-0.43117543965133126</v>
      </c>
      <c r="H77" t="s">
        <v>11</v>
      </c>
      <c r="I77">
        <f>VLOOKUP(Table4[[#This Row],[Visitor]],'NHL Model'!$A$6:$B$38,2,FALSE)</f>
        <v>-0.46392840252469486</v>
      </c>
      <c r="J77">
        <f>($B$1+Table4[[#This Row],[Home Differential]])-Table4[[#This Row],[Away Differential]]</f>
        <v>7.6492117401553206E-2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0.55832722506232568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0.19507484012114551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-0.38525981166347251</v>
      </c>
      <c r="H78" t="s">
        <v>37</v>
      </c>
      <c r="I78">
        <f>VLOOKUP(Table4[[#This Row],[Visitor]],'NHL Model'!$A$6:$B$38,2,FALSE)</f>
        <v>0.55584102906214949</v>
      </c>
      <c r="J78">
        <f>($B$1+Table4[[#This Row],[Home Differential]])-Table4[[#This Row],[Away Differential]]</f>
        <v>-0.8973616861974324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0.62887924170412179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0.39548910064635123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1.5507956238651657</v>
      </c>
      <c r="H79" t="s">
        <v>21</v>
      </c>
      <c r="I79">
        <f>VLOOKUP(Table4[[#This Row],[Visitor]],'NHL Model'!$A$6:$B$38,2,FALSE)</f>
        <v>-9.0944170863708096E-2</v>
      </c>
      <c r="J79">
        <f>($B$1+Table4[[#This Row],[Home Differential]])-Table4[[#This Row],[Away Differential]]</f>
        <v>1.6854789492570634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0.82861493843380585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2.9372839328048159E-2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-0.31218903714497998</v>
      </c>
      <c r="H80" t="s">
        <v>25</v>
      </c>
      <c r="I80">
        <f>VLOOKUP(Table4[[#This Row],[Visitor]],'NHL Model'!$A$6:$B$38,2,FALSE)</f>
        <v>0.36021966242194059</v>
      </c>
      <c r="J80">
        <f>($B$1+Table4[[#This Row],[Home Differential]])-Table4[[#This Row],[Away Differential]]</f>
        <v>-0.62866954503873096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0.60005780811359988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0.1599537568508981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-0.48612387559717724</v>
      </c>
      <c r="H81" t="s">
        <v>15</v>
      </c>
      <c r="I81">
        <f>VLOOKUP(Table4[[#This Row],[Visitor]],'NHL Model'!$A$6:$B$38,2,FALSE)</f>
        <v>-2.5710604859208615E-2</v>
      </c>
      <c r="J81">
        <f>($B$1+Table4[[#This Row],[Home Differential]])-Table4[[#This Row],[Away Differential]]</f>
        <v>-0.41667411620977901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0.61126705232089973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0.15111330461128211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7.5388445740041043E-4</v>
      </c>
      <c r="H82" t="s">
        <v>17</v>
      </c>
      <c r="I82">
        <f>VLOOKUP(Table4[[#This Row],[Visitor]],'NHL Model'!$A$6:$B$38,2,FALSE)</f>
        <v>-0.52712659907212012</v>
      </c>
      <c r="J82">
        <f>($B$1+Table4[[#This Row],[Home Differential]])-Table4[[#This Row],[Away Differential]]</f>
        <v>0.5716196380577101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0.6621162125020551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0.11416545385395639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-0.35623783458898745</v>
      </c>
      <c r="H83" t="s">
        <v>30</v>
      </c>
      <c r="I83">
        <f>VLOOKUP(Table4[[#This Row],[Visitor]],'NHL Model'!$A$6:$B$38,2,FALSE)</f>
        <v>0.13101659139829774</v>
      </c>
      <c r="J83">
        <f>($B$1+Table4[[#This Row],[Home Differential]])-Table4[[#This Row],[Away Differential]]</f>
        <v>-0.44351527145909558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0.5801971170752831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0.17623446051190356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-0.13902937841722524</v>
      </c>
      <c r="H84" t="s">
        <v>34</v>
      </c>
      <c r="I84">
        <f>VLOOKUP(Table4[[#This Row],[Visitor]],'NHL Model'!$A$6:$B$38,2,FALSE)</f>
        <v>-6.7671768126352963E-2</v>
      </c>
      <c r="J84">
        <f>($B$1+Table4[[#This Row],[Home Differential]])-Table4[[#This Row],[Away Differential]]</f>
        <v>-2.7618455762682667E-2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0.47593548421429271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0.22651458513429326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-0.53773613438999557</v>
      </c>
      <c r="H85" t="s">
        <v>14</v>
      </c>
      <c r="I85">
        <f>VLOOKUP(Table4[[#This Row],[Visitor]],'NHL Model'!$A$6:$B$38,2,FALSE)</f>
        <v>6.850792131463232E-2</v>
      </c>
      <c r="J85">
        <f>($B$1+Table4[[#This Row],[Home Differential]])-Table4[[#This Row],[Away Differential]]</f>
        <v>-0.56250490117643825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0.57447626383730721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0.18107045003785699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-1.2915976068889494</v>
      </c>
      <c r="H86" t="s">
        <v>39</v>
      </c>
      <c r="I86">
        <f>VLOOKUP(Table4[[#This Row],[Visitor]],'NHL Model'!$A$6:$B$38,2,FALSE)</f>
        <v>0.57904383162035133</v>
      </c>
      <c r="J86">
        <f>($B$1+Table4[[#This Row],[Home Differential]])-Table4[[#This Row],[Away Differential]]</f>
        <v>-1.8269022839811111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0.74845002447659015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0.56017743913900842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-0.18941601188968307</v>
      </c>
      <c r="H87" t="s">
        <v>32</v>
      </c>
      <c r="I87">
        <f>VLOOKUP(Table4[[#This Row],[Visitor]],'NHL Model'!$A$6:$B$38,2,FALSE)</f>
        <v>-0.69519123816912842</v>
      </c>
      <c r="J87">
        <f>($B$1+Table4[[#This Row],[Home Differential]])-Table4[[#This Row],[Away Differential]]</f>
        <v>0.54951438080763493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0.59894400991850927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0.35873392701726331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-0.14635285954937219</v>
      </c>
      <c r="H88" t="s">
        <v>16</v>
      </c>
      <c r="I88">
        <f>VLOOKUP(Table4[[#This Row],[Visitor]],'NHL Model'!$A$6:$B$38,2,FALSE)</f>
        <v>-0.94586858045267985</v>
      </c>
      <c r="J88">
        <f>($B$1+Table4[[#This Row],[Home Differential]])-Table4[[#This Row],[Away Differential]]</f>
        <v>0.84325487543149724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0.63045227109109148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0.13656552394173213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-0.25075515805082654</v>
      </c>
      <c r="H89" t="s">
        <v>29</v>
      </c>
      <c r="I89">
        <f>VLOOKUP(Table4[[#This Row],[Visitor]],'NHL Model'!$A$6:$B$38,2,FALSE)</f>
        <v>-1.0273405477215618</v>
      </c>
      <c r="J89">
        <f>($B$1+Table4[[#This Row],[Home Differential]])-Table4[[#This Row],[Away Differential]]</f>
        <v>0.82032454419892487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0.63048811371663793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0.13653903410468829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-9.5800647102357028E-2</v>
      </c>
      <c r="H90" t="s">
        <v>31</v>
      </c>
      <c r="I90">
        <f>VLOOKUP(Table4[[#This Row],[Visitor]],'NHL Model'!$A$6:$B$38,2,FALSE)</f>
        <v>-1.1472178948952137E-2</v>
      </c>
      <c r="J90">
        <f>($B$1+Table4[[#This Row],[Home Differential]])-Table4[[#This Row],[Away Differential]]</f>
        <v>-4.0589313625215291E-2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0.48512306933737492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0.23534439240331548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-0.71226595502109791</v>
      </c>
      <c r="H91" t="s">
        <v>17</v>
      </c>
      <c r="I91">
        <f>VLOOKUP(Table4[[#This Row],[Visitor]],'NHL Model'!$A$6:$B$38,2,FALSE)</f>
        <v>-0.52712659907212012</v>
      </c>
      <c r="J91">
        <f>($B$1+Table4[[#This Row],[Home Differential]])-Table4[[#This Row],[Away Differential]]</f>
        <v>-0.14140020142078824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0.46504513324239199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0.21626697595243413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-4.6200185433750804E-2</v>
      </c>
      <c r="H92" t="s">
        <v>21</v>
      </c>
      <c r="I92">
        <f>VLOOKUP(Table4[[#This Row],[Visitor]],'NHL Model'!$A$6:$B$38,2,FALSE)</f>
        <v>-9.0944170863708096E-2</v>
      </c>
      <c r="J92">
        <f>($B$1+Table4[[#This Row],[Home Differential]])-Table4[[#This Row],[Away Differential]]</f>
        <v>8.8483139958146884E-2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0.58992237778857315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0.16816365623857774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0.79843701415173229</v>
      </c>
      <c r="H93" t="s">
        <v>38</v>
      </c>
      <c r="I93">
        <f>VLOOKUP(Table4[[#This Row],[Visitor]],'NHL Model'!$A$6:$B$38,2,FALSE)</f>
        <v>-0.81685014566908176</v>
      </c>
      <c r="J93">
        <f>($B$1+Table4[[#This Row],[Home Differential]])-Table4[[#This Row],[Away Differential]]</f>
        <v>1.6590263143490036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0.7439942497155938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0.55352744360986939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-0.94586858045267985</v>
      </c>
      <c r="H94" t="s">
        <v>40</v>
      </c>
      <c r="I94">
        <f>VLOOKUP(Table4[[#This Row],[Visitor]],'NHL Model'!$A$6:$B$38,2,FALSE)</f>
        <v>-0.25075515805082654</v>
      </c>
      <c r="J94">
        <f>($B$1+Table4[[#This Row],[Home Differential]])-Table4[[#This Row],[Away Differential]]</f>
        <v>-0.65137426787366381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0.53344623449652273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0.21767241610547367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-0.48612387559717724</v>
      </c>
      <c r="H95" t="s">
        <v>23</v>
      </c>
      <c r="I95">
        <f>VLOOKUP(Table4[[#This Row],[Visitor]],'NHL Model'!$A$6:$B$38,2,FALSE)</f>
        <v>-0.43117543965133126</v>
      </c>
      <c r="J95">
        <f>($B$1+Table4[[#This Row],[Home Differential]])-Table4[[#This Row],[Away Differential]]</f>
        <v>-1.1209281417656369E-2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0.46120237070791603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0.21270762674660201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-2.5710604859208615E-2</v>
      </c>
      <c r="H96" t="s">
        <v>34</v>
      </c>
      <c r="I96">
        <f>VLOOKUP(Table4[[#This Row],[Visitor]],'NHL Model'!$A$6:$B$38,2,FALSE)</f>
        <v>-6.7671768126352963E-2</v>
      </c>
      <c r="J96">
        <f>($B$1+Table4[[#This Row],[Home Differential]])-Table4[[#This Row],[Away Differential]]</f>
        <v>8.570031779533395E-2</v>
      </c>
      <c r="K96" t="str">
        <f>IF(Table4[[#This Row],[HomeIce Differential]]&gt;0,Table4[[#This Row],[Home]],Table4[[#This Row],[Visitor]])</f>
        <v>New York Rangers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0.50990596591319648</v>
      </c>
      <c r="M96" t="str">
        <f>IF(OR((NHL2025_26Results[[#This Row],[Winning Team]]="")),"-",IF(Table4[[#This Row],[Predicted Winner]]=NHL2025_26Results[[#This Row],[Winning Team]],"YES","NO"))</f>
        <v>NO</v>
      </c>
      <c r="N96">
        <f>IF(Table4[[#This Row],[Adjusted Correct]]="-", "",IF(Table4[[#This Row],[Adjusted Correct]]="YES",(Table4[[#This Row],[Strength of Win]]-1)^2,(Table4[[#This Row],[Strength of Win]]-0)^2))</f>
        <v>0.26000409407386987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-0.13902937841722524</v>
      </c>
      <c r="H97" t="s">
        <v>32</v>
      </c>
      <c r="I97">
        <f>VLOOKUP(Table4[[#This Row],[Visitor]],'NHL Model'!$A$6:$B$38,2,FALSE)</f>
        <v>-0.69519123816912842</v>
      </c>
      <c r="J97">
        <f>($B$1+Table4[[#This Row],[Home Differential]])-Table4[[#This Row],[Away Differential]]</f>
        <v>0.59990101428009279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0.63038650008681729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0.13661413931807231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-0.14635285954937219</v>
      </c>
      <c r="H98" t="s">
        <v>25</v>
      </c>
      <c r="I98">
        <f>VLOOKUP(Table4[[#This Row],[Visitor]],'NHL Model'!$A$6:$B$38,2,FALSE)</f>
        <v>0.36021966242194059</v>
      </c>
      <c r="J98">
        <f>($B$1+Table4[[#This Row],[Home Differential]])-Table4[[#This Row],[Away Differential]]</f>
        <v>-0.4628333674431232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0.58226928494032737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0.33903752018492017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-9.0944170863708096E-2</v>
      </c>
      <c r="H99" t="s">
        <v>11</v>
      </c>
      <c r="I99">
        <f>VLOOKUP(Table4[[#This Row],[Visitor]],'NHL Model'!$A$6:$B$38,2,FALSE)</f>
        <v>-0.46392840252469486</v>
      </c>
      <c r="J99">
        <f>($B$1+Table4[[#This Row],[Home Differential]])-Table4[[#This Row],[Away Differential]]</f>
        <v>0.41672338618917637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0.6364160756676297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0.40502542136818614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0.57904383162035133</v>
      </c>
      <c r="H100" t="s">
        <v>28</v>
      </c>
      <c r="I100">
        <f>VLOOKUP(Table4[[#This Row],[Visitor]],'NHL Model'!$A$6:$B$38,2,FALSE)</f>
        <v>-0.38525981166347251</v>
      </c>
      <c r="J100">
        <f>($B$1+Table4[[#This Row],[Home Differential]])-Table4[[#This Row],[Away Differential]]</f>
        <v>1.0080427978120134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0.67684873164824044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0.45812420553383182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-1.0273405477215618</v>
      </c>
      <c r="H101" t="s">
        <v>31</v>
      </c>
      <c r="I101">
        <f>VLOOKUP(Table4[[#This Row],[Visitor]],'NHL Model'!$A$6:$B$38,2,FALSE)</f>
        <v>-1.1472178948952137E-2</v>
      </c>
      <c r="J101">
        <f>($B$1+Table4[[#This Row],[Home Differential]])-Table4[[#This Row],[Away Differential]]</f>
        <v>-0.97212921424442011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0.58504528986395121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0.17218741146409228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0.13101659139829774</v>
      </c>
      <c r="H102" t="s">
        <v>33</v>
      </c>
      <c r="I102">
        <f>VLOOKUP(Table4[[#This Row],[Visitor]],'NHL Model'!$A$6:$B$38,2,FALSE)</f>
        <v>-0.53773613438999557</v>
      </c>
      <c r="J102">
        <f>($B$1+Table4[[#This Row],[Home Differential]])-Table4[[#This Row],[Away Differential]]</f>
        <v>0.71249188031648292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0.61642589516676138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0.14712909389862033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-0.35623783458898745</v>
      </c>
      <c r="H103" t="s">
        <v>17</v>
      </c>
      <c r="I103">
        <f>VLOOKUP(Table4[[#This Row],[Visitor]],'NHL Model'!$A$6:$B$38,2,FALSE)</f>
        <v>-0.52712659907212012</v>
      </c>
      <c r="J103">
        <f>($B$1+Table4[[#This Row],[Home Differential]])-Table4[[#This Row],[Away Differential]]</f>
        <v>0.21462791901132228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0.56302220038063222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0.31699399812144879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6.850792131463232E-2</v>
      </c>
      <c r="H104" t="s">
        <v>38</v>
      </c>
      <c r="I104">
        <f>VLOOKUP(Table4[[#This Row],[Visitor]],'NHL Model'!$A$6:$B$38,2,FALSE)</f>
        <v>-0.81685014566908176</v>
      </c>
      <c r="J104">
        <f>($B$1+Table4[[#This Row],[Home Differential]])-Table4[[#This Row],[Away Differential]]</f>
        <v>0.92909722151190366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0.63966020499694287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0.12984476786284524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-1.2915976068889494</v>
      </c>
      <c r="H105" t="s">
        <v>13</v>
      </c>
      <c r="I105">
        <f>VLOOKUP(Table4[[#This Row],[Visitor]],'NHL Model'!$A$6:$B$38,2,FALSE)</f>
        <v>-0.31218903714497998</v>
      </c>
      <c r="J105">
        <f>($B$1+Table4[[#This Row],[Home Differential]])-Table4[[#This Row],[Away Differential]]</f>
        <v>-0.93566941521577984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0.62668096501261406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0.1393671018839131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-0.18941601188968307</v>
      </c>
      <c r="H106" t="s">
        <v>24</v>
      </c>
      <c r="I106">
        <f>VLOOKUP(Table4[[#This Row],[Visitor]],'NHL Model'!$A$6:$B$38,2,FALSE)</f>
        <v>7.5388445740041043E-4</v>
      </c>
      <c r="J106">
        <f>($B$1+Table4[[#This Row],[Home Differential]])-Table4[[#This Row],[Away Differential]]</f>
        <v>-0.14643074181889387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0.49647621751898974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0.25353619952398376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-4.6200185433750804E-2</v>
      </c>
      <c r="H107" t="s">
        <v>12</v>
      </c>
      <c r="I107">
        <f>VLOOKUP(Table4[[#This Row],[Visitor]],'NHL Model'!$A$6:$B$38,2,FALSE)</f>
        <v>1.5507956238651657</v>
      </c>
      <c r="J107">
        <f>($B$1+Table4[[#This Row],[Home Differential]])-Table4[[#This Row],[Away Differential]]</f>
        <v>-1.5532566547707269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0.63972934356103905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0.40925363301303797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0.79843701415173229</v>
      </c>
      <c r="H108" t="s">
        <v>32</v>
      </c>
      <c r="I108">
        <f>VLOOKUP(Table4[[#This Row],[Visitor]],'NHL Model'!$A$6:$B$38,2,FALSE)</f>
        <v>-0.69519123816912842</v>
      </c>
      <c r="J108">
        <f>($B$1+Table4[[#This Row],[Home Differential]])-Table4[[#This Row],[Away Differential]]</f>
        <v>1.5373674068490502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0.73094442954562333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7.2390899992530053E-2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-0.43117543965133126</v>
      </c>
      <c r="H109" t="s">
        <v>26</v>
      </c>
      <c r="I109">
        <f>VLOOKUP(Table4[[#This Row],[Visitor]],'NHL Model'!$A$6:$B$38,2,FALSE)</f>
        <v>-0.71226595502109791</v>
      </c>
      <c r="J109">
        <f>($B$1+Table4[[#This Row],[Home Differential]])-Table4[[#This Row],[Away Differential]]</f>
        <v>0.32482966989795625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0.5849653107407613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0.17225379328851281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-0.94586858045267985</v>
      </c>
      <c r="H110" t="s">
        <v>18</v>
      </c>
      <c r="I110">
        <f>VLOOKUP(Table4[[#This Row],[Visitor]],'NHL Model'!$A$6:$B$38,2,FALSE)</f>
        <v>-0.48612387559717724</v>
      </c>
      <c r="J110">
        <f>($B$1+Table4[[#This Row],[Home Differential]])-Table4[[#This Row],[Away Differential]]</f>
        <v>-0.41600555032731307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0.56391093404341219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0.19017367344688918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7.5388445740041043E-4</v>
      </c>
      <c r="H111" t="s">
        <v>34</v>
      </c>
      <c r="I111">
        <f>VLOOKUP(Table4[[#This Row],[Visitor]],'NHL Model'!$A$6:$B$38,2,FALSE)</f>
        <v>-6.7671768126352963E-2</v>
      </c>
      <c r="J111">
        <f>($B$1+Table4[[#This Row],[Home Differential]])-Table4[[#This Row],[Away Differential]]</f>
        <v>0.11216480711194297</v>
      </c>
      <c r="K111" t="str">
        <f>IF(Table4[[#This Row],[HomeIce Differential]]&gt;0,Table4[[#This Row],[Home]],Table4[[#This Row],[Visitor]])</f>
        <v>New Jersey Devils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0.57453142944720947</v>
      </c>
      <c r="M111" t="str">
        <f>IF(OR((NHL2025_26Results[[#This Row],[Winning Team]]="")),"-",IF(Table4[[#This Row],[Predicted Winner]]=NHL2025_26Results[[#This Row],[Winning Team]],"YES","NO"))</f>
        <v>YES</v>
      </c>
      <c r="N111">
        <f>IF(Table4[[#This Row],[Adjusted Correct]]="-", "",IF(Table4[[#This Row],[Adjusted Correct]]="YES",(Table4[[#This Row],[Strength of Win]]-1)^2,(Table4[[#This Row],[Strength of Win]]-0)^2))</f>
        <v>0.1810235045282349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-9.0944170863708096E-2</v>
      </c>
      <c r="H112" t="s">
        <v>31</v>
      </c>
      <c r="I112">
        <f>VLOOKUP(Table4[[#This Row],[Visitor]],'NHL Model'!$A$6:$B$38,2,FALSE)</f>
        <v>-1.1472178948952137E-2</v>
      </c>
      <c r="J112">
        <f>($B$1+Table4[[#This Row],[Home Differential]])-Table4[[#This Row],[Away Differential]]</f>
        <v>-3.5732837386566359E-2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0.43240433412384499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0.32216483992139572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1.5507956238651657</v>
      </c>
      <c r="H113" t="s">
        <v>25</v>
      </c>
      <c r="I113">
        <f>VLOOKUP(Table4[[#This Row],[Visitor]],'NHL Model'!$A$6:$B$38,2,FALSE)</f>
        <v>0.36021966242194059</v>
      </c>
      <c r="J113">
        <f>($B$1+Table4[[#This Row],[Home Differential]])-Table4[[#This Row],[Away Differential]]</f>
        <v>1.2343151159714147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0.71134696519130336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0.50601450488687738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0.57904383162035133</v>
      </c>
      <c r="H114" t="s">
        <v>13</v>
      </c>
      <c r="I114">
        <f>VLOOKUP(Table4[[#This Row],[Visitor]],'NHL Model'!$A$6:$B$38,2,FALSE)</f>
        <v>-0.31218903714497998</v>
      </c>
      <c r="J114">
        <f>($B$1+Table4[[#This Row],[Home Differential]])-Table4[[#This Row],[Away Differential]]</f>
        <v>0.9349720232935208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0.60661948327442849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0.36798719748813463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-0.52712659907212012</v>
      </c>
      <c r="H115" t="s">
        <v>18</v>
      </c>
      <c r="I115">
        <f>VLOOKUP(Table4[[#This Row],[Visitor]],'NHL Model'!$A$6:$B$38,2,FALSE)</f>
        <v>-0.48612387559717724</v>
      </c>
      <c r="J115">
        <f>($B$1+Table4[[#This Row],[Home Differential]])-Table4[[#This Row],[Away Differential]]</f>
        <v>2.736431053246724E-3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0.48351500152920635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0.26675675364537571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-0.46392840252469486</v>
      </c>
      <c r="H116" t="s">
        <v>14</v>
      </c>
      <c r="I116">
        <f>VLOOKUP(Table4[[#This Row],[Visitor]],'NHL Model'!$A$6:$B$38,2,FALSE)</f>
        <v>6.850792131463232E-2</v>
      </c>
      <c r="J116">
        <f>($B$1+Table4[[#This Row],[Home Differential]])-Table4[[#This Row],[Away Differential]]</f>
        <v>-0.4886971693111376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0.56655923048735757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0.18787090067571163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-1.0273405477215618</v>
      </c>
      <c r="H117" t="s">
        <v>38</v>
      </c>
      <c r="I117">
        <f>VLOOKUP(Table4[[#This Row],[Visitor]],'NHL Model'!$A$6:$B$38,2,FALSE)</f>
        <v>-0.81685014566908176</v>
      </c>
      <c r="J117">
        <f>($B$1+Table4[[#This Row],[Home Differential]])-Table4[[#This Row],[Away Differential]]</f>
        <v>-0.16675124752429049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0.47788667873177343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0.22837567770928524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0.13101659139829774</v>
      </c>
      <c r="H118" t="s">
        <v>26</v>
      </c>
      <c r="I118">
        <f>VLOOKUP(Table4[[#This Row],[Visitor]],'NHL Model'!$A$6:$B$38,2,FALSE)</f>
        <v>-0.71226595502109791</v>
      </c>
      <c r="J118">
        <f>($B$1+Table4[[#This Row],[Home Differential]])-Table4[[#This Row],[Away Differential]]</f>
        <v>0.88702170094758526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0.63514694749524736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0.13311774992203579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-2.5710604859208615E-2</v>
      </c>
      <c r="H119" t="s">
        <v>33</v>
      </c>
      <c r="I119">
        <f>VLOOKUP(Table4[[#This Row],[Visitor]],'NHL Model'!$A$6:$B$38,2,FALSE)</f>
        <v>-0.53773613438999557</v>
      </c>
      <c r="J119">
        <f>($B$1+Table4[[#This Row],[Home Differential]])-Table4[[#This Row],[Away Differential]]</f>
        <v>0.5557646840589765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0.59961445267616609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0.35953749185813821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-0.35623783458898745</v>
      </c>
      <c r="H120" t="s">
        <v>27</v>
      </c>
      <c r="I120">
        <f>VLOOKUP(Table4[[#This Row],[Visitor]],'NHL Model'!$A$6:$B$38,2,FALSE)</f>
        <v>-0.13902937841722524</v>
      </c>
      <c r="J120">
        <f>($B$1+Table4[[#This Row],[Home Differential]])-Table4[[#This Row],[Away Differential]]</f>
        <v>-0.1734693016435726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0.52111985789815474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0.27156590629579297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-1.2915976068889494</v>
      </c>
      <c r="H121" t="s">
        <v>55</v>
      </c>
      <c r="I121">
        <f>VLOOKUP(Table4[[#This Row],[Visitor]],'NHL Model'!$A$6:$B$38,2,FALSE)</f>
        <v>-4.6200185433750804E-2</v>
      </c>
      <c r="J121">
        <f>($B$1+Table4[[#This Row],[Home Differential]])-Table4[[#This Row],[Away Differential]]</f>
        <v>-1.2016582669270091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0.58889663906575618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0.16900597337143114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0.55584102906214949</v>
      </c>
      <c r="H122" t="s">
        <v>10</v>
      </c>
      <c r="I122">
        <f>VLOOKUP(Table4[[#This Row],[Visitor]],'NHL Model'!$A$6:$B$38,2,FALSE)</f>
        <v>-9.5800647102357028E-2</v>
      </c>
      <c r="J122">
        <f>($B$1+Table4[[#This Row],[Home Differential]])-Table4[[#This Row],[Away Differential]]</f>
        <v>0.69538083069269607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0.62778195689641814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0.39411018540469622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-0.25075515805082654</v>
      </c>
      <c r="H123" t="s">
        <v>32</v>
      </c>
      <c r="I123">
        <f>VLOOKUP(Table4[[#This Row],[Visitor]],'NHL Model'!$A$6:$B$38,2,FALSE)</f>
        <v>-0.69519123816912842</v>
      </c>
      <c r="J123">
        <f>($B$1+Table4[[#This Row],[Home Differential]])-Table4[[#This Row],[Away Differential]]</f>
        <v>0.48817523464649148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0.5948599065568726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0.35385830842885119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-0.43117543965133126</v>
      </c>
      <c r="H124" t="s">
        <v>19</v>
      </c>
      <c r="I124">
        <f>VLOOKUP(Table4[[#This Row],[Visitor]],'NHL Model'!$A$6:$B$38,2,FALSE)</f>
        <v>-0.18941601188968307</v>
      </c>
      <c r="J124">
        <f>($B$1+Table4[[#This Row],[Home Differential]])-Table4[[#This Row],[Away Differential]]</f>
        <v>-0.19802027323345858</v>
      </c>
      <c r="K124" t="str">
        <f>IF(Table4[[#This Row],[HomeIce Differential]]&gt;0,Table4[[#This Row],[Home]],Table4[[#This Row],[Visitor]])</f>
        <v>Toronto Maple Leafs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0.47111852129387061</v>
      </c>
      <c r="M124" t="str">
        <f>IF(OR((NHL2025_26Results[[#This Row],[Winning Team]]="")),"-",IF(Table4[[#This Row],[Predicted Winner]]=NHL2025_26Results[[#This Row],[Winning Team]],"YES","NO"))</f>
        <v>NO</v>
      </c>
      <c r="N124">
        <f>IF(Table4[[#This Row],[Adjusted Correct]]="-", "",IF(Table4[[#This Row],[Adjusted Correct]]="YES",(Table4[[#This Row],[Strength of Win]]-1)^2,(Table4[[#This Row],[Strength of Win]]-0)^2))</f>
        <v>0.22195266110612322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-0.38525981166347251</v>
      </c>
      <c r="H125" t="s">
        <v>22</v>
      </c>
      <c r="I125">
        <f>VLOOKUP(Table4[[#This Row],[Visitor]],'NHL Model'!$A$6:$B$38,2,FALSE)</f>
        <v>0.79843701415173229</v>
      </c>
      <c r="J125">
        <f>($B$1+Table4[[#This Row],[Home Differential]])-Table4[[#This Row],[Away Differential]]</f>
        <v>-1.1399576712870152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0.65490145449916171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0.11909300610679416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7.5388445740041043E-4</v>
      </c>
      <c r="H126" t="s">
        <v>33</v>
      </c>
      <c r="I126">
        <f>VLOOKUP(Table4[[#This Row],[Visitor]],'NHL Model'!$A$6:$B$38,2,FALSE)</f>
        <v>-0.53773613438999557</v>
      </c>
      <c r="J126">
        <f>($B$1+Table4[[#This Row],[Home Differential]])-Table4[[#This Row],[Away Differential]]</f>
        <v>0.58222917337558555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0.66325425106273572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0.11339769942731903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-0.25075515805082654</v>
      </c>
      <c r="H127" t="s">
        <v>16</v>
      </c>
      <c r="I127">
        <f>VLOOKUP(Table4[[#This Row],[Visitor]],'NHL Model'!$A$6:$B$38,2,FALSE)</f>
        <v>-0.94586858045267985</v>
      </c>
      <c r="J127">
        <f>($B$1+Table4[[#This Row],[Home Differential]])-Table4[[#This Row],[Away Differential]]</f>
        <v>0.73885257693004291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0.62174897127650852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0.14307384073037957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-9.0944170863708096E-2</v>
      </c>
      <c r="H128" t="s">
        <v>12</v>
      </c>
      <c r="I128">
        <f>VLOOKUP(Table4[[#This Row],[Visitor]],'NHL Model'!$A$6:$B$38,2,FALSE)</f>
        <v>1.5507956238651657</v>
      </c>
      <c r="J128">
        <f>($B$1+Table4[[#This Row],[Home Differential]])-Table4[[#This Row],[Away Differential]]</f>
        <v>-1.5980006402006841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0.63294901761405686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0.40062445889859966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0.57904383162035133</v>
      </c>
      <c r="H129" t="s">
        <v>25</v>
      </c>
      <c r="I129">
        <f>VLOOKUP(Table4[[#This Row],[Visitor]],'NHL Model'!$A$6:$B$38,2,FALSE)</f>
        <v>0.36021966242194059</v>
      </c>
      <c r="J129">
        <f>($B$1+Table4[[#This Row],[Home Differential]])-Table4[[#This Row],[Away Differential]]</f>
        <v>0.2625633237266003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0.52816402208661262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0.22262919005348258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-0.71226595502109791</v>
      </c>
      <c r="H130" t="s">
        <v>35</v>
      </c>
      <c r="I130">
        <f>VLOOKUP(Table4[[#This Row],[Visitor]],'NHL Model'!$A$6:$B$38,2,FALSE)</f>
        <v>-1.2915976068889494</v>
      </c>
      <c r="J130">
        <f>($B$1+Table4[[#This Row],[Home Differential]])-Table4[[#This Row],[Away Differential]]</f>
        <v>0.62307080639604107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0.6169563361294208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0.14672244843139726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-0.46392840252469486</v>
      </c>
      <c r="H131" t="s">
        <v>20</v>
      </c>
      <c r="I131">
        <f>VLOOKUP(Table4[[#This Row],[Visitor]],'NHL Model'!$A$6:$B$38,2,FALSE)</f>
        <v>-0.14635285954937219</v>
      </c>
      <c r="J131">
        <f>($B$1+Table4[[#This Row],[Home Differential]])-Table4[[#This Row],[Away Differential]]</f>
        <v>-0.27383638844713309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0.48937323455112081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0.23948616269502629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-6.7671768126352963E-2</v>
      </c>
      <c r="H132" t="s">
        <v>55</v>
      </c>
      <c r="I132">
        <f>VLOOKUP(Table4[[#This Row],[Visitor]],'NHL Model'!$A$6:$B$38,2,FALSE)</f>
        <v>-4.6200185433750804E-2</v>
      </c>
      <c r="J132">
        <f>($B$1+Table4[[#This Row],[Home Differential]])-Table4[[#This Row],[Away Differential]]</f>
        <v>2.2267571835587439E-2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0.5423885452701146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0.29418533404023117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-1.0273405477215618</v>
      </c>
      <c r="H133" t="s">
        <v>13</v>
      </c>
      <c r="I133">
        <f>VLOOKUP(Table4[[#This Row],[Visitor]],'NHL Model'!$A$6:$B$38,2,FALSE)</f>
        <v>-0.31218903714497998</v>
      </c>
      <c r="J133">
        <f>($B$1+Table4[[#This Row],[Home Differential]])-Table4[[#This Row],[Away Differential]]</f>
        <v>-0.67141235604839222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0.59833526331558917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0.35800508732693542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-0.13902937841722524</v>
      </c>
      <c r="H134" t="s">
        <v>30</v>
      </c>
      <c r="I134">
        <f>VLOOKUP(Table4[[#This Row],[Visitor]],'NHL Model'!$A$6:$B$38,2,FALSE)</f>
        <v>0.13101659139829774</v>
      </c>
      <c r="J134">
        <f>($B$1+Table4[[#This Row],[Home Differential]])-Table4[[#This Row],[Away Differential]]</f>
        <v>-0.22630681528733337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0.53060405854937143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0.28154066694906477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6.850792131463232E-2</v>
      </c>
      <c r="H135" t="s">
        <v>28</v>
      </c>
      <c r="I135">
        <f>VLOOKUP(Table4[[#This Row],[Visitor]],'NHL Model'!$A$6:$B$38,2,FALSE)</f>
        <v>-0.38525981166347251</v>
      </c>
      <c r="J135">
        <f>($B$1+Table4[[#This Row],[Home Differential]])-Table4[[#This Row],[Away Differential]]</f>
        <v>0.49750688750629446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0.58978923409735695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0.3478513406571469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-0.69519123816912842</v>
      </c>
      <c r="H136" t="s">
        <v>17</v>
      </c>
      <c r="I136">
        <f>VLOOKUP(Table4[[#This Row],[Visitor]],'NHL Model'!$A$6:$B$38,2,FALSE)</f>
        <v>-0.52712659907212012</v>
      </c>
      <c r="J136">
        <f>($B$1+Table4[[#This Row],[Home Differential]])-Table4[[#This Row],[Away Differential]]</f>
        <v>-0.12432548456881876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0.47333585225700087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0.22404682903186135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0.55584102906214949</v>
      </c>
      <c r="H137" t="s">
        <v>31</v>
      </c>
      <c r="I137">
        <f>VLOOKUP(Table4[[#This Row],[Visitor]],'NHL Model'!$A$6:$B$38,2,FALSE)</f>
        <v>-1.1472178948952137E-2</v>
      </c>
      <c r="J137">
        <f>($B$1+Table4[[#This Row],[Home Differential]])-Table4[[#This Row],[Away Differential]]</f>
        <v>0.61105236253929118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0.59887825404188344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0.16089865508048781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-0.18941601188968307</v>
      </c>
      <c r="H138" t="s">
        <v>23</v>
      </c>
      <c r="I138">
        <f>VLOOKUP(Table4[[#This Row],[Visitor]],'NHL Model'!$A$6:$B$38,2,FALSE)</f>
        <v>-0.43117543965133126</v>
      </c>
      <c r="J138">
        <f>($B$1+Table4[[#This Row],[Home Differential]])-Table4[[#This Row],[Away Differential]]</f>
        <v>0.28549858228983782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0.57062418719866692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0.18436358861880542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-0.81685014566908176</v>
      </c>
      <c r="H139" t="s">
        <v>18</v>
      </c>
      <c r="I139">
        <f>VLOOKUP(Table4[[#This Row],[Visitor]],'NHL Model'!$A$6:$B$38,2,FALSE)</f>
        <v>-0.48612387559717724</v>
      </c>
      <c r="J139">
        <f>($B$1+Table4[[#This Row],[Home Differential]])-Table4[[#This Row],[Away Differential]]</f>
        <v>-0.28698711554371498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0.55007168949374663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0.20243548459501154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0.79843701415173229</v>
      </c>
      <c r="H140" t="s">
        <v>36</v>
      </c>
      <c r="I140">
        <f>VLOOKUP(Table4[[#This Row],[Visitor]],'NHL Model'!$A$6:$B$38,2,FALSE)</f>
        <v>-0.35623783458898745</v>
      </c>
      <c r="J140">
        <f>($B$1+Table4[[#This Row],[Home Differential]])-Table4[[#This Row],[Away Differential]]</f>
        <v>1.1984140032689092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0.69104864105893382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0.47754822430939914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-0.94586858045267985</v>
      </c>
      <c r="H141" t="s">
        <v>15</v>
      </c>
      <c r="I141">
        <f>VLOOKUP(Table4[[#This Row],[Visitor]],'NHL Model'!$A$6:$B$38,2,FALSE)</f>
        <v>-2.5710604859208615E-2</v>
      </c>
      <c r="J141">
        <f>($B$1+Table4[[#This Row],[Home Differential]])-Table4[[#This Row],[Away Differential]]</f>
        <v>-0.87641882106528168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0.66058186079444048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0.43636839481064554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-9.5800647102357028E-2</v>
      </c>
      <c r="H142" t="s">
        <v>13</v>
      </c>
      <c r="I142">
        <f>VLOOKUP(Table4[[#This Row],[Visitor]],'NHL Model'!$A$6:$B$38,2,FALSE)</f>
        <v>-0.31218903714497998</v>
      </c>
      <c r="J142">
        <f>($B$1+Table4[[#This Row],[Home Differential]])-Table4[[#This Row],[Away Differential]]</f>
        <v>0.26012754457081255</v>
      </c>
      <c r="K142" t="str">
        <f>IF(Table4[[#This Row],[HomeIce Differential]]&gt;0,Table4[[#This Row],[Home]],Table4[[#This Row],[Visitor]])</f>
        <v>Chicago Blackhawks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0.50158695721098701</v>
      </c>
      <c r="M142" t="str">
        <f>IF(OR((NHL2025_26Results[[#This Row],[Winning Team]]="")),"-",IF(Table4[[#This Row],[Predicted Winner]]=NHL2025_26Results[[#This Row],[Winning Team]],"YES","NO"))</f>
        <v>NO</v>
      </c>
      <c r="N142">
        <f>IF(Table4[[#This Row],[Adjusted Correct]]="-", "",IF(Table4[[#This Row],[Adjusted Correct]]="YES",(Table4[[#This Row],[Strength of Win]]-1)^2,(Table4[[#This Row],[Strength of Win]]-0)^2))</f>
        <v>0.2515894756441765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-6.7671768126352963E-2</v>
      </c>
      <c r="H143" t="s">
        <v>33</v>
      </c>
      <c r="I143">
        <f>VLOOKUP(Table4[[#This Row],[Visitor]],'NHL Model'!$A$6:$B$38,2,FALSE)</f>
        <v>-0.53773613438999557</v>
      </c>
      <c r="J143">
        <f>($B$1+Table4[[#This Row],[Home Differential]])-Table4[[#This Row],[Away Differential]]</f>
        <v>0.51380352079183222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0.59511346178276026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0.35416003239506083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7.5388445740041043E-4</v>
      </c>
      <c r="H144" t="s">
        <v>12</v>
      </c>
      <c r="I144">
        <f>VLOOKUP(Table4[[#This Row],[Visitor]],'NHL Model'!$A$6:$B$38,2,FALSE)</f>
        <v>1.5507956238651657</v>
      </c>
      <c r="J144">
        <f>($B$1+Table4[[#This Row],[Home Differential]])-Table4[[#This Row],[Away Differential]]</f>
        <v>-1.5063025848795757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0.61374841883334419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0.37668712162043005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-1.0273405477215618</v>
      </c>
      <c r="H145" t="s">
        <v>39</v>
      </c>
      <c r="I145">
        <f>VLOOKUP(Table4[[#This Row],[Visitor]],'NHL Model'!$A$6:$B$38,2,FALSE)</f>
        <v>0.57904383162035133</v>
      </c>
      <c r="J145">
        <f>($B$1+Table4[[#This Row],[Home Differential]])-Table4[[#This Row],[Away Differential]]</f>
        <v>-1.5626452248137235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0.72010432277956515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7.8341590126685845E-2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0.55584102906214949</v>
      </c>
      <c r="H146" t="s">
        <v>20</v>
      </c>
      <c r="I146">
        <f>VLOOKUP(Table4[[#This Row],[Visitor]],'NHL Model'!$A$6:$B$38,2,FALSE)</f>
        <v>-0.14635285954937219</v>
      </c>
      <c r="J146">
        <f>($B$1+Table4[[#This Row],[Home Differential]])-Table4[[#This Row],[Away Differential]]</f>
        <v>0.7459330431397112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0.6340296032867081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0.13393433127048426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-0.81685014566908176</v>
      </c>
      <c r="H147" t="s">
        <v>17</v>
      </c>
      <c r="I147">
        <f>VLOOKUP(Table4[[#This Row],[Visitor]],'NHL Model'!$A$6:$B$38,2,FALSE)</f>
        <v>-0.52712659907212012</v>
      </c>
      <c r="J147">
        <f>($B$1+Table4[[#This Row],[Home Differential]])-Table4[[#This Row],[Away Differential]]</f>
        <v>-0.2459843920687721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0.48638567242697123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0.23657102234223695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-0.25075515805082654</v>
      </c>
      <c r="H148" t="s">
        <v>55</v>
      </c>
      <c r="I148">
        <f>VLOOKUP(Table4[[#This Row],[Visitor]],'NHL Model'!$A$6:$B$38,2,FALSE)</f>
        <v>-4.6200185433750804E-2</v>
      </c>
      <c r="J148">
        <f>($B$1+Table4[[#This Row],[Home Differential]])-Table4[[#This Row],[Away Differential]]</f>
        <v>-0.16081581808888612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0.47475453191011491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0.27588280174896246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-0.35623783458898745</v>
      </c>
      <c r="H149" t="s">
        <v>21</v>
      </c>
      <c r="I149">
        <f>VLOOKUP(Table4[[#This Row],[Visitor]],'NHL Model'!$A$6:$B$38,2,FALSE)</f>
        <v>-9.0944170863708096E-2</v>
      </c>
      <c r="J149">
        <f>($B$1+Table4[[#This Row],[Home Differential]])-Table4[[#This Row],[Away Differential]]</f>
        <v>-0.22155450919708974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0.48376518548688408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0.23402875468915935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6.850792131463232E-2</v>
      </c>
      <c r="H150" t="s">
        <v>35</v>
      </c>
      <c r="I150">
        <f>VLOOKUP(Table4[[#This Row],[Visitor]],'NHL Model'!$A$6:$B$38,2,FALSE)</f>
        <v>-1.2915976068889494</v>
      </c>
      <c r="J150">
        <f>($B$1+Table4[[#This Row],[Home Differential]])-Table4[[#This Row],[Away Differential]]</f>
        <v>1.4038446827317714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0.69058429368376284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9.5738079315175931E-2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-9.0944170863708096E-2</v>
      </c>
      <c r="H151" t="s">
        <v>30</v>
      </c>
      <c r="I151">
        <f>VLOOKUP(Table4[[#This Row],[Visitor]],'NHL Model'!$A$6:$B$38,2,FALSE)</f>
        <v>0.13101659139829774</v>
      </c>
      <c r="J151">
        <f>($B$1+Table4[[#This Row],[Home Differential]])-Table4[[#This Row],[Away Differential]]</f>
        <v>-0.17822160773381623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0.49911705422252128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0.24911783381576724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-0.43117543965133126</v>
      </c>
      <c r="H152" t="s">
        <v>28</v>
      </c>
      <c r="I152">
        <f>VLOOKUP(Table4[[#This Row],[Visitor]],'NHL Model'!$A$6:$B$38,2,FALSE)</f>
        <v>-0.38525981166347251</v>
      </c>
      <c r="J152">
        <f>($B$1+Table4[[#This Row],[Home Differential]])-Table4[[#This Row],[Away Differential]]</f>
        <v>-2.1764734596691482E-3</v>
      </c>
      <c r="K152" t="str">
        <f>IF(Table4[[#This Row],[HomeIce Differential]]&gt;0,Table4[[#This Row],[Home]],Table4[[#This Row],[Visitor]])</f>
        <v>Columbus Blue Jackets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0.45367475635791277</v>
      </c>
      <c r="M152" t="str">
        <f>IF(OR((NHL2025_26Results[[#This Row],[Winning Team]]="")),"-",IF(Table4[[#This Row],[Predicted Winner]]=NHL2025_26Results[[#This Row],[Winning Team]],"YES","NO"))</f>
        <v>YES</v>
      </c>
      <c r="N152">
        <f>IF(Table4[[#This Row],[Adjusted Correct]]="-", "",IF(Table4[[#This Row],[Adjusted Correct]]="YES",(Table4[[#This Row],[Strength of Win]]-1)^2,(Table4[[#This Row],[Strength of Win]]-0)^2))</f>
        <v>0.29847127184058597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0.36021966242194059</v>
      </c>
      <c r="H153" t="s">
        <v>20</v>
      </c>
      <c r="I153">
        <f>VLOOKUP(Table4[[#This Row],[Visitor]],'NHL Model'!$A$6:$B$38,2,FALSE)</f>
        <v>-0.14635285954937219</v>
      </c>
      <c r="J153">
        <f>($B$1+Table4[[#This Row],[Home Differential]])-Table4[[#This Row],[Away Differential]]</f>
        <v>0.55031167649950241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0.63127559815681189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0.39850888082824065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-9.5800647102357028E-2</v>
      </c>
      <c r="H154" t="s">
        <v>36</v>
      </c>
      <c r="I154">
        <f>VLOOKUP(Table4[[#This Row],[Visitor]],'NHL Model'!$A$6:$B$38,2,FALSE)</f>
        <v>-0.35623783458898745</v>
      </c>
      <c r="J154">
        <f>($B$1+Table4[[#This Row],[Home Differential]])-Table4[[#This Row],[Away Differential]]</f>
        <v>0.30417634201482002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0.5690515100468021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0.18571660099294152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1.5507956238651657</v>
      </c>
      <c r="H155" t="s">
        <v>24</v>
      </c>
      <c r="I155">
        <f>VLOOKUP(Table4[[#This Row],[Visitor]],'NHL Model'!$A$6:$B$38,2,FALSE)</f>
        <v>7.5388445740041043E-4</v>
      </c>
      <c r="J155">
        <f>($B$1+Table4[[#This Row],[Home Differential]])-Table4[[#This Row],[Away Differential]]</f>
        <v>1.5937808939359548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0.79952935087733767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4.0188481159661595E-2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0.57904383162035133</v>
      </c>
      <c r="H156" t="s">
        <v>22</v>
      </c>
      <c r="I156">
        <f>VLOOKUP(Table4[[#This Row],[Visitor]],'NHL Model'!$A$6:$B$38,2,FALSE)</f>
        <v>0.79843701415173229</v>
      </c>
      <c r="J156">
        <f>($B$1+Table4[[#This Row],[Home Differential]])-Table4[[#This Row],[Away Differential]]</f>
        <v>-0.17565402800319141</v>
      </c>
      <c r="K156" t="str">
        <f>IF(Table4[[#This Row],[HomeIce Differential]]&gt;0,Table4[[#This Row],[Home]],Table4[[#This Row],[Visitor]])</f>
        <v>Washington Capitals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0.51884164114800602</v>
      </c>
      <c r="M156" t="str">
        <f>IF(OR((NHL2025_26Results[[#This Row],[Winning Team]]="")),"-",IF(Table4[[#This Row],[Predicted Winner]]=NHL2025_26Results[[#This Row],[Winning Team]],"YES","NO"))</f>
        <v>NO</v>
      </c>
      <c r="N156">
        <f>IF(Table4[[#This Row],[Adjusted Correct]]="-", "",IF(Table4[[#This Row],[Adjusted Correct]]="YES",(Table4[[#This Row],[Strength of Win]]-1)^2,(Table4[[#This Row],[Strength of Win]]-0)^2))</f>
        <v>0.26919664858915626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-0.52712659907212012</v>
      </c>
      <c r="H157" t="s">
        <v>55</v>
      </c>
      <c r="I157">
        <f>VLOOKUP(Table4[[#This Row],[Visitor]],'NHL Model'!$A$6:$B$38,2,FALSE)</f>
        <v>-4.6200185433750804E-2</v>
      </c>
      <c r="J157">
        <f>($B$1+Table4[[#This Row],[Home Differential]])-Table4[[#This Row],[Away Differential]]</f>
        <v>-0.43718725911017969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0.50439969048960354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0.25441904776600782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-0.46392840252469486</v>
      </c>
      <c r="H158" t="s">
        <v>31</v>
      </c>
      <c r="I158">
        <f>VLOOKUP(Table4[[#This Row],[Visitor]],'NHL Model'!$A$6:$B$38,2,FALSE)</f>
        <v>-1.1472178948952137E-2</v>
      </c>
      <c r="J158">
        <f>($B$1+Table4[[#This Row],[Home Differential]])-Table4[[#This Row],[Away Differential]]</f>
        <v>-0.40871706904755312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0.52461052739989433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0.22599515065900661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-6.7671768126352963E-2</v>
      </c>
      <c r="H159" t="s">
        <v>40</v>
      </c>
      <c r="I159">
        <f>VLOOKUP(Table4[[#This Row],[Visitor]],'NHL Model'!$A$6:$B$38,2,FALSE)</f>
        <v>-0.25075515805082654</v>
      </c>
      <c r="J159">
        <f>($B$1+Table4[[#This Row],[Home Differential]])-Table4[[#This Row],[Away Differential]]</f>
        <v>0.22682254445266317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0.56075410570219364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0.31444516706186698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-1.0273405477215618</v>
      </c>
      <c r="H160" t="s">
        <v>37</v>
      </c>
      <c r="I160">
        <f>VLOOKUP(Table4[[#This Row],[Visitor]],'NHL Model'!$A$6:$B$38,2,FALSE)</f>
        <v>0.55584102906214949</v>
      </c>
      <c r="J160">
        <f>($B$1+Table4[[#This Row],[Home Differential]])-Table4[[#This Row],[Away Differential]]</f>
        <v>-1.5394424222555219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0.69775244065310527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9.1353587131154657E-2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-0.13902937841722524</v>
      </c>
      <c r="H161" t="s">
        <v>14</v>
      </c>
      <c r="I161">
        <f>VLOOKUP(Table4[[#This Row],[Visitor]],'NHL Model'!$A$6:$B$38,2,FALSE)</f>
        <v>6.850792131463232E-2</v>
      </c>
      <c r="J161">
        <f>($B$1+Table4[[#This Row],[Home Differential]])-Table4[[#This Row],[Away Differential]]</f>
        <v>-0.16379814520366795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0.5053747903799708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0.25540367875159942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-0.69519123816912842</v>
      </c>
      <c r="H162" t="s">
        <v>18</v>
      </c>
      <c r="I162">
        <f>VLOOKUP(Table4[[#This Row],[Visitor]],'NHL Model'!$A$6:$B$38,2,FALSE)</f>
        <v>-0.48612387559717724</v>
      </c>
      <c r="J162">
        <f>($B$1+Table4[[#This Row],[Home Differential]])-Table4[[#This Row],[Away Differential]]</f>
        <v>-0.16532820804376164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0.53702186932377627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0.21434874948445048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-0.53773613438999557</v>
      </c>
      <c r="H163" t="s">
        <v>13</v>
      </c>
      <c r="I163">
        <f>VLOOKUP(Table4[[#This Row],[Visitor]],'NHL Model'!$A$6:$B$38,2,FALSE)</f>
        <v>-0.31218903714497998</v>
      </c>
      <c r="J163">
        <f>($B$1+Table4[[#This Row],[Home Differential]])-Table4[[#This Row],[Away Differential]]</f>
        <v>-0.18180794271682599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0.54581753420148194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0.20628171223882202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-1.2915976068889494</v>
      </c>
      <c r="H164" t="s">
        <v>26</v>
      </c>
      <c r="I164">
        <f>VLOOKUP(Table4[[#This Row],[Visitor]],'NHL Model'!$A$6:$B$38,2,FALSE)</f>
        <v>-0.71226595502109791</v>
      </c>
      <c r="J164">
        <f>($B$1+Table4[[#This Row],[Home Differential]])-Table4[[#This Row],[Away Differential]]</f>
        <v>-0.53559249733966197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0.51745067022462454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0.23285385566666406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-0.18941601188968307</v>
      </c>
      <c r="H165" t="s">
        <v>16</v>
      </c>
      <c r="I165">
        <f>VLOOKUP(Table4[[#This Row],[Visitor]],'NHL Model'!$A$6:$B$38,2,FALSE)</f>
        <v>-0.94586858045267985</v>
      </c>
      <c r="J165">
        <f>($B$1+Table4[[#This Row],[Home Differential]])-Table4[[#This Row],[Away Differential]]</f>
        <v>0.80019172309118636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0.62583307463814519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0.14000088803474384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-0.81685014566908176</v>
      </c>
      <c r="H166" t="s">
        <v>15</v>
      </c>
      <c r="I166">
        <f>VLOOKUP(Table4[[#This Row],[Visitor]],'NHL Model'!$A$6:$B$38,2,FALSE)</f>
        <v>-2.5710604859208615E-2</v>
      </c>
      <c r="J166">
        <f>($B$1+Table4[[#This Row],[Home Differential]])-Table4[[#This Row],[Away Differential]]</f>
        <v>-0.74740038628168359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0.64674261624477491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0.12479077917758637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-0.38525981166347251</v>
      </c>
      <c r="H167" t="s">
        <v>19</v>
      </c>
      <c r="I167">
        <f>VLOOKUP(Table4[[#This Row],[Visitor]],'NHL Model'!$A$6:$B$38,2,FALSE)</f>
        <v>-0.18941601188968307</v>
      </c>
      <c r="J167">
        <f>($B$1+Table4[[#This Row],[Home Differential]])-Table4[[#This Row],[Away Differential]]</f>
        <v>-0.15210464524559983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0.47631560161324793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0.2268765523401903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-9.0944170863708096E-2</v>
      </c>
      <c r="H168" t="s">
        <v>23</v>
      </c>
      <c r="I168">
        <f>VLOOKUP(Table4[[#This Row],[Visitor]],'NHL Model'!$A$6:$B$38,2,FALSE)</f>
        <v>-0.43117543965133126</v>
      </c>
      <c r="J168">
        <f>($B$1+Table4[[#This Row],[Home Differential]])-Table4[[#This Row],[Away Differential]]</f>
        <v>0.38397042331581277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0.63290280825207879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0.13476034818921004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0.36021966242194059</v>
      </c>
      <c r="H169" t="s">
        <v>30</v>
      </c>
      <c r="I169">
        <f>VLOOKUP(Table4[[#This Row],[Visitor]],'NHL Model'!$A$6:$B$38,2,FALSE)</f>
        <v>0.13101659139829774</v>
      </c>
      <c r="J169">
        <f>($B$1+Table4[[#This Row],[Home Differential]])-Table4[[#This Row],[Away Differential]]</f>
        <v>0.27294222555183245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0.52927732159886665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0.22157983996113681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-0.52712659907212012</v>
      </c>
      <c r="H170" t="s">
        <v>15</v>
      </c>
      <c r="I170">
        <f>VLOOKUP(Table4[[#This Row],[Visitor]],'NHL Model'!$A$6:$B$38,2,FALSE)</f>
        <v>-2.5710604859208615E-2</v>
      </c>
      <c r="J170">
        <f>($B$1+Table4[[#This Row],[Home Differential]])-Table4[[#This Row],[Away Differential]]</f>
        <v>-0.45767683968472189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0.61319556170200629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0.14961767348702643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-0.31218903714497998</v>
      </c>
      <c r="H171" t="s">
        <v>26</v>
      </c>
      <c r="I171">
        <f>VLOOKUP(Table4[[#This Row],[Visitor]],'NHL Model'!$A$6:$B$38,2,FALSE)</f>
        <v>-0.71226595502109791</v>
      </c>
      <c r="J171">
        <f>($B$1+Table4[[#This Row],[Home Differential]])-Table4[[#This Row],[Away Differential]]</f>
        <v>0.44381607240430754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0.58760621357232701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0.34528106222880717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-6.7671768126352963E-2</v>
      </c>
      <c r="H172" t="s">
        <v>14</v>
      </c>
      <c r="I172">
        <f>VLOOKUP(Table4[[#This Row],[Visitor]],'NHL Model'!$A$6:$B$38,2,FALSE)</f>
        <v>6.850792131463232E-2</v>
      </c>
      <c r="J172">
        <f>($B$1+Table4[[#This Row],[Home Differential]])-Table4[[#This Row],[Away Differential]]</f>
        <v>-9.2440534912795691E-2</v>
      </c>
      <c r="K172" t="str">
        <f>IF(Table4[[#This Row],[HomeIce Differential]]&gt;0,Table4[[#This Row],[Home]],Table4[[#This Row],[Visitor]])</f>
        <v>Pittsburgh Penguins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0.52405451031256867</v>
      </c>
      <c r="M172" t="str">
        <f>IF(OR((NHL2025_26Results[[#This Row],[Winning Team]]="")),"-",IF(Table4[[#This Row],[Predicted Winner]]=NHL2025_26Results[[#This Row],[Winning Team]],"YES","NO"))</f>
        <v>YES</v>
      </c>
      <c r="N172">
        <f>IF(Table4[[#This Row],[Adjusted Correct]]="-", "",IF(Table4[[#This Row],[Adjusted Correct]]="YES",(Table4[[#This Row],[Strength of Win]]-1)^2,(Table4[[#This Row],[Strength of Win]]-0)^2))</f>
        <v>0.2265241091538088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-0.35623783458898745</v>
      </c>
      <c r="H173" t="s">
        <v>16</v>
      </c>
      <c r="I173">
        <f>VLOOKUP(Table4[[#This Row],[Visitor]],'NHL Model'!$A$6:$B$38,2,FALSE)</f>
        <v>-0.94586858045267985</v>
      </c>
      <c r="J173">
        <f>($B$1+Table4[[#This Row],[Home Differential]])-Table4[[#This Row],[Away Differential]]</f>
        <v>0.63336990039188201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0.60793882561529067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0.15371196445991747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-0.13902937841722524</v>
      </c>
      <c r="H174" t="s">
        <v>29</v>
      </c>
      <c r="I174">
        <f>VLOOKUP(Table4[[#This Row],[Visitor]],'NHL Model'!$A$6:$B$38,2,FALSE)</f>
        <v>-1.0273405477215618</v>
      </c>
      <c r="J174">
        <f>($B$1+Table4[[#This Row],[Home Differential]])-Table4[[#This Row],[Away Differential]]</f>
        <v>0.93205032383252617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0.66601470724658263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0.11154617577558591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-0.53773613438999557</v>
      </c>
      <c r="H175" t="s">
        <v>24</v>
      </c>
      <c r="I175">
        <f>VLOOKUP(Table4[[#This Row],[Visitor]],'NHL Model'!$A$6:$B$38,2,FALSE)</f>
        <v>7.5388445740041043E-4</v>
      </c>
      <c r="J175">
        <f>($B$1+Table4[[#This Row],[Home Differential]])-Table4[[#This Row],[Away Differential]]</f>
        <v>-0.4947508643192064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0.5338389972251355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0.28498407495833822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-1.2915976068889494</v>
      </c>
      <c r="H176" t="s">
        <v>38</v>
      </c>
      <c r="I176">
        <f>VLOOKUP(Table4[[#This Row],[Visitor]],'NHL Model'!$A$6:$B$38,2,FALSE)</f>
        <v>-0.81685014566908176</v>
      </c>
      <c r="J176">
        <f>($B$1+Table4[[#This Row],[Home Differential]])-Table4[[#This Row],[Away Differential]]</f>
        <v>-0.43100830669167811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0.50623238042879837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0.2438064621370109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0.55584102906214949</v>
      </c>
      <c r="H177" t="s">
        <v>39</v>
      </c>
      <c r="I177">
        <f>VLOOKUP(Table4[[#This Row],[Visitor]],'NHL Model'!$A$6:$B$38,2,FALSE)</f>
        <v>0.57904383162035133</v>
      </c>
      <c r="J177">
        <f>($B$1+Table4[[#This Row],[Home Differential]])-Table4[[#This Row],[Away Differential]]</f>
        <v>2.053635196998771E-2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0.46374130640747085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0.287573386453566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-0.25075515805082654</v>
      </c>
      <c r="H178" t="s">
        <v>10</v>
      </c>
      <c r="I178">
        <f>VLOOKUP(Table4[[#This Row],[Visitor]],'NHL Model'!$A$6:$B$38,2,FALSE)</f>
        <v>-9.5800647102357028E-2</v>
      </c>
      <c r="J178">
        <f>($B$1+Table4[[#This Row],[Home Differential]])-Table4[[#This Row],[Away Differential]]</f>
        <v>-0.11121535642027991</v>
      </c>
      <c r="K178" t="str">
        <f>IF(Table4[[#This Row],[HomeIce Differential]]&gt;0,Table4[[#This Row],[Home]],Table4[[#This Row],[Visitor]])</f>
        <v>Chicago Blackhawks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0.47026291934761155</v>
      </c>
      <c r="M178" t="str">
        <f>IF(OR((NHL2025_26Results[[#This Row],[Winning Team]]="")),"-",IF(Table4[[#This Row],[Predicted Winner]]=NHL2025_26Results[[#This Row],[Winning Team]],"YES","NO"))</f>
        <v>NO</v>
      </c>
      <c r="N178">
        <f>IF(Table4[[#This Row],[Adjusted Correct]]="-", "",IF(Table4[[#This Row],[Adjusted Correct]]="YES",(Table4[[#This Row],[Strength of Win]]-1)^2,(Table4[[#This Row],[Strength of Win]]-0)^2))</f>
        <v>0.2211472133133382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-1.1472178948952137E-2</v>
      </c>
      <c r="H179" t="s">
        <v>26</v>
      </c>
      <c r="I179">
        <f>VLOOKUP(Table4[[#This Row],[Visitor]],'NHL Model'!$A$6:$B$38,2,FALSE)</f>
        <v>-0.71226595502109791</v>
      </c>
      <c r="J179">
        <f>($B$1+Table4[[#This Row],[Home Differential]])-Table4[[#This Row],[Away Differential]]</f>
        <v>0.74453293060033532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0.68066386691593017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0.10197556589308676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-0.14635285954937219</v>
      </c>
      <c r="H180" t="s">
        <v>12</v>
      </c>
      <c r="I180">
        <f>VLOOKUP(Table4[[#This Row],[Visitor]],'NHL Model'!$A$6:$B$38,2,FALSE)</f>
        <v>1.5507956238651657</v>
      </c>
      <c r="J180">
        <f>($B$1+Table4[[#This Row],[Home Differential]])-Table4[[#This Row],[Away Differential]]</f>
        <v>-1.6534093288863483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0.69149282182542005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9.5176678985242028E-2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0.79843701415173229</v>
      </c>
      <c r="H181" t="s">
        <v>30</v>
      </c>
      <c r="I181">
        <f>VLOOKUP(Table4[[#This Row],[Visitor]],'NHL Model'!$A$6:$B$38,2,FALSE)</f>
        <v>0.13101659139829774</v>
      </c>
      <c r="J181">
        <f>($B$1+Table4[[#This Row],[Home Differential]])-Table4[[#This Row],[Away Differential]]</f>
        <v>0.71115957728162416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0.56995387090943461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0.32484741496464847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-9.0944170863708096E-2</v>
      </c>
      <c r="H182" t="s">
        <v>25</v>
      </c>
      <c r="I182">
        <f>VLOOKUP(Table4[[#This Row],[Visitor]],'NHL Model'!$A$6:$B$38,2,FALSE)</f>
        <v>0.36021966242194059</v>
      </c>
      <c r="J182">
        <f>($B$1+Table4[[#This Row],[Home Differential]])-Table4[[#This Row],[Away Differential]]</f>
        <v>-0.40742467875745908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0.52370266756336636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0.27426448401298581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-0.43117543965133126</v>
      </c>
      <c r="H183" t="s">
        <v>22</v>
      </c>
      <c r="I183">
        <f>VLOOKUP(Table4[[#This Row],[Visitor]],'NHL Model'!$A$6:$B$38,2,FALSE)</f>
        <v>0.79843701415173229</v>
      </c>
      <c r="J183">
        <f>($B$1+Table4[[#This Row],[Home Differential]])-Table4[[#This Row],[Away Differential]]</f>
        <v>-1.1858732992748739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0.64965243405251805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0.4220482850703613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-0.38525981166347251</v>
      </c>
      <c r="H184" t="s">
        <v>35</v>
      </c>
      <c r="I184">
        <f>VLOOKUP(Table4[[#This Row],[Visitor]],'NHL Model'!$A$6:$B$38,2,FALSE)</f>
        <v>-1.2915976068889494</v>
      </c>
      <c r="J184">
        <f>($B$1+Table4[[#This Row],[Home Differential]])-Table4[[#This Row],[Away Differential]]</f>
        <v>0.95007694975366652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0.64191060890403007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0.12822801201548251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-0.52712659907212012</v>
      </c>
      <c r="H185" t="s">
        <v>10</v>
      </c>
      <c r="I185">
        <f>VLOOKUP(Table4[[#This Row],[Visitor]],'NHL Model'!$A$6:$B$38,2,FALSE)</f>
        <v>-9.5800647102357028E-2</v>
      </c>
      <c r="J185">
        <f>($B$1+Table4[[#This Row],[Home Differential]])-Table4[[#This Row],[Away Differential]]</f>
        <v>-0.38758679744157348</v>
      </c>
      <c r="K185" t="str">
        <f>IF(Table4[[#This Row],[HomeIce Differential]]&gt;0,Table4[[#This Row],[Home]],Table4[[#This Row],[Visitor]])</f>
        <v>Chicago Blackhawks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0.49990807792710013</v>
      </c>
      <c r="M185" t="str">
        <f>IF(OR((NHL2025_26Results[[#This Row],[Winning Team]]="")),"-",IF(Table4[[#This Row],[Predicted Winner]]=NHL2025_26Results[[#This Row],[Winning Team]],"YES","NO"))</f>
        <v>NO</v>
      </c>
      <c r="N185">
        <f>IF(Table4[[#This Row],[Adjusted Correct]]="-", "",IF(Table4[[#This Row],[Adjusted Correct]]="YES",(Table4[[#This Row],[Strength of Win]]-1)^2,(Table4[[#This Row],[Strength of Win]]-0)^2))</f>
        <v>0.24990808637676762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-0.46392840252469486</v>
      </c>
      <c r="H186" t="s">
        <v>39</v>
      </c>
      <c r="I186">
        <f>VLOOKUP(Table4[[#This Row],[Visitor]],'NHL Model'!$A$6:$B$38,2,FALSE)</f>
        <v>0.57904383162035133</v>
      </c>
      <c r="J186">
        <f>($B$1+Table4[[#This Row],[Home Differential]])-Table4[[#This Row],[Away Differential]]</f>
        <v>-0.99923307961685659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0.65966956031550839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0.43516392880685617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-0.31218903714497998</v>
      </c>
      <c r="H187" t="s">
        <v>24</v>
      </c>
      <c r="I187">
        <f>VLOOKUP(Table4[[#This Row],[Visitor]],'NHL Model'!$A$6:$B$38,2,FALSE)</f>
        <v>7.5388445740041043E-4</v>
      </c>
      <c r="J187">
        <f>($B$1+Table4[[#This Row],[Home Differential]])-Table4[[#This Row],[Away Differential]]</f>
        <v>-0.2692037670741908</v>
      </c>
      <c r="K187" t="str">
        <f>IF(Table4[[#This Row],[HomeIce Differential]]&gt;0,Table4[[#This Row],[Home]],Table4[[#This Row],[Visitor]])</f>
        <v>New Jersey Devils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0.50964554423931618</v>
      </c>
      <c r="M187" t="str">
        <f>IF(OR((NHL2025_26Results[[#This Row],[Winning Team]]="")),"-",IF(Table4[[#This Row],[Predicted Winner]]=NHL2025_26Results[[#This Row],[Winning Team]],"YES","NO"))</f>
        <v>YES</v>
      </c>
      <c r="N187">
        <f>IF(Table4[[#This Row],[Adjusted Correct]]="-", "",IF(Table4[[#This Row],[Adjusted Correct]]="YES",(Table4[[#This Row],[Strength of Win]]-1)^2,(Table4[[#This Row],[Strength of Win]]-0)^2))</f>
        <v>0.24044749228435641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-6.7671768126352963E-2</v>
      </c>
      <c r="H188" t="s">
        <v>38</v>
      </c>
      <c r="I188">
        <f>VLOOKUP(Table4[[#This Row],[Visitor]],'NHL Model'!$A$6:$B$38,2,FALSE)</f>
        <v>-0.81685014566908176</v>
      </c>
      <c r="J188">
        <f>($B$1+Table4[[#This Row],[Home Differential]])-Table4[[#This Row],[Away Differential]]</f>
        <v>0.79291753207091842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0.62505280390707241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0.1405853998579483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-0.48612387559717724</v>
      </c>
      <c r="H189" t="s">
        <v>36</v>
      </c>
      <c r="I189">
        <f>VLOOKUP(Table4[[#This Row],[Visitor]],'NHL Model'!$A$6:$B$38,2,FALSE)</f>
        <v>-0.35623783458898745</v>
      </c>
      <c r="J189">
        <f>($B$1+Table4[[#This Row],[Home Differential]])-Table4[[#This Row],[Away Differential]]</f>
        <v>-8.6146886480000184E-2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0.47281675956610392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0.22355568812659091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-1.0273405477215618</v>
      </c>
      <c r="H190" t="s">
        <v>16</v>
      </c>
      <c r="I190">
        <f>VLOOKUP(Table4[[#This Row],[Visitor]],'NHL Model'!$A$6:$B$38,2,FALSE)</f>
        <v>-0.94586858045267985</v>
      </c>
      <c r="J190">
        <f>($B$1+Table4[[#This Row],[Home Differential]])-Table4[[#This Row],[Away Differential]]</f>
        <v>-3.7732812740692401E-2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0.46404743418210781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0.21534002117099768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-0.13902937841722524</v>
      </c>
      <c r="H191" t="s">
        <v>19</v>
      </c>
      <c r="I191">
        <f>VLOOKUP(Table4[[#This Row],[Visitor]],'NHL Model'!$A$6:$B$38,2,FALSE)</f>
        <v>-0.18941601188968307</v>
      </c>
      <c r="J191">
        <f>($B$1+Table4[[#This Row],[Home Differential]])-Table4[[#This Row],[Away Differential]]</f>
        <v>9.4125788000647442E-2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0.57613419842632962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0.33193061459634937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-0.69519123816912842</v>
      </c>
      <c r="H192" t="s">
        <v>15</v>
      </c>
      <c r="I192">
        <f>VLOOKUP(Table4[[#This Row],[Visitor]],'NHL Model'!$A$6:$B$38,2,FALSE)</f>
        <v>-2.5710604859208615E-2</v>
      </c>
      <c r="J192">
        <f>($B$1+Table4[[#This Row],[Home Differential]])-Table4[[#This Row],[Away Differential]]</f>
        <v>-0.62574147878173025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0.63369279607480455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0.13418096764749471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-0.53773613438999557</v>
      </c>
      <c r="H193" t="s">
        <v>12</v>
      </c>
      <c r="I193">
        <f>VLOOKUP(Table4[[#This Row],[Visitor]],'NHL Model'!$A$6:$B$38,2,FALSE)</f>
        <v>1.5507956238651657</v>
      </c>
      <c r="J193">
        <f>($B$1+Table4[[#This Row],[Home Differential]])-Table4[[#This Row],[Away Differential]]</f>
        <v>-2.0447926037269717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0.73347479798451209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0.53798527927842088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-0.25075515805082654</v>
      </c>
      <c r="H194" t="s">
        <v>14</v>
      </c>
      <c r="I194">
        <f>VLOOKUP(Table4[[#This Row],[Visitor]],'NHL Model'!$A$6:$B$38,2,FALSE)</f>
        <v>6.850792131463232E-2</v>
      </c>
      <c r="J194">
        <f>($B$1+Table4[[#This Row],[Home Differential]])-Table4[[#This Row],[Away Differential]]</f>
        <v>-0.27552392483726929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0.54118215619316246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0.29287812618188047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-1.1472178948952137E-2</v>
      </c>
      <c r="H195" t="s">
        <v>24</v>
      </c>
      <c r="I195">
        <f>VLOOKUP(Table4[[#This Row],[Visitor]],'NHL Model'!$A$6:$B$38,2,FALSE)</f>
        <v>7.5388445740041043E-4</v>
      </c>
      <c r="J195">
        <f>($B$1+Table4[[#This Row],[Home Differential]])-Table4[[#This Row],[Away Differential]]</f>
        <v>3.1513091121837047E-2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0.58402543307305277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0.17303484033006131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0.13101659139829774</v>
      </c>
      <c r="H196" t="s">
        <v>28</v>
      </c>
      <c r="I196">
        <f>VLOOKUP(Table4[[#This Row],[Visitor]],'NHL Model'!$A$6:$B$38,2,FALSE)</f>
        <v>-0.38525981166347251</v>
      </c>
      <c r="J196">
        <f>($B$1+Table4[[#This Row],[Home Differential]])-Table4[[#This Row],[Away Differential]]</f>
        <v>0.56001555758995991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0.59649426639148762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0.16281687705494377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-0.13902937841722524</v>
      </c>
      <c r="H197" t="s">
        <v>16</v>
      </c>
      <c r="I197">
        <f>VLOOKUP(Table4[[#This Row],[Visitor]],'NHL Model'!$A$6:$B$38,2,FALSE)</f>
        <v>-0.94586858045267985</v>
      </c>
      <c r="J197">
        <f>($B$1+Table4[[#This Row],[Home Differential]])-Table4[[#This Row],[Away Differential]]</f>
        <v>0.85057835656364422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0.65727556480645322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0.43201116809164208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-0.53773613438999557</v>
      </c>
      <c r="H198" t="s">
        <v>26</v>
      </c>
      <c r="I198">
        <f>VLOOKUP(Table4[[#This Row],[Visitor]],'NHL Model'!$A$6:$B$38,2,FALSE)</f>
        <v>-0.71226595502109791</v>
      </c>
      <c r="J198">
        <f>($B$1+Table4[[#This Row],[Home Differential]])-Table4[[#This Row],[Away Differential]]</f>
        <v>0.21826897515929194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0.56341276058650769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0.31743393879170945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-4.6200185433750804E-2</v>
      </c>
      <c r="H199" t="s">
        <v>37</v>
      </c>
      <c r="I199">
        <f>VLOOKUP(Table4[[#This Row],[Visitor]],'NHL Model'!$A$6:$B$38,2,FALSE)</f>
        <v>0.55584102906214949</v>
      </c>
      <c r="J199">
        <f>($B$1+Table4[[#This Row],[Home Differential]])-Table4[[#This Row],[Away Differential]]</f>
        <v>-0.55830205996771065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0.55150673765033975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0.20114620637304118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-1.0273405477215618</v>
      </c>
      <c r="H200" t="s">
        <v>38</v>
      </c>
      <c r="I200">
        <f>VLOOKUP(Table4[[#This Row],[Visitor]],'NHL Model'!$A$6:$B$38,2,FALSE)</f>
        <v>-0.81685014566908176</v>
      </c>
      <c r="J200">
        <f>($B$1+Table4[[#This Row],[Home Differential]])-Table4[[#This Row],[Away Differential]]</f>
        <v>-0.16675124752429049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0.47788667873177343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0.27260232024573833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-0.69519123816912842</v>
      </c>
      <c r="H201" t="s">
        <v>10</v>
      </c>
      <c r="I201">
        <f>VLOOKUP(Table4[[#This Row],[Visitor]],'NHL Model'!$A$6:$B$38,2,FALSE)</f>
        <v>-9.5800647102357028E-2</v>
      </c>
      <c r="J201">
        <f>($B$1+Table4[[#This Row],[Home Differential]])-Table4[[#This Row],[Away Differential]]</f>
        <v>-0.55565143653858184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0.52043179819634677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0.27084925657388303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-1.2915976068889494</v>
      </c>
      <c r="H202" t="s">
        <v>17</v>
      </c>
      <c r="I202">
        <f>VLOOKUP(Table4[[#This Row],[Visitor]],'NHL Model'!$A$6:$B$38,2,FALSE)</f>
        <v>-0.52712659907212012</v>
      </c>
      <c r="J202">
        <f>($B$1+Table4[[#This Row],[Home Differential]])-Table4[[#This Row],[Away Differential]]</f>
        <v>-0.72073185328863976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0.53730976111379114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0.28870177938815927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-0.18941601188968307</v>
      </c>
      <c r="H203" t="s">
        <v>14</v>
      </c>
      <c r="I203">
        <f>VLOOKUP(Table4[[#This Row],[Visitor]],'NHL Model'!$A$6:$B$38,2,FALSE)</f>
        <v>6.850792131463232E-2</v>
      </c>
      <c r="J203">
        <f>($B$1+Table4[[#This Row],[Home Differential]])-Table4[[#This Row],[Away Differential]]</f>
        <v>-0.21418477867612579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0.53711348413116144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0.28849089483551543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-1.1472178948952137E-2</v>
      </c>
      <c r="H204" t="s">
        <v>11</v>
      </c>
      <c r="I204">
        <f>VLOOKUP(Table4[[#This Row],[Visitor]],'NHL Model'!$A$6:$B$38,2,FALSE)</f>
        <v>-0.46392840252469486</v>
      </c>
      <c r="J204">
        <f>($B$1+Table4[[#This Row],[Home Differential]])-Table4[[#This Row],[Away Differential]]</f>
        <v>0.49619537810393233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0.65402578123749455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0.11969816004832598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-0.43117543965133126</v>
      </c>
      <c r="H205" t="s">
        <v>55</v>
      </c>
      <c r="I205">
        <f>VLOOKUP(Table4[[#This Row],[Visitor]],'NHL Model'!$A$6:$B$38,2,FALSE)</f>
        <v>-4.6200185433750804E-2</v>
      </c>
      <c r="J205">
        <f>($B$1+Table4[[#This Row],[Home Differential]])-Table4[[#This Row],[Away Differential]]</f>
        <v>-0.34123609968939084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0.4864806581003705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0.26370211450502862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1.5507956238651657</v>
      </c>
      <c r="H206" t="s">
        <v>37</v>
      </c>
      <c r="I206">
        <f>VLOOKUP(Table4[[#This Row],[Visitor]],'NHL Model'!$A$6:$B$38,2,FALSE)</f>
        <v>0.55584102906214949</v>
      </c>
      <c r="J206">
        <f>($B$1+Table4[[#This Row],[Home Differential]])-Table4[[#This Row],[Away Differential]]</f>
        <v>1.0386937493312058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0.69036351475172464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9.5874752996905441E-2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0.57904383162035133</v>
      </c>
      <c r="H207" t="s">
        <v>17</v>
      </c>
      <c r="I207">
        <f>VLOOKUP(Table4[[#This Row],[Visitor]],'NHL Model'!$A$6:$B$38,2,FALSE)</f>
        <v>-0.52712659907212012</v>
      </c>
      <c r="J207">
        <f>($B$1+Table4[[#This Row],[Home Differential]])-Table4[[#This Row],[Away Differential]]</f>
        <v>1.1499095852206609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0.69559184958381426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9.2664322039803168E-2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-0.31218903714497998</v>
      </c>
      <c r="H208" t="s">
        <v>40</v>
      </c>
      <c r="I208">
        <f>VLOOKUP(Table4[[#This Row],[Visitor]],'NHL Model'!$A$6:$B$38,2,FALSE)</f>
        <v>-0.25075515805082654</v>
      </c>
      <c r="J208">
        <f>($B$1+Table4[[#This Row],[Home Differential]])-Table4[[#This Row],[Away Differential]]</f>
        <v>-1.7694724565963826E-2</v>
      </c>
      <c r="K208" t="str">
        <f>IF(Table4[[#This Row],[HomeIce Differential]]&gt;0,Table4[[#This Row],[Home]],Table4[[#This Row],[Visitor]])</f>
        <v>Winnipeg Jets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0.46547419483672547</v>
      </c>
      <c r="M208" t="str">
        <f>IF(OR((NHL2025_26Results[[#This Row],[Winning Team]]="")),"-",IF(Table4[[#This Row],[Predicted Winner]]=NHL2025_26Results[[#This Row],[Winning Team]],"YES","NO"))</f>
        <v>NO</v>
      </c>
      <c r="N208">
        <f>IF(Table4[[#This Row],[Adjusted Correct]]="-", "",IF(Table4[[#This Row],[Adjusted Correct]]="YES",(Table4[[#This Row],[Strength of Win]]-1)^2,(Table4[[#This Row],[Strength of Win]]-0)^2))</f>
        <v>0.21666622605889788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-6.7671768126352963E-2</v>
      </c>
      <c r="H209" t="s">
        <v>29</v>
      </c>
      <c r="I209">
        <f>VLOOKUP(Table4[[#This Row],[Visitor]],'NHL Model'!$A$6:$B$38,2,FALSE)</f>
        <v>-1.0273405477215618</v>
      </c>
      <c r="J209">
        <f>($B$1+Table4[[#This Row],[Home Differential]])-Table4[[#This Row],[Away Differential]]</f>
        <v>1.0034079341233983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0.64763119089686738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0.12416377762875992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-0.48612387559717724</v>
      </c>
      <c r="H210" t="s">
        <v>27</v>
      </c>
      <c r="I210">
        <f>VLOOKUP(Table4[[#This Row],[Visitor]],'NHL Model'!$A$6:$B$38,2,FALSE)</f>
        <v>-0.13902937841722524</v>
      </c>
      <c r="J210">
        <f>($B$1+Table4[[#This Row],[Home Differential]])-Table4[[#This Row],[Away Differential]]</f>
        <v>-0.30335534265176239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0.53505216678188294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0.21617648761422201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0.13101659139829774</v>
      </c>
      <c r="H211" t="s">
        <v>21</v>
      </c>
      <c r="I211">
        <f>VLOOKUP(Table4[[#This Row],[Visitor]],'NHL Model'!$A$6:$B$38,2,FALSE)</f>
        <v>-9.0944170863708096E-2</v>
      </c>
      <c r="J211">
        <f>($B$1+Table4[[#This Row],[Home Differential]])-Table4[[#This Row],[Away Differential]]</f>
        <v>0.26569991679019545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0.56850047073856447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0.32319278522996941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-2.5710604859208615E-2</v>
      </c>
      <c r="H212" t="s">
        <v>25</v>
      </c>
      <c r="I212">
        <f>VLOOKUP(Table4[[#This Row],[Visitor]],'NHL Model'!$A$6:$B$38,2,FALSE)</f>
        <v>0.36021966242194059</v>
      </c>
      <c r="J212">
        <f>($B$1+Table4[[#This Row],[Home Differential]])-Table4[[#This Row],[Away Differential]]</f>
        <v>-0.3421911127529596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0.56932851668127482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0.18547792654395098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-0.14635285954937219</v>
      </c>
      <c r="H213" t="s">
        <v>26</v>
      </c>
      <c r="I213">
        <f>VLOOKUP(Table4[[#This Row],[Visitor]],'NHL Model'!$A$6:$B$38,2,FALSE)</f>
        <v>-0.71226595502109791</v>
      </c>
      <c r="J213">
        <f>($B$1+Table4[[#This Row],[Home Differential]])-Table4[[#This Row],[Away Differential]]</f>
        <v>0.6096522499999153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0.60539473674559963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0.15571331378807463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-0.94586858045267985</v>
      </c>
      <c r="H214" t="s">
        <v>28</v>
      </c>
      <c r="I214">
        <f>VLOOKUP(Table4[[#This Row],[Visitor]],'NHL Model'!$A$6:$B$38,2,FALSE)</f>
        <v>-0.38525981166347251</v>
      </c>
      <c r="J214">
        <f>($B$1+Table4[[#This Row],[Home Differential]])-Table4[[#This Row],[Away Differential]]</f>
        <v>-0.51686961426101785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0.51901850719122977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0.26938021080701263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-0.69519123816912842</v>
      </c>
      <c r="H215" t="s">
        <v>33</v>
      </c>
      <c r="I215">
        <f>VLOOKUP(Table4[[#This Row],[Visitor]],'NHL Model'!$A$6:$B$38,2,FALSE)</f>
        <v>-0.53773613438999557</v>
      </c>
      <c r="J215">
        <f>($B$1+Table4[[#This Row],[Home Differential]])-Table4[[#This Row],[Away Differential]]</f>
        <v>-0.1137159492509433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0.47219781369632025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0.27857514786694421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-0.18941601188968307</v>
      </c>
      <c r="H216" t="s">
        <v>55</v>
      </c>
      <c r="I216">
        <f>VLOOKUP(Table4[[#This Row],[Visitor]],'NHL Model'!$A$6:$B$38,2,FALSE)</f>
        <v>-4.6200185433750804E-2</v>
      </c>
      <c r="J216">
        <f>($B$1+Table4[[#This Row],[Home Differential]])-Table4[[#This Row],[Away Differential]]</f>
        <v>-9.9476671927742663E-2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0.47067042854847829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0.22153065231000821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-0.81685014566908176</v>
      </c>
      <c r="H217" t="s">
        <v>10</v>
      </c>
      <c r="I217">
        <f>VLOOKUP(Table4[[#This Row],[Visitor]],'NHL Model'!$A$6:$B$38,2,FALSE)</f>
        <v>-9.5800647102357028E-2</v>
      </c>
      <c r="J217">
        <f>($B$1+Table4[[#This Row],[Home Differential]])-Table4[[#This Row],[Away Differential]]</f>
        <v>-0.67731034403853518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0.53348161836631713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0.21763940040211058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0.79843701415173229</v>
      </c>
      <c r="H218" t="s">
        <v>35</v>
      </c>
      <c r="I218">
        <f>VLOOKUP(Table4[[#This Row],[Visitor]],'NHL Model'!$A$6:$B$38,2,FALSE)</f>
        <v>-1.2915976068889494</v>
      </c>
      <c r="J218">
        <f>($B$1+Table4[[#This Row],[Home Differential]])-Table4[[#This Row],[Away Differential]]</f>
        <v>2.133773775568871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0.79491833840241366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4.2058487923626917E-2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-9.0944170863708096E-2</v>
      </c>
      <c r="H219" t="s">
        <v>36</v>
      </c>
      <c r="I219">
        <f>VLOOKUP(Table4[[#This Row],[Visitor]],'NHL Model'!$A$6:$B$38,2,FALSE)</f>
        <v>-0.35623783458898745</v>
      </c>
      <c r="J219">
        <f>($B$1+Table4[[#This Row],[Home Differential]])-Table4[[#This Row],[Away Differential]]</f>
        <v>0.30903281825346895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0.62138389612057443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0.14335015411683596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-0.43117543965133126</v>
      </c>
      <c r="H220" t="s">
        <v>35</v>
      </c>
      <c r="I220">
        <f>VLOOKUP(Table4[[#This Row],[Visitor]],'NHL Model'!$A$6:$B$38,2,FALSE)</f>
        <v>-1.2915976068889494</v>
      </c>
      <c r="J220">
        <f>($B$1+Table4[[#This Row],[Home Differential]])-Table4[[#This Row],[Away Differential]]</f>
        <v>0.90416132176580777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0.64710768922340733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0.4187483614520579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0.36021966242194059</v>
      </c>
      <c r="H221" t="s">
        <v>34</v>
      </c>
      <c r="I221">
        <f>VLOOKUP(Table4[[#This Row],[Visitor]],'NHL Model'!$A$6:$B$38,2,FALSE)</f>
        <v>-6.7671768126352963E-2</v>
      </c>
      <c r="J221">
        <f>($B$1+Table4[[#This Row],[Home Differential]])-Table4[[#This Row],[Away Differential]]</f>
        <v>0.47163058507648314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0.58392308831620121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0.17311999643632769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0.57904383162035133</v>
      </c>
      <c r="H222" t="s">
        <v>31</v>
      </c>
      <c r="I222">
        <f>VLOOKUP(Table4[[#This Row],[Visitor]],'NHL Model'!$A$6:$B$38,2,FALSE)</f>
        <v>-1.1472178948952137E-2</v>
      </c>
      <c r="J222">
        <f>($B$1+Table4[[#This Row],[Home Differential]])-Table4[[#This Row],[Away Differential]]</f>
        <v>0.63425516509749302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0.61975792202859692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0.3840998819172044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-0.31218903714497998</v>
      </c>
      <c r="H223" t="s">
        <v>11</v>
      </c>
      <c r="I223">
        <f>VLOOKUP(Table4[[#This Row],[Visitor]],'NHL Model'!$A$6:$B$38,2,FALSE)</f>
        <v>-0.46392840252469486</v>
      </c>
      <c r="J223">
        <f>($B$1+Table4[[#This Row],[Home Differential]])-Table4[[#This Row],[Away Differential]]</f>
        <v>0.19547851990790449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0.56096812789389139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0.3146852405127773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7.5388445740041043E-4</v>
      </c>
      <c r="H224" t="s">
        <v>18</v>
      </c>
      <c r="I224">
        <f>VLOOKUP(Table4[[#This Row],[Visitor]],'NHL Model'!$A$6:$B$38,2,FALSE)</f>
        <v>-0.48612387559717724</v>
      </c>
      <c r="J224">
        <f>($B$1+Table4[[#This Row],[Home Differential]])-Table4[[#This Row],[Away Differential]]</f>
        <v>0.53061691458276727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0.59963052901158109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0.16029571329954642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-1.0273405477215618</v>
      </c>
      <c r="H225" t="s">
        <v>27</v>
      </c>
      <c r="I225">
        <f>VLOOKUP(Table4[[#This Row],[Visitor]],'NHL Model'!$A$6:$B$38,2,FALSE)</f>
        <v>-0.13902937841722524</v>
      </c>
      <c r="J225">
        <f>($B$1+Table4[[#This Row],[Home Differential]])-Table4[[#This Row],[Away Differential]]</f>
        <v>-0.84457201477614707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0.5931061176955531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0.16556263145678507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6.850792131463232E-2</v>
      </c>
      <c r="H226" t="s">
        <v>22</v>
      </c>
      <c r="I226">
        <f>VLOOKUP(Table4[[#This Row],[Visitor]],'NHL Model'!$A$6:$B$38,2,FALSE)</f>
        <v>0.79843701415173229</v>
      </c>
      <c r="J226">
        <f>($B$1+Table4[[#This Row],[Home Differential]])-Table4[[#This Row],[Away Differential]]</f>
        <v>-0.6861899383089104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0.60622776971942893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0.36751210877899293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-0.14635285954937219</v>
      </c>
      <c r="H227" t="s">
        <v>37</v>
      </c>
      <c r="I227">
        <f>VLOOKUP(Table4[[#This Row],[Visitor]],'NHL Model'!$A$6:$B$38,2,FALSE)</f>
        <v>0.55584102906214949</v>
      </c>
      <c r="J227">
        <f>($B$1+Table4[[#This Row],[Home Differential]])-Table4[[#This Row],[Away Differential]]</f>
        <v>-0.6584547340833321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0.60325273537990609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0.15740839198352682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-0.94586858045267985</v>
      </c>
      <c r="H228" t="s">
        <v>10</v>
      </c>
      <c r="I228">
        <f>VLOOKUP(Table4[[#This Row],[Visitor]],'NHL Model'!$A$6:$B$38,2,FALSE)</f>
        <v>-9.5800647102357028E-2</v>
      </c>
      <c r="J228">
        <f>($B$1+Table4[[#This Row],[Home Differential]])-Table4[[#This Row],[Away Differential]]</f>
        <v>-0.80632877882213327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0.54732086291598281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0.20491840115113044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-0.71226595502109791</v>
      </c>
      <c r="H229" t="s">
        <v>15</v>
      </c>
      <c r="I229">
        <f>VLOOKUP(Table4[[#This Row],[Visitor]],'NHL Model'!$A$6:$B$38,2,FALSE)</f>
        <v>-2.5710604859208615E-2</v>
      </c>
      <c r="J229">
        <f>($B$1+Table4[[#This Row],[Home Differential]])-Table4[[#This Row],[Away Differential]]</f>
        <v>-0.64281619563369974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0.62547382761904369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0.14026985379832979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0.13101659139829774</v>
      </c>
      <c r="H230" t="s">
        <v>34</v>
      </c>
      <c r="I230">
        <f>VLOOKUP(Table4[[#This Row],[Visitor]],'NHL Model'!$A$6:$B$38,2,FALSE)</f>
        <v>-6.7671768126352963E-2</v>
      </c>
      <c r="J230">
        <f>($B$1+Table4[[#This Row],[Home Differential]])-Table4[[#This Row],[Away Differential]]</f>
        <v>0.2424275140528403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0.52671740840379166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0.27743122831560668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-0.53773613438999557</v>
      </c>
      <c r="H231" t="s">
        <v>40</v>
      </c>
      <c r="I231">
        <f>VLOOKUP(Table4[[#This Row],[Visitor]],'NHL Model'!$A$6:$B$38,2,FALSE)</f>
        <v>-0.25075515805082654</v>
      </c>
      <c r="J231">
        <f>($B$1+Table4[[#This Row],[Home Differential]])-Table4[[#This Row],[Away Differential]]</f>
        <v>-0.24324182181097942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0.48966764782254485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0.2397744053240638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0.36021966242194059</v>
      </c>
      <c r="H232" t="s">
        <v>23</v>
      </c>
      <c r="I232">
        <f>VLOOKUP(Table4[[#This Row],[Visitor]],'NHL Model'!$A$6:$B$38,2,FALSE)</f>
        <v>-0.43117543965133126</v>
      </c>
      <c r="J232">
        <f>($B$1+Table4[[#This Row],[Home Differential]])-Table4[[#This Row],[Away Differential]]</f>
        <v>0.83513425660146146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0.66182727355040338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0.11436079291435371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-0.52712659907212012</v>
      </c>
      <c r="H233" t="s">
        <v>12</v>
      </c>
      <c r="I233">
        <f>VLOOKUP(Table4[[#This Row],[Visitor]],'NHL Model'!$A$6:$B$38,2,FALSE)</f>
        <v>1.5507956238651657</v>
      </c>
      <c r="J233">
        <f>($B$1+Table4[[#This Row],[Home Differential]])-Table4[[#This Row],[Away Differential]]</f>
        <v>-2.0341830684090962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0.72982584891985591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7.2994071911876526E-2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-0.48612387559717724</v>
      </c>
      <c r="H234" t="s">
        <v>55</v>
      </c>
      <c r="I234">
        <f>VLOOKUP(Table4[[#This Row],[Visitor]],'NHL Model'!$A$6:$B$38,2,FALSE)</f>
        <v>-4.6200185433750804E-2</v>
      </c>
      <c r="J234">
        <f>($B$1+Table4[[#This Row],[Home Differential]])-Table4[[#This Row],[Away Differential]]</f>
        <v>-0.39618453563523681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0.50249698645506113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0.2525032213964179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7.5388445740041043E-4</v>
      </c>
      <c r="H235" t="s">
        <v>14</v>
      </c>
      <c r="I235">
        <f>VLOOKUP(Table4[[#This Row],[Visitor]],'NHL Model'!$A$6:$B$38,2,FALSE)</f>
        <v>6.850792131463232E-2</v>
      </c>
      <c r="J235">
        <f>($B$1+Table4[[#This Row],[Home Differential]])-Table4[[#This Row],[Away Differential]]</f>
        <v>-2.4014882329042309E-2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0.45474988468613931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0.20679745762205701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-1.0273405477215618</v>
      </c>
      <c r="H236" t="s">
        <v>39</v>
      </c>
      <c r="I236">
        <f>VLOOKUP(Table4[[#This Row],[Visitor]],'NHL Model'!$A$6:$B$38,2,FALSE)</f>
        <v>0.57904383162035133</v>
      </c>
      <c r="J236">
        <f>($B$1+Table4[[#This Row],[Home Differential]])-Table4[[#This Row],[Away Differential]]</f>
        <v>-1.5626452248137235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0.72010432277956515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7.8341590126685845E-2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-2.5710604859208615E-2</v>
      </c>
      <c r="H237" t="s">
        <v>30</v>
      </c>
      <c r="I237">
        <f>VLOOKUP(Table4[[#This Row],[Visitor]],'NHL Model'!$A$6:$B$38,2,FALSE)</f>
        <v>0.13101659139829774</v>
      </c>
      <c r="J237">
        <f>($B$1+Table4[[#This Row],[Home Differential]])-Table4[[#This Row],[Away Differential]]</f>
        <v>-0.11298804172931676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0.54474290334042985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0.2072590240589012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-0.13902937841722524</v>
      </c>
      <c r="H238" t="s">
        <v>36</v>
      </c>
      <c r="I238">
        <f>VLOOKUP(Table4[[#This Row],[Visitor]],'NHL Model'!$A$6:$B$38,2,FALSE)</f>
        <v>-0.35623783458898745</v>
      </c>
      <c r="J238">
        <f>($B$1+Table4[[#This Row],[Home Differential]])-Table4[[#This Row],[Away Differential]]</f>
        <v>0.26094761069995182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0.59049071160012767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0.34867928048602514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-0.53773613438999557</v>
      </c>
      <c r="H239" t="s">
        <v>11</v>
      </c>
      <c r="I239">
        <f>VLOOKUP(Table4[[#This Row],[Visitor]],'NHL Model'!$A$6:$B$38,2,FALSE)</f>
        <v>-0.46392840252469486</v>
      </c>
      <c r="J239">
        <f>($B$1+Table4[[#This Row],[Home Differential]])-Table4[[#This Row],[Away Differential]]</f>
        <v>-3.0068577337111102E-2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0.46322532509192799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0.21457770180652236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-1.2915976068889494</v>
      </c>
      <c r="H240" t="s">
        <v>32</v>
      </c>
      <c r="I240">
        <f>VLOOKUP(Table4[[#This Row],[Visitor]],'NHL Model'!$A$6:$B$38,2,FALSE)</f>
        <v>-0.69519123816912842</v>
      </c>
      <c r="J240">
        <f>($B$1+Table4[[#This Row],[Home Differential]])-Table4[[#This Row],[Away Differential]]</f>
        <v>-0.55266721419163145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0.51928220059876873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0.23108960266116244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0.55584102906214949</v>
      </c>
      <c r="H241" t="s">
        <v>22</v>
      </c>
      <c r="I241">
        <f>VLOOKUP(Table4[[#This Row],[Visitor]],'NHL Model'!$A$6:$B$38,2,FALSE)</f>
        <v>0.79843701415173229</v>
      </c>
      <c r="J241">
        <f>($B$1+Table4[[#This Row],[Home Differential]])-Table4[[#This Row],[Away Differential]]</f>
        <v>-0.19885683056139325</v>
      </c>
      <c r="K241" t="str">
        <f>IF(Table4[[#This Row],[HomeIce Differential]]&gt;0,Table4[[#This Row],[Home]],Table4[[#This Row],[Visitor]])</f>
        <v>Washington Capitals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0.53984902305553695</v>
      </c>
      <c r="M241" t="str">
        <f>IF(OR((NHL2025_26Results[[#This Row],[Winning Team]]="")),"-",IF(Table4[[#This Row],[Predicted Winner]]=NHL2025_26Results[[#This Row],[Winning Team]],"YES","NO"))</f>
        <v>NO</v>
      </c>
      <c r="N241">
        <f>IF(Table4[[#This Row],[Adjusted Correct]]="-", "",IF(Table4[[#This Row],[Adjusted Correct]]="YES",(Table4[[#This Row],[Strength of Win]]-1)^2,(Table4[[#This Row],[Strength of Win]]-0)^2))</f>
        <v>0.29143696769401767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Washington Capitals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-0.18941601188968307</v>
      </c>
      <c r="H242" t="s">
        <v>21</v>
      </c>
      <c r="I242">
        <f>VLOOKUP(Table4[[#This Row],[Visitor]],'NHL Model'!$A$6:$B$38,2,FALSE)</f>
        <v>-9.0944170863708096E-2</v>
      </c>
      <c r="J242">
        <f>($B$1+Table4[[#This Row],[Home Differential]])-Table4[[#This Row],[Away Differential]]</f>
        <v>-5.4732686497785371E-2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0.46587093646402949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0.28529385651381289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-0.81685014566908176</v>
      </c>
      <c r="H243" t="s">
        <v>28</v>
      </c>
      <c r="I243">
        <f>VLOOKUP(Table4[[#This Row],[Visitor]],'NHL Model'!$A$6:$B$38,2,FALSE)</f>
        <v>-0.38525981166347251</v>
      </c>
      <c r="J243">
        <f>($B$1+Table4[[#This Row],[Home Differential]])-Table4[[#This Row],[Away Differential]]</f>
        <v>-0.38785117947741971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0.5051792626415641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0.25520608740307438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-0.14635285954937219</v>
      </c>
      <c r="H244" t="s">
        <v>31</v>
      </c>
      <c r="I244">
        <f>VLOOKUP(Table4[[#This Row],[Visitor]],'NHL Model'!$A$6:$B$38,2,FALSE)</f>
        <v>-1.1472178948952137E-2</v>
      </c>
      <c r="J244">
        <f>($B$1+Table4[[#This Row],[Home Differential]])-Table4[[#This Row],[Away Differential]]</f>
        <v>-9.1141526072230444E-2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0.49054558459075198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0.25954380137997857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-1.1472178948952137E-2</v>
      </c>
      <c r="H245" t="s">
        <v>40</v>
      </c>
      <c r="I245">
        <f>VLOOKUP(Table4[[#This Row],[Visitor]],'NHL Model'!$A$6:$B$38,2,FALSE)</f>
        <v>-0.25075515805082654</v>
      </c>
      <c r="J245">
        <f>($B$1+Table4[[#This Row],[Home Differential]])-Table4[[#This Row],[Away Differential]]</f>
        <v>0.28302213363006401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0.62770368209985017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0.13860454832200941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0.57904383162035133</v>
      </c>
      <c r="H246" t="s">
        <v>32</v>
      </c>
      <c r="I246">
        <f>VLOOKUP(Table4[[#This Row],[Visitor]],'NHL Model'!$A$6:$B$38,2,FALSE)</f>
        <v>-0.69519123816912842</v>
      </c>
      <c r="J246">
        <f>($B$1+Table4[[#This Row],[Home Differential]])-Table4[[#This Row],[Away Differential]]</f>
        <v>1.3179742243176693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0.71361941009883667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8.2013842272138288E-2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-0.71226595502109791</v>
      </c>
      <c r="H247" t="s">
        <v>10</v>
      </c>
      <c r="I247">
        <f>VLOOKUP(Table4[[#This Row],[Visitor]],'NHL Model'!$A$6:$B$38,2,FALSE)</f>
        <v>-9.5800647102357028E-2</v>
      </c>
      <c r="J247">
        <f>($B$1+Table4[[#This Row],[Home Differential]])-Table4[[#This Row],[Away Differential]]</f>
        <v>-0.57272615339055133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0.51213806083504609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0.2380092716857892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-6.7671768126352963E-2</v>
      </c>
      <c r="H248" t="s">
        <v>16</v>
      </c>
      <c r="I248">
        <f>VLOOKUP(Table4[[#This Row],[Visitor]],'NHL Model'!$A$6:$B$38,2,FALSE)</f>
        <v>-0.94586858045267985</v>
      </c>
      <c r="J248">
        <f>($B$1+Table4[[#This Row],[Home Differential]])-Table4[[#This Row],[Away Differential]]</f>
        <v>0.92193596685451651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0.63889204845673797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0.13039895266777088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-0.35623783458898745</v>
      </c>
      <c r="H249" t="s">
        <v>55</v>
      </c>
      <c r="I249">
        <f>VLOOKUP(Table4[[#This Row],[Visitor]],'NHL Model'!$A$6:$B$38,2,FALSE)</f>
        <v>-4.6200185433750804E-2</v>
      </c>
      <c r="J249">
        <f>($B$1+Table4[[#This Row],[Home Differential]])-Table4[[#This Row],[Away Differential]]</f>
        <v>-0.26629849462704702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0.48856467757133293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0.23869544417038049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6.850792131463232E-2</v>
      </c>
      <c r="H250" t="s">
        <v>13</v>
      </c>
      <c r="I250">
        <f>VLOOKUP(Table4[[#This Row],[Visitor]],'NHL Model'!$A$6:$B$38,2,FALSE)</f>
        <v>-0.31218903714497998</v>
      </c>
      <c r="J250">
        <f>($B$1+Table4[[#This Row],[Home Differential]])-Table4[[#This Row],[Away Differential]]</f>
        <v>0.42443611298780193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0.51921162041312707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0.26958070677202517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-0.18941601188968307</v>
      </c>
      <c r="H251" t="s">
        <v>25</v>
      </c>
      <c r="I251">
        <f>VLOOKUP(Table4[[#This Row],[Visitor]],'NHL Model'!$A$6:$B$38,2,FALSE)</f>
        <v>0.36021966242194059</v>
      </c>
      <c r="J251">
        <f>($B$1+Table4[[#This Row],[Home Differential]])-Table4[[#This Row],[Away Differential]]</f>
        <v>-0.50589651978343408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0.58688848139327354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0.1706611268055557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-0.81685014566908176</v>
      </c>
      <c r="H252" t="s">
        <v>12</v>
      </c>
      <c r="I252">
        <f>VLOOKUP(Table4[[#This Row],[Visitor]],'NHL Model'!$A$6:$B$38,2,FALSE)</f>
        <v>1.5507956238651657</v>
      </c>
      <c r="J252">
        <f>($B$1+Table4[[#This Row],[Home Differential]])-Table4[[#This Row],[Away Differential]]</f>
        <v>-2.3239066150060577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0.76341414010882425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5.5972869100447041E-2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-0.52712659907212012</v>
      </c>
      <c r="H253" t="s">
        <v>28</v>
      </c>
      <c r="I253">
        <f>VLOOKUP(Table4[[#This Row],[Visitor]],'NHL Model'!$A$6:$B$38,2,FALSE)</f>
        <v>-0.38525981166347251</v>
      </c>
      <c r="J253">
        <f>($B$1+Table4[[#This Row],[Home Differential]])-Table4[[#This Row],[Away Differential]]</f>
        <v>-9.8127632880458004E-2</v>
      </c>
      <c r="K253" t="str">
        <f>IF(Table4[[#This Row],[HomeIce Differential]]&gt;0,Table4[[#This Row],[Home]],Table4[[#This Row],[Visitor]])</f>
        <v>Columbus Blue Jackets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0.47160356732755127</v>
      </c>
      <c r="M253" t="str">
        <f>IF(OR((NHL2025_26Results[[#This Row],[Winning Team]]="")),"-",IF(Table4[[#This Row],[Predicted Winner]]=NHL2025_26Results[[#This Row],[Winning Team]],"YES","NO"))</f>
        <v>NO</v>
      </c>
      <c r="N253">
        <f>IF(Table4[[#This Row],[Adjusted Correct]]="-", "",IF(Table4[[#This Row],[Adjusted Correct]]="YES",(Table4[[#This Row],[Strength of Win]]-1)^2,(Table4[[#This Row],[Strength of Win]]-0)^2))</f>
        <v>0.22240992471607218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7.5388445740041043E-4</v>
      </c>
      <c r="H254" t="s">
        <v>30</v>
      </c>
      <c r="I254">
        <f>VLOOKUP(Table4[[#This Row],[Visitor]],'NHL Model'!$A$6:$B$38,2,FALSE)</f>
        <v>0.13101659139829774</v>
      </c>
      <c r="J254">
        <f>($B$1+Table4[[#This Row],[Home Differential]])-Table4[[#This Row],[Away Differential]]</f>
        <v>-8.6523552412707733E-2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0.47986923923090929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0.27053600829823304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-2.5710604859208615E-2</v>
      </c>
      <c r="H255" t="s">
        <v>29</v>
      </c>
      <c r="I255">
        <f>VLOOKUP(Table4[[#This Row],[Visitor]],'NHL Model'!$A$6:$B$38,2,FALSE)</f>
        <v>-1.0273405477215618</v>
      </c>
      <c r="J255">
        <f>($B$1+Table4[[#This Row],[Home Differential]])-Table4[[#This Row],[Away Differential]]</f>
        <v>1.0453690973905427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0.65213218179027332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0.12101201894599545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-0.14635285954937219</v>
      </c>
      <c r="H256" t="s">
        <v>11</v>
      </c>
      <c r="I256">
        <f>VLOOKUP(Table4[[#This Row],[Visitor]],'NHL Model'!$A$6:$B$38,2,FALSE)</f>
        <v>-0.46392840252469486</v>
      </c>
      <c r="J256">
        <f>($B$1+Table4[[#This Row],[Home Differential]])-Table4[[#This Row],[Away Differential]]</f>
        <v>0.36131469750351231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0.57875665106716401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0.33495926115447905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-9.0944170863708096E-2</v>
      </c>
      <c r="H257" t="s">
        <v>19</v>
      </c>
      <c r="I257">
        <f>VLOOKUP(Table4[[#This Row],[Visitor]],'NHL Model'!$A$6:$B$38,2,FALSE)</f>
        <v>-0.18941601188968307</v>
      </c>
      <c r="J257">
        <f>($B$1+Table4[[#This Row],[Home Differential]])-Table4[[#This Row],[Away Differential]]</f>
        <v>0.14221099555416458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0.60697032931143358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0.15447232204156297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0.36021966242194059</v>
      </c>
      <c r="H258" t="s">
        <v>22</v>
      </c>
      <c r="I258">
        <f>VLOOKUP(Table4[[#This Row],[Visitor]],'NHL Model'!$A$6:$B$38,2,FALSE)</f>
        <v>0.79843701415173229</v>
      </c>
      <c r="J258">
        <f>($B$1+Table4[[#This Row],[Home Differential]])-Table4[[#This Row],[Away Differential]]</f>
        <v>-0.3944781972016021</v>
      </c>
      <c r="K258" t="str">
        <f>IF(Table4[[#This Row],[HomeIce Differential]]&gt;0,Table4[[#This Row],[Home]],Table4[[#This Row],[Visitor]])</f>
        <v>Washington Capitals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0.54231395497659707</v>
      </c>
      <c r="M258" t="str">
        <f>IF(OR((NHL2025_26Results[[#This Row],[Winning Team]]="")),"-",IF(Table4[[#This Row],[Predicted Winner]]=NHL2025_26Results[[#This Row],[Winning Team]],"YES","NO"))</f>
        <v>YES</v>
      </c>
      <c r="N258">
        <f>IF(Table4[[#This Row],[Adjusted Correct]]="-", "",IF(Table4[[#This Row],[Adjusted Correct]]="YES",(Table4[[#This Row],[Strength of Win]]-1)^2,(Table4[[#This Row],[Strength of Win]]-0)^2))</f>
        <v>0.2094765158091644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1.5507956238651657</v>
      </c>
      <c r="H259" t="s">
        <v>31</v>
      </c>
      <c r="I259">
        <f>VLOOKUP(Table4[[#This Row],[Visitor]],'NHL Model'!$A$6:$B$38,2,FALSE)</f>
        <v>-1.1472178948952137E-2</v>
      </c>
      <c r="J259">
        <f>($B$1+Table4[[#This Row],[Home Differential]])-Table4[[#This Row],[Away Differential]]</f>
        <v>1.6060069573423073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0.8008407873526292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3.9664391982320663E-2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-6.7671768126352963E-2</v>
      </c>
      <c r="H260" t="s">
        <v>33</v>
      </c>
      <c r="I260">
        <f>VLOOKUP(Table4[[#This Row],[Visitor]],'NHL Model'!$A$6:$B$38,2,FALSE)</f>
        <v>-0.53773613438999557</v>
      </c>
      <c r="J260">
        <f>($B$1+Table4[[#This Row],[Home Differential]])-Table4[[#This Row],[Away Differential]]</f>
        <v>0.51380352079183222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0.59511346178276026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0.35416003239506083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-0.48612387559717724</v>
      </c>
      <c r="H261" t="s">
        <v>13</v>
      </c>
      <c r="I261">
        <f>VLOOKUP(Table4[[#This Row],[Visitor]],'NHL Model'!$A$6:$B$38,2,FALSE)</f>
        <v>-0.31218903714497998</v>
      </c>
      <c r="J261">
        <f>($B$1+Table4[[#This Row],[Home Differential]])-Table4[[#This Row],[Away Differential]]</f>
        <v>-0.13019568392400765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0.54028131240191901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0.21134127172690198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-0.35623783458898745</v>
      </c>
      <c r="H262" t="s">
        <v>39</v>
      </c>
      <c r="I262">
        <f>VLOOKUP(Table4[[#This Row],[Visitor]],'NHL Model'!$A$6:$B$38,2,FALSE)</f>
        <v>0.57904383162035133</v>
      </c>
      <c r="J262">
        <f>($B$1+Table4[[#This Row],[Home Differential]])-Table4[[#This Row],[Away Differential]]</f>
        <v>-0.89154251168114917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0.64811806298216679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0.12382089759942234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-0.69519123816912842</v>
      </c>
      <c r="H263" t="s">
        <v>28</v>
      </c>
      <c r="I263">
        <f>VLOOKUP(Table4[[#This Row],[Visitor]],'NHL Model'!$A$6:$B$38,2,FALSE)</f>
        <v>-0.38525981166347251</v>
      </c>
      <c r="J263">
        <f>($B$1+Table4[[#This Row],[Home Differential]])-Table4[[#This Row],[Away Differential]]</f>
        <v>-0.26619227197746637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0.49212944247159379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0.25793250320421413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-1.2915976068889494</v>
      </c>
      <c r="H264" t="s">
        <v>16</v>
      </c>
      <c r="I264">
        <f>VLOOKUP(Table4[[#This Row],[Visitor]],'NHL Model'!$A$6:$B$38,2,FALSE)</f>
        <v>-0.94586858045267985</v>
      </c>
      <c r="J264">
        <f>($B$1+Table4[[#This Row],[Home Differential]])-Table4[[#This Row],[Away Differential]]</f>
        <v>-0.30198987190808002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0.49239313587913275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0.24245100026088609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-0.81685014566908176</v>
      </c>
      <c r="H265" t="s">
        <v>40</v>
      </c>
      <c r="I265">
        <f>VLOOKUP(Table4[[#This Row],[Visitor]],'NHL Model'!$A$6:$B$38,2,FALSE)</f>
        <v>-0.25075515805082654</v>
      </c>
      <c r="J265">
        <f>($B$1+Table4[[#This Row],[Home Differential]])-Table4[[#This Row],[Away Differential]]</f>
        <v>-0.52235583309006572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0.51960698994685706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0.23077744410791909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-9.5800647102357028E-2</v>
      </c>
      <c r="H266" t="s">
        <v>24</v>
      </c>
      <c r="I266">
        <f>VLOOKUP(Table4[[#This Row],[Visitor]],'NHL Model'!$A$6:$B$38,2,FALSE)</f>
        <v>7.5388445740041043E-4</v>
      </c>
      <c r="J266">
        <f>($B$1+Table4[[#This Row],[Home Differential]])-Table4[[#This Row],[Away Differential]]</f>
        <v>-5.2815377031567842E-2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0.48643450581266645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0.26374951681988013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-0.13902937841722524</v>
      </c>
      <c r="H267" t="s">
        <v>17</v>
      </c>
      <c r="I267">
        <f>VLOOKUP(Table4[[#This Row],[Visitor]],'NHL Model'!$A$6:$B$38,2,FALSE)</f>
        <v>-0.52712659907212012</v>
      </c>
      <c r="J267">
        <f>($B$1+Table4[[#This Row],[Home Differential]])-Table4[[#This Row],[Away Differential]]</f>
        <v>0.43183637518308449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0.61235893957179477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0.37498347087349299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0.55584102906214949</v>
      </c>
      <c r="H268" t="s">
        <v>15</v>
      </c>
      <c r="I268">
        <f>VLOOKUP(Table4[[#This Row],[Visitor]],'NHL Model'!$A$6:$B$38,2,FALSE)</f>
        <v>-2.5710604859208615E-2</v>
      </c>
      <c r="J268">
        <f>($B$1+Table4[[#This Row],[Home Differential]])-Table4[[#This Row],[Away Differential]]</f>
        <v>0.62529078844954766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0.51444063558167219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0.26464916753767487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-4.6200185433750804E-2</v>
      </c>
      <c r="H269" t="s">
        <v>23</v>
      </c>
      <c r="I269">
        <f>VLOOKUP(Table4[[#This Row],[Visitor]],'NHL Model'!$A$6:$B$38,2,FALSE)</f>
        <v>-0.43117543965133126</v>
      </c>
      <c r="J269">
        <f>($B$1+Table4[[#This Row],[Home Differential]])-Table4[[#This Row],[Away Differential]]</f>
        <v>0.42871440874577005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0.62641750145126951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0.13956388322191221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-0.38525981166347251</v>
      </c>
      <c r="H270" t="s">
        <v>17</v>
      </c>
      <c r="I270">
        <f>VLOOKUP(Table4[[#This Row],[Visitor]],'NHL Model'!$A$6:$B$38,2,FALSE)</f>
        <v>-0.52712659907212012</v>
      </c>
      <c r="J270">
        <f>($B$1+Table4[[#This Row],[Home Differential]])-Table4[[#This Row],[Away Differential]]</f>
        <v>0.18560594193683722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0.55990913953221733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0.19367996546727337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-0.94586858045267985</v>
      </c>
      <c r="H271" t="s">
        <v>33</v>
      </c>
      <c r="I271">
        <f>VLOOKUP(Table4[[#This Row],[Visitor]],'NHL Model'!$A$6:$B$38,2,FALSE)</f>
        <v>-0.53773613438999557</v>
      </c>
      <c r="J271">
        <f>($B$1+Table4[[#This Row],[Home Differential]])-Table4[[#This Row],[Away Differential]]</f>
        <v>-0.36439329153449473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0.49908687841595623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0.24908771220698347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1.5507956238651657</v>
      </c>
      <c r="H272" t="s">
        <v>23</v>
      </c>
      <c r="I272">
        <f>VLOOKUP(Table4[[#This Row],[Visitor]],'NHL Model'!$A$6:$B$38,2,FALSE)</f>
        <v>-0.43117543965133126</v>
      </c>
      <c r="J272">
        <f>($B$1+Table4[[#This Row],[Home Differential]])-Table4[[#This Row],[Away Differential]]</f>
        <v>2.0257102180446864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0.86511006209650221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1.819529534760949E-2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-0.71226595502109791</v>
      </c>
      <c r="H273" t="s">
        <v>31</v>
      </c>
      <c r="I273">
        <f>VLOOKUP(Table4[[#This Row],[Visitor]],'NHL Model'!$A$6:$B$38,2,FALSE)</f>
        <v>-1.1472178948952137E-2</v>
      </c>
      <c r="J273">
        <f>($B$1+Table4[[#This Row],[Home Differential]])-Table4[[#This Row],[Away Differential]]</f>
        <v>-0.65705462154395622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0.54106761760321698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0.29275416681882105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-0.46392840252469486</v>
      </c>
      <c r="H274" t="s">
        <v>22</v>
      </c>
      <c r="I274">
        <f>VLOOKUP(Table4[[#This Row],[Visitor]],'NHL Model'!$A$6:$B$38,2,FALSE)</f>
        <v>0.79843701415173229</v>
      </c>
      <c r="J274">
        <f>($B$1+Table4[[#This Row],[Home Differential]])-Table4[[#This Row],[Away Differential]]</f>
        <v>-1.2186262621482375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0.66333989098408841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0.4400198109707823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-0.48612387559717724</v>
      </c>
      <c r="H275" t="s">
        <v>39</v>
      </c>
      <c r="I275">
        <f>VLOOKUP(Table4[[#This Row],[Visitor]],'NHL Model'!$A$6:$B$38,2,FALSE)</f>
        <v>0.57904383162035133</v>
      </c>
      <c r="J275">
        <f>($B$1+Table4[[#This Row],[Home Differential]])-Table4[[#This Row],[Away Differential]]</f>
        <v>-1.021428552689339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0.66205037186589499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0.11420995115597986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-0.35623783458898745</v>
      </c>
      <c r="H276" t="s">
        <v>21</v>
      </c>
      <c r="I276">
        <f>VLOOKUP(Table4[[#This Row],[Visitor]],'NHL Model'!$A$6:$B$38,2,FALSE)</f>
        <v>-9.0944170863708096E-2</v>
      </c>
      <c r="J276">
        <f>($B$1+Table4[[#This Row],[Home Differential]])-Table4[[#This Row],[Away Differential]]</f>
        <v>-0.22155450919708974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0.48376518548688408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0.23402875468915935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-0.69519123816912842</v>
      </c>
      <c r="H277" t="s">
        <v>40</v>
      </c>
      <c r="I277">
        <f>VLOOKUP(Table4[[#This Row],[Visitor]],'NHL Model'!$A$6:$B$38,2,FALSE)</f>
        <v>-0.25075515805082654</v>
      </c>
      <c r="J277">
        <f>($B$1+Table4[[#This Row],[Home Differential]])-Table4[[#This Row],[Away Differential]]</f>
        <v>-0.40069692559011233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0.5065571697768867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0.25660016625236959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-0.18941601188968307</v>
      </c>
      <c r="H278" t="s">
        <v>13</v>
      </c>
      <c r="I278">
        <f>VLOOKUP(Table4[[#This Row],[Visitor]],'NHL Model'!$A$6:$B$38,2,FALSE)</f>
        <v>-0.31218903714497998</v>
      </c>
      <c r="J278">
        <f>($B$1+Table4[[#This Row],[Home Differential]])-Table4[[#This Row],[Away Differential]]</f>
        <v>0.16651217978348651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0.49154524550466377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0.24161672837824019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-0.14635285954937219</v>
      </c>
      <c r="H279" t="s">
        <v>30</v>
      </c>
      <c r="I279">
        <f>VLOOKUP(Table4[[#This Row],[Visitor]],'NHL Model'!$A$6:$B$38,2,FALSE)</f>
        <v>0.13101659139829774</v>
      </c>
      <c r="J279">
        <f>($B$1+Table4[[#This Row],[Home Differential]])-Table4[[#This Row],[Away Differential]]</f>
        <v>-0.23363029641948033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0.55768367159948229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0.19564373436971463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0.36021966242194059</v>
      </c>
      <c r="H280" t="s">
        <v>38</v>
      </c>
      <c r="I280">
        <f>VLOOKUP(Table4[[#This Row],[Visitor]],'NHL Model'!$A$6:$B$38,2,FALSE)</f>
        <v>-0.81685014566908176</v>
      </c>
      <c r="J280">
        <f>($B$1+Table4[[#This Row],[Home Differential]])-Table4[[#This Row],[Away Differential]]</f>
        <v>1.220808962619212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0.70319691644021609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8.8092070410596066E-2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-1.0273405477215618</v>
      </c>
      <c r="H281" t="s">
        <v>14</v>
      </c>
      <c r="I281">
        <f>VLOOKUP(Table4[[#This Row],[Visitor]],'NHL Model'!$A$6:$B$38,2,FALSE)</f>
        <v>6.850792131463232E-2</v>
      </c>
      <c r="J281">
        <f>($B$1+Table4[[#This Row],[Home Differential]])-Table4[[#This Row],[Away Differential]]</f>
        <v>-1.0521093145080045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0.62699399295141445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0.39312146719715835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-1.2915976068889494</v>
      </c>
      <c r="H282" t="s">
        <v>27</v>
      </c>
      <c r="I282">
        <f>VLOOKUP(Table4[[#This Row],[Visitor]],'NHL Model'!$A$6:$B$38,2,FALSE)</f>
        <v>-0.13902937841722524</v>
      </c>
      <c r="J282">
        <f>($B$1+Table4[[#This Row],[Home Differential]])-Table4[[#This Row],[Away Differential]]</f>
        <v>-1.1088290739435347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0.62145181939257799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0.1432987250411894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-4.6200185433750804E-2</v>
      </c>
      <c r="H283" t="s">
        <v>30</v>
      </c>
      <c r="I283">
        <f>VLOOKUP(Table4[[#This Row],[Visitor]],'NHL Model'!$A$6:$B$38,2,FALSE)</f>
        <v>0.13101659139829774</v>
      </c>
      <c r="J283">
        <f>($B$1+Table4[[#This Row],[Home Differential]])-Table4[[#This Row],[Away Differential]]</f>
        <v>-0.13347762230385896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0.50593767386991606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0.24409758210106941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0.36021966242194059</v>
      </c>
      <c r="H284" t="s">
        <v>17</v>
      </c>
      <c r="I284">
        <f>VLOOKUP(Table4[[#This Row],[Visitor]],'NHL Model'!$A$6:$B$38,2,FALSE)</f>
        <v>-0.52712659907212012</v>
      </c>
      <c r="J284">
        <f>($B$1+Table4[[#This Row],[Home Differential]])-Table4[[#This Row],[Away Differential]]</f>
        <v>0.93108541602225037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0.67211953575522332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0.45174467034381693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-0.38525981166347251</v>
      </c>
      <c r="H285" t="s">
        <v>15</v>
      </c>
      <c r="I285">
        <f>VLOOKUP(Table4[[#This Row],[Visitor]],'NHL Model'!$A$6:$B$38,2,FALSE)</f>
        <v>-2.5710604859208615E-2</v>
      </c>
      <c r="J285">
        <f>($B$1+Table4[[#This Row],[Home Differential]])-Table4[[#This Row],[Away Differential]]</f>
        <v>-0.31581005227607428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0.60044780428558642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0.15964195710020906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-0.94586858045267985</v>
      </c>
      <c r="H286" t="s">
        <v>40</v>
      </c>
      <c r="I286">
        <f>VLOOKUP(Table4[[#This Row],[Visitor]],'NHL Model'!$A$6:$B$38,2,FALSE)</f>
        <v>-0.25075515805082654</v>
      </c>
      <c r="J286">
        <f>($B$1+Table4[[#This Row],[Home Differential]])-Table4[[#This Row],[Away Differential]]</f>
        <v>-0.65137426787366381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0.53344623449652273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0.21767241610547367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-9.5800647102357028E-2</v>
      </c>
      <c r="H287" t="s">
        <v>19</v>
      </c>
      <c r="I287">
        <f>VLOOKUP(Table4[[#This Row],[Visitor]],'NHL Model'!$A$6:$B$38,2,FALSE)</f>
        <v>-0.18941601188968307</v>
      </c>
      <c r="J287">
        <f>($B$1+Table4[[#This Row],[Home Differential]])-Table4[[#This Row],[Away Differential]]</f>
        <v>0.13735451931551565</v>
      </c>
      <c r="K287" t="str">
        <f>IF(Table4[[#This Row],[HomeIce Differential]]&gt;0,Table4[[#This Row],[Home]],Table4[[#This Row],[Visitor]])</f>
        <v>Chicago Blackhawks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0.55473341996434489</v>
      </c>
      <c r="M287" t="str">
        <f>IF(OR((NHL2025_26Results[[#This Row],[Winning Team]]="")),"-",IF(Table4[[#This Row],[Predicted Winner]]=NHL2025_26Results[[#This Row],[Winning Team]],"YES","NO"))</f>
        <v>YES</v>
      </c>
      <c r="N287">
        <f>IF(Table4[[#This Row],[Adjusted Correct]]="-", "",IF(Table4[[#This Row],[Adjusted Correct]]="YES",(Table4[[#This Row],[Strength of Win]]-1)^2,(Table4[[#This Row],[Strength of Win]]-0)^2))</f>
        <v>0.19826232729664847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0.57904383162035133</v>
      </c>
      <c r="H288" t="s">
        <v>27</v>
      </c>
      <c r="I288">
        <f>VLOOKUP(Table4[[#This Row],[Visitor]],'NHL Model'!$A$6:$B$38,2,FALSE)</f>
        <v>-0.13902937841722524</v>
      </c>
      <c r="J288">
        <f>($B$1+Table4[[#This Row],[Home Differential]])-Table4[[#This Row],[Away Differential]]</f>
        <v>0.76181236456576618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0.61183677023851102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0.15067069293887048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-0.71226595502109791</v>
      </c>
      <c r="H289" t="s">
        <v>23</v>
      </c>
      <c r="I289">
        <f>VLOOKUP(Table4[[#This Row],[Visitor]],'NHL Model'!$A$6:$B$38,2,FALSE)</f>
        <v>-0.43117543965133126</v>
      </c>
      <c r="J289">
        <f>($B$1+Table4[[#This Row],[Home Differential]])-Table4[[#This Row],[Away Differential]]</f>
        <v>-0.2373513608415771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0.47533739544721193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0.27527084861611523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-0.46392840252469486</v>
      </c>
      <c r="H290" t="s">
        <v>37</v>
      </c>
      <c r="I290">
        <f>VLOOKUP(Table4[[#This Row],[Visitor]],'NHL Model'!$A$6:$B$38,2,FALSE)</f>
        <v>0.55584102906214949</v>
      </c>
      <c r="J290">
        <f>($B$1+Table4[[#This Row],[Home Differential]])-Table4[[#This Row],[Away Differential]]</f>
        <v>-0.97603027705865475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0.63731767818904839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0.13153846655418266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-6.7671768126352963E-2</v>
      </c>
      <c r="H291" t="s">
        <v>31</v>
      </c>
      <c r="I291">
        <f>VLOOKUP(Table4[[#This Row],[Visitor]],'NHL Model'!$A$6:$B$38,2,FALSE)</f>
        <v>-1.1472178948952137E-2</v>
      </c>
      <c r="J291">
        <f>($B$1+Table4[[#This Row],[Home Differential]])-Table4[[#This Row],[Away Differential]]</f>
        <v>-1.2460434649211228E-2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0.48210580722510543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0.23242600936017052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-0.48612387559717724</v>
      </c>
      <c r="H292" t="s">
        <v>21</v>
      </c>
      <c r="I292">
        <f>VLOOKUP(Table4[[#This Row],[Visitor]],'NHL Model'!$A$6:$B$38,2,FALSE)</f>
        <v>-9.0944170863708096E-2</v>
      </c>
      <c r="J292">
        <f>($B$1+Table4[[#This Row],[Home Differential]])-Table4[[#This Row],[Away Differential]]</f>
        <v>-0.35144055020527953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0.49769749437061234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0.25230780716156109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-0.35623783458898745</v>
      </c>
      <c r="H293" t="s">
        <v>13</v>
      </c>
      <c r="I293">
        <f>VLOOKUP(Table4[[#This Row],[Visitor]],'NHL Model'!$A$6:$B$38,2,FALSE)</f>
        <v>-0.31218903714497998</v>
      </c>
      <c r="J293">
        <f>($B$1+Table4[[#This Row],[Home Differential]])-Table4[[#This Row],[Away Differential]]</f>
        <v>-3.0964291581786485E-4</v>
      </c>
      <c r="K293" t="str">
        <f>IF(Table4[[#This Row],[HomeIce Differential]]&gt;0,Table4[[#This Row],[Home]],Table4[[#This Row],[Visitor]])</f>
        <v>Los Angeles Kings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0.52634900351819081</v>
      </c>
      <c r="M293" t="str">
        <f>IF(OR((NHL2025_26Results[[#This Row],[Winning Team]]="")),"-",IF(Table4[[#This Row],[Predicted Winner]]=NHL2025_26Results[[#This Row],[Winning Team]],"YES","NO"))</f>
        <v>YES</v>
      </c>
      <c r="N293">
        <f>IF(Table4[[#This Row],[Adjusted Correct]]="-", "",IF(Table4[[#This Row],[Adjusted Correct]]="YES",(Table4[[#This Row],[Strength of Win]]-1)^2,(Table4[[#This Row],[Strength of Win]]-0)^2))</f>
        <v>0.22434526646821082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-0.69519123816912842</v>
      </c>
      <c r="H294" t="s">
        <v>33</v>
      </c>
      <c r="I294">
        <f>VLOOKUP(Table4[[#This Row],[Visitor]],'NHL Model'!$A$6:$B$38,2,FALSE)</f>
        <v>-0.53773613438999557</v>
      </c>
      <c r="J294">
        <f>($B$1+Table4[[#This Row],[Home Differential]])-Table4[[#This Row],[Away Differential]]</f>
        <v>-0.1137159492509433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0.47219781369632025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0.22297077525958475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-1.2915976068889494</v>
      </c>
      <c r="H295" t="s">
        <v>20</v>
      </c>
      <c r="I295">
        <f>VLOOKUP(Table4[[#This Row],[Visitor]],'NHL Model'!$A$6:$B$38,2,FALSE)</f>
        <v>-0.14635285954937219</v>
      </c>
      <c r="J295">
        <f>($B$1+Table4[[#This Row],[Home Differential]])-Table4[[#This Row],[Away Differential]]</f>
        <v>-1.1015055928113877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0.57815369871220257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0.17795430191019518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0.79843701415173229</v>
      </c>
      <c r="H296" t="s">
        <v>24</v>
      </c>
      <c r="I296">
        <f>VLOOKUP(Table4[[#This Row],[Visitor]],'NHL Model'!$A$6:$B$38,2,FALSE)</f>
        <v>7.5388445740041043E-4</v>
      </c>
      <c r="J296">
        <f>($B$1+Table4[[#This Row],[Home Differential]])-Table4[[#This Row],[Away Differential]]</f>
        <v>0.84142228422252141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0.63571024248284402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0.40412751239759637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1.5507956238651657</v>
      </c>
      <c r="H297" t="s">
        <v>30</v>
      </c>
      <c r="I297">
        <f>VLOOKUP(Table4[[#This Row],[Visitor]],'NHL Model'!$A$6:$B$38,2,FALSE)</f>
        <v>0.13101659139829774</v>
      </c>
      <c r="J297">
        <f>($B$1+Table4[[#This Row],[Home Differential]])-Table4[[#This Row],[Away Differential]]</f>
        <v>1.4635181869950575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0.73593257853214844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6.9731603080679952E-2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-6.7671768126352963E-2</v>
      </c>
      <c r="H298" t="s">
        <v>20</v>
      </c>
      <c r="I298">
        <f>VLOOKUP(Table4[[#This Row],[Visitor]],'NHL Model'!$A$6:$B$38,2,FALSE)</f>
        <v>-0.14635285954937219</v>
      </c>
      <c r="J298">
        <f>($B$1+Table4[[#This Row],[Home Differential]])-Table4[[#This Row],[Away Differential]]</f>
        <v>0.12242024595120882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0.55313148562366821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0.19969146914090985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-2.5710604859208615E-2</v>
      </c>
      <c r="H299" t="s">
        <v>26</v>
      </c>
      <c r="I299">
        <f>VLOOKUP(Table4[[#This Row],[Visitor]],'NHL Model'!$A$6:$B$38,2,FALSE)</f>
        <v>-0.71226595502109791</v>
      </c>
      <c r="J299">
        <f>($B$1+Table4[[#This Row],[Home Differential]])-Table4[[#This Row],[Away Differential]]</f>
        <v>0.73029450469007884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0.61833550500465218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0.38233879674935822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6.850792131463232E-2</v>
      </c>
      <c r="H300" t="s">
        <v>29</v>
      </c>
      <c r="I300">
        <f>VLOOKUP(Table4[[#This Row],[Visitor]],'NHL Model'!$A$6:$B$38,2,FALSE)</f>
        <v>-1.0273405477215618</v>
      </c>
      <c r="J300">
        <f>($B$1+Table4[[#This Row],[Home Differential]])-Table4[[#This Row],[Away Differential]]</f>
        <v>1.1395876235643838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0.66223859198673796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0.11408276874310128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0.55584102906214949</v>
      </c>
      <c r="H301" t="s">
        <v>38</v>
      </c>
      <c r="I301">
        <f>VLOOKUP(Table4[[#This Row],[Visitor]],'NHL Model'!$A$6:$B$38,2,FALSE)</f>
        <v>-0.81685014566908176</v>
      </c>
      <c r="J301">
        <f>($B$1+Table4[[#This Row],[Home Differential]])-Table4[[#This Row],[Away Differential]]</f>
        <v>1.4164303292594207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0.70595092157011219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0.49836670366569069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-1.1472178948952137E-2</v>
      </c>
      <c r="H302" t="s">
        <v>55</v>
      </c>
      <c r="I302">
        <f>VLOOKUP(Table4[[#This Row],[Visitor]],'NHL Model'!$A$6:$B$38,2,FALSE)</f>
        <v>-4.6200185433750804E-2</v>
      </c>
      <c r="J302">
        <f>($B$1+Table4[[#This Row],[Home Differential]])-Table4[[#This Row],[Away Differential]]</f>
        <v>7.8467161012988257E-2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0.60921789807479854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0.15271065118507854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-9.0944170863708096E-2</v>
      </c>
      <c r="H303" t="s">
        <v>25</v>
      </c>
      <c r="I303">
        <f>VLOOKUP(Table4[[#This Row],[Visitor]],'NHL Model'!$A$6:$B$38,2,FALSE)</f>
        <v>0.36021966242194059</v>
      </c>
      <c r="J303">
        <f>($B$1+Table4[[#This Row],[Home Differential]])-Table4[[#This Row],[Away Differential]]</f>
        <v>-0.40742467875745908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0.52370266756336636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0.22685914888625311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-0.43117543965133126</v>
      </c>
      <c r="H304" t="s">
        <v>17</v>
      </c>
      <c r="I304">
        <f>VLOOKUP(Table4[[#This Row],[Visitor]],'NHL Model'!$A$6:$B$38,2,FALSE)</f>
        <v>-0.52712659907212012</v>
      </c>
      <c r="J304">
        <f>($B$1+Table4[[#This Row],[Home Differential]])-Table4[[#This Row],[Away Differential]]</f>
        <v>0.13969031394897846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0.56510621985159459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0.18913260001176957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-0.38525981166347251</v>
      </c>
      <c r="H305" t="s">
        <v>18</v>
      </c>
      <c r="I305">
        <f>VLOOKUP(Table4[[#This Row],[Visitor]],'NHL Model'!$A$6:$B$38,2,FALSE)</f>
        <v>-0.48612387559717724</v>
      </c>
      <c r="J305">
        <f>($B$1+Table4[[#This Row],[Home Differential]])-Table4[[#This Row],[Away Differential]]</f>
        <v>0.14460321846189433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0.49622312246544176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0.25379114233846928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-0.46392840252469486</v>
      </c>
      <c r="H306" t="s">
        <v>38</v>
      </c>
      <c r="I306">
        <f>VLOOKUP(Table4[[#This Row],[Visitor]],'NHL Model'!$A$6:$B$38,2,FALSE)</f>
        <v>-0.81685014566908176</v>
      </c>
      <c r="J306">
        <f>($B$1+Table4[[#This Row],[Home Differential]])-Table4[[#This Row],[Away Differential]]</f>
        <v>0.39666089767257651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0.58254808373228339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0.17426610239558868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0.79843701415173229</v>
      </c>
      <c r="H307" t="s">
        <v>13</v>
      </c>
      <c r="I307">
        <f>VLOOKUP(Table4[[#This Row],[Visitor]],'NHL Model'!$A$6:$B$38,2,FALSE)</f>
        <v>-0.31218903714497998</v>
      </c>
      <c r="J307">
        <f>($B$1+Table4[[#This Row],[Home Differential]])-Table4[[#This Row],[Away Differential]]</f>
        <v>1.1543652058249019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0.62382371875640563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0.1415085945702598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-9.5800647102357028E-2</v>
      </c>
      <c r="H308" t="s">
        <v>16</v>
      </c>
      <c r="I308">
        <f>VLOOKUP(Table4[[#This Row],[Visitor]],'NHL Model'!$A$6:$B$38,2,FALSE)</f>
        <v>-0.94586858045267985</v>
      </c>
      <c r="J308">
        <f>($B$1+Table4[[#This Row],[Home Differential]])-Table4[[#This Row],[Away Differential]]</f>
        <v>0.89380708787851237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0.63587478634446848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0.13258717121968647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0.57904383162035133</v>
      </c>
      <c r="H309" t="s">
        <v>30</v>
      </c>
      <c r="I309">
        <f>VLOOKUP(Table4[[#This Row],[Visitor]],'NHL Model'!$A$6:$B$38,2,FALSE)</f>
        <v>0.13101659139829774</v>
      </c>
      <c r="J309">
        <f>($B$1+Table4[[#This Row],[Home Differential]])-Table4[[#This Row],[Away Differential]]</f>
        <v>0.49176639475024314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0.55274963542745759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0.30553215946518725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-0.71226595502109791</v>
      </c>
      <c r="H310" t="s">
        <v>32</v>
      </c>
      <c r="I310">
        <f>VLOOKUP(Table4[[#This Row],[Visitor]],'NHL Model'!$A$6:$B$38,2,FALSE)</f>
        <v>-0.69519123816912842</v>
      </c>
      <c r="J310">
        <f>($B$1+Table4[[#This Row],[Home Differential]])-Table4[[#This Row],[Away Differential]]</f>
        <v>2.6664437676220065E-2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0.55298242727263047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0.19982471032706911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-0.53773613438999557</v>
      </c>
      <c r="H311" t="s">
        <v>55</v>
      </c>
      <c r="I311">
        <f>VLOOKUP(Table4[[#This Row],[Visitor]],'NHL Model'!$A$6:$B$38,2,FALSE)</f>
        <v>-4.6200185433750804E-2</v>
      </c>
      <c r="J311">
        <f>($B$1+Table4[[#This Row],[Home Differential]])-Table4[[#This Row],[Away Differential]]</f>
        <v>-0.44779679442805514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0.50803320825462406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0.25809774068948621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0.55584102906214949</v>
      </c>
      <c r="H312" t="s">
        <v>24</v>
      </c>
      <c r="I312">
        <f>VLOOKUP(Table4[[#This Row],[Visitor]],'NHL Model'!$A$6:$B$38,2,FALSE)</f>
        <v>7.5388445740041043E-4</v>
      </c>
      <c r="J312">
        <f>($B$1+Table4[[#This Row],[Home Differential]])-Table4[[#This Row],[Away Differential]]</f>
        <v>0.59882629913293861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0.59756681756659202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0.16195246632348062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-0.18941601188968307</v>
      </c>
      <c r="H313" t="s">
        <v>35</v>
      </c>
      <c r="I313">
        <f>VLOOKUP(Table4[[#This Row],[Visitor]],'NHL Model'!$A$6:$B$38,2,FALSE)</f>
        <v>-1.2915976068889494</v>
      </c>
      <c r="J313">
        <f>($B$1+Table4[[#This Row],[Home Differential]])-Table4[[#This Row],[Away Differential]]</f>
        <v>1.1459207495274559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0.6629179187752996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0.11362432948277552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-0.14635285954937219</v>
      </c>
      <c r="H314" t="s">
        <v>15</v>
      </c>
      <c r="I314">
        <f>VLOOKUP(Table4[[#This Row],[Visitor]],'NHL Model'!$A$6:$B$38,2,FALSE)</f>
        <v>-2.5710604859208615E-2</v>
      </c>
      <c r="J314">
        <f>($B$1+Table4[[#This Row],[Home Differential]])-Table4[[#This Row],[Away Differential]]</f>
        <v>-7.6903100161973964E-2</v>
      </c>
      <c r="K314" t="str">
        <f>IF(Table4[[#This Row],[HomeIce Differential]]&gt;0,Table4[[#This Row],[Home]],Table4[[#This Row],[Visitor]])</f>
        <v>New York Rangers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0.57482129796137071</v>
      </c>
      <c r="M314" t="str">
        <f>IF(OR((NHL2025_26Results[[#This Row],[Winning Team]]="")),"-",IF(Table4[[#This Row],[Predicted Winner]]=NHL2025_26Results[[#This Row],[Winning Team]],"YES","NO"))</f>
        <v>NO</v>
      </c>
      <c r="N314">
        <f>IF(Table4[[#This Row],[Adjusted Correct]]="-", "",IF(Table4[[#This Row],[Adjusted Correct]]="YES",(Table4[[#This Row],[Strength of Win]]-1)^2,(Table4[[#This Row],[Strength of Win]]-0)^2))</f>
        <v>0.33041952458999491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-0.25075515805082654</v>
      </c>
      <c r="H315" t="s">
        <v>28</v>
      </c>
      <c r="I315">
        <f>VLOOKUP(Table4[[#This Row],[Visitor]],'NHL Model'!$A$6:$B$38,2,FALSE)</f>
        <v>-0.38525981166347251</v>
      </c>
      <c r="J315">
        <f>($B$1+Table4[[#This Row],[Home Differential]])-Table4[[#This Row],[Away Differential]]</f>
        <v>0.17824380814083557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0.5580415912519372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0.19532723506311975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-1.1472178948952137E-2</v>
      </c>
      <c r="H316" t="s">
        <v>21</v>
      </c>
      <c r="I316">
        <f>VLOOKUP(Table4[[#This Row],[Visitor]],'NHL Model'!$A$6:$B$38,2,FALSE)</f>
        <v>-9.0944170863708096E-2</v>
      </c>
      <c r="J316">
        <f>($B$1+Table4[[#This Row],[Home Differential]])-Table4[[#This Row],[Away Differential]]</f>
        <v>0.12321114644294556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0.61401739015924739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0.14898257509947865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-0.43117543965133126</v>
      </c>
      <c r="H317" t="s">
        <v>16</v>
      </c>
      <c r="I317">
        <f>VLOOKUP(Table4[[#This Row],[Visitor]],'NHL Model'!$A$6:$B$38,2,FALSE)</f>
        <v>-0.94586858045267985</v>
      </c>
      <c r="J317">
        <f>($B$1+Table4[[#This Row],[Home Differential]])-Table4[[#This Row],[Away Differential]]</f>
        <v>0.5584322953295382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0.61002284508625304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0.37212787152712667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-6.7671768126352963E-2</v>
      </c>
      <c r="H318" t="s">
        <v>25</v>
      </c>
      <c r="I318">
        <f>VLOOKUP(Table4[[#This Row],[Visitor]],'NHL Model'!$A$6:$B$38,2,FALSE)</f>
        <v>0.36021966242194059</v>
      </c>
      <c r="J318">
        <f>($B$1+Table4[[#This Row],[Home Differential]])-Table4[[#This Row],[Away Differential]]</f>
        <v>-0.38415227602010393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0.57382950757468076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0.32928030376340062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0.79843701415173229</v>
      </c>
      <c r="H319" t="s">
        <v>17</v>
      </c>
      <c r="I319">
        <f>VLOOKUP(Table4[[#This Row],[Visitor]],'NHL Model'!$A$6:$B$38,2,FALSE)</f>
        <v>-0.52712659907212012</v>
      </c>
      <c r="J319">
        <f>($B$1+Table4[[#This Row],[Home Differential]])-Table4[[#This Row],[Away Differential]]</f>
        <v>1.369302767752042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0.71291686903060092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8.2416724087193152E-2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-1.1472178948952137E-2</v>
      </c>
      <c r="H320" t="s">
        <v>36</v>
      </c>
      <c r="I320">
        <f>VLOOKUP(Table4[[#This Row],[Visitor]],'NHL Model'!$A$6:$B$38,2,FALSE)</f>
        <v>-0.35623783458898745</v>
      </c>
      <c r="J320">
        <f>($B$1+Table4[[#This Row],[Home Differential]])-Table4[[#This Row],[Away Differential]]</f>
        <v>0.38850481016822491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0.63901834855672823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0.40834444979216822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-9.5800647102357028E-2</v>
      </c>
      <c r="H321" t="s">
        <v>32</v>
      </c>
      <c r="I321">
        <f>VLOOKUP(Table4[[#This Row],[Visitor]],'NHL Model'!$A$6:$B$38,2,FALSE)</f>
        <v>-0.69519123816912842</v>
      </c>
      <c r="J321">
        <f>($B$1+Table4[[#This Row],[Home Differential]])-Table4[[#This Row],[Away Differential]]</f>
        <v>0.64312974559496094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0.60898572162483255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0.37086360914291805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1.5507956238651657</v>
      </c>
      <c r="H322" t="s">
        <v>15</v>
      </c>
      <c r="I322">
        <f>VLOOKUP(Table4[[#This Row],[Visitor]],'NHL Model'!$A$6:$B$38,2,FALSE)</f>
        <v>-2.5710604859208615E-2</v>
      </c>
      <c r="J322">
        <f>($B$1+Table4[[#This Row],[Home Differential]])-Table4[[#This Row],[Away Differential]]</f>
        <v>1.6202453832525638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0.7189861569748689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7.8968779971753028E-2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-0.71226595502109791</v>
      </c>
      <c r="H323" t="s">
        <v>30</v>
      </c>
      <c r="I323">
        <f>VLOOKUP(Table4[[#This Row],[Visitor]],'NHL Model'!$A$6:$B$38,2,FALSE)</f>
        <v>0.13101659139829774</v>
      </c>
      <c r="J323">
        <f>($B$1+Table4[[#This Row],[Home Differential]])-Table4[[#This Row],[Away Differential]]</f>
        <v>-0.79954339189120605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0.60821251057104087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0.15349743687304676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-0.46392840252469486</v>
      </c>
      <c r="H324" t="s">
        <v>24</v>
      </c>
      <c r="I324">
        <f>VLOOKUP(Table4[[#This Row],[Visitor]],'NHL Model'!$A$6:$B$38,2,FALSE)</f>
        <v>7.5388445740041043E-4</v>
      </c>
      <c r="J324">
        <f>($B$1+Table4[[#This Row],[Home Differential]])-Table4[[#This Row],[Away Differential]]</f>
        <v>-0.42094313245390569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0.52592196387518586</v>
      </c>
      <c r="M324" t="str">
        <f>IF(OR((NHL2025_26Results[[#This Row],[Winning Team]]="")),"-",IF(Table4[[#This Row],[Predicted Winner]]=NHL2025_26Results[[#This Row],[Winning Team]],"YES","NO"))</f>
        <v>NO</v>
      </c>
      <c r="N324">
        <f>IF(Table4[[#This Row],[Adjusted Correct]]="-", "",IF(Table4[[#This Row],[Adjusted Correct]]="YES",(Table4[[#This Row],[Strength of Win]]-1)^2,(Table4[[#This Row],[Strength of Win]]-0)^2))</f>
        <v>0.27659391208633233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-0.48612387559717724</v>
      </c>
      <c r="H325" t="s">
        <v>22</v>
      </c>
      <c r="I325">
        <f>VLOOKUP(Table4[[#This Row],[Visitor]],'NHL Model'!$A$6:$B$38,2,FALSE)</f>
        <v>0.79843701415173229</v>
      </c>
      <c r="J325">
        <f>($B$1+Table4[[#This Row],[Home Differential]])-Table4[[#This Row],[Away Differential]]</f>
        <v>-1.2408217352207198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0.66572070253447502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0.11174264871404493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-0.13902937841722524</v>
      </c>
      <c r="H326" t="s">
        <v>35</v>
      </c>
      <c r="I326">
        <f>VLOOKUP(Table4[[#This Row],[Visitor]],'NHL Model'!$A$6:$B$38,2,FALSE)</f>
        <v>-1.2915976068889494</v>
      </c>
      <c r="J326">
        <f>($B$1+Table4[[#This Row],[Home Differential]])-Table4[[#This Row],[Away Differential]]</f>
        <v>1.1963073829999138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0.69436040894360751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9.3415559621118832E-2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-0.53773613438999557</v>
      </c>
      <c r="H327" t="s">
        <v>13</v>
      </c>
      <c r="I327">
        <f>VLOOKUP(Table4[[#This Row],[Visitor]],'NHL Model'!$A$6:$B$38,2,FALSE)</f>
        <v>-0.31218903714497998</v>
      </c>
      <c r="J327">
        <f>($B$1+Table4[[#This Row],[Home Differential]])-Table4[[#This Row],[Away Differential]]</f>
        <v>-0.18180794271682599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0.54581753420148194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0.29791678064178589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0.55584102906214949</v>
      </c>
      <c r="H328" t="s">
        <v>17</v>
      </c>
      <c r="I328">
        <f>VLOOKUP(Table4[[#This Row],[Visitor]],'NHL Model'!$A$6:$B$38,2,FALSE)</f>
        <v>-0.52712659907212012</v>
      </c>
      <c r="J328">
        <f>($B$1+Table4[[#This Row],[Home Differential]])-Table4[[#This Row],[Away Differential]]</f>
        <v>1.1267067826624593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0.67487354088511942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0.10570721441658011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-0.18941601188968307</v>
      </c>
      <c r="H329" t="s">
        <v>28</v>
      </c>
      <c r="I329">
        <f>VLOOKUP(Table4[[#This Row],[Visitor]],'NHL Model'!$A$6:$B$38,2,FALSE)</f>
        <v>-0.38525981166347251</v>
      </c>
      <c r="J329">
        <f>($B$1+Table4[[#This Row],[Home Differential]])-Table4[[#This Row],[Away Differential]]</f>
        <v>0.23958295430197904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0.56212285918889371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0.31598210882269684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-4.6200185433750804E-2</v>
      </c>
      <c r="H330" t="s">
        <v>20</v>
      </c>
      <c r="I330">
        <f>VLOOKUP(Table4[[#This Row],[Visitor]],'NHL Model'!$A$6:$B$38,2,FALSE)</f>
        <v>-0.14635285954937219</v>
      </c>
      <c r="J330">
        <f>($B$1+Table4[[#This Row],[Home Differential]])-Table4[[#This Row],[Away Differential]]</f>
        <v>0.14389182864381098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0.59586582605767802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0.355056082663399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-0.81685014566908176</v>
      </c>
      <c r="H331" t="s">
        <v>39</v>
      </c>
      <c r="I331">
        <f>VLOOKUP(Table4[[#This Row],[Visitor]],'NHL Model'!$A$6:$B$38,2,FALSE)</f>
        <v>0.57904383162035133</v>
      </c>
      <c r="J331">
        <f>($B$1+Table4[[#This Row],[Home Differential]])-Table4[[#This Row],[Away Differential]]</f>
        <v>-1.3521548227612437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0.69752593578977018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9.1490559519854228E-2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-0.43117543965133126</v>
      </c>
      <c r="H332" t="s">
        <v>10</v>
      </c>
      <c r="I332">
        <f>VLOOKUP(Table4[[#This Row],[Visitor]],'NHL Model'!$A$6:$B$38,2,FALSE)</f>
        <v>-9.5800647102357028E-2</v>
      </c>
      <c r="J332">
        <f>($B$1+Table4[[#This Row],[Home Differential]])-Table4[[#This Row],[Away Differential]]</f>
        <v>-0.29163563802078463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0.48198670774105951</v>
      </c>
      <c r="M332" t="str">
        <f>IF(OR((NHL2025_26Results[[#This Row],[Winning Team]]="")),"-",IF(Table4[[#This Row],[Predicted Winner]]=NHL2025_26Results[[#This Row],[Winning Team]],"YES","NO"))</f>
        <v>NO</v>
      </c>
      <c r="N332">
        <f>IF(Table4[[#This Row],[Adjusted Correct]]="-", "",IF(Table4[[#This Row],[Adjusted Correct]]="YES",(Table4[[#This Row],[Strength of Win]]-1)^2,(Table4[[#This Row],[Strength of Win]]-0)^2))</f>
        <v>0.23231118643906551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-0.31218903714497998</v>
      </c>
      <c r="H333" t="s">
        <v>21</v>
      </c>
      <c r="I333">
        <f>VLOOKUP(Table4[[#This Row],[Visitor]],'NHL Model'!$A$6:$B$38,2,FALSE)</f>
        <v>-9.0944170863708096E-2</v>
      </c>
      <c r="J333">
        <f>($B$1+Table4[[#This Row],[Home Differential]])-Table4[[#This Row],[Away Differential]]</f>
        <v>-0.17750571175308227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0.47904026318435589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0.27139904738302517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6.850792131463232E-2</v>
      </c>
      <c r="H334" t="s">
        <v>34</v>
      </c>
      <c r="I334">
        <f>VLOOKUP(Table4[[#This Row],[Visitor]],'NHL Model'!$A$6:$B$38,2,FALSE)</f>
        <v>-6.7671768126352963E-2</v>
      </c>
      <c r="J334">
        <f>($B$1+Table4[[#This Row],[Home Differential]])-Table4[[#This Row],[Away Differential]]</f>
        <v>0.1799188439691749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0.52001237610966111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0.27041287130721564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-0.25075515805082654</v>
      </c>
      <c r="H335" t="s">
        <v>25</v>
      </c>
      <c r="I335">
        <f>VLOOKUP(Table4[[#This Row],[Visitor]],'NHL Model'!$A$6:$B$38,2,FALSE)</f>
        <v>0.36021966242194059</v>
      </c>
      <c r="J335">
        <f>($B$1+Table4[[#This Row],[Home Differential]])-Table4[[#This Row],[Away Differential]]</f>
        <v>-0.56723566594457753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0.59096537677910477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0.16730932299345971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-1.1472178948952137E-2</v>
      </c>
      <c r="H336" t="s">
        <v>20</v>
      </c>
      <c r="I336">
        <f>VLOOKUP(Table4[[#This Row],[Visitor]],'NHL Model'!$A$6:$B$38,2,FALSE)</f>
        <v>-0.14635285954937219</v>
      </c>
      <c r="J336">
        <f>($B$1+Table4[[#This Row],[Home Differential]])-Table4[[#This Row],[Away Differential]]</f>
        <v>0.17861983512860966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0.61996083842835226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0.14442976432808097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-0.94586858045267985</v>
      </c>
      <c r="H337" t="s">
        <v>39</v>
      </c>
      <c r="I337">
        <f>VLOOKUP(Table4[[#This Row],[Visitor]],'NHL Model'!$A$6:$B$38,2,FALSE)</f>
        <v>0.57904383162035133</v>
      </c>
      <c r="J337">
        <f>($B$1+Table4[[#This Row],[Home Differential]])-Table4[[#This Row],[Away Differential]]</f>
        <v>-1.4811732575448415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0.71136518033943574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0.50604041979935799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-0.71226595502109791</v>
      </c>
      <c r="H338" t="s">
        <v>28</v>
      </c>
      <c r="I338">
        <f>VLOOKUP(Table4[[#This Row],[Visitor]],'NHL Model'!$A$6:$B$38,2,FALSE)</f>
        <v>-0.38525981166347251</v>
      </c>
      <c r="J338">
        <f>($B$1+Table4[[#This Row],[Home Differential]])-Table4[[#This Row],[Away Differential]]</f>
        <v>-0.28326698882943585</v>
      </c>
      <c r="K338" t="str">
        <f>IF(Table4[[#This Row],[HomeIce Differential]]&gt;0,Table4[[#This Row],[Home]],Table4[[#This Row],[Visitor]])</f>
        <v>Columbus Blue Jackets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0.48382610945189936</v>
      </c>
      <c r="M338" t="str">
        <f>IF(OR((NHL2025_26Results[[#This Row],[Winning Team]]="")),"-",IF(Table4[[#This Row],[Predicted Winner]]=NHL2025_26Results[[#This Row],[Winning Team]],"YES","NO"))</f>
        <v>NO</v>
      </c>
      <c r="N338">
        <f>IF(Table4[[#This Row],[Adjusted Correct]]="-", "",IF(Table4[[#This Row],[Adjusted Correct]]="YES",(Table4[[#This Row],[Strength of Win]]-1)^2,(Table4[[#This Row],[Strength of Win]]-0)^2))</f>
        <v>0.2340877041873613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-0.46392840252469486</v>
      </c>
      <c r="H339" t="s">
        <v>17</v>
      </c>
      <c r="I339">
        <f>VLOOKUP(Table4[[#This Row],[Visitor]],'NHL Model'!$A$6:$B$38,2,FALSE)</f>
        <v>-0.52712659907212012</v>
      </c>
      <c r="J339">
        <f>($B$1+Table4[[#This Row],[Home Differential]])-Table4[[#This Row],[Away Differential]]</f>
        <v>0.10693735107561486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0.55147070304729062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0.30411993631947298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-0.48612387559717724</v>
      </c>
      <c r="H340" t="s">
        <v>19</v>
      </c>
      <c r="I340">
        <f>VLOOKUP(Table4[[#This Row],[Visitor]],'NHL Model'!$A$6:$B$38,2,FALSE)</f>
        <v>-0.18941601188968307</v>
      </c>
      <c r="J340">
        <f>($B$1+Table4[[#This Row],[Home Differential]])-Table4[[#This Row],[Away Differential]]</f>
        <v>-0.25296870917930458</v>
      </c>
      <c r="K340" t="str">
        <f>IF(Table4[[#This Row],[HomeIce Differential]]&gt;0,Table4[[#This Row],[Home]],Table4[[#This Row],[Visitor]])</f>
        <v>Toronto Maple Leafs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0.48713484964856124</v>
      </c>
      <c r="M340" t="str">
        <f>IF(OR((NHL2025_26Results[[#This Row],[Winning Team]]="")),"-",IF(Table4[[#This Row],[Predicted Winner]]=NHL2025_26Results[[#This Row],[Winning Team]],"YES","NO"))</f>
        <v>NO</v>
      </c>
      <c r="N340">
        <f>IF(Table4[[#This Row],[Adjusted Correct]]="-", "",IF(Table4[[#This Row],[Adjusted Correct]]="YES",(Table4[[#This Row],[Strength of Win]]-1)^2,(Table4[[#This Row],[Strength of Win]]-0)^2))</f>
        <v>0.23730036174212638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-1.0273405477215618</v>
      </c>
      <c r="H341" t="s">
        <v>12</v>
      </c>
      <c r="I341">
        <f>VLOOKUP(Table4[[#This Row],[Visitor]],'NHL Model'!$A$6:$B$38,2,FALSE)</f>
        <v>1.5507956238651657</v>
      </c>
      <c r="J341">
        <f>($B$1+Table4[[#This Row],[Home Differential]])-Table4[[#This Row],[Away Differential]]</f>
        <v>-2.5343970170585379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0.78599252709861922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4.5799198457635228E-2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0.13101659139829774</v>
      </c>
      <c r="H342" t="s">
        <v>35</v>
      </c>
      <c r="I342">
        <f>VLOOKUP(Table4[[#This Row],[Visitor]],'NHL Model'!$A$6:$B$38,2,FALSE)</f>
        <v>-1.2915976068889494</v>
      </c>
      <c r="J342">
        <f>($B$1+Table4[[#This Row],[Home Differential]])-Table4[[#This Row],[Away Differential]]</f>
        <v>1.4663533528154367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0.69728932597789339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0.48621240412270489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-0.13902937841722524</v>
      </c>
      <c r="H343" t="s">
        <v>24</v>
      </c>
      <c r="I343">
        <f>VLOOKUP(Table4[[#This Row],[Visitor]],'NHL Model'!$A$6:$B$38,2,FALSE)</f>
        <v>7.5388445740041043E-4</v>
      </c>
      <c r="J343">
        <f>($B$1+Table4[[#This Row],[Home Differential]])-Table4[[#This Row],[Away Differential]]</f>
        <v>-9.6044108346436036E-2</v>
      </c>
      <c r="K343" t="str">
        <f>IF(Table4[[#This Row],[HomeIce Differential]]&gt;0,Table4[[#This Row],[Home]],Table4[[#This Row],[Visitor]])</f>
        <v>New Jersey Devils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0.46484768697596207</v>
      </c>
      <c r="M343" t="str">
        <f>IF(OR((NHL2025_26Results[[#This Row],[Winning Team]]="")),"-",IF(Table4[[#This Row],[Predicted Winner]]=NHL2025_26Results[[#This Row],[Winning Team]],"YES","NO"))</f>
        <v>NO</v>
      </c>
      <c r="N343">
        <f>IF(Table4[[#This Row],[Adjusted Correct]]="-", "",IF(Table4[[#This Row],[Adjusted Correct]]="YES",(Table4[[#This Row],[Strength of Win]]-1)^2,(Table4[[#This Row],[Strength of Win]]-0)^2))</f>
        <v>0.21608337208690201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6.850792131463232E-2</v>
      </c>
      <c r="H344" t="s">
        <v>32</v>
      </c>
      <c r="I344">
        <f>VLOOKUP(Table4[[#This Row],[Visitor]],'NHL Model'!$A$6:$B$38,2,FALSE)</f>
        <v>-0.69519123816912842</v>
      </c>
      <c r="J344">
        <f>($B$1+Table4[[#This Row],[Home Differential]])-Table4[[#This Row],[Away Differential]]</f>
        <v>0.80743831401195032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0.62661038482697251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0.39264057437300659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-0.53773613438999557</v>
      </c>
      <c r="H345" t="s">
        <v>36</v>
      </c>
      <c r="I345">
        <f>VLOOKUP(Table4[[#This Row],[Visitor]],'NHL Model'!$A$6:$B$38,2,FALSE)</f>
        <v>-0.35623783458898745</v>
      </c>
      <c r="J345">
        <f>($B$1+Table4[[#This Row],[Home Differential]])-Table4[[#This Row],[Away Differential]]</f>
        <v>-0.13775914527281852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0.47835298136566684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0.27211561205008833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-4.6200185433750804E-2</v>
      </c>
      <c r="H346" t="s">
        <v>15</v>
      </c>
      <c r="I346">
        <f>VLOOKUP(Table4[[#This Row],[Visitor]],'NHL Model'!$A$6:$B$38,2,FALSE)</f>
        <v>-2.5710604859208615E-2</v>
      </c>
      <c r="J346">
        <f>($B$1+Table4[[#This Row],[Home Differential]])-Table4[[#This Row],[Away Differential]]</f>
        <v>2.324957395364741E-2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0.47659746600989333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0.27395021258726482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0.79843701415173229</v>
      </c>
      <c r="H347" t="s">
        <v>37</v>
      </c>
      <c r="I347">
        <f>VLOOKUP(Table4[[#This Row],[Visitor]],'NHL Model'!$A$6:$B$38,2,FALSE)</f>
        <v>0.55584102906214949</v>
      </c>
      <c r="J347">
        <f>($B$1+Table4[[#This Row],[Home Differential]])-Table4[[#This Row],[Away Differential]]</f>
        <v>0.28633513961777235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0.52438480712901081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0.27497942594772989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-0.43117543965133126</v>
      </c>
      <c r="H348" t="s">
        <v>25</v>
      </c>
      <c r="I348">
        <f>VLOOKUP(Table4[[#This Row],[Visitor]],'NHL Model'!$A$6:$B$38,2,FALSE)</f>
        <v>0.36021966242194059</v>
      </c>
      <c r="J348">
        <f>($B$1+Table4[[#This Row],[Home Differential]])-Table4[[#This Row],[Away Differential]]</f>
        <v>-0.74765594754508224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0.6026467708178993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0.36318313037724165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-9.5800647102357028E-2</v>
      </c>
      <c r="H349" t="s">
        <v>12</v>
      </c>
      <c r="I349">
        <f>VLOOKUP(Table4[[#This Row],[Visitor]],'NHL Model'!$A$6:$B$38,2,FALSE)</f>
        <v>1.5507956238651657</v>
      </c>
      <c r="J349">
        <f>($B$1+Table4[[#This Row],[Home Differential]])-Table4[[#This Row],[Away Differential]]</f>
        <v>-1.602857116439333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0.68607030657204304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9.8551852415771038E-2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0.13101659139829774</v>
      </c>
      <c r="H350" t="s">
        <v>32</v>
      </c>
      <c r="I350">
        <f>VLOOKUP(Table4[[#This Row],[Visitor]],'NHL Model'!$A$6:$B$38,2,FALSE)</f>
        <v>-0.69519123816912842</v>
      </c>
      <c r="J350">
        <f>($B$1+Table4[[#This Row],[Home Differential]])-Table4[[#This Row],[Away Differential]]</f>
        <v>0.86994698409561577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0.63331541712110317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0.13445758332107055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-0.53773613438999557</v>
      </c>
      <c r="H351" t="s">
        <v>21</v>
      </c>
      <c r="I351">
        <f>VLOOKUP(Table4[[#This Row],[Visitor]],'NHL Model'!$A$6:$B$38,2,FALSE)</f>
        <v>-9.0944170863708096E-2</v>
      </c>
      <c r="J351">
        <f>($B$1+Table4[[#This Row],[Home Differential]])-Table4[[#This Row],[Away Differential]]</f>
        <v>-0.40305280899809787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0.5032337161701752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0.25324417309044445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-0.81685014566908176</v>
      </c>
      <c r="H352" t="s">
        <v>16</v>
      </c>
      <c r="I352">
        <f>VLOOKUP(Table4[[#This Row],[Visitor]],'NHL Model'!$A$6:$B$38,2,FALSE)</f>
        <v>-0.94586858045267985</v>
      </c>
      <c r="J352">
        <f>($B$1+Table4[[#This Row],[Home Differential]])-Table4[[#This Row],[Away Differential]]</f>
        <v>0.17275758931178764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0.55853095280768728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0.31195682524426299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-0.25075515805082654</v>
      </c>
      <c r="H353" t="s">
        <v>34</v>
      </c>
      <c r="I353">
        <f>VLOOKUP(Table4[[#This Row],[Visitor]],'NHL Model'!$A$6:$B$38,2,FALSE)</f>
        <v>-6.7671768126352963E-2</v>
      </c>
      <c r="J353">
        <f>($B$1+Table4[[#This Row],[Home Differential]])-Table4[[#This Row],[Away Differential]]</f>
        <v>-0.13934423539628399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0.51172104167493493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0.23841634114301063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-0.31218903714497998</v>
      </c>
      <c r="H354" t="s">
        <v>36</v>
      </c>
      <c r="I354">
        <f>VLOOKUP(Table4[[#This Row],[Visitor]],'NHL Model'!$A$6:$B$38,2,FALSE)</f>
        <v>-0.35623783458898745</v>
      </c>
      <c r="J354">
        <f>($B$1+Table4[[#This Row],[Home Differential]])-Table4[[#This Row],[Away Differential]]</f>
        <v>8.7787951972197076E-2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0.54584047162015248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0.20626087721820552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7.5388445740041043E-4</v>
      </c>
      <c r="H355" t="s">
        <v>26</v>
      </c>
      <c r="I355">
        <f>VLOOKUP(Table4[[#This Row],[Visitor]],'NHL Model'!$A$6:$B$38,2,FALSE)</f>
        <v>-0.71226595502109791</v>
      </c>
      <c r="J355">
        <f>($B$1+Table4[[#This Row],[Home Differential]])-Table4[[#This Row],[Away Differential]]</f>
        <v>0.75675899400668789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0.6819753033912217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0.10113970765310548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-1.0273405477215618</v>
      </c>
      <c r="H356" t="s">
        <v>11</v>
      </c>
      <c r="I356">
        <f>VLOOKUP(Table4[[#This Row],[Visitor]],'NHL Model'!$A$6:$B$38,2,FALSE)</f>
        <v>-0.46392840252469486</v>
      </c>
      <c r="J356">
        <f>($B$1+Table4[[#This Row],[Home Differential]])-Table4[[#This Row],[Away Differential]]</f>
        <v>-0.51967299066867745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0.51574305420603528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0.23450478954969889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-2.5710604859208615E-2</v>
      </c>
      <c r="H357" t="s">
        <v>35</v>
      </c>
      <c r="I357">
        <f>VLOOKUP(Table4[[#This Row],[Visitor]],'NHL Model'!$A$6:$B$38,2,FALSE)</f>
        <v>-1.2915976068889494</v>
      </c>
      <c r="J357">
        <f>($B$1+Table4[[#This Row],[Home Differential]])-Table4[[#This Row],[Away Differential]]</f>
        <v>1.3096261565579304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0.68047788348729821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0.10209438294075658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0.55584102906214949</v>
      </c>
      <c r="H358" t="s">
        <v>27</v>
      </c>
      <c r="I358">
        <f>VLOOKUP(Table4[[#This Row],[Visitor]],'NHL Model'!$A$6:$B$38,2,FALSE)</f>
        <v>-0.13902937841722524</v>
      </c>
      <c r="J358">
        <f>($B$1+Table4[[#This Row],[Home Differential]])-Table4[[#This Row],[Away Differential]]</f>
        <v>0.73860956200756434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0.59085533189853201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0.1673993594358604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-4.6200185433750804E-2</v>
      </c>
      <c r="H359" t="s">
        <v>20</v>
      </c>
      <c r="I359">
        <f>VLOOKUP(Table4[[#This Row],[Visitor]],'NHL Model'!$A$6:$B$38,2,FALSE)</f>
        <v>-0.14635285954937219</v>
      </c>
      <c r="J359">
        <f>($B$1+Table4[[#This Row],[Home Differential]])-Table4[[#This Row],[Away Differential]]</f>
        <v>0.14389182864381098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0.59586582605767802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0.16332443054804296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0.79843701415173229</v>
      </c>
      <c r="H360" t="s">
        <v>28</v>
      </c>
      <c r="I360">
        <f>VLOOKUP(Table4[[#This Row],[Visitor]],'NHL Model'!$A$6:$B$38,2,FALSE)</f>
        <v>-0.38525981166347251</v>
      </c>
      <c r="J360">
        <f>($B$1+Table4[[#This Row],[Home Differential]])-Table4[[#This Row],[Away Differential]]</f>
        <v>1.2274359803433943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0.69416170190734872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9.3537064580209425E-2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-0.52712659907212012</v>
      </c>
      <c r="H361" t="s">
        <v>39</v>
      </c>
      <c r="I361">
        <f>VLOOKUP(Table4[[#This Row],[Visitor]],'NHL Model'!$A$6:$B$38,2,FALSE)</f>
        <v>0.57904383162035133</v>
      </c>
      <c r="J361">
        <f>($B$1+Table4[[#This Row],[Home Differential]])-Table4[[#This Row],[Away Differential]]</f>
        <v>-1.0624312761642818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0.66396236725947344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0.11292129061785701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-1.1472178948952137E-2</v>
      </c>
      <c r="H362" t="s">
        <v>38</v>
      </c>
      <c r="I362">
        <f>VLOOKUP(Table4[[#This Row],[Visitor]],'NHL Model'!$A$6:$B$38,2,FALSE)</f>
        <v>-0.81685014566908176</v>
      </c>
      <c r="J362">
        <f>($B$1+Table4[[#This Row],[Home Differential]])-Table4[[#This Row],[Away Differential]]</f>
        <v>0.84911712124831917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0.69188215671175635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0.47870091877611137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0.36021966242194059</v>
      </c>
      <c r="H363" t="s">
        <v>15</v>
      </c>
      <c r="I363">
        <f>VLOOKUP(Table4[[#This Row],[Visitor]],'NHL Model'!$A$6:$B$38,2,FALSE)</f>
        <v>-2.5710604859208615E-2</v>
      </c>
      <c r="J363">
        <f>($B$1+Table4[[#This Row],[Home Differential]])-Table4[[#This Row],[Away Differential]]</f>
        <v>0.42966942180933881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0.51184218874699605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0.26198242618131551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-0.38525981166347251</v>
      </c>
      <c r="H364" t="s">
        <v>19</v>
      </c>
      <c r="I364">
        <f>VLOOKUP(Table4[[#This Row],[Visitor]],'NHL Model'!$A$6:$B$38,2,FALSE)</f>
        <v>-0.18941601188968307</v>
      </c>
      <c r="J364">
        <f>($B$1+Table4[[#This Row],[Home Differential]])-Table4[[#This Row],[Away Differential]]</f>
        <v>-0.15210464524559983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0.47631560161324793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0.27424534911369447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-9.5800647102357028E-2</v>
      </c>
      <c r="H365" t="s">
        <v>34</v>
      </c>
      <c r="I365">
        <f>VLOOKUP(Table4[[#This Row],[Visitor]],'NHL Model'!$A$6:$B$38,2,FALSE)</f>
        <v>-6.7671768126352963E-2</v>
      </c>
      <c r="J365">
        <f>($B$1+Table4[[#This Row],[Home Differential]])-Table4[[#This Row],[Away Differential]]</f>
        <v>1.5610275552185533E-2</v>
      </c>
      <c r="K365" t="str">
        <f>IF(Table4[[#This Row],[HomeIce Differential]]&gt;0,Table4[[#This Row],[Home]],Table4[[#This Row],[Visitor]])</f>
        <v>Chicago Blackhawks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0.50238771290752104</v>
      </c>
      <c r="M365" t="str">
        <f>IF(OR((NHL2025_26Results[[#This Row],[Winning Team]]="")),"-",IF(Table4[[#This Row],[Predicted Winner]]=NHL2025_26Results[[#This Row],[Winning Team]],"YES","NO"))</f>
        <v>NO</v>
      </c>
      <c r="N365">
        <f>IF(Table4[[#This Row],[Adjusted Correct]]="-", "",IF(Table4[[#This Row],[Adjusted Correct]]="YES",(Table4[[#This Row],[Strength of Win]]-1)^2,(Table4[[#This Row],[Strength of Win]]-0)^2))</f>
        <v>0.2523934140804498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1.5507956238651657</v>
      </c>
      <c r="H366" t="s">
        <v>33</v>
      </c>
      <c r="I366">
        <f>VLOOKUP(Table4[[#This Row],[Visitor]],'NHL Model'!$A$6:$B$38,2,FALSE)</f>
        <v>-0.53773613438999557</v>
      </c>
      <c r="J366">
        <f>($B$1+Table4[[#This Row],[Home Differential]])-Table4[[#This Row],[Away Differential]]</f>
        <v>2.1322709127833508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0.87654036286200276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1.5242282002245946E-2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-0.71226595502109791</v>
      </c>
      <c r="H367" t="s">
        <v>29</v>
      </c>
      <c r="I367">
        <f>VLOOKUP(Table4[[#This Row],[Visitor]],'NHL Model'!$A$6:$B$38,2,FALSE)</f>
        <v>-1.0273405477215618</v>
      </c>
      <c r="J367">
        <f>($B$1+Table4[[#This Row],[Home Differential]])-Table4[[#This Row],[Away Differential]]</f>
        <v>0.35881374722865345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0.58861063443239592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0.34646247896690763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-0.46392840252469486</v>
      </c>
      <c r="H368" t="s">
        <v>27</v>
      </c>
      <c r="I368">
        <f>VLOOKUP(Table4[[#This Row],[Visitor]],'NHL Model'!$A$6:$B$38,2,FALSE)</f>
        <v>-0.13902937841722524</v>
      </c>
      <c r="J368">
        <f>($B$1+Table4[[#This Row],[Home Differential]])-Table4[[#This Row],[Away Differential]]</f>
        <v>-0.28115986957928002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0.53267135523149634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0.21839606222116628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7.5388445740041043E-4</v>
      </c>
      <c r="H369" t="s">
        <v>35</v>
      </c>
      <c r="I369">
        <f>VLOOKUP(Table4[[#This Row],[Visitor]],'NHL Model'!$A$6:$B$38,2,FALSE)</f>
        <v>-1.2915976068889494</v>
      </c>
      <c r="J369">
        <f>($B$1+Table4[[#This Row],[Home Differential]])-Table4[[#This Row],[Away Differential]]</f>
        <v>1.3360906458745394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0.74411768187386784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6.5475760729603108E-2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0.13101659139829774</v>
      </c>
      <c r="H370" t="s">
        <v>21</v>
      </c>
      <c r="I370">
        <f>VLOOKUP(Table4[[#This Row],[Visitor]],'NHL Model'!$A$6:$B$38,2,FALSE)</f>
        <v>-9.0944170863708096E-2</v>
      </c>
      <c r="J370">
        <f>($B$1+Table4[[#This Row],[Home Differential]])-Table4[[#This Row],[Away Differential]]</f>
        <v>0.26569991679019545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0.56850047073856447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0.32319278522996941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6.850792131463232E-2</v>
      </c>
      <c r="H371" t="s">
        <v>23</v>
      </c>
      <c r="I371">
        <f>VLOOKUP(Table4[[#This Row],[Visitor]],'NHL Model'!$A$6:$B$38,2,FALSE)</f>
        <v>-0.43117543965133126</v>
      </c>
      <c r="J371">
        <f>($B$1+Table4[[#This Row],[Home Differential]])-Table4[[#This Row],[Away Differential]]</f>
        <v>0.54342251549415321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0.59829056210713016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0.16137047249220546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-0.69519123816912842</v>
      </c>
      <c r="H372" t="s">
        <v>39</v>
      </c>
      <c r="I372">
        <f>VLOOKUP(Table4[[#This Row],[Visitor]],'NHL Model'!$A$6:$B$38,2,FALSE)</f>
        <v>0.57904383162035133</v>
      </c>
      <c r="J372">
        <f>($B$1+Table4[[#This Row],[Home Differential]])-Table4[[#This Row],[Away Differential]]</f>
        <v>-1.2304959152612902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0.68447611561979982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9.9555321614369932E-2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0.55584102906214949</v>
      </c>
      <c r="H373" t="s">
        <v>16</v>
      </c>
      <c r="I373">
        <f>VLOOKUP(Table4[[#This Row],[Visitor]],'NHL Model'!$A$6:$B$38,2,FALSE)</f>
        <v>-0.94586858045267985</v>
      </c>
      <c r="J373">
        <f>($B$1+Table4[[#This Row],[Home Differential]])-Table4[[#This Row],[Away Differential]]</f>
        <v>1.545448764043019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0.71979016611977786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7.8517551003181682E-2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-4.6200185433750804E-2</v>
      </c>
      <c r="H374" t="s">
        <v>18</v>
      </c>
      <c r="I374">
        <f>VLOOKUP(Table4[[#This Row],[Visitor]],'NHL Model'!$A$6:$B$38,2,FALSE)</f>
        <v>-0.48612387559717724</v>
      </c>
      <c r="J374">
        <f>($B$1+Table4[[#This Row],[Home Differential]])-Table4[[#This Row],[Away Differential]]</f>
        <v>0.48366284469161602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0.57361953340588701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0.32903936910478754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-0.14635285954937219</v>
      </c>
      <c r="H375" t="s">
        <v>36</v>
      </c>
      <c r="I375">
        <f>VLOOKUP(Table4[[#This Row],[Visitor]],'NHL Model'!$A$6:$B$38,2,FALSE)</f>
        <v>-0.35623783458898745</v>
      </c>
      <c r="J375">
        <f>($B$1+Table4[[#This Row],[Home Differential]])-Table4[[#This Row],[Away Differential]]</f>
        <v>0.25362412956780489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0.5636289947934251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0.31767764377184682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0.79843701415173229</v>
      </c>
      <c r="H376" t="s">
        <v>40</v>
      </c>
      <c r="I376">
        <f>VLOOKUP(Table4[[#This Row],[Visitor]],'NHL Model'!$A$6:$B$38,2,FALSE)</f>
        <v>-0.25075515805082654</v>
      </c>
      <c r="J376">
        <f>($B$1+Table4[[#This Row],[Home Differential]])-Table4[[#This Row],[Away Differential]]</f>
        <v>1.0929313267307483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0.67973397460205576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0.10257032702419666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-1.1472178948952137E-2</v>
      </c>
      <c r="H377" t="s">
        <v>13</v>
      </c>
      <c r="I377">
        <f>VLOOKUP(Table4[[#This Row],[Visitor]],'NHL Model'!$A$6:$B$38,2,FALSE)</f>
        <v>-0.31218903714497998</v>
      </c>
      <c r="J377">
        <f>($B$1+Table4[[#This Row],[Home Differential]])-Table4[[#This Row],[Away Differential]]</f>
        <v>0.34445601272421744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0.57266257922512287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0.18261727119452439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-9.0944170863708096E-2</v>
      </c>
      <c r="H378" t="s">
        <v>15</v>
      </c>
      <c r="I378">
        <f>VLOOKUP(Table4[[#This Row],[Visitor]],'NHL Model'!$A$6:$B$38,2,FALSE)</f>
        <v>-2.5710604859208615E-2</v>
      </c>
      <c r="J378">
        <f>($B$1+Table4[[#This Row],[Home Differential]])-Table4[[#This Row],[Away Differential]]</f>
        <v>-2.1494411476309882E-2</v>
      </c>
      <c r="K378" t="str">
        <f>IF(Table4[[#This Row],[HomeIce Differential]]&gt;0,Table4[[#This Row],[Home]],Table4[[#This Row],[Visitor]])</f>
        <v>New York Rangers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0.51659132601764035</v>
      </c>
      <c r="M378" t="str">
        <f>IF(OR((NHL2025_26Results[[#This Row],[Winning Team]]="")),"-",IF(Table4[[#This Row],[Predicted Winner]]=NHL2025_26Results[[#This Row],[Winning Team]],"YES","NO"))</f>
        <v>YES</v>
      </c>
      <c r="N378">
        <f>IF(Table4[[#This Row],[Adjusted Correct]]="-", "",IF(Table4[[#This Row],[Adjusted Correct]]="YES",(Table4[[#This Row],[Strength of Win]]-1)^2,(Table4[[#This Row],[Strength of Win]]-0)^2))</f>
        <v>0.23368394608138329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-0.43117543965133126</v>
      </c>
      <c r="H379" t="s">
        <v>24</v>
      </c>
      <c r="I379">
        <f>VLOOKUP(Table4[[#This Row],[Visitor]],'NHL Model'!$A$6:$B$38,2,FALSE)</f>
        <v>7.5388445740041043E-4</v>
      </c>
      <c r="J379">
        <f>($B$1+Table4[[#This Row],[Home Differential]])-Table4[[#This Row],[Away Differential]]</f>
        <v>-0.38819016958054209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0.51222770098452186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0.23792181568684501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0.36021966242194059</v>
      </c>
      <c r="H380" t="s">
        <v>40</v>
      </c>
      <c r="I380">
        <f>VLOOKUP(Table4[[#This Row],[Visitor]],'NHL Model'!$A$6:$B$38,2,FALSE)</f>
        <v>-0.25075515805082654</v>
      </c>
      <c r="J380">
        <f>($B$1+Table4[[#This Row],[Home Differential]])-Table4[[#This Row],[Away Differential]]</f>
        <v>0.65471397500095674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0.63894869051435654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0.13035804808129789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-0.38525981166347251</v>
      </c>
      <c r="H381" t="s">
        <v>14</v>
      </c>
      <c r="I381">
        <f>VLOOKUP(Table4[[#This Row],[Visitor]],'NHL Model'!$A$6:$B$38,2,FALSE)</f>
        <v>6.850792131463232E-2</v>
      </c>
      <c r="J381">
        <f>($B$1+Table4[[#This Row],[Home Differential]])-Table4[[#This Row],[Away Differential]]</f>
        <v>-0.41002857844991525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0.55812079400243086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0.19525723269304213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-9.5800647102357028E-2</v>
      </c>
      <c r="H382" t="s">
        <v>29</v>
      </c>
      <c r="I382">
        <f>VLOOKUP(Table4[[#This Row],[Visitor]],'NHL Model'!$A$6:$B$38,2,FALSE)</f>
        <v>-1.0273405477215618</v>
      </c>
      <c r="J382">
        <f>($B$1+Table4[[#This Row],[Home Differential]])-Table4[[#This Row],[Away Differential]]</f>
        <v>0.97527905514739432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0.64461392878459789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0.41552711718311464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0.57904383162035133</v>
      </c>
      <c r="H383" t="s">
        <v>55</v>
      </c>
      <c r="I383">
        <f>VLOOKUP(Table4[[#This Row],[Visitor]],'NHL Model'!$A$6:$B$38,2,FALSE)</f>
        <v>-4.6200185433750804E-2</v>
      </c>
      <c r="J383">
        <f>($B$1+Table4[[#This Row],[Home Differential]])-Table4[[#This Row],[Away Differential]]</f>
        <v>0.6689831715822917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0.64400497163184922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0.12673246022284049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-0.71226595502109791</v>
      </c>
      <c r="H384" t="s">
        <v>37</v>
      </c>
      <c r="I384">
        <f>VLOOKUP(Table4[[#This Row],[Visitor]],'NHL Model'!$A$6:$B$38,2,FALSE)</f>
        <v>0.55584102906214949</v>
      </c>
      <c r="J384">
        <f>($B$1+Table4[[#This Row],[Home Differential]])-Table4[[#This Row],[Away Differential]]</f>
        <v>-1.224367829555058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0.65378157435146467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0.11986719825855038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-0.46392840252469486</v>
      </c>
      <c r="H385" t="s">
        <v>16</v>
      </c>
      <c r="I385">
        <f>VLOOKUP(Table4[[#This Row],[Visitor]],'NHL Model'!$A$6:$B$38,2,FALSE)</f>
        <v>-0.94586858045267985</v>
      </c>
      <c r="J385">
        <f>($B$1+Table4[[#This Row],[Home Differential]])-Table4[[#This Row],[Away Differential]]</f>
        <v>0.5256793324561746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0.59638732828194907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0.3556778453352813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-6.7671768126352963E-2</v>
      </c>
      <c r="H386" t="s">
        <v>12</v>
      </c>
      <c r="I386">
        <f>VLOOKUP(Table4[[#This Row],[Visitor]],'NHL Model'!$A$6:$B$38,2,FALSE)</f>
        <v>1.5507956238651657</v>
      </c>
      <c r="J386">
        <f>($B$1+Table4[[#This Row],[Home Differential]])-Table4[[#This Row],[Away Differential]]</f>
        <v>-1.5747282374633291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0.68305304445977355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0.46656146154576539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0.13101659139829774</v>
      </c>
      <c r="H387" t="s">
        <v>27</v>
      </c>
      <c r="I387">
        <f>VLOOKUP(Table4[[#This Row],[Visitor]],'NHL Model'!$A$6:$B$38,2,FALSE)</f>
        <v>-0.13902937841722524</v>
      </c>
      <c r="J387">
        <f>($B$1+Table4[[#This Row],[Home Differential]])-Table4[[#This Row],[Away Differential]]</f>
        <v>0.31378512434371258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0.53114579832729381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0.28211585908073827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-0.53773613438999557</v>
      </c>
      <c r="H388" t="s">
        <v>38</v>
      </c>
      <c r="I388">
        <f>VLOOKUP(Table4[[#This Row],[Visitor]],'NHL Model'!$A$6:$B$38,2,FALSE)</f>
        <v>-0.81685014566908176</v>
      </c>
      <c r="J388">
        <f>($B$1+Table4[[#This Row],[Home Differential]])-Table4[[#This Row],[Away Differential]]</f>
        <v>0.3228531658072758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0.57463105038233386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0.18093874329883658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-1.2915976068889494</v>
      </c>
      <c r="H389" t="s">
        <v>36</v>
      </c>
      <c r="I389">
        <f>VLOOKUP(Table4[[#This Row],[Visitor]],'NHL Model'!$A$6:$B$38,2,FALSE)</f>
        <v>-0.35623783458898745</v>
      </c>
      <c r="J389">
        <f>($B$1+Table4[[#This Row],[Home Differential]])-Table4[[#This Row],[Away Differential]]</f>
        <v>-0.89162061777177248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0.55921641217679896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0.31272299564789152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-0.14635285954937219</v>
      </c>
      <c r="H390" t="s">
        <v>18</v>
      </c>
      <c r="I390">
        <f>VLOOKUP(Table4[[#This Row],[Visitor]],'NHL Model'!$A$6:$B$38,2,FALSE)</f>
        <v>-0.48612387559717724</v>
      </c>
      <c r="J390">
        <f>($B$1+Table4[[#This Row],[Home Differential]])-Table4[[#This Row],[Away Differential]]</f>
        <v>0.38351017057599468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0.52184962878965746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0.27232703506790329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0.79843701415173229</v>
      </c>
      <c r="H391" t="s">
        <v>19</v>
      </c>
      <c r="I391">
        <f>VLOOKUP(Table4[[#This Row],[Visitor]],'NHL Model'!$A$6:$B$38,2,FALSE)</f>
        <v>-0.18941601188968307</v>
      </c>
      <c r="J391">
        <f>($B$1+Table4[[#This Row],[Home Differential]])-Table4[[#This Row],[Away Differential]]</f>
        <v>1.0315921805696049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0.67669212788513577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0.1045279801714414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-9.0944170863708096E-2</v>
      </c>
      <c r="H392" t="s">
        <v>26</v>
      </c>
      <c r="I392">
        <f>VLOOKUP(Table4[[#This Row],[Visitor]],'NHL Model'!$A$6:$B$38,2,FALSE)</f>
        <v>-0.71226595502109791</v>
      </c>
      <c r="J392">
        <f>($B$1+Table4[[#This Row],[Home Differential]])-Table4[[#This Row],[Away Differential]]</f>
        <v>0.66506093868557936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0.66305416134606532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0.11353249818620338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1.5507956238651657</v>
      </c>
      <c r="H393" t="s">
        <v>18</v>
      </c>
      <c r="I393">
        <f>VLOOKUP(Table4[[#This Row],[Visitor]],'NHL Model'!$A$6:$B$38,2,FALSE)</f>
        <v>-0.48612387559717724</v>
      </c>
      <c r="J393">
        <f>($B$1+Table4[[#This Row],[Home Differential]])-Table4[[#This Row],[Away Differential]]</f>
        <v>2.0806586539905325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0.81511142634134881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3.4183784669530488E-2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-0.31218903714497998</v>
      </c>
      <c r="H394" t="s">
        <v>38</v>
      </c>
      <c r="I394">
        <f>VLOOKUP(Table4[[#This Row],[Visitor]],'NHL Model'!$A$6:$B$38,2,FALSE)</f>
        <v>-0.81685014566908176</v>
      </c>
      <c r="J394">
        <f>($B$1+Table4[[#This Row],[Home Differential]])-Table4[[#This Row],[Away Differential]]</f>
        <v>0.54840026305229139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0.59882450336815318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0.16094177909780893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-6.7671768126352963E-2</v>
      </c>
      <c r="H395" t="s">
        <v>23</v>
      </c>
      <c r="I395">
        <f>VLOOKUP(Table4[[#This Row],[Visitor]],'NHL Model'!$A$6:$B$38,2,FALSE)</f>
        <v>-0.43117543965133126</v>
      </c>
      <c r="J395">
        <f>($B$1+Table4[[#This Row],[Home Differential]])-Table4[[#This Row],[Away Differential]]</f>
        <v>0.40724282605316792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0.5836831610172597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0.34068603245510032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7.5388445740041043E-4</v>
      </c>
      <c r="H396" t="s">
        <v>27</v>
      </c>
      <c r="I396">
        <f>VLOOKUP(Table4[[#This Row],[Visitor]],'NHL Model'!$A$6:$B$38,2,FALSE)</f>
        <v>-0.13902937841722524</v>
      </c>
      <c r="J396">
        <f>($B$1+Table4[[#This Row],[Home Differential]])-Table4[[#This Row],[Away Differential]]</f>
        <v>0.18352241740281525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0.57900768284485593</v>
      </c>
      <c r="M396" t="str">
        <f>IF(OR((NHL2025_26Results[[#This Row],[Winning Team]]="")),"-",IF(Table4[[#This Row],[Predicted Winner]]=NHL2025_26Results[[#This Row],[Winning Team]],"YES","NO"))</f>
        <v>NO</v>
      </c>
      <c r="N396">
        <f>IF(Table4[[#This Row],[Adjusted Correct]]="-", "",IF(Table4[[#This Row],[Adjusted Correct]]="YES",(Table4[[#This Row],[Strength of Win]]-1)^2,(Table4[[#This Row],[Strength of Win]]-0)^2))</f>
        <v>0.33524989679336925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-1.0273405477215618</v>
      </c>
      <c r="H397" t="s">
        <v>40</v>
      </c>
      <c r="I397">
        <f>VLOOKUP(Table4[[#This Row],[Visitor]],'NHL Model'!$A$6:$B$38,2,FALSE)</f>
        <v>-0.25075515805082654</v>
      </c>
      <c r="J397">
        <f>($B$1+Table4[[#This Row],[Home Differential]])-Table4[[#This Row],[Away Differential]]</f>
        <v>-0.73284623514254577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0.54218537693665203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0.20959422909063538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-2.5710604859208615E-2</v>
      </c>
      <c r="H398" t="s">
        <v>37</v>
      </c>
      <c r="I398">
        <f>VLOOKUP(Table4[[#This Row],[Visitor]],'NHL Model'!$A$6:$B$38,2,FALSE)</f>
        <v>0.55584102906214949</v>
      </c>
      <c r="J398">
        <f>($B$1+Table4[[#This Row],[Home Differential]])-Table4[[#This Row],[Away Differential]]</f>
        <v>-0.53781247939316856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0.59031196712085354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0.16784428428438458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6.850792131463232E-2</v>
      </c>
      <c r="H399" t="s">
        <v>19</v>
      </c>
      <c r="I399">
        <f>VLOOKUP(Table4[[#This Row],[Visitor]],'NHL Model'!$A$6:$B$38,2,FALSE)</f>
        <v>-0.18941601188968307</v>
      </c>
      <c r="J399">
        <f>($B$1+Table4[[#This Row],[Home Differential]])-Table4[[#This Row],[Away Differential]]</f>
        <v>0.301663087732505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0.57235808316648495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0.32759377536601292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-0.69519123816912842</v>
      </c>
      <c r="H400" t="s">
        <v>17</v>
      </c>
      <c r="I400">
        <f>VLOOKUP(Table4[[#This Row],[Visitor]],'NHL Model'!$A$6:$B$38,2,FALSE)</f>
        <v>-0.52712659907212012</v>
      </c>
      <c r="J400">
        <f>($B$1+Table4[[#This Row],[Home Differential]])-Table4[[#This Row],[Away Differential]]</f>
        <v>-0.12432548456881876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0.47333585225700087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0.27737512451785967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-1.2915976068889494</v>
      </c>
      <c r="H401" t="s">
        <v>55</v>
      </c>
      <c r="I401">
        <f>VLOOKUP(Table4[[#This Row],[Visitor]],'NHL Model'!$A$6:$B$38,2,FALSE)</f>
        <v>-4.6200185433750804E-2</v>
      </c>
      <c r="J401">
        <f>($B$1+Table4[[#This Row],[Home Differential]])-Table4[[#This Row],[Away Differential]]</f>
        <v>-1.2016582669270091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0.58889663906575618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0.3467992515029435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-0.14635285954937219</v>
      </c>
      <c r="H402" t="s">
        <v>33</v>
      </c>
      <c r="I402">
        <f>VLOOKUP(Table4[[#This Row],[Visitor]],'NHL Model'!$A$6:$B$38,2,FALSE)</f>
        <v>-0.53773613438999557</v>
      </c>
      <c r="J402">
        <f>($B$1+Table4[[#This Row],[Home Differential]])-Table4[[#This Row],[Away Differential]]</f>
        <v>0.43512242936881296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0.58667368441711365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0.17083864315332375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0.36021966242194059</v>
      </c>
      <c r="H403" t="s">
        <v>16</v>
      </c>
      <c r="I403">
        <f>VLOOKUP(Table4[[#This Row],[Visitor]],'NHL Model'!$A$6:$B$38,2,FALSE)</f>
        <v>-0.94586858045267985</v>
      </c>
      <c r="J403">
        <f>($B$1+Table4[[#This Row],[Home Differential]])-Table4[[#This Row],[Away Differential]]</f>
        <v>1.3498273974028101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0.71703616098988177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8.0068534187344109E-2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-9.5800647102357028E-2</v>
      </c>
      <c r="H404" t="s">
        <v>31</v>
      </c>
      <c r="I404">
        <f>VLOOKUP(Table4[[#This Row],[Visitor]],'NHL Model'!$A$6:$B$38,2,FALSE)</f>
        <v>-1.1472178948952137E-2</v>
      </c>
      <c r="J404">
        <f>($B$1+Table4[[#This Row],[Home Differential]])-Table4[[#This Row],[Away Differential]]</f>
        <v>-4.0589313625215291E-2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0.48512306933737492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0.23534439240331548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0.57904383162035133</v>
      </c>
      <c r="H405" t="s">
        <v>36</v>
      </c>
      <c r="I405">
        <f>VLOOKUP(Table4[[#This Row],[Visitor]],'NHL Model'!$A$6:$B$38,2,FALSE)</f>
        <v>-0.35623783458898745</v>
      </c>
      <c r="J405">
        <f>($B$1+Table4[[#This Row],[Home Differential]])-Table4[[#This Row],[Away Differential]]</f>
        <v>0.97902082073752839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0.67373567079982555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0.10644841250843981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0.13101659139829774</v>
      </c>
      <c r="H406" t="s">
        <v>22</v>
      </c>
      <c r="I406">
        <f>VLOOKUP(Table4[[#This Row],[Visitor]],'NHL Model'!$A$6:$B$38,2,FALSE)</f>
        <v>0.79843701415173229</v>
      </c>
      <c r="J406">
        <f>($B$1+Table4[[#This Row],[Home Differential]])-Table4[[#This Row],[Away Differential]]</f>
        <v>-0.62368126822524494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0.59952273742529827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0.16038203783932659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-0.43117543965133126</v>
      </c>
      <c r="H407" t="s">
        <v>40</v>
      </c>
      <c r="I407">
        <f>VLOOKUP(Table4[[#This Row],[Visitor]],'NHL Model'!$A$6:$B$38,2,FALSE)</f>
        <v>-0.25075515805082654</v>
      </c>
      <c r="J407">
        <f>($B$1+Table4[[#This Row],[Home Differential]])-Table4[[#This Row],[Away Differential]]</f>
        <v>-0.13668112707231511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0.46810248366320573</v>
      </c>
      <c r="M407" t="str">
        <f>IF(OR((NHL2025_26Results[[#This Row],[Winning Team]]="")),"-",IF(Table4[[#This Row],[Predicted Winner]]=NHL2025_26Results[[#This Row],[Winning Team]],"YES","NO"))</f>
        <v>NO</v>
      </c>
      <c r="N407">
        <f>IF(Table4[[#This Row],[Adjusted Correct]]="-", "",IF(Table4[[#This Row],[Adjusted Correct]]="YES",(Table4[[#This Row],[Strength of Win]]-1)^2,(Table4[[#This Row],[Strength of Win]]-0)^2))</f>
        <v>0.21911993521166179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7.5388445740041043E-4</v>
      </c>
      <c r="H408" t="s">
        <v>28</v>
      </c>
      <c r="I408">
        <f>VLOOKUP(Table4[[#This Row],[Visitor]],'NHL Model'!$A$6:$B$38,2,FALSE)</f>
        <v>-0.38525981166347251</v>
      </c>
      <c r="J408">
        <f>($B$1+Table4[[#This Row],[Home Differential]])-Table4[[#This Row],[Away Differential]]</f>
        <v>0.42975285064906255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0.64344284588043466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0.4140186959147128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-0.13902937841722524</v>
      </c>
      <c r="H409" t="s">
        <v>14</v>
      </c>
      <c r="I409">
        <f>VLOOKUP(Table4[[#This Row],[Visitor]],'NHL Model'!$A$6:$B$38,2,FALSE)</f>
        <v>6.850792131463232E-2</v>
      </c>
      <c r="J409">
        <f>($B$1+Table4[[#This Row],[Home Differential]])-Table4[[#This Row],[Away Differential]]</f>
        <v>-0.16379814520366795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0.5053747903799708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0.24465409799165783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-0.53773613438999557</v>
      </c>
      <c r="H410" t="s">
        <v>55</v>
      </c>
      <c r="I410">
        <f>VLOOKUP(Table4[[#This Row],[Visitor]],'NHL Model'!$A$6:$B$38,2,FALSE)</f>
        <v>-4.6200185433750804E-2</v>
      </c>
      <c r="J410">
        <f>($B$1+Table4[[#This Row],[Home Differential]])-Table4[[#This Row],[Away Differential]]</f>
        <v>-0.44779679442805514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0.50803320825462406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0.25809774068948621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-1.2915976068889494</v>
      </c>
      <c r="H411" t="s">
        <v>31</v>
      </c>
      <c r="I411">
        <f>VLOOKUP(Table4[[#This Row],[Visitor]],'NHL Model'!$A$6:$B$38,2,FALSE)</f>
        <v>-1.1472178948952137E-2</v>
      </c>
      <c r="J411">
        <f>($B$1+Table4[[#This Row],[Home Differential]])-Table4[[#This Row],[Away Differential]]</f>
        <v>-1.2363862734118078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0.6133909915609761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0.14946652540620525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1.5507956238651657</v>
      </c>
      <c r="H412" t="s">
        <v>38</v>
      </c>
      <c r="I412">
        <f>VLOOKUP(Table4[[#This Row],[Visitor]],'NHL Model'!$A$6:$B$38,2,FALSE)</f>
        <v>-0.81685014566908176</v>
      </c>
      <c r="J412">
        <f>($B$1+Table4[[#This Row],[Home Differential]])-Table4[[#This Row],[Away Differential]]</f>
        <v>2.4113849240624372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0.90647970498631492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8.7460455794466912E-3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-0.71226595502109791</v>
      </c>
      <c r="H413" t="s">
        <v>21</v>
      </c>
      <c r="I413">
        <f>VLOOKUP(Table4[[#This Row],[Visitor]],'NHL Model'!$A$6:$B$38,2,FALSE)</f>
        <v>-9.0944170863708096E-2</v>
      </c>
      <c r="J413">
        <f>($B$1+Table4[[#This Row],[Home Differential]])-Table4[[#This Row],[Away Differential]]</f>
        <v>-0.57758262962920026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0.51183251910990823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0.26197252761839457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-0.52712659907212012</v>
      </c>
      <c r="H414" t="s">
        <v>34</v>
      </c>
      <c r="I414">
        <f>VLOOKUP(Table4[[#This Row],[Visitor]],'NHL Model'!$A$6:$B$38,2,FALSE)</f>
        <v>-6.7671768126352963E-2</v>
      </c>
      <c r="J414">
        <f>($B$1+Table4[[#This Row],[Home Differential]])-Table4[[#This Row],[Away Differential]]</f>
        <v>-0.41571567641757756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0.5413662002544235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0.21034496226906557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-0.46392840252469486</v>
      </c>
      <c r="H415" t="s">
        <v>19</v>
      </c>
      <c r="I415">
        <f>VLOOKUP(Table4[[#This Row],[Visitor]],'NHL Model'!$A$6:$B$38,2,FALSE)</f>
        <v>-0.18941601188968307</v>
      </c>
      <c r="J415">
        <f>($B$1+Table4[[#This Row],[Home Differential]])-Table4[[#This Row],[Away Differential]]</f>
        <v>-0.23077323610682218</v>
      </c>
      <c r="K415" t="str">
        <f>IF(Table4[[#This Row],[HomeIce Differential]]&gt;0,Table4[[#This Row],[Home]],Table4[[#This Row],[Visitor]])</f>
        <v>Toronto Maple Leafs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0.48475403809817458</v>
      </c>
      <c r="M415" t="str">
        <f>IF(OR((NHL2025_26Results[[#This Row],[Winning Team]]="")),"-",IF(Table4[[#This Row],[Predicted Winner]]=NHL2025_26Results[[#This Row],[Winning Team]],"YES","NO"))</f>
        <v>YES</v>
      </c>
      <c r="N415">
        <f>IF(Table4[[#This Row],[Adjusted Correct]]="-", "",IF(Table4[[#This Row],[Adjusted Correct]]="YES",(Table4[[#This Row],[Strength of Win]]-1)^2,(Table4[[#This Row],[Strength of Win]]-0)^2))</f>
        <v>0.26547840125613736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-0.31218903714497998</v>
      </c>
      <c r="H416" t="s">
        <v>22</v>
      </c>
      <c r="I416">
        <f>VLOOKUP(Table4[[#This Row],[Visitor]],'NHL Model'!$A$6:$B$38,2,FALSE)</f>
        <v>0.79843701415173229</v>
      </c>
      <c r="J416">
        <f>($B$1+Table4[[#This Row],[Home Differential]])-Table4[[#This Row],[Away Differential]]</f>
        <v>-1.0668868967685228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0.64706347134821862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0.12456419325676969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-0.48612387559717724</v>
      </c>
      <c r="H417" t="s">
        <v>36</v>
      </c>
      <c r="I417">
        <f>VLOOKUP(Table4[[#This Row],[Visitor]],'NHL Model'!$A$6:$B$38,2,FALSE)</f>
        <v>-0.35623783458898745</v>
      </c>
      <c r="J417">
        <f>($B$1+Table4[[#This Row],[Home Differential]])-Table4[[#This Row],[Away Differential]]</f>
        <v>-8.6146886480000184E-2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0.47281675956610392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0.2779221689943831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-1.0273405477215618</v>
      </c>
      <c r="H418" t="s">
        <v>16</v>
      </c>
      <c r="I418">
        <f>VLOOKUP(Table4[[#This Row],[Visitor]],'NHL Model'!$A$6:$B$38,2,FALSE)</f>
        <v>-0.94586858045267985</v>
      </c>
      <c r="J418">
        <f>($B$1+Table4[[#This Row],[Home Differential]])-Table4[[#This Row],[Away Differential]]</f>
        <v>-3.7732812740692401E-2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0.46404743418210781</v>
      </c>
      <c r="M418" t="str">
        <f>IF(OR((NHL2025_26Results[[#This Row],[Winning Team]]="")),"-",IF(Table4[[#This Row],[Predicted Winner]]=NHL2025_26Results[[#This Row],[Winning Team]],"YES","NO"))</f>
        <v>NO</v>
      </c>
      <c r="N418">
        <f>IF(Table4[[#This Row],[Adjusted Correct]]="-", "",IF(Table4[[#This Row],[Adjusted Correct]]="YES",(Table4[[#This Row],[Strength of Win]]-1)^2,(Table4[[#This Row],[Strength of Win]]-0)^2))</f>
        <v>0.21534002117099768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0.13101659139829774</v>
      </c>
      <c r="H419" t="s">
        <v>37</v>
      </c>
      <c r="I419">
        <f>VLOOKUP(Table4[[#This Row],[Visitor]],'NHL Model'!$A$6:$B$38,2,FALSE)</f>
        <v>0.55584102906214949</v>
      </c>
      <c r="J419">
        <f>($B$1+Table4[[#This Row],[Home Differential]])-Table4[[#This Row],[Away Differential]]</f>
        <v>-0.38108528313566215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0.57350052463025836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0.32890285175118156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-2.5710604859208615E-2</v>
      </c>
      <c r="H420" t="s">
        <v>39</v>
      </c>
      <c r="I420">
        <f>VLOOKUP(Table4[[#This Row],[Visitor]],'NHL Model'!$A$6:$B$38,2,FALSE)</f>
        <v>0.57904383162035133</v>
      </c>
      <c r="J420">
        <f>($B$1+Table4[[#This Row],[Home Differential]])-Table4[[#This Row],[Away Differential]]</f>
        <v>-0.5610152819513704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0.61266384924731354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0.37535699217453494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-0.14635285954937219</v>
      </c>
      <c r="H421" t="s">
        <v>10</v>
      </c>
      <c r="I421">
        <f>VLOOKUP(Table4[[#This Row],[Visitor]],'NHL Model'!$A$6:$B$38,2,FALSE)</f>
        <v>-9.5800647102357028E-2</v>
      </c>
      <c r="J421">
        <f>($B$1+Table4[[#This Row],[Home Differential]])-Table4[[#This Row],[Away Differential]]</f>
        <v>-6.8130579188255547E-3</v>
      </c>
      <c r="K421" t="str">
        <f>IF(Table4[[#This Row],[HomeIce Differential]]&gt;0,Table4[[#This Row],[Home]],Table4[[#This Row],[Visitor]])</f>
        <v>Chicago Blackhawks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0.46156030008291299</v>
      </c>
      <c r="M421" t="str">
        <f>IF(OR((NHL2025_26Results[[#This Row],[Winning Team]]="")),"-",IF(Table4[[#This Row],[Predicted Winner]]=NHL2025_26Results[[#This Row],[Winning Team]],"YES","NO"))</f>
        <v>NO</v>
      </c>
      <c r="N421">
        <f>IF(Table4[[#This Row],[Adjusted Correct]]="-", "",IF(Table4[[#This Row],[Adjusted Correct]]="YES",(Table4[[#This Row],[Strength of Win]]-1)^2,(Table4[[#This Row],[Strength of Win]]-0)^2))</f>
        <v>0.21303791061262869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-1.1472178948952137E-2</v>
      </c>
      <c r="H422" t="s">
        <v>55</v>
      </c>
      <c r="I422">
        <f>VLOOKUP(Table4[[#This Row],[Visitor]],'NHL Model'!$A$6:$B$38,2,FALSE)</f>
        <v>-4.6200185433750804E-2</v>
      </c>
      <c r="J422">
        <f>($B$1+Table4[[#This Row],[Home Differential]])-Table4[[#This Row],[Away Differential]]</f>
        <v>7.8467161012988257E-2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0.60921789807479854</v>
      </c>
      <c r="M422" t="str">
        <f>IF(OR((NHL2025_26Results[[#This Row],[Winning Team]]="")),"-",IF(Table4[[#This Row],[Predicted Winner]]=NHL2025_26Results[[#This Row],[Winning Team]],"YES","NO"))</f>
        <v>NO</v>
      </c>
      <c r="N422">
        <f>IF(Table4[[#This Row],[Adjusted Correct]]="-", "",IF(Table4[[#This Row],[Adjusted Correct]]="YES",(Table4[[#This Row],[Strength of Win]]-1)^2,(Table4[[#This Row],[Strength of Win]]-0)^2))</f>
        <v>0.37114644733467561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-0.48612387559717724</v>
      </c>
      <c r="H423" t="s">
        <v>40</v>
      </c>
      <c r="I423">
        <f>VLOOKUP(Table4[[#This Row],[Visitor]],'NHL Model'!$A$6:$B$38,2,FALSE)</f>
        <v>-0.25075515805082654</v>
      </c>
      <c r="J423">
        <f>($B$1+Table4[[#This Row],[Home Differential]])-Table4[[#This Row],[Away Differential]]</f>
        <v>-0.19162956301816109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0.48413142602298193</v>
      </c>
      <c r="M423" t="str">
        <f>IF(OR((NHL2025_26Results[[#This Row],[Winning Team]]="")),"-",IF(Table4[[#This Row],[Predicted Winner]]=NHL2025_26Results[[#This Row],[Winning Team]],"YES","NO"))</f>
        <v>NO</v>
      </c>
      <c r="N423">
        <f>IF(Table4[[#This Row],[Adjusted Correct]]="-", "",IF(Table4[[#This Row],[Adjusted Correct]]="YES",(Table4[[#This Row],[Strength of Win]]-1)^2,(Table4[[#This Row],[Strength of Win]]-0)^2))</f>
        <v>0.23438323766304603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7.5388445740041043E-4</v>
      </c>
      <c r="H424" t="s">
        <v>39</v>
      </c>
      <c r="I424">
        <f>VLOOKUP(Table4[[#This Row],[Visitor]],'NHL Model'!$A$6:$B$38,2,FALSE)</f>
        <v>0.57904383162035133</v>
      </c>
      <c r="J424">
        <f>($B$1+Table4[[#This Row],[Home Differential]])-Table4[[#This Row],[Away Differential]]</f>
        <v>-0.53455079263476135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0.54790496884207673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0.2043899171976836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-0.13902937841722524</v>
      </c>
      <c r="H425" t="s">
        <v>23</v>
      </c>
      <c r="I425">
        <f>VLOOKUP(Table4[[#This Row],[Visitor]],'NHL Model'!$A$6:$B$38,2,FALSE)</f>
        <v>-0.43117543965133126</v>
      </c>
      <c r="J425">
        <f>($B$1+Table4[[#This Row],[Home Differential]])-Table4[[#This Row],[Away Differential]]</f>
        <v>0.33588521576229563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0.60206667736697483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0.15835092926175931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-0.53773613438999557</v>
      </c>
      <c r="H426" t="s">
        <v>22</v>
      </c>
      <c r="I426">
        <f>VLOOKUP(Table4[[#This Row],[Visitor]],'NHL Model'!$A$6:$B$38,2,FALSE)</f>
        <v>0.79843701415173229</v>
      </c>
      <c r="J426">
        <f>($B$1+Table4[[#This Row],[Home Differential]])-Table4[[#This Row],[Away Differential]]</f>
        <v>-1.2924339940135383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0.67125692433403794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0.10807200979831645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-9.0944170863708096E-2</v>
      </c>
      <c r="H427" t="s">
        <v>35</v>
      </c>
      <c r="I427">
        <f>VLOOKUP(Table4[[#This Row],[Visitor]],'NHL Model'!$A$6:$B$38,2,FALSE)</f>
        <v>-1.2915976068889494</v>
      </c>
      <c r="J427">
        <f>($B$1+Table4[[#This Row],[Home Differential]])-Table4[[#This Row],[Away Differential]]</f>
        <v>1.244392590553431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0.72519653982871146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7.5516941722112971E-2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0.36021966242194059</v>
      </c>
      <c r="H428" t="s">
        <v>19</v>
      </c>
      <c r="I428">
        <f>VLOOKUP(Table4[[#This Row],[Visitor]],'NHL Model'!$A$6:$B$38,2,FALSE)</f>
        <v>-0.18941601188968307</v>
      </c>
      <c r="J428">
        <f>($B$1+Table4[[#This Row],[Home Differential]])-Table4[[#This Row],[Away Differential]]</f>
        <v>0.5933748288398133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0.63589479460975817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0.40436218981178651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-0.38525981166347251</v>
      </c>
      <c r="H429" t="s">
        <v>26</v>
      </c>
      <c r="I429">
        <f>VLOOKUP(Table4[[#This Row],[Visitor]],'NHL Model'!$A$6:$B$38,2,FALSE)</f>
        <v>-0.71226595502109791</v>
      </c>
      <c r="J429">
        <f>($B$1+Table4[[#This Row],[Home Differential]])-Table4[[#This Row],[Away Differential]]</f>
        <v>0.37074529788581501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0.57976823042138392</v>
      </c>
      <c r="M429" t="str">
        <f>IF(OR((NHL2025_26Results[[#This Row],[Winning Team]]="")),"-",IF(Table4[[#This Row],[Predicted Winner]]=NHL2025_26Results[[#This Row],[Winning Team]],"YES","NO"))</f>
        <v>YES</v>
      </c>
      <c r="N429">
        <f>IF(Table4[[#This Row],[Adjusted Correct]]="-", "",IF(Table4[[#This Row],[Adjusted Correct]]="YES",(Table4[[#This Row],[Strength of Win]]-1)^2,(Table4[[#This Row],[Strength of Win]]-0)^2))</f>
        <v>0.17659474016317508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-0.94586858045267985</v>
      </c>
      <c r="H430" t="s">
        <v>34</v>
      </c>
      <c r="I430">
        <f>VLOOKUP(Table4[[#This Row],[Visitor]],'NHL Model'!$A$6:$B$38,2,FALSE)</f>
        <v>-6.7671768126352963E-2</v>
      </c>
      <c r="J430">
        <f>($B$1+Table4[[#This Row],[Home Differential]])-Table4[[#This Row],[Away Differential]]</f>
        <v>-0.8344576577981373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0.58879536517892594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0.34667998205618478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-0.52712659907212012</v>
      </c>
      <c r="H431" t="s">
        <v>32</v>
      </c>
      <c r="I431">
        <f>VLOOKUP(Table4[[#This Row],[Visitor]],'NHL Model'!$A$6:$B$38,2,FALSE)</f>
        <v>-0.69519123816912842</v>
      </c>
      <c r="J431">
        <f>($B$1+Table4[[#This Row],[Home Differential]])-Table4[[#This Row],[Away Differential]]</f>
        <v>0.21180379362519791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0.56521474797738402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0.18903821537636969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-0.46392840252469486</v>
      </c>
      <c r="H432" t="s">
        <v>29</v>
      </c>
      <c r="I432">
        <f>VLOOKUP(Table4[[#This Row],[Visitor]],'NHL Model'!$A$6:$B$38,2,FALSE)</f>
        <v>-1.0273405477215618</v>
      </c>
      <c r="J432">
        <f>($B$1+Table4[[#This Row],[Home Differential]])-Table4[[#This Row],[Away Differential]]</f>
        <v>0.60715129972505655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0.60512647072207848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0.36617804556855849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-0.31218903714497998</v>
      </c>
      <c r="H433" t="s">
        <v>10</v>
      </c>
      <c r="I433">
        <f>VLOOKUP(Table4[[#This Row],[Visitor]],'NHL Model'!$A$6:$B$38,2,FALSE)</f>
        <v>-9.5800647102357028E-2</v>
      </c>
      <c r="J433">
        <f>($B$1+Table4[[#This Row],[Home Differential]])-Table4[[#This Row],[Away Differential]]</f>
        <v>-0.17264923551443334</v>
      </c>
      <c r="K433" t="str">
        <f>IF(Table4[[#This Row],[HomeIce Differential]]&gt;0,Table4[[#This Row],[Home]],Table4[[#This Row],[Visitor]])</f>
        <v>Chicago Blackhawks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0.47934882325618561</v>
      </c>
      <c r="M433" t="str">
        <f>IF(OR((NHL2025_26Results[[#This Row],[Winning Team]]="")),"-",IF(Table4[[#This Row],[Predicted Winner]]=NHL2025_26Results[[#This Row],[Winning Team]],"YES","NO"))</f>
        <v>YES</v>
      </c>
      <c r="N433">
        <f>IF(Table4[[#This Row],[Adjusted Correct]]="-", "",IF(Table4[[#This Row],[Adjusted Correct]]="YES",(Table4[[#This Row],[Strength of Win]]-1)^2,(Table4[[#This Row],[Strength of Win]]-0)^2))</f>
        <v>0.27107764784471872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0.13101659139829774</v>
      </c>
      <c r="H434" t="s">
        <v>12</v>
      </c>
      <c r="I434">
        <f>VLOOKUP(Table4[[#This Row],[Visitor]],'NHL Model'!$A$6:$B$38,2,FALSE)</f>
        <v>1.5507956238651657</v>
      </c>
      <c r="J434">
        <f>($B$1+Table4[[#This Row],[Home Differential]])-Table4[[#This Row],[Away Differential]]</f>
        <v>-1.3760398779386782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0.66174061107577242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0.43790063634693671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-0.35623783458898745</v>
      </c>
      <c r="H435" t="s">
        <v>15</v>
      </c>
      <c r="I435">
        <f>VLOOKUP(Table4[[#This Row],[Visitor]],'NHL Model'!$A$6:$B$38,2,FALSE)</f>
        <v>-2.5710604859208615E-2</v>
      </c>
      <c r="J435">
        <f>($B$1+Table4[[#This Row],[Home Differential]])-Table4[[#This Row],[Away Differential]]</f>
        <v>-0.28678807520158922</v>
      </c>
      <c r="K435" t="str">
        <f>IF(Table4[[#This Row],[HomeIce Differential]]&gt;0,Table4[[#This Row],[Home]],Table4[[#This Row],[Visitor]])</f>
        <v>New York Rangers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0.59733474343717152</v>
      </c>
      <c r="M435" t="str">
        <f>IF(OR((NHL2025_26Results[[#This Row],[Winning Team]]="")),"-",IF(Table4[[#This Row],[Predicted Winner]]=NHL2025_26Results[[#This Row],[Winning Team]],"YES","NO"))</f>
        <v>YES</v>
      </c>
      <c r="N435">
        <f>IF(Table4[[#This Row],[Adjusted Correct]]="-", "",IF(Table4[[#This Row],[Adjusted Correct]]="YES",(Table4[[#This Row],[Strength of Win]]-1)^2,(Table4[[#This Row],[Strength of Win]]-0)^2))</f>
        <v>0.16213930884280847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0.55584102906214949</v>
      </c>
      <c r="H436" t="s">
        <v>14</v>
      </c>
      <c r="I436">
        <f>VLOOKUP(Table4[[#This Row],[Visitor]],'NHL Model'!$A$6:$B$38,2,FALSE)</f>
        <v>6.850792131463232E-2</v>
      </c>
      <c r="J436">
        <f>($B$1+Table4[[#This Row],[Home Differential]])-Table4[[#This Row],[Away Differential]]</f>
        <v>0.5310722622757067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0.55696580433257603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0.31021090719583339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-1.1472178948952137E-2</v>
      </c>
      <c r="H437" t="s">
        <v>22</v>
      </c>
      <c r="I437">
        <f>VLOOKUP(Table4[[#This Row],[Visitor]],'NHL Model'!$A$6:$B$38,2,FALSE)</f>
        <v>0.79843701415173229</v>
      </c>
      <c r="J437">
        <f>($B$1+Table4[[#This Row],[Home Differential]])-Table4[[#This Row],[Away Differential]]</f>
        <v>-0.76617003857249488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0.55277195228166454</v>
      </c>
      <c r="M437" t="str">
        <f>IF(OR((NHL2025_26Results[[#This Row],[Winning Team]]="")),"-",IF(Table4[[#This Row],[Predicted Winner]]=NHL2025_26Results[[#This Row],[Winning Team]],"YES","NO"))</f>
        <v>-</v>
      </c>
      <c r="N437" t="str">
        <f>IF(Table4[[#This Row],[Adjusted Correct]]="-", "",IF(Table4[[#This Row],[Adjusted Correct]]="YES",(Table4[[#This Row],[Strength of Win]]-1)^2,(Table4[[#This Row],[Strength of Win]]-0)^2))</f>
        <v/>
      </c>
      <c r="O437">
        <v>-0.76617003857249488</v>
      </c>
      <c r="P437" s="11">
        <v>0.55277195228166454</v>
      </c>
      <c r="Q437" t="s">
        <v>22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0.57904383162035133</v>
      </c>
      <c r="H438" t="s">
        <v>33</v>
      </c>
      <c r="I438">
        <f>VLOOKUP(Table4[[#This Row],[Visitor]],'NHL Model'!$A$6:$B$38,2,FALSE)</f>
        <v>-0.53773613438999557</v>
      </c>
      <c r="J438">
        <f>($B$1+Table4[[#This Row],[Home Differential]])-Table4[[#This Row],[Away Differential]]</f>
        <v>1.1605191205385363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0.69672988814449488</v>
      </c>
      <c r="M438" t="str">
        <f>IF(OR((NHL2025_26Results[[#This Row],[Winning Team]]="")),"-",IF(Table4[[#This Row],[Predicted Winner]]=NHL2025_26Results[[#This Row],[Winning Team]],"YES","NO"))</f>
        <v>-</v>
      </c>
      <c r="N438" t="str">
        <f>IF(Table4[[#This Row],[Adjusted Correct]]="-", "",IF(Table4[[#This Row],[Adjusted Correct]]="YES",(Table4[[#This Row],[Strength of Win]]-1)^2,(Table4[[#This Row],[Strength of Win]]-0)^2))</f>
        <v/>
      </c>
      <c r="O438">
        <v>1.1605191205385363</v>
      </c>
      <c r="P438" s="11">
        <v>0.69672988814449488</v>
      </c>
      <c r="Q438" t="s">
        <v>39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7.5388445740041043E-4</v>
      </c>
      <c r="H439" t="s">
        <v>20</v>
      </c>
      <c r="I439">
        <f>VLOOKUP(Table4[[#This Row],[Visitor]],'NHL Model'!$A$6:$B$38,2,FALSE)</f>
        <v>-0.14635285954937219</v>
      </c>
      <c r="J439">
        <f>($B$1+Table4[[#This Row],[Home Differential]])-Table4[[#This Row],[Away Differential]]</f>
        <v>0.1908458985349622</v>
      </c>
      <c r="K439" t="str">
        <f>IF(Table4[[#This Row],[HomeIce Differential]]&gt;0,Table4[[#This Row],[Home]],Table4[[#This Row],[Visitor]])</f>
        <v>New Jersey Devils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0.62127227490364367</v>
      </c>
      <c r="M439" t="str">
        <f>IF(OR((NHL2025_26Results[[#This Row],[Winning Team]]="")),"-",IF(Table4[[#This Row],[Predicted Winner]]=NHL2025_26Results[[#This Row],[Winning Team]],"YES","NO"))</f>
        <v>-</v>
      </c>
      <c r="N439" t="str">
        <f>IF(Table4[[#This Row],[Adjusted Correct]]="-", "",IF(Table4[[#This Row],[Adjusted Correct]]="YES",(Table4[[#This Row],[Strength of Win]]-1)^2,(Table4[[#This Row],[Strength of Win]]-0)^2))</f>
        <v/>
      </c>
      <c r="O439">
        <v>0.1908458985349622</v>
      </c>
      <c r="P439" s="11">
        <v>0.62127227490364367</v>
      </c>
      <c r="Q439" t="s">
        <v>24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-0.81685014566908176</v>
      </c>
      <c r="H440" t="s">
        <v>55</v>
      </c>
      <c r="I440">
        <f>VLOOKUP(Table4[[#This Row],[Visitor]],'NHL Model'!$A$6:$B$38,2,FALSE)</f>
        <v>-4.6200185433750804E-2</v>
      </c>
      <c r="J440">
        <f>($B$1+Table4[[#This Row],[Home Differential]])-Table4[[#This Row],[Away Differential]]</f>
        <v>-0.72691080570714139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0.53797255037893632</v>
      </c>
      <c r="M440" t="str">
        <f>IF(OR((NHL2025_26Results[[#This Row],[Winning Team]]="")),"-",IF(Table4[[#This Row],[Predicted Winner]]=NHL2025_26Results[[#This Row],[Winning Team]],"YES","NO"))</f>
        <v>-</v>
      </c>
      <c r="N440" t="str">
        <f>IF(Table4[[#This Row],[Adjusted Correct]]="-", "",IF(Table4[[#This Row],[Adjusted Correct]]="YES",(Table4[[#This Row],[Strength of Win]]-1)^2,(Table4[[#This Row],[Strength of Win]]-0)^2))</f>
        <v/>
      </c>
      <c r="O440">
        <v>-0.72691080570714139</v>
      </c>
      <c r="P440" s="11">
        <v>0.53797255037893632</v>
      </c>
      <c r="Q440" t="s">
        <v>55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-0.25075515805082654</v>
      </c>
      <c r="H441" t="s">
        <v>23</v>
      </c>
      <c r="I441">
        <f>VLOOKUP(Table4[[#This Row],[Visitor]],'NHL Model'!$A$6:$B$38,2,FALSE)</f>
        <v>-0.43117543965133126</v>
      </c>
      <c r="J441">
        <f>($B$1+Table4[[#This Row],[Home Differential]])-Table4[[#This Row],[Away Differential]]</f>
        <v>0.22415943612869432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0.56654008383703025</v>
      </c>
      <c r="M441" t="str">
        <f>IF(OR((NHL2025_26Results[[#This Row],[Winning Team]]="")),"-",IF(Table4[[#This Row],[Predicted Winner]]=NHL2025_26Results[[#This Row],[Winning Team]],"YES","NO"))</f>
        <v>-</v>
      </c>
      <c r="N441" t="str">
        <f>IF(Table4[[#This Row],[Adjusted Correct]]="-", "",IF(Table4[[#This Row],[Adjusted Correct]]="YES",(Table4[[#This Row],[Strength of Win]]-1)^2,(Table4[[#This Row],[Strength of Win]]-0)^2))</f>
        <v/>
      </c>
      <c r="O441">
        <v>0.22415943612869432</v>
      </c>
      <c r="P441" s="11">
        <v>0.56654008383703025</v>
      </c>
      <c r="Q441" t="s">
        <v>40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-9.0944170863708096E-2</v>
      </c>
      <c r="H442" t="s">
        <v>24</v>
      </c>
      <c r="I442">
        <f>VLOOKUP(Table4[[#This Row],[Visitor]],'NHL Model'!$A$6:$B$38,2,FALSE)</f>
        <v>7.5388445740041043E-4</v>
      </c>
      <c r="J442">
        <f>($B$1+Table4[[#This Row],[Home Differential]])-Table4[[#This Row],[Away Differential]]</f>
        <v>-4.795890079291891E-2</v>
      </c>
      <c r="K442" t="str">
        <f>IF(Table4[[#This Row],[HomeIce Differential]]&gt;0,Table4[[#This Row],[Home]],Table4[[#This Row],[Visitor]])</f>
        <v>New Jersey Devils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0.43371577059913652</v>
      </c>
      <c r="M442" t="str">
        <f>IF(OR((NHL2025_26Results[[#This Row],[Winning Team]]="")),"-",IF(Table4[[#This Row],[Predicted Winner]]=NHL2025_26Results[[#This Row],[Winning Team]],"YES","NO"))</f>
        <v>-</v>
      </c>
      <c r="N442" t="str">
        <f>IF(Table4[[#This Row],[Adjusted Correct]]="-", "",IF(Table4[[#This Row],[Adjusted Correct]]="YES",(Table4[[#This Row],[Strength of Win]]-1)^2,(Table4[[#This Row],[Strength of Win]]-0)^2))</f>
        <v/>
      </c>
      <c r="P442" s="11"/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0.36021966242194059</v>
      </c>
      <c r="H443" t="s">
        <v>29</v>
      </c>
      <c r="I443">
        <f>VLOOKUP(Table4[[#This Row],[Visitor]],'NHL Model'!$A$6:$B$38,2,FALSE)</f>
        <v>-1.0273405477215618</v>
      </c>
      <c r="J443">
        <f>($B$1+Table4[[#This Row],[Home Differential]])-Table4[[#This Row],[Away Differential]]</f>
        <v>1.4312993646716921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0.72577530343001118</v>
      </c>
      <c r="M443" t="str">
        <f>IF(OR((NHL2025_26Results[[#This Row],[Winning Team]]="")),"-",IF(Table4[[#This Row],[Predicted Winner]]=NHL2025_26Results[[#This Row],[Winning Team]],"YES","NO"))</f>
        <v>-</v>
      </c>
      <c r="N443" t="str">
        <f>IF(Table4[[#This Row],[Adjusted Correct]]="-", "",IF(Table4[[#This Row],[Adjusted Correct]]="YES",(Table4[[#This Row],[Strength of Win]]-1)^2,(Table4[[#This Row],[Strength of Win]]-0)^2))</f>
        <v/>
      </c>
      <c r="P443" s="11"/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-0.94586858045267985</v>
      </c>
      <c r="H444" t="s">
        <v>55</v>
      </c>
      <c r="I444">
        <f>VLOOKUP(Table4[[#This Row],[Visitor]],'NHL Model'!$A$6:$B$38,2,FALSE)</f>
        <v>-4.6200185433750804E-2</v>
      </c>
      <c r="J444">
        <f>($B$1+Table4[[#This Row],[Home Differential]])-Table4[[#This Row],[Away Differential]]</f>
        <v>-0.85592924049073948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0.55181179492860188</v>
      </c>
      <c r="M444" t="str">
        <f>IF(OR((NHL2025_26Results[[#This Row],[Winning Team]]="")),"-",IF(Table4[[#This Row],[Predicted Winner]]=NHL2025_26Results[[#This Row],[Winning Team]],"YES","NO"))</f>
        <v>-</v>
      </c>
      <c r="N444" t="str">
        <f>IF(Table4[[#This Row],[Adjusted Correct]]="-", "",IF(Table4[[#This Row],[Adjusted Correct]]="YES",(Table4[[#This Row],[Strength of Win]]-1)^2,(Table4[[#This Row],[Strength of Win]]-0)^2))</f>
        <v/>
      </c>
      <c r="P444" s="11"/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-0.52712659907212012</v>
      </c>
      <c r="H445" t="s">
        <v>40</v>
      </c>
      <c r="I445">
        <f>VLOOKUP(Table4[[#This Row],[Visitor]],'NHL Model'!$A$6:$B$38,2,FALSE)</f>
        <v>-0.25075515805082654</v>
      </c>
      <c r="J445">
        <f>($B$1+Table4[[#This Row],[Home Differential]])-Table4[[#This Row],[Away Differential]]</f>
        <v>-0.23263228649310397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0.48603129463284417</v>
      </c>
      <c r="M445" t="str">
        <f>IF(OR((NHL2025_26Results[[#This Row],[Winning Team]]="")),"-",IF(Table4[[#This Row],[Predicted Winner]]=NHL2025_26Results[[#This Row],[Winning Team]],"YES","NO"))</f>
        <v>-</v>
      </c>
      <c r="N445" t="str">
        <f>IF(Table4[[#This Row],[Adjusted Correct]]="-", "",IF(Table4[[#This Row],[Adjusted Correct]]="YES",(Table4[[#This Row],[Strength of Win]]-1)^2,(Table4[[#This Row],[Strength of Win]]-0)^2))</f>
        <v/>
      </c>
      <c r="P445" s="11"/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-0.46392840252469486</v>
      </c>
      <c r="H446" t="s">
        <v>28</v>
      </c>
      <c r="I446">
        <f>VLOOKUP(Table4[[#This Row],[Visitor]],'NHL Model'!$A$6:$B$38,2,FALSE)</f>
        <v>-0.38525981166347251</v>
      </c>
      <c r="J446">
        <f>($B$1+Table4[[#This Row],[Home Differential]])-Table4[[#This Row],[Away Differential]]</f>
        <v>-3.4929436333032748E-2</v>
      </c>
      <c r="K446" t="str">
        <f>IF(Table4[[#This Row],[HomeIce Differential]]&gt;0,Table4[[#This Row],[Home]],Table4[[#This Row],[Visitor]])</f>
        <v>Columbus Blue Jackets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0.4673228871673023</v>
      </c>
      <c r="M446" t="str">
        <f>IF(OR((NHL2025_26Results[[#This Row],[Winning Team]]="")),"-",IF(Table4[[#This Row],[Predicted Winner]]=NHL2025_26Results[[#This Row],[Winning Team]],"YES","NO"))</f>
        <v>-</v>
      </c>
      <c r="N446" t="str">
        <f>IF(Table4[[#This Row],[Adjusted Correct]]="-", "",IF(Table4[[#This Row],[Adjusted Correct]]="YES",(Table4[[#This Row],[Strength of Win]]-1)^2,(Table4[[#This Row],[Strength of Win]]-0)^2))</f>
        <v/>
      </c>
      <c r="P446" s="11"/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-0.31218903714497998</v>
      </c>
      <c r="H447" t="s">
        <v>10</v>
      </c>
      <c r="I447">
        <f>VLOOKUP(Table4[[#This Row],[Visitor]],'NHL Model'!$A$6:$B$38,2,FALSE)</f>
        <v>-9.5800647102357028E-2</v>
      </c>
      <c r="J447">
        <f>($B$1+Table4[[#This Row],[Home Differential]])-Table4[[#This Row],[Away Differential]]</f>
        <v>-0.17264923551443334</v>
      </c>
      <c r="K447" t="str">
        <f>IF(Table4[[#This Row],[HomeIce Differential]]&gt;0,Table4[[#This Row],[Home]],Table4[[#This Row],[Visitor]])</f>
        <v>Chicago Blackhawks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0.47934882325618561</v>
      </c>
      <c r="M447" t="str">
        <f>IF(OR((NHL2025_26Results[[#This Row],[Winning Team]]="")),"-",IF(Table4[[#This Row],[Predicted Winner]]=NHL2025_26Results[[#This Row],[Winning Team]],"YES","NO"))</f>
        <v>-</v>
      </c>
      <c r="N447" t="str">
        <f>IF(Table4[[#This Row],[Adjusted Correct]]="-", "",IF(Table4[[#This Row],[Adjusted Correct]]="YES",(Table4[[#This Row],[Strength of Win]]-1)^2,(Table4[[#This Row],[Strength of Win]]-0)^2))</f>
        <v/>
      </c>
      <c r="P447" s="11"/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-2.5710604859208615E-2</v>
      </c>
      <c r="H448" t="s">
        <v>12</v>
      </c>
      <c r="I448">
        <f>VLOOKUP(Table4[[#This Row],[Visitor]],'NHL Model'!$A$6:$B$38,2,FALSE)</f>
        <v>1.5507956238651657</v>
      </c>
      <c r="J448">
        <f>($B$1+Table4[[#This Row],[Home Differential]])-Table4[[#This Row],[Away Differential]]</f>
        <v>-1.5327670741961847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0.67855205356636761</v>
      </c>
      <c r="M448" t="str">
        <f>IF(OR((NHL2025_26Results[[#This Row],[Winning Team]]="")),"-",IF(Table4[[#This Row],[Predicted Winner]]=NHL2025_26Results[[#This Row],[Winning Team]],"YES","NO"))</f>
        <v>-</v>
      </c>
      <c r="N448" t="str">
        <f>IF(Table4[[#This Row],[Adjusted Correct]]="-", "",IF(Table4[[#This Row],[Adjusted Correct]]="YES",(Table4[[#This Row],[Strength of Win]]-1)^2,(Table4[[#This Row],[Strength of Win]]-0)^2))</f>
        <v/>
      </c>
      <c r="P448" s="11"/>
    </row>
    <row r="449" spans="4:16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-0.35623783458898745</v>
      </c>
      <c r="H449" t="s">
        <v>35</v>
      </c>
      <c r="I449">
        <f>VLOOKUP(Table4[[#This Row],[Visitor]],'NHL Model'!$A$6:$B$38,2,FALSE)</f>
        <v>-1.2915976068889494</v>
      </c>
      <c r="J449">
        <f>($B$1+Table4[[#This Row],[Home Differential]])-Table4[[#This Row],[Away Differential]]</f>
        <v>0.97909892682815158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0.64502366975244496</v>
      </c>
      <c r="M449" t="str">
        <f>IF(OR((NHL2025_26Results[[#This Row],[Winning Team]]="")),"-",IF(Table4[[#This Row],[Predicted Winner]]=NHL2025_26Results[[#This Row],[Winning Team]],"YES","NO"))</f>
        <v>-</v>
      </c>
      <c r="N449" t="str">
        <f>IF(Table4[[#This Row],[Adjusted Correct]]="-", "",IF(Table4[[#This Row],[Adjusted Correct]]="YES",(Table4[[#This Row],[Strength of Win]]-1)^2,(Table4[[#This Row],[Strength of Win]]-0)^2))</f>
        <v/>
      </c>
      <c r="P449" s="11"/>
    </row>
    <row r="450" spans="4:16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-0.69519123816912842</v>
      </c>
      <c r="H450" t="s">
        <v>26</v>
      </c>
      <c r="I450">
        <f>VLOOKUP(Table4[[#This Row],[Visitor]],'NHL Model'!$A$6:$B$38,2,FALSE)</f>
        <v>-0.71226595502109791</v>
      </c>
      <c r="J450">
        <f>($B$1+Table4[[#This Row],[Home Differential]])-Table4[[#This Row],[Away Differential]]</f>
        <v>6.0813871380159035E-2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0.5465232386321659</v>
      </c>
      <c r="M450" t="str">
        <f>IF(OR((NHL2025_26Results[[#This Row],[Winning Team]]="")),"-",IF(Table4[[#This Row],[Predicted Winner]]=NHL2025_26Results[[#This Row],[Winning Team]],"YES","NO"))</f>
        <v>-</v>
      </c>
      <c r="N450" t="str">
        <f>IF(Table4[[#This Row],[Adjusted Correct]]="-", "",IF(Table4[[#This Row],[Adjusted Correct]]="YES",(Table4[[#This Row],[Strength of Win]]-1)^2,(Table4[[#This Row],[Strength of Win]]-0)^2))</f>
        <v/>
      </c>
      <c r="P450" s="11"/>
    </row>
    <row r="451" spans="4:16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0.55584102906214949</v>
      </c>
      <c r="H451" t="s">
        <v>30</v>
      </c>
      <c r="I451">
        <f>VLOOKUP(Table4[[#This Row],[Visitor]],'NHL Model'!$A$6:$B$38,2,FALSE)</f>
        <v>0.13101659139829774</v>
      </c>
      <c r="J451">
        <f>($B$1+Table4[[#This Row],[Home Differential]])-Table4[[#This Row],[Away Differential]]</f>
        <v>0.4685635921920413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0.53174225351992677</v>
      </c>
      <c r="M451" t="str">
        <f>IF(OR((NHL2025_26Results[[#This Row],[Winning Team]]="")),"-",IF(Table4[[#This Row],[Predicted Winner]]=NHL2025_26Results[[#This Row],[Winning Team]],"YES","NO"))</f>
        <v>-</v>
      </c>
      <c r="N451" t="str">
        <f>IF(Table4[[#This Row],[Adjusted Correct]]="-", "",IF(Table4[[#This Row],[Adjusted Correct]]="YES",(Table4[[#This Row],[Strength of Win]]-1)^2,(Table4[[#This Row],[Strength of Win]]-0)^2))</f>
        <v/>
      </c>
      <c r="P451" s="11"/>
    </row>
    <row r="452" spans="4:16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-0.18941601188968307</v>
      </c>
      <c r="H452" t="s">
        <v>18</v>
      </c>
      <c r="I452">
        <f>VLOOKUP(Table4[[#This Row],[Visitor]],'NHL Model'!$A$6:$B$38,2,FALSE)</f>
        <v>-0.48612387559717724</v>
      </c>
      <c r="J452">
        <f>($B$1+Table4[[#This Row],[Home Differential]])-Table4[[#This Row],[Away Differential]]</f>
        <v>0.3404470182356838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0.51723043233671129</v>
      </c>
      <c r="M452" t="str">
        <f>IF(OR((NHL2025_26Results[[#This Row],[Winning Team]]="")),"-",IF(Table4[[#This Row],[Predicted Winner]]=NHL2025_26Results[[#This Row],[Winning Team]],"YES","NO"))</f>
        <v>-</v>
      </c>
      <c r="N452" t="str">
        <f>IF(Table4[[#This Row],[Adjusted Correct]]="-", "",IF(Table4[[#This Row],[Adjusted Correct]]="YES",(Table4[[#This Row],[Strength of Win]]-1)^2,(Table4[[#This Row],[Strength of Win]]-0)^2))</f>
        <v/>
      </c>
      <c r="P452" s="11"/>
    </row>
    <row r="453" spans="4:16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-0.81685014566908176</v>
      </c>
      <c r="H453" t="s">
        <v>34</v>
      </c>
      <c r="I453">
        <f>VLOOKUP(Table4[[#This Row],[Visitor]],'NHL Model'!$A$6:$B$38,2,FALSE)</f>
        <v>-6.7671768126352963E-2</v>
      </c>
      <c r="J453">
        <f>($B$1+Table4[[#This Row],[Home Differential]])-Table4[[#This Row],[Away Differential]]</f>
        <v>-0.70543922301453921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0.57495612062926027</v>
      </c>
      <c r="M453" t="str">
        <f>IF(OR((NHL2025_26Results[[#This Row],[Winning Team]]="")),"-",IF(Table4[[#This Row],[Predicted Winner]]=NHL2025_26Results[[#This Row],[Winning Team]],"YES","NO"))</f>
        <v>-</v>
      </c>
      <c r="N453" t="str">
        <f>IF(Table4[[#This Row],[Adjusted Correct]]="-", "",IF(Table4[[#This Row],[Adjusted Correct]]="YES",(Table4[[#This Row],[Strength of Win]]-1)^2,(Table4[[#This Row],[Strength of Win]]-0)^2))</f>
        <v/>
      </c>
      <c r="P453" s="11"/>
    </row>
    <row r="454" spans="4:16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-1.1472178948952137E-2</v>
      </c>
      <c r="H454" t="s">
        <v>10</v>
      </c>
      <c r="I454">
        <f>VLOOKUP(Table4[[#This Row],[Visitor]],'NHL Model'!$A$6:$B$38,2,FALSE)</f>
        <v>-9.5800647102357028E-2</v>
      </c>
      <c r="J454">
        <f>($B$1+Table4[[#This Row],[Home Differential]])-Table4[[#This Row],[Away Differential]]</f>
        <v>0.1280676226815945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0.61373725508418753</v>
      </c>
      <c r="M454" t="str">
        <f>IF(OR((NHL2025_26Results[[#This Row],[Winning Team]]="")),"-",IF(Table4[[#This Row],[Predicted Winner]]=NHL2025_26Results[[#This Row],[Winning Team]],"YES","NO"))</f>
        <v>-</v>
      </c>
      <c r="N454" t="str">
        <f>IF(Table4[[#This Row],[Adjusted Correct]]="-", "",IF(Table4[[#This Row],[Adjusted Correct]]="YES",(Table4[[#This Row],[Strength of Win]]-1)^2,(Table4[[#This Row],[Strength of Win]]-0)^2))</f>
        <v/>
      </c>
      <c r="P454" s="11"/>
    </row>
    <row r="455" spans="4:16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0.36021966242194059</v>
      </c>
      <c r="H455" t="s">
        <v>33</v>
      </c>
      <c r="I455">
        <f>VLOOKUP(Table4[[#This Row],[Visitor]],'NHL Model'!$A$6:$B$38,2,FALSE)</f>
        <v>-0.53773613438999557</v>
      </c>
      <c r="J455">
        <f>($B$1+Table4[[#This Row],[Home Differential]])-Table4[[#This Row],[Away Differential]]</f>
        <v>0.94169495134012582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0.67325757431590394</v>
      </c>
      <c r="M455" t="str">
        <f>IF(OR((NHL2025_26Results[[#This Row],[Winning Team]]="")),"-",IF(Table4[[#This Row],[Predicted Winner]]=NHL2025_26Results[[#This Row],[Winning Team]],"YES","NO"))</f>
        <v>-</v>
      </c>
      <c r="N455" t="str">
        <f>IF(Table4[[#This Row],[Adjusted Correct]]="-", "",IF(Table4[[#This Row],[Adjusted Correct]]="YES",(Table4[[#This Row],[Strength of Win]]-1)^2,(Table4[[#This Row],[Strength of Win]]-0)^2))</f>
        <v/>
      </c>
      <c r="P455" s="11"/>
    </row>
    <row r="456" spans="4:16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0.57904383162035133</v>
      </c>
      <c r="H456" t="s">
        <v>14</v>
      </c>
      <c r="I456">
        <f>VLOOKUP(Table4[[#This Row],[Visitor]],'NHL Model'!$A$6:$B$38,2,FALSE)</f>
        <v>6.850792131463232E-2</v>
      </c>
      <c r="J456">
        <f>($B$1+Table4[[#This Row],[Home Differential]])-Table4[[#This Row],[Away Differential]]</f>
        <v>0.55427506483390854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0.57797318624010685</v>
      </c>
      <c r="M456" t="str">
        <f>IF(OR((NHL2025_26Results[[#This Row],[Winning Team]]="")),"-",IF(Table4[[#This Row],[Predicted Winner]]=NHL2025_26Results[[#This Row],[Winning Team]],"YES","NO"))</f>
        <v>-</v>
      </c>
      <c r="N456" t="str">
        <f>IF(Table4[[#This Row],[Adjusted Correct]]="-", "",IF(Table4[[#This Row],[Adjusted Correct]]="YES",(Table4[[#This Row],[Strength of Win]]-1)^2,(Table4[[#This Row],[Strength of Win]]-0)^2))</f>
        <v/>
      </c>
      <c r="P456" s="11"/>
    </row>
    <row r="457" spans="4:16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-0.46392840252469486</v>
      </c>
      <c r="H457" t="s">
        <v>30</v>
      </c>
      <c r="I457">
        <f>VLOOKUP(Table4[[#This Row],[Visitor]],'NHL Model'!$A$6:$B$38,2,FALSE)</f>
        <v>0.13101659139829774</v>
      </c>
      <c r="J457">
        <f>($B$1+Table4[[#This Row],[Home Differential]])-Table4[[#This Row],[Away Differential]]</f>
        <v>-0.55120583939480294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0.5917486144086247</v>
      </c>
      <c r="M457" t="str">
        <f>IF(OR((NHL2025_26Results[[#This Row],[Winning Team]]="")),"-",IF(Table4[[#This Row],[Predicted Winner]]=NHL2025_26Results[[#This Row],[Winning Team]],"YES","NO"))</f>
        <v>-</v>
      </c>
      <c r="N457" t="str">
        <f>IF(Table4[[#This Row],[Adjusted Correct]]="-", "",IF(Table4[[#This Row],[Adjusted Correct]]="YES",(Table4[[#This Row],[Strength of Win]]-1)^2,(Table4[[#This Row],[Strength of Win]]-0)^2))</f>
        <v/>
      </c>
      <c r="P457" s="11"/>
    </row>
    <row r="458" spans="4:16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-0.48612387559717724</v>
      </c>
      <c r="H458" t="s">
        <v>35</v>
      </c>
      <c r="I458">
        <f>VLOOKUP(Table4[[#This Row],[Visitor]],'NHL Model'!$A$6:$B$38,2,FALSE)</f>
        <v>-1.2915976068889494</v>
      </c>
      <c r="J458">
        <f>($B$1+Table4[[#This Row],[Home Differential]])-Table4[[#This Row],[Away Differential]]</f>
        <v>0.84921288581996179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0.63109136086871676</v>
      </c>
      <c r="M458" t="str">
        <f>IF(OR((NHL2025_26Results[[#This Row],[Winning Team]]="")),"-",IF(Table4[[#This Row],[Predicted Winner]]=NHL2025_26Results[[#This Row],[Winning Team]],"YES","NO"))</f>
        <v>-</v>
      </c>
      <c r="N458" t="str">
        <f>IF(Table4[[#This Row],[Adjusted Correct]]="-", "",IF(Table4[[#This Row],[Adjusted Correct]]="YES",(Table4[[#This Row],[Strength of Win]]-1)^2,(Table4[[#This Row],[Strength of Win]]-0)^2))</f>
        <v/>
      </c>
      <c r="P458" s="11"/>
    </row>
    <row r="459" spans="4:16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-2.5710604859208615E-2</v>
      </c>
      <c r="H459" t="s">
        <v>20</v>
      </c>
      <c r="I459">
        <f>VLOOKUP(Table4[[#This Row],[Visitor]],'NHL Model'!$A$6:$B$38,2,FALSE)</f>
        <v>-0.14635285954937219</v>
      </c>
      <c r="J459">
        <f>($B$1+Table4[[#This Row],[Home Differential]])-Table4[[#This Row],[Away Differential]]</f>
        <v>0.16438140921835317</v>
      </c>
      <c r="K459" t="str">
        <f>IF(Table4[[#This Row],[HomeIce Differential]]&gt;0,Table4[[#This Row],[Home]],Table4[[#This Row],[Visitor]])</f>
        <v>New York Rangers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0.55763247651707415</v>
      </c>
      <c r="M459" t="str">
        <f>IF(OR((NHL2025_26Results[[#This Row],[Winning Team]]="")),"-",IF(Table4[[#This Row],[Predicted Winner]]=NHL2025_26Results[[#This Row],[Winning Team]],"YES","NO"))</f>
        <v>-</v>
      </c>
      <c r="N459" t="str">
        <f>IF(Table4[[#This Row],[Adjusted Correct]]="-", "",IF(Table4[[#This Row],[Adjusted Correct]]="YES",(Table4[[#This Row],[Strength of Win]]-1)^2,(Table4[[#This Row],[Strength of Win]]-0)^2))</f>
        <v/>
      </c>
      <c r="P459" s="11"/>
    </row>
    <row r="460" spans="4:16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-0.13902937841722524</v>
      </c>
      <c r="H460" t="s">
        <v>12</v>
      </c>
      <c r="I460">
        <f>VLOOKUP(Table4[[#This Row],[Visitor]],'NHL Model'!$A$6:$B$38,2,FALSE)</f>
        <v>1.5507956238651657</v>
      </c>
      <c r="J460">
        <f>($B$1+Table4[[#This Row],[Home Differential]])-Table4[[#This Row],[Away Differential]]</f>
        <v>-1.6460858477542013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0.66437332452717557</v>
      </c>
      <c r="M460" t="str">
        <f>IF(OR((NHL2025_26Results[[#This Row],[Winning Team]]="")),"-",IF(Table4[[#This Row],[Predicted Winner]]=NHL2025_26Results[[#This Row],[Winning Team]],"YES","NO"))</f>
        <v>-</v>
      </c>
      <c r="N460" t="str">
        <f>IF(Table4[[#This Row],[Adjusted Correct]]="-", "",IF(Table4[[#This Row],[Adjusted Correct]]="YES",(Table4[[#This Row],[Strength of Win]]-1)^2,(Table4[[#This Row],[Strength of Win]]-0)^2))</f>
        <v/>
      </c>
      <c r="P460" s="11"/>
    </row>
    <row r="461" spans="4:16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0.79843701415173229</v>
      </c>
      <c r="H461" t="s">
        <v>28</v>
      </c>
      <c r="I461">
        <f>VLOOKUP(Table4[[#This Row],[Visitor]],'NHL Model'!$A$6:$B$38,2,FALSE)</f>
        <v>-0.38525981166347251</v>
      </c>
      <c r="J461">
        <f>($B$1+Table4[[#This Row],[Home Differential]])-Table4[[#This Row],[Away Differential]]</f>
        <v>1.2274359803433943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0.69416170190734872</v>
      </c>
      <c r="M461" t="str">
        <f>IF(OR((NHL2025_26Results[[#This Row],[Winning Team]]="")),"-",IF(Table4[[#This Row],[Predicted Winner]]=NHL2025_26Results[[#This Row],[Winning Team]],"YES","NO"))</f>
        <v>-</v>
      </c>
      <c r="N461" t="str">
        <f>IF(Table4[[#This Row],[Adjusted Correct]]="-", "",IF(Table4[[#This Row],[Adjusted Correct]]="YES",(Table4[[#This Row],[Strength of Win]]-1)^2,(Table4[[#This Row],[Strength of Win]]-0)^2))</f>
        <v/>
      </c>
      <c r="P461" s="11"/>
    </row>
    <row r="462" spans="4:16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-0.94586858045267985</v>
      </c>
      <c r="H462" t="s">
        <v>23</v>
      </c>
      <c r="I462">
        <f>VLOOKUP(Table4[[#This Row],[Visitor]],'NHL Model'!$A$6:$B$38,2,FALSE)</f>
        <v>-0.43117543965133126</v>
      </c>
      <c r="J462">
        <f>($B$1+Table4[[#This Row],[Home Differential]])-Table4[[#This Row],[Away Differential]]</f>
        <v>-0.47095398627315904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0.51051717918145678</v>
      </c>
      <c r="M462" t="str">
        <f>IF(OR((NHL2025_26Results[[#This Row],[Winning Team]]="")),"-",IF(Table4[[#This Row],[Predicted Winner]]=NHL2025_26Results[[#This Row],[Winning Team]],"YES","NO"))</f>
        <v>-</v>
      </c>
      <c r="N462" t="str">
        <f>IF(Table4[[#This Row],[Adjusted Correct]]="-", "",IF(Table4[[#This Row],[Adjusted Correct]]="YES",(Table4[[#This Row],[Strength of Win]]-1)^2,(Table4[[#This Row],[Strength of Win]]-0)^2))</f>
        <v/>
      </c>
      <c r="P462" s="11"/>
    </row>
    <row r="463" spans="4:16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-0.69519123816912842</v>
      </c>
      <c r="H463" t="s">
        <v>34</v>
      </c>
      <c r="I463">
        <f>VLOOKUP(Table4[[#This Row],[Visitor]],'NHL Model'!$A$6:$B$38,2,FALSE)</f>
        <v>-6.7671768126352963E-2</v>
      </c>
      <c r="J463">
        <f>($B$1+Table4[[#This Row],[Home Differential]])-Table4[[#This Row],[Away Differential]]</f>
        <v>-0.58378031551458587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0.56190630045928991</v>
      </c>
      <c r="M463" t="str">
        <f>IF(OR((NHL2025_26Results[[#This Row],[Winning Team]]="")),"-",IF(Table4[[#This Row],[Predicted Winner]]=NHL2025_26Results[[#This Row],[Winning Team]],"YES","NO"))</f>
        <v>-</v>
      </c>
      <c r="N463" t="str">
        <f>IF(Table4[[#This Row],[Adjusted Correct]]="-", "",IF(Table4[[#This Row],[Adjusted Correct]]="YES",(Table4[[#This Row],[Strength of Win]]-1)^2,(Table4[[#This Row],[Strength of Win]]-0)^2))</f>
        <v/>
      </c>
      <c r="P463" s="11"/>
    </row>
    <row r="464" spans="4:16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-0.18941601188968307</v>
      </c>
      <c r="H464" t="s">
        <v>37</v>
      </c>
      <c r="I464">
        <f>VLOOKUP(Table4[[#This Row],[Visitor]],'NHL Model'!$A$6:$B$38,2,FALSE)</f>
        <v>0.55584102906214949</v>
      </c>
      <c r="J464">
        <f>($B$1+Table4[[#This Row],[Home Differential]])-Table4[[#This Row],[Away Differential]]</f>
        <v>-0.70151788642364299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0.60787193183285226</v>
      </c>
      <c r="M464" t="str">
        <f>IF(OR((NHL2025_26Results[[#This Row],[Winning Team]]="")),"-",IF(Table4[[#This Row],[Predicted Winner]]=NHL2025_26Results[[#This Row],[Winning Team]],"YES","NO"))</f>
        <v>-</v>
      </c>
      <c r="N464" t="str">
        <f>IF(Table4[[#This Row],[Adjusted Correct]]="-", "",IF(Table4[[#This Row],[Adjusted Correct]]="YES",(Table4[[#This Row],[Strength of Win]]-1)^2,(Table4[[#This Row],[Strength of Win]]-0)^2))</f>
        <v/>
      </c>
      <c r="P464" s="11"/>
    </row>
    <row r="465" spans="4:16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-4.6200185433750804E-2</v>
      </c>
      <c r="H465" t="s">
        <v>13</v>
      </c>
      <c r="I465">
        <f>VLOOKUP(Table4[[#This Row],[Visitor]],'NHL Model'!$A$6:$B$38,2,FALSE)</f>
        <v>-0.31218903714497998</v>
      </c>
      <c r="J465">
        <f>($B$1+Table4[[#This Row],[Home Differential]])-Table4[[#This Row],[Away Differential]]</f>
        <v>0.30972800623941876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0.54792905413778914</v>
      </c>
      <c r="M465" t="str">
        <f>IF(OR((NHL2025_26Results[[#This Row],[Winning Team]]="")),"-",IF(Table4[[#This Row],[Predicted Winner]]=NHL2025_26Results[[#This Row],[Winning Team]],"YES","NO"))</f>
        <v>-</v>
      </c>
      <c r="N465" t="str">
        <f>IF(Table4[[#This Row],[Adjusted Correct]]="-", "",IF(Table4[[#This Row],[Adjusted Correct]]="YES",(Table4[[#This Row],[Strength of Win]]-1)^2,(Table4[[#This Row],[Strength of Win]]-0)^2))</f>
        <v/>
      </c>
      <c r="P465" s="11"/>
    </row>
    <row r="466" spans="4:16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-0.81685014566908176</v>
      </c>
      <c r="H466" t="s">
        <v>26</v>
      </c>
      <c r="I466">
        <f>VLOOKUP(Table4[[#This Row],[Visitor]],'NHL Model'!$A$6:$B$38,2,FALSE)</f>
        <v>-0.71226595502109791</v>
      </c>
      <c r="J466">
        <f>($B$1+Table4[[#This Row],[Home Differential]])-Table4[[#This Row],[Away Differential]]</f>
        <v>-6.0845036119794305E-2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0.46652658153780457</v>
      </c>
      <c r="M466" t="str">
        <f>IF(OR((NHL2025_26Results[[#This Row],[Winning Team]]="")),"-",IF(Table4[[#This Row],[Predicted Winner]]=NHL2025_26Results[[#This Row],[Winning Team]],"YES","NO"))</f>
        <v>-</v>
      </c>
      <c r="N466" t="str">
        <f>IF(Table4[[#This Row],[Adjusted Correct]]="-", "",IF(Table4[[#This Row],[Adjusted Correct]]="YES",(Table4[[#This Row],[Strength of Win]]-1)^2,(Table4[[#This Row],[Strength of Win]]-0)^2))</f>
        <v/>
      </c>
      <c r="P466" s="11"/>
    </row>
    <row r="467" spans="4:16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0.36021966242194059</v>
      </c>
      <c r="H467" t="s">
        <v>28</v>
      </c>
      <c r="I467">
        <f>VLOOKUP(Table4[[#This Row],[Visitor]],'NHL Model'!$A$6:$B$38,2,FALSE)</f>
        <v>-0.38525981166347251</v>
      </c>
      <c r="J467">
        <f>($B$1+Table4[[#This Row],[Home Differential]])-Table4[[#This Row],[Away Differential]]</f>
        <v>0.7892186286136027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0.6533764178196495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6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-0.52712659907212012</v>
      </c>
      <c r="H468" t="s">
        <v>23</v>
      </c>
      <c r="I468">
        <f>VLOOKUP(Table4[[#This Row],[Visitor]],'NHL Model'!$A$6:$B$38,2,FALSE)</f>
        <v>-0.43117543965133126</v>
      </c>
      <c r="J468">
        <f>($B$1+Table4[[#This Row],[Home Differential]])-Table4[[#This Row],[Away Differential]]</f>
        <v>-5.2212004892599251E-2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0.46310507474245838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6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-0.48612387559717724</v>
      </c>
      <c r="H469" t="s">
        <v>37</v>
      </c>
      <c r="I469">
        <f>VLOOKUP(Table4[[#This Row],[Visitor]],'NHL Model'!$A$6:$B$38,2,FALSE)</f>
        <v>0.55584102906214949</v>
      </c>
      <c r="J469">
        <f>($B$1+Table4[[#This Row],[Home Differential]])-Table4[[#This Row],[Away Differential]]</f>
        <v>-0.99822575013113712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0.63969848973943511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6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-1.0273405477215618</v>
      </c>
      <c r="H470" t="s">
        <v>12</v>
      </c>
      <c r="I470">
        <f>VLOOKUP(Table4[[#This Row],[Visitor]],'NHL Model'!$A$6:$B$38,2,FALSE)</f>
        <v>1.5507956238651657</v>
      </c>
      <c r="J470">
        <f>($B$1+Table4[[#This Row],[Home Differential]])-Table4[[#This Row],[Away Differential]]</f>
        <v>-2.5343970170585379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0.78599252709861922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6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0.13101659139829774</v>
      </c>
      <c r="H471" t="s">
        <v>20</v>
      </c>
      <c r="I471">
        <f>VLOOKUP(Table4[[#This Row],[Visitor]],'NHL Model'!$A$6:$B$38,2,FALSE)</f>
        <v>-0.14635285954937219</v>
      </c>
      <c r="J471">
        <f>($B$1+Table4[[#This Row],[Home Differential]])-Table4[[#This Row],[Away Differential]]</f>
        <v>0.32110860547585951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0.57444391900766933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6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-0.35623783458898745</v>
      </c>
      <c r="H472" t="s">
        <v>24</v>
      </c>
      <c r="I472">
        <f>VLOOKUP(Table4[[#This Row],[Visitor]],'NHL Model'!$A$6:$B$38,2,FALSE)</f>
        <v>7.5388445740041043E-4</v>
      </c>
      <c r="J472">
        <f>($B$1+Table4[[#This Row],[Home Differential]])-Table4[[#This Row],[Away Differential]]</f>
        <v>-0.31325256451819827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0.51437046654184437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6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-0.13902937841722524</v>
      </c>
      <c r="H473" t="s">
        <v>33</v>
      </c>
      <c r="I473">
        <f>VLOOKUP(Table4[[#This Row],[Visitor]],'NHL Model'!$A$6:$B$38,2,FALSE)</f>
        <v>-0.53773613438999557</v>
      </c>
      <c r="J473">
        <f>($B$1+Table4[[#This Row],[Home Differential]])-Table4[[#This Row],[Away Differential]]</f>
        <v>0.44244591050095994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0.61349697813247539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6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6.850792131463232E-2</v>
      </c>
      <c r="H474" t="s">
        <v>31</v>
      </c>
      <c r="I474">
        <f>VLOOKUP(Table4[[#This Row],[Visitor]],'NHL Model'!$A$6:$B$38,2,FALSE)</f>
        <v>-1.1472178948952137E-2</v>
      </c>
      <c r="J474">
        <f>($B$1+Table4[[#This Row],[Home Differential]])-Table4[[#This Row],[Away Differential]]</f>
        <v>0.12371925479177406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0.53250159386476503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6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-1.2915976068889494</v>
      </c>
      <c r="H475" t="s">
        <v>21</v>
      </c>
      <c r="I475">
        <f>VLOOKUP(Table4[[#This Row],[Visitor]],'NHL Model'!$A$6:$B$38,2,FALSE)</f>
        <v>-9.0944170863708096E-2</v>
      </c>
      <c r="J475">
        <f>($B$1+Table4[[#This Row],[Home Differential]])-Table4[[#This Row],[Away Differential]]</f>
        <v>-1.1569142814970519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0.58409714698130744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6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-0.25075515805082654</v>
      </c>
      <c r="H476" t="s">
        <v>39</v>
      </c>
      <c r="I476">
        <f>VLOOKUP(Table4[[#This Row],[Visitor]],'NHL Model'!$A$6:$B$38,2,FALSE)</f>
        <v>0.57904383162035133</v>
      </c>
      <c r="J476">
        <f>($B$1+Table4[[#This Row],[Home Differential]])-Table4[[#This Row],[Away Differential]]</f>
        <v>-0.78605983514298827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0.63431720867998487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6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-0.94586858045267985</v>
      </c>
      <c r="H477" t="s">
        <v>26</v>
      </c>
      <c r="I477">
        <f>VLOOKUP(Table4[[#This Row],[Visitor]],'NHL Model'!$A$6:$B$38,2,FALSE)</f>
        <v>-0.71226595502109791</v>
      </c>
      <c r="J477">
        <f>($B$1+Table4[[#This Row],[Home Differential]])-Table4[[#This Row],[Away Differential]]</f>
        <v>-0.1898634709033924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0.48036582608747019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6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-9.5800647102357028E-2</v>
      </c>
      <c r="H478" t="s">
        <v>15</v>
      </c>
      <c r="I478">
        <f>VLOOKUP(Table4[[#This Row],[Visitor]],'NHL Model'!$A$6:$B$38,2,FALSE)</f>
        <v>-2.5710604859208615E-2</v>
      </c>
      <c r="J478">
        <f>($B$1+Table4[[#This Row],[Home Differential]])-Table4[[#This Row],[Away Differential]]</f>
        <v>-2.6350887714958814E-2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0.5693987827079936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6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-0.69519123816912842</v>
      </c>
      <c r="H479" t="s">
        <v>13</v>
      </c>
      <c r="I479">
        <f>VLOOKUP(Table4[[#This Row],[Visitor]],'NHL Model'!$A$6:$B$38,2,FALSE)</f>
        <v>-0.31218903714497998</v>
      </c>
      <c r="J479">
        <f>($B$1+Table4[[#This Row],[Home Differential]])-Table4[[#This Row],[Away Differential]]</f>
        <v>-0.3392630464959589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0.56270705615582373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6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-4.6200185433750804E-2</v>
      </c>
      <c r="H480" t="s">
        <v>11</v>
      </c>
      <c r="I480">
        <f>VLOOKUP(Table4[[#This Row],[Visitor]],'NHL Model'!$A$6:$B$38,2,FALSE)</f>
        <v>-0.46392840252469486</v>
      </c>
      <c r="J480">
        <f>($B$1+Table4[[#This Row],[Home Differential]])-Table4[[#This Row],[Away Differential]]</f>
        <v>0.46146737161913365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0.62993076886682042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-0.38525981166347251</v>
      </c>
      <c r="H481" t="s">
        <v>36</v>
      </c>
      <c r="I481">
        <f>VLOOKUP(Table4[[#This Row],[Visitor]],'NHL Model'!$A$6:$B$38,2,FALSE)</f>
        <v>-0.35623783458898745</v>
      </c>
      <c r="J481">
        <f>($B$1+Table4[[#This Row],[Home Differential]])-Table4[[#This Row],[Away Differential]]</f>
        <v>1.4717177453704544E-2</v>
      </c>
      <c r="K481" t="str">
        <f>IF(Table4[[#This Row],[HomeIce Differential]]&gt;0,Table4[[#This Row],[Home]],Table4[[#This Row],[Visitor]])</f>
        <v>Columbus Blue Jackets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0.53800248846920939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1.5507956238651657</v>
      </c>
      <c r="H482" t="s">
        <v>11</v>
      </c>
      <c r="I482">
        <f>VLOOKUP(Table4[[#This Row],[Visitor]],'NHL Model'!$A$6:$B$38,2,FALSE)</f>
        <v>-0.46392840252469486</v>
      </c>
      <c r="J482">
        <f>($B$1+Table4[[#This Row],[Home Differential]])-Table4[[#This Row],[Away Differential]]</f>
        <v>2.05846318091805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0.86862332951205312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-0.52712659907212012</v>
      </c>
      <c r="H483" t="s">
        <v>26</v>
      </c>
      <c r="I483">
        <f>VLOOKUP(Table4[[#This Row],[Visitor]],'NHL Model'!$A$6:$B$38,2,FALSE)</f>
        <v>-0.71226595502109791</v>
      </c>
      <c r="J483">
        <f>($B$1+Table4[[#This Row],[Home Differential]])-Table4[[#This Row],[Away Differential]]</f>
        <v>0.2288785104771674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0.56704627835152821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-6.7671768126352963E-2</v>
      </c>
      <c r="H484" t="s">
        <v>39</v>
      </c>
      <c r="I484">
        <f>VLOOKUP(Table4[[#This Row],[Visitor]],'NHL Model'!$A$6:$B$38,2,FALSE)</f>
        <v>0.57904383162035133</v>
      </c>
      <c r="J484">
        <f>($B$1+Table4[[#This Row],[Home Differential]])-Table4[[#This Row],[Away Differential]]</f>
        <v>-0.60297644521851468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0.61716484014071937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7.5388445740041043E-4</v>
      </c>
      <c r="H485" t="s">
        <v>37</v>
      </c>
      <c r="I485">
        <f>VLOOKUP(Table4[[#This Row],[Visitor]],'NHL Model'!$A$6:$B$38,2,FALSE)</f>
        <v>0.55584102906214949</v>
      </c>
      <c r="J485">
        <f>($B$1+Table4[[#This Row],[Home Differential]])-Table4[[#This Row],[Away Differential]]</f>
        <v>-0.51134799007655951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0.5254383030113331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-1.0273405477215618</v>
      </c>
      <c r="H486" t="s">
        <v>35</v>
      </c>
      <c r="I486">
        <f>VLOOKUP(Table4[[#This Row],[Visitor]],'NHL Model'!$A$6:$B$38,2,FALSE)</f>
        <v>-1.2915976068889494</v>
      </c>
      <c r="J486">
        <f>($B$1+Table4[[#This Row],[Home Differential]])-Table4[[#This Row],[Away Differential]]</f>
        <v>0.30799621369557717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0.57303740995504659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0.13101659139829774</v>
      </c>
      <c r="H487" t="s">
        <v>31</v>
      </c>
      <c r="I487">
        <f>VLOOKUP(Table4[[#This Row],[Visitor]],'NHL Model'!$A$6:$B$38,2,FALSE)</f>
        <v>-1.1472178948952137E-2</v>
      </c>
      <c r="J487">
        <f>($B$1+Table4[[#This Row],[Home Differential]])-Table4[[#This Row],[Away Differential]]</f>
        <v>0.18622792487543949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0.5392066261588957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-0.13902937841722524</v>
      </c>
      <c r="H488" t="s">
        <v>20</v>
      </c>
      <c r="I488">
        <f>VLOOKUP(Table4[[#This Row],[Visitor]],'NHL Model'!$A$6:$B$38,2,FALSE)</f>
        <v>-0.14635285954937219</v>
      </c>
      <c r="J488">
        <f>($B$1+Table4[[#This Row],[Home Differential]])-Table4[[#This Row],[Away Differential]]</f>
        <v>5.1062635660336558E-2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0.57151500197338345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6.850792131463232E-2</v>
      </c>
      <c r="H489" t="s">
        <v>18</v>
      </c>
      <c r="I489">
        <f>VLOOKUP(Table4[[#This Row],[Visitor]],'NHL Model'!$A$6:$B$38,2,FALSE)</f>
        <v>-0.48612387559717724</v>
      </c>
      <c r="J489">
        <f>($B$1+Table4[[#This Row],[Home Differential]])-Table4[[#This Row],[Away Differential]]</f>
        <v>0.59837095143999919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0.54489680724517453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-0.18941601188968307</v>
      </c>
      <c r="H490" t="s">
        <v>33</v>
      </c>
      <c r="I490">
        <f>VLOOKUP(Table4[[#This Row],[Visitor]],'NHL Model'!$A$6:$B$38,2,FALSE)</f>
        <v>-0.53773613438999557</v>
      </c>
      <c r="J490">
        <f>($B$1+Table4[[#This Row],[Home Differential]])-Table4[[#This Row],[Away Differential]]</f>
        <v>0.39205927702850207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0.58205448796416748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-0.81685014566908176</v>
      </c>
      <c r="H491" t="s">
        <v>23</v>
      </c>
      <c r="I491">
        <f>VLOOKUP(Table4[[#This Row],[Visitor]],'NHL Model'!$A$6:$B$38,2,FALSE)</f>
        <v>-0.43117543965133126</v>
      </c>
      <c r="J491">
        <f>($B$1+Table4[[#This Row],[Home Differential]])-Table4[[#This Row],[Away Differential]]</f>
        <v>-0.34193555148956095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0.49667793463179111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-0.25075515805082654</v>
      </c>
      <c r="H492" t="s">
        <v>21</v>
      </c>
      <c r="I492">
        <f>VLOOKUP(Table4[[#This Row],[Visitor]],'NHL Model'!$A$6:$B$38,2,FALSE)</f>
        <v>-9.0944170863708096E-2</v>
      </c>
      <c r="J492">
        <f>($B$1+Table4[[#This Row],[Home Differential]])-Table4[[#This Row],[Away Differential]]</f>
        <v>-0.11607183265892884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0.46995503982566611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0.79843701415173229</v>
      </c>
      <c r="H493" t="s">
        <v>25</v>
      </c>
      <c r="I493">
        <f>VLOOKUP(Table4[[#This Row],[Visitor]],'NHL Model'!$A$6:$B$38,2,FALSE)</f>
        <v>0.36021966242194059</v>
      </c>
      <c r="J493">
        <f>($B$1+Table4[[#This Row],[Home Differential]])-Table4[[#This Row],[Away Differential]]</f>
        <v>0.48195650625798125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0.54536825756858953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-1.2915976068889494</v>
      </c>
      <c r="H494" t="s">
        <v>10</v>
      </c>
      <c r="I494">
        <f>VLOOKUP(Table4[[#This Row],[Visitor]],'NHL Model'!$A$6:$B$38,2,FALSE)</f>
        <v>-9.5800647102357028E-2</v>
      </c>
      <c r="J494">
        <f>($B$1+Table4[[#This Row],[Home Differential]])-Table4[[#This Row],[Away Differential]]</f>
        <v>-1.1520578052584027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0.5844057070531371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-4.6200185433750804E-2</v>
      </c>
      <c r="H495" t="s">
        <v>32</v>
      </c>
      <c r="I495">
        <f>VLOOKUP(Table4[[#This Row],[Visitor]],'NHL Model'!$A$6:$B$38,2,FALSE)</f>
        <v>-0.69519123816912842</v>
      </c>
      <c r="J495">
        <f>($B$1+Table4[[#This Row],[Home Differential]])-Table4[[#This Row],[Away Differential]]</f>
        <v>0.69273020726356727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0.65473732417111186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-0.38525981166347251</v>
      </c>
      <c r="H496" t="s">
        <v>20</v>
      </c>
      <c r="I496">
        <f>VLOOKUP(Table4[[#This Row],[Visitor]],'NHL Model'!$A$6:$B$38,2,FALSE)</f>
        <v>-0.14635285954937219</v>
      </c>
      <c r="J496">
        <f>($B$1+Table4[[#This Row],[Home Differential]])-Table4[[#This Row],[Away Differential]]</f>
        <v>-0.19516779758591071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0.4809347980661941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-9.5800647102357028E-2</v>
      </c>
      <c r="H497" t="s">
        <v>26</v>
      </c>
      <c r="I497">
        <f>VLOOKUP(Table4[[#This Row],[Visitor]],'NHL Model'!$A$6:$B$38,2,FALSE)</f>
        <v>-0.71226595502109791</v>
      </c>
      <c r="J497">
        <f>($B$1+Table4[[#This Row],[Home Differential]])-Table4[[#This Row],[Away Differential]]</f>
        <v>0.66020446244693043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0.61081725199897674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1.5507956238651657</v>
      </c>
      <c r="H498" t="s">
        <v>29</v>
      </c>
      <c r="I498">
        <f>VLOOKUP(Table4[[#This Row],[Visitor]],'NHL Model'!$A$6:$B$38,2,FALSE)</f>
        <v>-1.0273405477215618</v>
      </c>
      <c r="J498">
        <f>($B$1+Table4[[#This Row],[Home Differential]])-Table4[[#This Row],[Away Differential]]</f>
        <v>2.621875326114917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0.92905809197611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0.57904383162035133</v>
      </c>
      <c r="H499" t="s">
        <v>11</v>
      </c>
      <c r="I499">
        <f>VLOOKUP(Table4[[#This Row],[Visitor]],'NHL Model'!$A$6:$B$38,2,FALSE)</f>
        <v>-0.46392840252469486</v>
      </c>
      <c r="J499">
        <f>($B$1+Table4[[#This Row],[Home Differential]])-Table4[[#This Row],[Away Differential]]</f>
        <v>1.0867113886732358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0.68881285479454535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-0.31218903714497998</v>
      </c>
      <c r="H500" t="s">
        <v>16</v>
      </c>
      <c r="I500">
        <f>VLOOKUP(Table4[[#This Row],[Visitor]],'NHL Model'!$A$6:$B$38,2,FALSE)</f>
        <v>-0.94586858045267985</v>
      </c>
      <c r="J500">
        <f>($B$1+Table4[[#This Row],[Home Differential]])-Table4[[#This Row],[Away Differential]]</f>
        <v>0.67741869783588948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0.61266374791781886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-6.7671768126352963E-2</v>
      </c>
      <c r="H501" t="s">
        <v>36</v>
      </c>
      <c r="I501">
        <f>VLOOKUP(Table4[[#This Row],[Visitor]],'NHL Model'!$A$6:$B$38,2,FALSE)</f>
        <v>-0.35623783458898745</v>
      </c>
      <c r="J501">
        <f>($B$1+Table4[[#This Row],[Home Differential]])-Table4[[#This Row],[Away Differential]]</f>
        <v>0.3323052209908241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0.57206877215907159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7.5388445740041043E-4</v>
      </c>
      <c r="H502" t="s">
        <v>31</v>
      </c>
      <c r="I502">
        <f>VLOOKUP(Table4[[#This Row],[Visitor]],'NHL Model'!$A$6:$B$38,2,FALSE)</f>
        <v>-1.1472178948952137E-2</v>
      </c>
      <c r="J502">
        <f>($B$1+Table4[[#This Row],[Home Differential]])-Table4[[#This Row],[Away Differential]]</f>
        <v>5.596521793454215E-2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0.58664830602363571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0.13101659139829774</v>
      </c>
      <c r="H503" t="s">
        <v>37</v>
      </c>
      <c r="I503">
        <f>VLOOKUP(Table4[[#This Row],[Visitor]],'NHL Model'!$A$6:$B$38,2,FALSE)</f>
        <v>0.55584102906214949</v>
      </c>
      <c r="J503">
        <f>($B$1+Table4[[#This Row],[Home Differential]])-Table4[[#This Row],[Away Differential]]</f>
        <v>-0.38108528313566215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0.57350052463025836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-2.5710604859208615E-2</v>
      </c>
      <c r="H504" t="s">
        <v>18</v>
      </c>
      <c r="I504">
        <f>VLOOKUP(Table4[[#This Row],[Visitor]],'NHL Model'!$A$6:$B$38,2,FALSE)</f>
        <v>-0.48612387559717724</v>
      </c>
      <c r="J504">
        <f>($B$1+Table4[[#This Row],[Home Differential]])-Table4[[#This Row],[Away Differential]]</f>
        <v>0.50415242526615822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0.5347903970487099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-0.13902937841722524</v>
      </c>
      <c r="H505" t="s">
        <v>25</v>
      </c>
      <c r="I505">
        <f>VLOOKUP(Table4[[#This Row],[Visitor]],'NHL Model'!$A$6:$B$38,2,FALSE)</f>
        <v>0.36021966242194059</v>
      </c>
      <c r="J505">
        <f>($B$1+Table4[[#This Row],[Home Differential]])-Table4[[#This Row],[Away Differential]]</f>
        <v>-0.45550988631097622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0.5551896718902164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6.850792131463232E-2</v>
      </c>
      <c r="H506" t="s">
        <v>33</v>
      </c>
      <c r="I506">
        <f>VLOOKUP(Table4[[#This Row],[Visitor]],'NHL Model'!$A$6:$B$38,2,FALSE)</f>
        <v>-0.53773613438999557</v>
      </c>
      <c r="J506">
        <f>($B$1+Table4[[#This Row],[Home Differential]])-Table4[[#This Row],[Away Differential]]</f>
        <v>0.64998321023281747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0.60972086287263072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-0.18941601188968307</v>
      </c>
      <c r="H507" t="s">
        <v>17</v>
      </c>
      <c r="I507">
        <f>VLOOKUP(Table4[[#This Row],[Visitor]],'NHL Model'!$A$6:$B$38,2,FALSE)</f>
        <v>-0.52712659907212012</v>
      </c>
      <c r="J507">
        <f>($B$1+Table4[[#This Row],[Home Differential]])-Table4[[#This Row],[Away Differential]]</f>
        <v>0.38144974171062662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0.58091644940348686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-0.25075515805082654</v>
      </c>
      <c r="H508" t="s">
        <v>22</v>
      </c>
      <c r="I508">
        <f>VLOOKUP(Table4[[#This Row],[Visitor]],'NHL Model'!$A$6:$B$38,2,FALSE)</f>
        <v>0.79843701415173229</v>
      </c>
      <c r="J508">
        <f>($B$1+Table4[[#This Row],[Home Differential]])-Table4[[#This Row],[Away Differential]]</f>
        <v>-1.0054530176743692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0.6379710400137234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0.36021966242194059</v>
      </c>
      <c r="H509" t="s">
        <v>27</v>
      </c>
      <c r="I509">
        <f>VLOOKUP(Table4[[#This Row],[Visitor]],'NHL Model'!$A$6:$B$38,2,FALSE)</f>
        <v>-0.13902937841722524</v>
      </c>
      <c r="J509">
        <f>($B$1+Table4[[#This Row],[Home Differential]])-Table4[[#This Row],[Away Differential]]</f>
        <v>0.54298819536735543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0.58836445640991997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-6.7671768126352963E-2</v>
      </c>
      <c r="H510" t="s">
        <v>21</v>
      </c>
      <c r="I510">
        <f>VLOOKUP(Table4[[#This Row],[Visitor]],'NHL Model'!$A$6:$B$38,2,FALSE)</f>
        <v>-9.0944170863708096E-2</v>
      </c>
      <c r="J510">
        <f>($B$1+Table4[[#This Row],[Home Differential]])-Table4[[#This Row],[Away Differential]]</f>
        <v>6.7011557265544724E-2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0.54718803735456334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-0.48612387559717724</v>
      </c>
      <c r="H511" t="s">
        <v>17</v>
      </c>
      <c r="I511">
        <f>VLOOKUP(Table4[[#This Row],[Visitor]],'NHL Model'!$A$6:$B$38,2,FALSE)</f>
        <v>-0.52712659907212012</v>
      </c>
      <c r="J511">
        <f>($B$1+Table4[[#This Row],[Home Differential]])-Table4[[#This Row],[Away Differential]]</f>
        <v>8.4741878003132487E-2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0.5490898914969039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7.5388445740041043E-4</v>
      </c>
      <c r="H512" t="s">
        <v>38</v>
      </c>
      <c r="I512">
        <f>VLOOKUP(Table4[[#This Row],[Visitor]],'NHL Model'!$A$6:$B$38,2,FALSE)</f>
        <v>-0.81685014566908176</v>
      </c>
      <c r="J512">
        <f>($B$1+Table4[[#This Row],[Home Differential]])-Table4[[#This Row],[Away Differential]]</f>
        <v>0.86134318465467175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0.69319359318704787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6.850792131463232E-2</v>
      </c>
      <c r="H513" t="s">
        <v>55</v>
      </c>
      <c r="I513">
        <f>VLOOKUP(Table4[[#This Row],[Visitor]],'NHL Model'!$A$6:$B$38,2,FALSE)</f>
        <v>-4.6200185433750804E-2</v>
      </c>
      <c r="J513">
        <f>($B$1+Table4[[#This Row],[Home Differential]])-Table4[[#This Row],[Away Differential]]</f>
        <v>0.15844726127657272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0.55699594635998506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-0.69519123816912842</v>
      </c>
      <c r="H514" t="s">
        <v>23</v>
      </c>
      <c r="I514">
        <f>VLOOKUP(Table4[[#This Row],[Visitor]],'NHL Model'!$A$6:$B$38,2,FALSE)</f>
        <v>-0.43117543965133126</v>
      </c>
      <c r="J514">
        <f>($B$1+Table4[[#This Row],[Home Differential]])-Table4[[#This Row],[Away Differential]]</f>
        <v>-0.22027664398960761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0.48362811446182075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0.57904383162035133</v>
      </c>
      <c r="H515" t="s">
        <v>13</v>
      </c>
      <c r="I515">
        <f>VLOOKUP(Table4[[#This Row],[Visitor]],'NHL Model'!$A$6:$B$38,2,FALSE)</f>
        <v>-0.31218903714497998</v>
      </c>
      <c r="J515">
        <f>($B$1+Table4[[#This Row],[Home Differential]])-Table4[[#This Row],[Away Differential]]</f>
        <v>0.9349720232935208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0.60661948327442849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-2.5710604859208615E-2</v>
      </c>
      <c r="H516" t="s">
        <v>31</v>
      </c>
      <c r="I516">
        <f>VLOOKUP(Table4[[#This Row],[Visitor]],'NHL Model'!$A$6:$B$38,2,FALSE)</f>
        <v>-1.1472178948952137E-2</v>
      </c>
      <c r="J516">
        <f>($B$1+Table4[[#This Row],[Home Differential]])-Table4[[#This Row],[Away Differential]]</f>
        <v>2.9500728617933118E-2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0.52239518366830051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-1.2915976068889494</v>
      </c>
      <c r="H517" t="s">
        <v>29</v>
      </c>
      <c r="I517">
        <f>VLOOKUP(Table4[[#This Row],[Visitor]],'NHL Model'!$A$6:$B$38,2,FALSE)</f>
        <v>-1.0273405477215618</v>
      </c>
      <c r="J517">
        <f>($B$1+Table4[[#This Row],[Home Differential]])-Table4[[#This Row],[Away Differential]]</f>
        <v>-0.22051790463919807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0.48365399343900334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0.55584102906214949</v>
      </c>
      <c r="H518" t="s">
        <v>11</v>
      </c>
      <c r="I518">
        <f>VLOOKUP(Table4[[#This Row],[Visitor]],'NHL Model'!$A$6:$B$38,2,FALSE)</f>
        <v>-0.46392840252469486</v>
      </c>
      <c r="J518">
        <f>($B$1+Table4[[#This Row],[Home Differential]])-Table4[[#This Row],[Away Differential]]</f>
        <v>1.063508586115034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0.66809454609585039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-0.25075515805082654</v>
      </c>
      <c r="H519" t="s">
        <v>36</v>
      </c>
      <c r="I519">
        <f>VLOOKUP(Table4[[#This Row],[Visitor]],'NHL Model'!$A$6:$B$38,2,FALSE)</f>
        <v>-0.35623783458898745</v>
      </c>
      <c r="J519">
        <f>($B$1+Table4[[#This Row],[Home Differential]])-Table4[[#This Row],[Away Differential]]</f>
        <v>0.14922183106635051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0.5549285304035223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-9.0944170863708096E-2</v>
      </c>
      <c r="H520" t="s">
        <v>55</v>
      </c>
      <c r="I520">
        <f>VLOOKUP(Table4[[#This Row],[Visitor]],'NHL Model'!$A$6:$B$38,2,FALSE)</f>
        <v>-4.6200185433750804E-2</v>
      </c>
      <c r="J520">
        <f>($B$1+Table4[[#This Row],[Home Differential]])-Table4[[#This Row],[Away Differential]]</f>
        <v>-1.0048309017676935E-3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0.40839180749506626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-0.38525981166347251</v>
      </c>
      <c r="H521" t="s">
        <v>31</v>
      </c>
      <c r="I521">
        <f>VLOOKUP(Table4[[#This Row],[Visitor]],'NHL Model'!$A$6:$B$38,2,FALSE)</f>
        <v>-1.1472178948952137E-2</v>
      </c>
      <c r="J521">
        <f>($B$1+Table4[[#This Row],[Home Differential]])-Table4[[#This Row],[Away Differential]]</f>
        <v>-0.33004847818633076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0.51617209091496774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-0.71226595502109791</v>
      </c>
      <c r="H522" t="s">
        <v>30</v>
      </c>
      <c r="I522">
        <f>VLOOKUP(Table4[[#This Row],[Visitor]],'NHL Model'!$A$6:$B$38,2,FALSE)</f>
        <v>0.13101659139829774</v>
      </c>
      <c r="J522">
        <f>($B$1+Table4[[#This Row],[Home Differential]])-Table4[[#This Row],[Away Differential]]</f>
        <v>-0.79954339189120605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0.60821251057104087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-6.7671768126352963E-2</v>
      </c>
      <c r="H523" t="s">
        <v>22</v>
      </c>
      <c r="I523">
        <f>VLOOKUP(Table4[[#This Row],[Visitor]],'NHL Model'!$A$6:$B$38,2,FALSE)</f>
        <v>0.79843701415173229</v>
      </c>
      <c r="J523">
        <f>($B$1+Table4[[#This Row],[Home Differential]])-Table4[[#This Row],[Away Differential]]</f>
        <v>-0.82236962774989564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0.6208351708092994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-0.48612387559717724</v>
      </c>
      <c r="H524" t="s">
        <v>27</v>
      </c>
      <c r="I524">
        <f>VLOOKUP(Table4[[#This Row],[Visitor]],'NHL Model'!$A$6:$B$38,2,FALSE)</f>
        <v>-0.13902937841722524</v>
      </c>
      <c r="J524">
        <f>($B$1+Table4[[#This Row],[Home Differential]])-Table4[[#This Row],[Away Differential]]</f>
        <v>-0.30335534265176239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0.53505216678188294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-2.5710604859208615E-2</v>
      </c>
      <c r="H525" t="s">
        <v>38</v>
      </c>
      <c r="I525">
        <f>VLOOKUP(Table4[[#This Row],[Visitor]],'NHL Model'!$A$6:$B$38,2,FALSE)</f>
        <v>-0.81685014566908176</v>
      </c>
      <c r="J525">
        <f>($B$1+Table4[[#This Row],[Home Differential]])-Table4[[#This Row],[Away Differential]]</f>
        <v>0.83487869533806269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0.62955379480047824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6.850792131463232E-2</v>
      </c>
      <c r="H526" t="s">
        <v>17</v>
      </c>
      <c r="I526">
        <f>VLOOKUP(Table4[[#This Row],[Visitor]],'NHL Model'!$A$6:$B$38,2,FALSE)</f>
        <v>-0.52712659907212012</v>
      </c>
      <c r="J526">
        <f>($B$1+Table4[[#This Row],[Home Differential]])-Table4[[#This Row],[Away Differential]]</f>
        <v>0.63937367491494201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0.6085828243119501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-0.69519123816912842</v>
      </c>
      <c r="H527" t="s">
        <v>12</v>
      </c>
      <c r="I527">
        <f>VLOOKUP(Table4[[#This Row],[Visitor]],'NHL Model'!$A$6:$B$38,2,FALSE)</f>
        <v>1.5507956238651657</v>
      </c>
      <c r="J527">
        <f>($B$1+Table4[[#This Row],[Home Differential]])-Table4[[#This Row],[Away Differential]]</f>
        <v>-2.2022477075061047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0.75036431993885389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-0.53773613438999557</v>
      </c>
      <c r="H528" t="s">
        <v>16</v>
      </c>
      <c r="I528">
        <f>VLOOKUP(Table4[[#This Row],[Visitor]],'NHL Model'!$A$6:$B$38,2,FALSE)</f>
        <v>-0.94586858045267985</v>
      </c>
      <c r="J528">
        <f>($B$1+Table4[[#This Row],[Home Differential]])-Table4[[#This Row],[Away Differential]]</f>
        <v>0.45187160059087389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0.58847029493199943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-0.18941601188968307</v>
      </c>
      <c r="H529" t="s">
        <v>10</v>
      </c>
      <c r="I529">
        <f>VLOOKUP(Table4[[#This Row],[Visitor]],'NHL Model'!$A$6:$B$38,2,FALSE)</f>
        <v>-9.5800647102357028E-2</v>
      </c>
      <c r="J529">
        <f>($B$1+Table4[[#This Row],[Home Differential]])-Table4[[#This Row],[Away Differential]]</f>
        <v>-4.9876210259136439E-2</v>
      </c>
      <c r="K529" t="str">
        <f>IF(Table4[[#This Row],[HomeIce Differential]]&gt;0,Table4[[#This Row],[Home]],Table4[[#This Row],[Visitor]])</f>
        <v>Chicago Blackhawks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0.46617949653585922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-0.71226595502109791</v>
      </c>
      <c r="H530" t="s">
        <v>55</v>
      </c>
      <c r="I530">
        <f>VLOOKUP(Table4[[#This Row],[Visitor]],'NHL Model'!$A$6:$B$38,2,FALSE)</f>
        <v>-4.6200185433750804E-2</v>
      </c>
      <c r="J530">
        <f>($B$1+Table4[[#This Row],[Home Differential]])-Table4[[#This Row],[Away Differential]]</f>
        <v>-0.62232661505915754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0.51663201119435709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-0.46392840252469486</v>
      </c>
      <c r="H531" t="s">
        <v>13</v>
      </c>
      <c r="I531">
        <f>VLOOKUP(Table4[[#This Row],[Visitor]],'NHL Model'!$A$6:$B$38,2,FALSE)</f>
        <v>-0.31218903714497998</v>
      </c>
      <c r="J531">
        <f>($B$1+Table4[[#This Row],[Home Differential]])-Table4[[#This Row],[Away Differential]]</f>
        <v>-0.10800021085152528</v>
      </c>
      <c r="K531" t="str">
        <f>IF(Table4[[#This Row],[HomeIce Differential]]&gt;0,Table4[[#This Row],[Home]],Table4[[#This Row],[Visitor]])</f>
        <v>Los Angeles Kings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0.53790050085153229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-1.0273405477215618</v>
      </c>
      <c r="H532" t="s">
        <v>25</v>
      </c>
      <c r="I532">
        <f>VLOOKUP(Table4[[#This Row],[Visitor]],'NHL Model'!$A$6:$B$38,2,FALSE)</f>
        <v>0.36021966242194059</v>
      </c>
      <c r="J532">
        <f>($B$1+Table4[[#This Row],[Home Differential]])-Table4[[#This Row],[Away Differential]]</f>
        <v>-1.343821055615313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0.67676899021352654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-1.2915976068889494</v>
      </c>
      <c r="H533" t="s">
        <v>40</v>
      </c>
      <c r="I533">
        <f>VLOOKUP(Table4[[#This Row],[Visitor]],'NHL Model'!$A$6:$B$38,2,FALSE)</f>
        <v>-0.25075515805082654</v>
      </c>
      <c r="J533">
        <f>($B$1+Table4[[#This Row],[Home Differential]])-Table4[[#This Row],[Away Differential]]</f>
        <v>-0.99710329430993339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0.57053107863367702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-0.14635285954937219</v>
      </c>
      <c r="H534" t="s">
        <v>24</v>
      </c>
      <c r="I534">
        <f>VLOOKUP(Table4[[#This Row],[Visitor]],'NHL Model'!$A$6:$B$38,2,FALSE)</f>
        <v>7.5388445740041043E-4</v>
      </c>
      <c r="J534">
        <f>($B$1+Table4[[#This Row],[Home Differential]])-Table4[[#This Row],[Away Differential]]</f>
        <v>-0.10336758947858299</v>
      </c>
      <c r="K534" t="str">
        <f>IF(Table4[[#This Row],[HomeIce Differential]]&gt;0,Table4[[#This Row],[Home]],Table4[[#This Row],[Visitor]])</f>
        <v>New Jersey Devils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0.49185702106604351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-9.0944170863708096E-2</v>
      </c>
      <c r="H535" t="s">
        <v>17</v>
      </c>
      <c r="I535">
        <f>VLOOKUP(Table4[[#This Row],[Visitor]],'NHL Model'!$A$6:$B$38,2,FALSE)</f>
        <v>-0.52712659907212012</v>
      </c>
      <c r="J535">
        <f>($B$1+Table4[[#This Row],[Home Differential]])-Table4[[#This Row],[Away Differential]]</f>
        <v>0.47992158273660163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0.64319507045689872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-0.43117543965133126</v>
      </c>
      <c r="H536" t="s">
        <v>27</v>
      </c>
      <c r="I536">
        <f>VLOOKUP(Table4[[#This Row],[Visitor]],'NHL Model'!$A$6:$B$38,2,FALSE)</f>
        <v>-0.13902937841722524</v>
      </c>
      <c r="J536">
        <f>($B$1+Table4[[#This Row],[Home Differential]])-Table4[[#This Row],[Away Differential]]</f>
        <v>-0.24840690670591642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0.51895321730956734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-0.38525981166347251</v>
      </c>
      <c r="H537" t="s">
        <v>34</v>
      </c>
      <c r="I537">
        <f>VLOOKUP(Table4[[#This Row],[Visitor]],'NHL Model'!$A$6:$B$38,2,FALSE)</f>
        <v>-6.7671768126352963E-2</v>
      </c>
      <c r="J537">
        <f>($B$1+Table4[[#This Row],[Home Differential]])-Table4[[#This Row],[Away Differential]]</f>
        <v>-0.27384888900892995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0.52866130867007177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-0.94586858045267985</v>
      </c>
      <c r="H538" t="s">
        <v>32</v>
      </c>
      <c r="I538">
        <f>VLOOKUP(Table4[[#This Row],[Visitor]],'NHL Model'!$A$6:$B$38,2,FALSE)</f>
        <v>-0.69519123816912842</v>
      </c>
      <c r="J538">
        <f>($B$1+Table4[[#This Row],[Home Differential]])-Table4[[#This Row],[Away Differential]]</f>
        <v>-0.20693818775536188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0.48219735646161438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-0.48612387559717724</v>
      </c>
      <c r="H539" t="s">
        <v>10</v>
      </c>
      <c r="I539">
        <f>VLOOKUP(Table4[[#This Row],[Visitor]],'NHL Model'!$A$6:$B$38,2,FALSE)</f>
        <v>-9.5800647102357028E-2</v>
      </c>
      <c r="J539">
        <f>($B$1+Table4[[#This Row],[Home Differential]])-Table4[[#This Row],[Away Differential]]</f>
        <v>-0.3465840739666306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0.49800605444244206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-0.35623783458898745</v>
      </c>
      <c r="H540" t="s">
        <v>14</v>
      </c>
      <c r="I540">
        <f>VLOOKUP(Table4[[#This Row],[Visitor]],'NHL Model'!$A$6:$B$38,2,FALSE)</f>
        <v>6.850792131463232E-2</v>
      </c>
      <c r="J540">
        <f>($B$1+Table4[[#This Row],[Home Differential]])-Table4[[#This Row],[Away Differential]]</f>
        <v>-0.38100660137543019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0.55500773315401608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-0.53773613438999557</v>
      </c>
      <c r="H541" t="s">
        <v>39</v>
      </c>
      <c r="I541">
        <f>VLOOKUP(Table4[[#This Row],[Visitor]],'NHL Model'!$A$6:$B$38,2,FALSE)</f>
        <v>0.57904383162035133</v>
      </c>
      <c r="J541">
        <f>($B$1+Table4[[#This Row],[Home Differential]])-Table4[[#This Row],[Away Differential]]</f>
        <v>-1.0730408114821572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0.66758659366545792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-1.2915976068889494</v>
      </c>
      <c r="H542" t="s">
        <v>15</v>
      </c>
      <c r="I542">
        <f>VLOOKUP(Table4[[#This Row],[Visitor]],'NHL Model'!$A$6:$B$38,2,FALSE)</f>
        <v>-2.5710604859208615E-2</v>
      </c>
      <c r="J542">
        <f>($B$1+Table4[[#This Row],[Home Differential]])-Table4[[#This Row],[Away Differential]]</f>
        <v>-1.2221478475015513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0.69766670493159477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0.55584102906214949</v>
      </c>
      <c r="H543" t="s">
        <v>13</v>
      </c>
      <c r="I543">
        <f>VLOOKUP(Table4[[#This Row],[Visitor]],'NHL Model'!$A$6:$B$38,2,FALSE)</f>
        <v>-0.31218903714497998</v>
      </c>
      <c r="J543">
        <f>($B$1+Table4[[#This Row],[Home Differential]])-Table4[[#This Row],[Away Differential]]</f>
        <v>0.91176922073531896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0.5856063840101462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0.79843701415173229</v>
      </c>
      <c r="H544" t="s">
        <v>19</v>
      </c>
      <c r="I544">
        <f>VLOOKUP(Table4[[#This Row],[Visitor]],'NHL Model'!$A$6:$B$38,2,FALSE)</f>
        <v>-0.18941601188968307</v>
      </c>
      <c r="J544">
        <f>($B$1+Table4[[#This Row],[Home Differential]])-Table4[[#This Row],[Away Differential]]</f>
        <v>1.0315921805696049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0.67669212788513577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-1.1472178948952137E-2</v>
      </c>
      <c r="H545" t="s">
        <v>39</v>
      </c>
      <c r="I545">
        <f>VLOOKUP(Table4[[#This Row],[Visitor]],'NHL Model'!$A$6:$B$38,2,FALSE)</f>
        <v>0.57904383162035133</v>
      </c>
      <c r="J545">
        <f>($B$1+Table4[[#This Row],[Home Differential]])-Table4[[#This Row],[Away Differential]]</f>
        <v>-0.54677685604111392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0.54921640531736815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1.5507956238651657</v>
      </c>
      <c r="H546" t="s">
        <v>40</v>
      </c>
      <c r="I546">
        <f>VLOOKUP(Table4[[#This Row],[Visitor]],'NHL Model'!$A$6:$B$38,2,FALSE)</f>
        <v>-0.25075515805082654</v>
      </c>
      <c r="J546">
        <f>($B$1+Table4[[#This Row],[Home Differential]])-Table4[[#This Row],[Away Differential]]</f>
        <v>1.8452899364441817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0.84246744987966626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-0.46392840252469486</v>
      </c>
      <c r="H547" t="s">
        <v>25</v>
      </c>
      <c r="I547">
        <f>VLOOKUP(Table4[[#This Row],[Visitor]],'NHL Model'!$A$6:$B$38,2,FALSE)</f>
        <v>0.36021966242194059</v>
      </c>
      <c r="J547">
        <f>($B$1+Table4[[#This Row],[Home Differential]])-Table4[[#This Row],[Away Differential]]</f>
        <v>-0.78040891041844584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0.61633422774946967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0.13101659139829774</v>
      </c>
      <c r="H548" t="s">
        <v>38</v>
      </c>
      <c r="I548">
        <f>VLOOKUP(Table4[[#This Row],[Visitor]],'NHL Model'!$A$6:$B$38,2,FALSE)</f>
        <v>-0.81685014566908176</v>
      </c>
      <c r="J548">
        <f>($B$1+Table4[[#This Row],[Home Differential]])-Table4[[#This Row],[Away Differential]]</f>
        <v>0.99160589159556911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0.64636523729107354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-4.6200185433750804E-2</v>
      </c>
      <c r="H549" t="s">
        <v>24</v>
      </c>
      <c r="I549">
        <f>VLOOKUP(Table4[[#This Row],[Visitor]],'NHL Model'!$A$6:$B$38,2,FALSE)</f>
        <v>7.5388445740041043E-4</v>
      </c>
      <c r="J549">
        <f>($B$1+Table4[[#This Row],[Home Differential]])-Table4[[#This Row],[Away Differential]]</f>
        <v>-3.2149153629616157E-3</v>
      </c>
      <c r="K549" t="str">
        <f>IF(Table4[[#This Row],[HomeIce Differential]]&gt;0,Table4[[#This Row],[Home]],Table4[[#This Row],[Visitor]])</f>
        <v>New Jersey Devils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0.44034484994325918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-1.1472178948952137E-2</v>
      </c>
      <c r="H550" t="s">
        <v>28</v>
      </c>
      <c r="I550">
        <f>VLOOKUP(Table4[[#This Row],[Visitor]],'NHL Model'!$A$6:$B$38,2,FALSE)</f>
        <v>-0.38525981166347251</v>
      </c>
      <c r="J550">
        <f>($B$1+Table4[[#This Row],[Home Differential]])-Table4[[#This Row],[Away Differential]]</f>
        <v>0.41752678724270997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0.64213140940514313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-9.0944170863708096E-2</v>
      </c>
      <c r="H551" t="s">
        <v>38</v>
      </c>
      <c r="I551">
        <f>VLOOKUP(Table4[[#This Row],[Visitor]],'NHL Model'!$A$6:$B$38,2,FALSE)</f>
        <v>-0.81685014566908176</v>
      </c>
      <c r="J551">
        <f>($B$1+Table4[[#This Row],[Home Differential]])-Table4[[#This Row],[Away Differential]]</f>
        <v>0.76964512933356322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0.67427245114189149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-0.43117543965133126</v>
      </c>
      <c r="H552" t="s">
        <v>30</v>
      </c>
      <c r="I552">
        <f>VLOOKUP(Table4[[#This Row],[Visitor]],'NHL Model'!$A$6:$B$38,2,FALSE)</f>
        <v>0.13101659139829774</v>
      </c>
      <c r="J552">
        <f>($B$1+Table4[[#This Row],[Home Differential]])-Table4[[#This Row],[Away Differential]]</f>
        <v>-0.51845287652143934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0.57806115747705433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-0.94586858045267985</v>
      </c>
      <c r="H553" t="s">
        <v>20</v>
      </c>
      <c r="I553">
        <f>VLOOKUP(Table4[[#This Row],[Visitor]],'NHL Model'!$A$6:$B$38,2,FALSE)</f>
        <v>-0.14635285954937219</v>
      </c>
      <c r="J553">
        <f>($B$1+Table4[[#This Row],[Home Differential]])-Table4[[#This Row],[Away Differential]]</f>
        <v>-0.75577656637511814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0.54106885457504816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-0.46392840252469486</v>
      </c>
      <c r="H554" t="s">
        <v>35</v>
      </c>
      <c r="I554">
        <f>VLOOKUP(Table4[[#This Row],[Visitor]],'NHL Model'!$A$6:$B$38,2,FALSE)</f>
        <v>-1.2915976068889494</v>
      </c>
      <c r="J554">
        <f>($B$1+Table4[[#This Row],[Home Differential]])-Table4[[#This Row],[Away Differential]]</f>
        <v>0.87140835889244417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0.63347217241910336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-6.7671768126352963E-2</v>
      </c>
      <c r="H555" t="s">
        <v>17</v>
      </c>
      <c r="I555">
        <f>VLOOKUP(Table4[[#This Row],[Visitor]],'NHL Model'!$A$6:$B$38,2,FALSE)</f>
        <v>-0.52712659907212012</v>
      </c>
      <c r="J555">
        <f>($B$1+Table4[[#This Row],[Home Differential]])-Table4[[#This Row],[Away Differential]]</f>
        <v>0.50319398547395677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0.59397542322207963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-0.48612387559717724</v>
      </c>
      <c r="H556" t="s">
        <v>14</v>
      </c>
      <c r="I556">
        <f>VLOOKUP(Table4[[#This Row],[Visitor]],'NHL Model'!$A$6:$B$38,2,FALSE)</f>
        <v>6.850792131463232E-2</v>
      </c>
      <c r="J556">
        <f>($B$1+Table4[[#This Row],[Home Differential]])-Table4[[#This Row],[Away Differential]]</f>
        <v>-0.51089264238361998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0.56894004203774429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-1.0273405477215618</v>
      </c>
      <c r="H557" t="s">
        <v>19</v>
      </c>
      <c r="I557">
        <f>VLOOKUP(Table4[[#This Row],[Visitor]],'NHL Model'!$A$6:$B$38,2,FALSE)</f>
        <v>-0.18941601188968307</v>
      </c>
      <c r="J557">
        <f>($B$1+Table4[[#This Row],[Home Differential]])-Table4[[#This Row],[Away Differential]]</f>
        <v>-0.79418538130368921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0.5451888005622314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-2.5710604859208615E-2</v>
      </c>
      <c r="H558" t="s">
        <v>27</v>
      </c>
      <c r="I558">
        <f>VLOOKUP(Table4[[#This Row],[Visitor]],'NHL Model'!$A$6:$B$38,2,FALSE)</f>
        <v>-0.13902937841722524</v>
      </c>
      <c r="J558">
        <f>($B$1+Table4[[#This Row],[Home Differential]])-Table4[[#This Row],[Away Differential]]</f>
        <v>0.15705792808620622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0.51433435583669851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-0.35623783458898745</v>
      </c>
      <c r="H559" t="s">
        <v>10</v>
      </c>
      <c r="I559">
        <f>VLOOKUP(Table4[[#This Row],[Visitor]],'NHL Model'!$A$6:$B$38,2,FALSE)</f>
        <v>-9.5800647102357028E-2</v>
      </c>
      <c r="J559">
        <f>($B$1+Table4[[#This Row],[Home Differential]])-Table4[[#This Row],[Away Differential]]</f>
        <v>-0.21669803295844081</v>
      </c>
      <c r="K559" t="str">
        <f>IF(Table4[[#This Row],[HomeIce Differential]]&gt;0,Table4[[#This Row],[Home]],Table4[[#This Row],[Visitor]])</f>
        <v>Chicago Blackhawks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0.4840737455587138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-0.53773613438999557</v>
      </c>
      <c r="H560" t="s">
        <v>32</v>
      </c>
      <c r="I560">
        <f>VLOOKUP(Table4[[#This Row],[Visitor]],'NHL Model'!$A$6:$B$38,2,FALSE)</f>
        <v>-0.69519123816912842</v>
      </c>
      <c r="J560">
        <f>($B$1+Table4[[#This Row],[Home Differential]])-Table4[[#This Row],[Away Differential]]</f>
        <v>0.20119425830732246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0.5615812302123635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0.55584102906214949</v>
      </c>
      <c r="H561" t="s">
        <v>25</v>
      </c>
      <c r="I561">
        <f>VLOOKUP(Table4[[#This Row],[Visitor]],'NHL Model'!$A$6:$B$38,2,FALSE)</f>
        <v>0.36021966242194059</v>
      </c>
      <c r="J561">
        <f>($B$1+Table4[[#This Row],[Home Differential]])-Table4[[#This Row],[Away Differential]]</f>
        <v>0.23936052116839845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0.5071566401790818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0.79843701415173229</v>
      </c>
      <c r="H562" t="s">
        <v>26</v>
      </c>
      <c r="I562">
        <f>VLOOKUP(Table4[[#This Row],[Visitor]],'NHL Model'!$A$6:$B$38,2,FALSE)</f>
        <v>-0.71226595502109791</v>
      </c>
      <c r="J562">
        <f>($B$1+Table4[[#This Row],[Home Differential]])-Table4[[#This Row],[Away Differential]]</f>
        <v>1.5544421237010198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0.73277595991976763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-9.0944170863708096E-2</v>
      </c>
      <c r="H563" t="s">
        <v>36</v>
      </c>
      <c r="I563">
        <f>VLOOKUP(Table4[[#This Row],[Visitor]],'NHL Model'!$A$6:$B$38,2,FALSE)</f>
        <v>-0.35623783458898745</v>
      </c>
      <c r="J563">
        <f>($B$1+Table4[[#This Row],[Home Differential]])-Table4[[#This Row],[Away Differential]]</f>
        <v>0.30903281825346895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0.62138389612057443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0.57904383162035133</v>
      </c>
      <c r="H564" t="s">
        <v>19</v>
      </c>
      <c r="I564">
        <f>VLOOKUP(Table4[[#This Row],[Visitor]],'NHL Model'!$A$6:$B$38,2,FALSE)</f>
        <v>-0.18941601188968307</v>
      </c>
      <c r="J564">
        <f>($B$1+Table4[[#This Row],[Home Differential]])-Table4[[#This Row],[Away Differential]]</f>
        <v>0.81219899803822393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0.65936710843834911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-0.71226595502109791</v>
      </c>
      <c r="H565" t="s">
        <v>22</v>
      </c>
      <c r="I565">
        <f>VLOOKUP(Table4[[#This Row],[Visitor]],'NHL Model'!$A$6:$B$38,2,FALSE)</f>
        <v>0.79843701415173229</v>
      </c>
      <c r="J565">
        <f>($B$1+Table4[[#This Row],[Home Differential]])-Table4[[#This Row],[Away Differential]]</f>
        <v>-1.4669638146446407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0.67980378714650458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-0.52712659907212012</v>
      </c>
      <c r="H566" t="s">
        <v>20</v>
      </c>
      <c r="I566">
        <f>VLOOKUP(Table4[[#This Row],[Visitor]],'NHL Model'!$A$6:$B$38,2,FALSE)</f>
        <v>-0.14635285954937219</v>
      </c>
      <c r="J566">
        <f>($B$1+Table4[[#This Row],[Home Differential]])-Table4[[#This Row],[Away Differential]]</f>
        <v>-0.3370345849945583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0.49365675013604982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-6.7671768126352963E-2</v>
      </c>
      <c r="H567" t="s">
        <v>12</v>
      </c>
      <c r="I567">
        <f>VLOOKUP(Table4[[#This Row],[Visitor]],'NHL Model'!$A$6:$B$38,2,FALSE)</f>
        <v>1.5507956238651657</v>
      </c>
      <c r="J567">
        <f>($B$1+Table4[[#This Row],[Home Differential]])-Table4[[#This Row],[Away Differential]]</f>
        <v>-1.5747282374633291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0.68305304445977355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7.5388445740041043E-4</v>
      </c>
      <c r="H568" t="s">
        <v>23</v>
      </c>
      <c r="I568">
        <f>VLOOKUP(Table4[[#This Row],[Visitor]],'NHL Model'!$A$6:$B$38,2,FALSE)</f>
        <v>-0.43117543965133126</v>
      </c>
      <c r="J568">
        <f>($B$1+Table4[[#This Row],[Home Differential]])-Table4[[#This Row],[Away Differential]]</f>
        <v>0.4756684786369213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0.65182395029723517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-1.0273405477215618</v>
      </c>
      <c r="H569" t="s">
        <v>15</v>
      </c>
      <c r="I569">
        <f>VLOOKUP(Table4[[#This Row],[Visitor]],'NHL Model'!$A$6:$B$38,2,FALSE)</f>
        <v>-2.5710604859208615E-2</v>
      </c>
      <c r="J569">
        <f>($B$1+Table4[[#This Row],[Home Differential]])-Table4[[#This Row],[Away Differential]]</f>
        <v>-0.95789078833416363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0.66932100323456989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6.850792131463232E-2</v>
      </c>
      <c r="H570" t="s">
        <v>18</v>
      </c>
      <c r="I570">
        <f>VLOOKUP(Table4[[#This Row],[Visitor]],'NHL Model'!$A$6:$B$38,2,FALSE)</f>
        <v>-0.48612387559717724</v>
      </c>
      <c r="J570">
        <f>($B$1+Table4[[#This Row],[Home Differential]])-Table4[[#This Row],[Away Differential]]</f>
        <v>0.59837095143999919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0.54489680724517453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-4.6200185433750804E-2</v>
      </c>
      <c r="H571" t="s">
        <v>40</v>
      </c>
      <c r="I571">
        <f>VLOOKUP(Table4[[#This Row],[Visitor]],'NHL Model'!$A$6:$B$38,2,FALSE)</f>
        <v>-0.25075515805082654</v>
      </c>
      <c r="J571">
        <f>($B$1+Table4[[#This Row],[Home Differential]])-Table4[[#This Row],[Away Differential]]</f>
        <v>0.24829412714526533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0.6035565045535749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-1.1472178948952137E-2</v>
      </c>
      <c r="H572" t="s">
        <v>32</v>
      </c>
      <c r="I572">
        <f>VLOOKUP(Table4[[#This Row],[Visitor]],'NHL Model'!$A$6:$B$38,2,FALSE)</f>
        <v>-0.69519123816912842</v>
      </c>
      <c r="J572">
        <f>($B$1+Table4[[#This Row],[Home Differential]])-Table4[[#This Row],[Away Differential]]</f>
        <v>0.72745821374836583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0.67883233654178599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-0.31218903714497998</v>
      </c>
      <c r="H573" t="s">
        <v>28</v>
      </c>
      <c r="I573">
        <f>VLOOKUP(Table4[[#This Row],[Visitor]],'NHL Model'!$A$6:$B$38,2,FALSE)</f>
        <v>-0.38525981166347251</v>
      </c>
      <c r="J573">
        <f>($B$1+Table4[[#This Row],[Home Differential]])-Table4[[#This Row],[Away Differential]]</f>
        <v>0.11680992904668214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0.54895353246856737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-0.13902937841722524</v>
      </c>
      <c r="H574" t="s">
        <v>38</v>
      </c>
      <c r="I574">
        <f>VLOOKUP(Table4[[#This Row],[Visitor]],'NHL Model'!$A$6:$B$38,2,FALSE)</f>
        <v>-0.81685014566908176</v>
      </c>
      <c r="J574">
        <f>($B$1+Table4[[#This Row],[Home Differential]])-Table4[[#This Row],[Away Differential]]</f>
        <v>0.72155992178004613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0.64343632025678765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0.55584102906214949</v>
      </c>
      <c r="H575" t="s">
        <v>35</v>
      </c>
      <c r="I575">
        <f>VLOOKUP(Table4[[#This Row],[Visitor]],'NHL Model'!$A$6:$B$38,2,FALSE)</f>
        <v>-1.2915976068889494</v>
      </c>
      <c r="J575">
        <f>($B$1+Table4[[#This Row],[Home Differential]])-Table4[[#This Row],[Away Differential]]</f>
        <v>1.8911777904792886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0.75687501025693216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-9.0944170863708096E-2</v>
      </c>
      <c r="H576" t="s">
        <v>18</v>
      </c>
      <c r="I576">
        <f>VLOOKUP(Table4[[#This Row],[Visitor]],'NHL Model'!$A$6:$B$38,2,FALSE)</f>
        <v>-0.48612387559717724</v>
      </c>
      <c r="J576">
        <f>($B$1+Table4[[#This Row],[Home Differential]])-Table4[[#This Row],[Away Differential]]</f>
        <v>0.43891885926165874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0.58041424421998888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0.36021966242194059</v>
      </c>
      <c r="H577" t="s">
        <v>11</v>
      </c>
      <c r="I577">
        <f>VLOOKUP(Table4[[#This Row],[Visitor]],'NHL Model'!$A$6:$B$38,2,FALSE)</f>
        <v>-0.46392840252469486</v>
      </c>
      <c r="J577">
        <f>($B$1+Table4[[#This Row],[Home Differential]])-Table4[[#This Row],[Away Differential]]</f>
        <v>0.86788721947482506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0.6653405409659543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-9.5800647102357028E-2</v>
      </c>
      <c r="H578" t="s">
        <v>27</v>
      </c>
      <c r="I578">
        <f>VLOOKUP(Table4[[#This Row],[Visitor]],'NHL Model'!$A$6:$B$38,2,FALSE)</f>
        <v>-0.13902937841722524</v>
      </c>
      <c r="J578">
        <f>($B$1+Table4[[#This Row],[Home Differential]])-Table4[[#This Row],[Away Differential]]</f>
        <v>8.6967885843057813E-2</v>
      </c>
      <c r="K578" t="str">
        <f>IF(Table4[[#This Row],[HomeIce Differential]]&gt;0,Table4[[#This Row],[Home]],Table4[[#This Row],[Visitor]])</f>
        <v>Chicago Blackhawks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0.50681610283102319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1.5507956238651657</v>
      </c>
      <c r="H579" t="s">
        <v>55</v>
      </c>
      <c r="I579">
        <f>VLOOKUP(Table4[[#This Row],[Visitor]],'NHL Model'!$A$6:$B$38,2,FALSE)</f>
        <v>-4.6200185433750804E-2</v>
      </c>
      <c r="J579">
        <f>($B$1+Table4[[#This Row],[Home Differential]])-Table4[[#This Row],[Away Differential]]</f>
        <v>1.640734963827106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0.82381544634935699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-0.71226595502109791</v>
      </c>
      <c r="H580" t="s">
        <v>39</v>
      </c>
      <c r="I580">
        <f>VLOOKUP(Table4[[#This Row],[Visitor]],'NHL Model'!$A$6:$B$38,2,FALSE)</f>
        <v>0.57904383162035133</v>
      </c>
      <c r="J580">
        <f>($B$1+Table4[[#This Row],[Home Differential]])-Table4[[#This Row],[Away Differential]]</f>
        <v>-1.2475706321132596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0.67619433950457231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-0.52712659907212012</v>
      </c>
      <c r="H581" t="s">
        <v>16</v>
      </c>
      <c r="I581">
        <f>VLOOKUP(Table4[[#This Row],[Visitor]],'NHL Model'!$A$6:$B$38,2,FALSE)</f>
        <v>-0.94586858045267985</v>
      </c>
      <c r="J581">
        <f>($B$1+Table4[[#This Row],[Home Differential]])-Table4[[#This Row],[Away Differential]]</f>
        <v>0.46248113590874934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0.59210381269701995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-0.31218903714497998</v>
      </c>
      <c r="H582" t="s">
        <v>32</v>
      </c>
      <c r="I582">
        <f>VLOOKUP(Table4[[#This Row],[Visitor]],'NHL Model'!$A$6:$B$38,2,FALSE)</f>
        <v>-0.69519123816912842</v>
      </c>
      <c r="J582">
        <f>($B$1+Table4[[#This Row],[Home Differential]])-Table4[[#This Row],[Away Differential]]</f>
        <v>0.42674135555233805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0.58577468319818282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-6.7671768126352963E-2</v>
      </c>
      <c r="H583" t="s">
        <v>29</v>
      </c>
      <c r="I583">
        <f>VLOOKUP(Table4[[#This Row],[Visitor]],'NHL Model'!$A$6:$B$38,2,FALSE)</f>
        <v>-1.0273405477215618</v>
      </c>
      <c r="J583">
        <f>($B$1+Table4[[#This Row],[Home Differential]])-Table4[[#This Row],[Away Differential]]</f>
        <v>1.0034079341233983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0.64763119089686738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0.13101659139829774</v>
      </c>
      <c r="H584" t="s">
        <v>24</v>
      </c>
      <c r="I584">
        <f>VLOOKUP(Table4[[#This Row],[Visitor]],'NHL Model'!$A$6:$B$38,2,FALSE)</f>
        <v>7.5388445740041043E-4</v>
      </c>
      <c r="J584">
        <f>($B$1+Table4[[#This Row],[Home Differential]])-Table4[[#This Row],[Away Differential]]</f>
        <v>0.17400186146908694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0.53789518968360417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-0.35623783458898745</v>
      </c>
      <c r="H585" t="s">
        <v>23</v>
      </c>
      <c r="I585">
        <f>VLOOKUP(Table4[[#This Row],[Visitor]],'NHL Model'!$A$6:$B$38,2,FALSE)</f>
        <v>-0.43117543965133126</v>
      </c>
      <c r="J585">
        <f>($B$1+Table4[[#This Row],[Home Differential]])-Table4[[#This Row],[Away Differential]]</f>
        <v>0.11867675959053342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0.55272993817581229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-0.18941601188968307</v>
      </c>
      <c r="H586" t="s">
        <v>14</v>
      </c>
      <c r="I586">
        <f>VLOOKUP(Table4[[#This Row],[Visitor]],'NHL Model'!$A$6:$B$38,2,FALSE)</f>
        <v>6.850792131463232E-2</v>
      </c>
      <c r="J586">
        <f>($B$1+Table4[[#This Row],[Home Differential]])-Table4[[#This Row],[Away Differential]]</f>
        <v>-0.21418477867612579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0.53711348413116144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-0.14635285954937219</v>
      </c>
      <c r="H587" t="s">
        <v>33</v>
      </c>
      <c r="I587">
        <f>VLOOKUP(Table4[[#This Row],[Visitor]],'NHL Model'!$A$6:$B$38,2,FALSE)</f>
        <v>-0.53773613438999557</v>
      </c>
      <c r="J587">
        <f>($B$1+Table4[[#This Row],[Home Differential]])-Table4[[#This Row],[Away Differential]]</f>
        <v>0.43512242936881296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0.58667368441711365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0.79843701415173229</v>
      </c>
      <c r="H588" t="s">
        <v>15</v>
      </c>
      <c r="I588">
        <f>VLOOKUP(Table4[[#This Row],[Visitor]],'NHL Model'!$A$6:$B$38,2,FALSE)</f>
        <v>-2.5710604859208615E-2</v>
      </c>
      <c r="J588">
        <f>($B$1+Table4[[#This Row],[Home Differential]])-Table4[[#This Row],[Away Differential]]</f>
        <v>0.86788677353913046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0.55255388678353989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-0.43117543965133126</v>
      </c>
      <c r="H589" t="s">
        <v>21</v>
      </c>
      <c r="I589">
        <f>VLOOKUP(Table4[[#This Row],[Visitor]],'NHL Model'!$A$6:$B$38,2,FALSE)</f>
        <v>-9.0944170863708096E-2</v>
      </c>
      <c r="J589">
        <f>($B$1+Table4[[#This Row],[Home Differential]])-Table4[[#This Row],[Away Differential]]</f>
        <v>-0.29649211425943356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0.48168116601592165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0.36021966242194059</v>
      </c>
      <c r="H590" t="s">
        <v>26</v>
      </c>
      <c r="I590">
        <f>VLOOKUP(Table4[[#This Row],[Visitor]],'NHL Model'!$A$6:$B$38,2,FALSE)</f>
        <v>-0.71226595502109791</v>
      </c>
      <c r="J590">
        <f>($B$1+Table4[[#This Row],[Home Differential]])-Table4[[#This Row],[Away Differential]]</f>
        <v>1.1162247719712282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0.69197862664438992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-0.94586858045267985</v>
      </c>
      <c r="H591" t="s">
        <v>17</v>
      </c>
      <c r="I591">
        <f>VLOOKUP(Table4[[#This Row],[Visitor]],'NHL Model'!$A$6:$B$38,2,FALSE)</f>
        <v>-0.52712659907212012</v>
      </c>
      <c r="J591">
        <f>($B$1+Table4[[#This Row],[Home Differential]])-Table4[[#This Row],[Away Differential]]</f>
        <v>-0.37500282685237019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0.50022491697663685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0.57904383162035133</v>
      </c>
      <c r="H592" t="s">
        <v>10</v>
      </c>
      <c r="I592">
        <f>VLOOKUP(Table4[[#This Row],[Visitor]],'NHL Model'!$A$6:$B$38,2,FALSE)</f>
        <v>-9.5800647102357028E-2</v>
      </c>
      <c r="J592">
        <f>($B$1+Table4[[#This Row],[Home Differential]])-Table4[[#This Row],[Away Differential]]</f>
        <v>0.71858363325089791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0.6485079023522996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-0.46392840252469486</v>
      </c>
      <c r="H593" t="s">
        <v>37</v>
      </c>
      <c r="I593">
        <f>VLOOKUP(Table4[[#This Row],[Visitor]],'NHL Model'!$A$6:$B$38,2,FALSE)</f>
        <v>0.55584102906214949</v>
      </c>
      <c r="J593">
        <f>($B$1+Table4[[#This Row],[Home Differential]])-Table4[[#This Row],[Away Differential]]</f>
        <v>-0.97603027705865475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0.63731767818904839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-0.31218903714497998</v>
      </c>
      <c r="H594" t="s">
        <v>31</v>
      </c>
      <c r="I594">
        <f>VLOOKUP(Table4[[#This Row],[Visitor]],'NHL Model'!$A$6:$B$38,2,FALSE)</f>
        <v>-1.1472178948952137E-2</v>
      </c>
      <c r="J594">
        <f>($B$1+Table4[[#This Row],[Home Differential]])-Table4[[#This Row],[Away Differential]]</f>
        <v>-0.25697770366783823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0.50833410776402466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7.5388445740041043E-4</v>
      </c>
      <c r="H595" t="s">
        <v>22</v>
      </c>
      <c r="I595">
        <f>VLOOKUP(Table4[[#This Row],[Visitor]],'NHL Model'!$A$6:$B$38,2,FALSE)</f>
        <v>0.79843701415173229</v>
      </c>
      <c r="J595">
        <f>($B$1+Table4[[#This Row],[Home Differential]])-Table4[[#This Row],[Away Differential]]</f>
        <v>-0.75394397516614231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0.55146051580637301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0.13101659139829774</v>
      </c>
      <c r="H596" t="s">
        <v>15</v>
      </c>
      <c r="I596">
        <f>VLOOKUP(Table4[[#This Row],[Visitor]],'NHL Model'!$A$6:$B$38,2,FALSE)</f>
        <v>-2.5710604859208615E-2</v>
      </c>
      <c r="J596">
        <f>($B$1+Table4[[#This Row],[Home Differential]])-Table4[[#This Row],[Away Differential]]</f>
        <v>0.20046635078569597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0.4549309127882768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-1.2915976068889494</v>
      </c>
      <c r="H597" t="s">
        <v>29</v>
      </c>
      <c r="I597">
        <f>VLOOKUP(Table4[[#This Row],[Visitor]],'NHL Model'!$A$6:$B$38,2,FALSE)</f>
        <v>-1.0273405477215618</v>
      </c>
      <c r="J597">
        <f>($B$1+Table4[[#This Row],[Home Differential]])-Table4[[#This Row],[Away Differential]]</f>
        <v>-0.22051790463919807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0.48365399343900334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-0.18941601188968307</v>
      </c>
      <c r="H598" t="s">
        <v>36</v>
      </c>
      <c r="I598">
        <f>VLOOKUP(Table4[[#This Row],[Visitor]],'NHL Model'!$A$6:$B$38,2,FALSE)</f>
        <v>-0.35623783458898745</v>
      </c>
      <c r="J598">
        <f>($B$1+Table4[[#This Row],[Home Differential]])-Table4[[#This Row],[Away Differential]]</f>
        <v>0.21056097722749398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0.55900979834047881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-0.81685014566908176</v>
      </c>
      <c r="H599" t="s">
        <v>33</v>
      </c>
      <c r="I599">
        <f>VLOOKUP(Table4[[#This Row],[Visitor]],'NHL Model'!$A$6:$B$38,2,FALSE)</f>
        <v>-0.53773613438999557</v>
      </c>
      <c r="J599">
        <f>($B$1+Table4[[#This Row],[Home Differential]])-Table4[[#This Row],[Away Differential]]</f>
        <v>-0.23537485675089664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0.48524763386629061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-0.14635285954937219</v>
      </c>
      <c r="H600" t="s">
        <v>12</v>
      </c>
      <c r="I600">
        <f>VLOOKUP(Table4[[#This Row],[Visitor]],'NHL Model'!$A$6:$B$38,2,FALSE)</f>
        <v>1.5507956238651657</v>
      </c>
      <c r="J600">
        <f>($B$1+Table4[[#This Row],[Home Differential]])-Table4[[#This Row],[Away Differential]]</f>
        <v>-1.6534093288863483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0.69149282182542005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-0.25075515805082654</v>
      </c>
      <c r="H601" t="s">
        <v>34</v>
      </c>
      <c r="I601">
        <f>VLOOKUP(Table4[[#This Row],[Visitor]],'NHL Model'!$A$6:$B$38,2,FALSE)</f>
        <v>-6.7671768126352963E-2</v>
      </c>
      <c r="J601">
        <f>($B$1+Table4[[#This Row],[Home Differential]])-Table4[[#This Row],[Away Differential]]</f>
        <v>-0.13934423539628399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0.51172104167493493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-0.38525981166347251</v>
      </c>
      <c r="H602" t="s">
        <v>30</v>
      </c>
      <c r="I602">
        <f>VLOOKUP(Table4[[#This Row],[Visitor]],'NHL Model'!$A$6:$B$38,2,FALSE)</f>
        <v>0.13101659139829774</v>
      </c>
      <c r="J602">
        <f>($B$1+Table4[[#This Row],[Home Differential]])-Table4[[#This Row],[Away Differential]]</f>
        <v>-0.47253724853358064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0.58331017792369799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-9.5800647102357028E-2</v>
      </c>
      <c r="H603" t="s">
        <v>14</v>
      </c>
      <c r="I603">
        <f>VLOOKUP(Table4[[#This Row],[Visitor]],'NHL Model'!$A$6:$B$38,2,FALSE)</f>
        <v>6.850792131463232E-2</v>
      </c>
      <c r="J603">
        <f>($B$1+Table4[[#This Row],[Home Differential]])-Table4[[#This Row],[Away Differential]]</f>
        <v>-0.12056941388879974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0.52707177242483816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-0.71226595502109791</v>
      </c>
      <c r="H604" t="s">
        <v>19</v>
      </c>
      <c r="I604">
        <f>VLOOKUP(Table4[[#This Row],[Visitor]],'NHL Model'!$A$6:$B$38,2,FALSE)</f>
        <v>-0.18941601188968307</v>
      </c>
      <c r="J604">
        <f>($B$1+Table4[[#This Row],[Home Differential]])-Table4[[#This Row],[Away Differential]]</f>
        <v>-0.47911078860322531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0.50126987438785719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-0.69519123816912842</v>
      </c>
      <c r="H605" t="s">
        <v>27</v>
      </c>
      <c r="I605">
        <f>VLOOKUP(Table4[[#This Row],[Visitor]],'NHL Model'!$A$6:$B$38,2,FALSE)</f>
        <v>-0.13902937841722524</v>
      </c>
      <c r="J605">
        <f>($B$1+Table4[[#This Row],[Home Differential]])-Table4[[#This Row],[Away Differential]]</f>
        <v>-0.51242270522371358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0.55747791053578777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0.55584102906214949</v>
      </c>
      <c r="H606" t="s">
        <v>18</v>
      </c>
      <c r="I606">
        <f>VLOOKUP(Table4[[#This Row],[Visitor]],'NHL Model'!$A$6:$B$38,2,FALSE)</f>
        <v>-0.48612387559717724</v>
      </c>
      <c r="J606">
        <f>($B$1+Table4[[#This Row],[Home Differential]])-Table4[[#This Row],[Away Differential]]</f>
        <v>1.0857040591875162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0.6113040979723644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-1.1472178948952137E-2</v>
      </c>
      <c r="H607" t="s">
        <v>33</v>
      </c>
      <c r="I607">
        <f>VLOOKUP(Table4[[#This Row],[Visitor]],'NHL Model'!$A$6:$B$38,2,FALSE)</f>
        <v>-0.53773613438999557</v>
      </c>
      <c r="J607">
        <f>($B$1+Table4[[#This Row],[Home Differential]])-Table4[[#This Row],[Away Differential]]</f>
        <v>0.57000310996923298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0.66194281458744419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0.36021966242194059</v>
      </c>
      <c r="H608" t="s">
        <v>15</v>
      </c>
      <c r="I608">
        <f>VLOOKUP(Table4[[#This Row],[Visitor]],'NHL Model'!$A$6:$B$38,2,FALSE)</f>
        <v>-2.5710604859208615E-2</v>
      </c>
      <c r="J608">
        <f>($B$1+Table4[[#This Row],[Home Differential]])-Table4[[#This Row],[Away Differential]]</f>
        <v>0.42966942180933881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0.51184218874699605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-0.94586858045267985</v>
      </c>
      <c r="H609" t="s">
        <v>21</v>
      </c>
      <c r="I609">
        <f>VLOOKUP(Table4[[#This Row],[Visitor]],'NHL Model'!$A$6:$B$38,2,FALSE)</f>
        <v>-9.0944170863708096E-2</v>
      </c>
      <c r="J609">
        <f>($B$1+Table4[[#This Row],[Home Differential]])-Table4[[#This Row],[Away Differential]]</f>
        <v>-0.81118525506078221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0.54701230284415303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1.5507956238651657</v>
      </c>
      <c r="H610" t="s">
        <v>13</v>
      </c>
      <c r="I610">
        <f>VLOOKUP(Table4[[#This Row],[Visitor]],'NHL Model'!$A$6:$B$38,2,FALSE)</f>
        <v>-0.31218903714497998</v>
      </c>
      <c r="J610">
        <f>($B$1+Table4[[#This Row],[Home Differential]])-Table4[[#This Row],[Away Differential]]</f>
        <v>1.9067238155383353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0.78963232701273955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-0.46392840252469486</v>
      </c>
      <c r="H611" t="s">
        <v>22</v>
      </c>
      <c r="I611">
        <f>VLOOKUP(Table4[[#This Row],[Visitor]],'NHL Model'!$A$6:$B$38,2,FALSE)</f>
        <v>0.79843701415173229</v>
      </c>
      <c r="J611">
        <f>($B$1+Table4[[#This Row],[Home Differential]])-Table4[[#This Row],[Away Differential]]</f>
        <v>-1.2186262621482375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0.66333989098408841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-0.35623783458898745</v>
      </c>
      <c r="H612" t="s">
        <v>28</v>
      </c>
      <c r="I612">
        <f>VLOOKUP(Table4[[#This Row],[Visitor]],'NHL Model'!$A$6:$B$38,2,FALSE)</f>
        <v>-0.38525981166347251</v>
      </c>
      <c r="J612">
        <f>($B$1+Table4[[#This Row],[Home Differential]])-Table4[[#This Row],[Away Differential]]</f>
        <v>7.2761131602674667E-2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0.54422861016603907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-0.69519123816912842</v>
      </c>
      <c r="H613" t="s">
        <v>38</v>
      </c>
      <c r="I613">
        <f>VLOOKUP(Table4[[#This Row],[Visitor]],'NHL Model'!$A$6:$B$38,2,FALSE)</f>
        <v>-0.81685014566908176</v>
      </c>
      <c r="J613">
        <f>($B$1+Table4[[#This Row],[Home Differential]])-Table4[[#This Row],[Away Differential]]</f>
        <v>0.16539806202814289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0.55774152842799196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-1.2915976068889494</v>
      </c>
      <c r="H614" t="s">
        <v>23</v>
      </c>
      <c r="I614">
        <f>VLOOKUP(Table4[[#This Row],[Visitor]],'NHL Model'!$A$6:$B$38,2,FALSE)</f>
        <v>-0.43117543965133126</v>
      </c>
      <c r="J614">
        <f>($B$1+Table4[[#This Row],[Home Differential]])-Table4[[#This Row],[Away Differential]]</f>
        <v>-0.81668301270942867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0.54760202331861108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-4.6200185433750804E-2</v>
      </c>
      <c r="H615" t="s">
        <v>29</v>
      </c>
      <c r="I615">
        <f>VLOOKUP(Table4[[#This Row],[Visitor]],'NHL Model'!$A$6:$B$38,2,FALSE)</f>
        <v>-1.0273405477215618</v>
      </c>
      <c r="J615">
        <f>($B$1+Table4[[#This Row],[Home Differential]])-Table4[[#This Row],[Away Differential]]</f>
        <v>1.0248795168160005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0.69036553133087719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-0.14635285954937219</v>
      </c>
      <c r="H616" t="s">
        <v>34</v>
      </c>
      <c r="I616">
        <f>VLOOKUP(Table4[[#This Row],[Visitor]],'NHL Model'!$A$6:$B$38,2,FALSE)</f>
        <v>-6.7671768126352963E-2</v>
      </c>
      <c r="J616">
        <f>($B$1+Table4[[#This Row],[Home Differential]])-Table4[[#This Row],[Away Differential]]</f>
        <v>-3.494193689482962E-2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0.50303480234585607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-0.25075515805082654</v>
      </c>
      <c r="H617" t="s">
        <v>17</v>
      </c>
      <c r="I617">
        <f>VLOOKUP(Table4[[#This Row],[Visitor]],'NHL Model'!$A$6:$B$38,2,FALSE)</f>
        <v>-0.52712659907212012</v>
      </c>
      <c r="J617">
        <f>($B$1+Table4[[#This Row],[Home Differential]])-Table4[[#This Row],[Away Differential]]</f>
        <v>0.32011059554948318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0.57683234604185007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-9.5800647102357028E-2</v>
      </c>
      <c r="H618" t="s">
        <v>30</v>
      </c>
      <c r="I618">
        <f>VLOOKUP(Table4[[#This Row],[Visitor]],'NHL Model'!$A$6:$B$38,2,FALSE)</f>
        <v>0.13101659139829774</v>
      </c>
      <c r="J618">
        <f>($B$1+Table4[[#This Row],[Home Differential]])-Table4[[#This Row],[Away Differential]]</f>
        <v>-0.18307808397246517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0.55226115634610529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-0.46392840252469486</v>
      </c>
      <c r="H619" t="s">
        <v>18</v>
      </c>
      <c r="I619">
        <f>VLOOKUP(Table4[[#This Row],[Visitor]],'NHL Model'!$A$6:$B$38,2,FALSE)</f>
        <v>-0.48612387559717724</v>
      </c>
      <c r="J619">
        <f>($B$1+Table4[[#This Row],[Home Differential]])-Table4[[#This Row],[Away Differential]]</f>
        <v>6.593462760067198E-2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0.48778468598051505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6.850792131463232E-2</v>
      </c>
      <c r="H620" t="s">
        <v>25</v>
      </c>
      <c r="I620">
        <f>VLOOKUP(Table4[[#This Row],[Visitor]],'NHL Model'!$A$6:$B$38,2,FALSE)</f>
        <v>0.36021966242194059</v>
      </c>
      <c r="J620">
        <f>($B$1+Table4[[#This Row],[Home Differential]])-Table4[[#This Row],[Away Differential]]</f>
        <v>-0.24797258657911866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0.5592221064848103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-0.18941601188968307</v>
      </c>
      <c r="H621" t="s">
        <v>24</v>
      </c>
      <c r="I621">
        <f>VLOOKUP(Table4[[#This Row],[Visitor]],'NHL Model'!$A$6:$B$38,2,FALSE)</f>
        <v>7.5388445740041043E-4</v>
      </c>
      <c r="J621">
        <f>($B$1+Table4[[#This Row],[Home Differential]])-Table4[[#This Row],[Away Differential]]</f>
        <v>-0.14643074181889387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0.49647621751898974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-0.81685014566908176</v>
      </c>
      <c r="H622" t="s">
        <v>27</v>
      </c>
      <c r="I622">
        <f>VLOOKUP(Table4[[#This Row],[Visitor]],'NHL Model'!$A$6:$B$38,2,FALSE)</f>
        <v>-0.13902937841722524</v>
      </c>
      <c r="J622">
        <f>($B$1+Table4[[#This Row],[Home Differential]])-Table4[[#This Row],[Away Differential]]</f>
        <v>-0.63408161272366703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0.57052773070575813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-1.1472178948952137E-2</v>
      </c>
      <c r="H623" t="s">
        <v>37</v>
      </c>
      <c r="I623">
        <f>VLOOKUP(Table4[[#This Row],[Visitor]],'NHL Model'!$A$6:$B$38,2,FALSE)</f>
        <v>0.55584102906214949</v>
      </c>
      <c r="J623">
        <f>($B$1+Table4[[#This Row],[Home Differential]])-Table4[[#This Row],[Away Differential]]</f>
        <v>-0.52357405348291208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0.52674973948662462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-0.38525981166347251</v>
      </c>
      <c r="H624" t="s">
        <v>24</v>
      </c>
      <c r="I624">
        <f>VLOOKUP(Table4[[#This Row],[Visitor]],'NHL Model'!$A$6:$B$38,2,FALSE)</f>
        <v>7.5388445740041043E-4</v>
      </c>
      <c r="J624">
        <f>($B$1+Table4[[#This Row],[Home Differential]])-Table4[[#This Row],[Away Differential]]</f>
        <v>-0.34227454159268333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0.51748352739025927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-0.94586858045267985</v>
      </c>
      <c r="H625" t="s">
        <v>27</v>
      </c>
      <c r="I625">
        <f>VLOOKUP(Table4[[#This Row],[Visitor]],'NHL Model'!$A$6:$B$38,2,FALSE)</f>
        <v>-0.13902937841722524</v>
      </c>
      <c r="J625">
        <f>($B$1+Table4[[#This Row],[Home Differential]])-Table4[[#This Row],[Away Differential]]</f>
        <v>-0.76310004750726512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0.58436697525542369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1.5507956238651657</v>
      </c>
      <c r="H626" t="s">
        <v>35</v>
      </c>
      <c r="I626">
        <f>VLOOKUP(Table4[[#This Row],[Visitor]],'NHL Model'!$A$6:$B$38,2,FALSE)</f>
        <v>-1.2915976068889494</v>
      </c>
      <c r="J626">
        <f>($B$1+Table4[[#This Row],[Home Differential]])-Table4[[#This Row],[Away Differential]]</f>
        <v>2.8861323852823046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0.95740379367313477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0.57904383162035133</v>
      </c>
      <c r="H627" t="s">
        <v>23</v>
      </c>
      <c r="I627">
        <f>VLOOKUP(Table4[[#This Row],[Visitor]],'NHL Model'!$A$6:$B$38,2,FALSE)</f>
        <v>-0.43117543965133126</v>
      </c>
      <c r="J627">
        <f>($B$1+Table4[[#This Row],[Home Differential]])-Table4[[#This Row],[Away Differential]]</f>
        <v>1.0539584257998722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0.68529958737899443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-0.71226595502109791</v>
      </c>
      <c r="H628" t="s">
        <v>40</v>
      </c>
      <c r="I628">
        <f>VLOOKUP(Table4[[#This Row],[Visitor]],'NHL Model'!$A$6:$B$38,2,FALSE)</f>
        <v>-0.25075515805082654</v>
      </c>
      <c r="J628">
        <f>($B$1+Table4[[#This Row],[Home Differential]])-Table4[[#This Row],[Away Differential]]</f>
        <v>-0.41777164244208181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0.49825383675719226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-0.52712659907212012</v>
      </c>
      <c r="H629" t="s">
        <v>21</v>
      </c>
      <c r="I629">
        <f>VLOOKUP(Table4[[#This Row],[Visitor]],'NHL Model'!$A$6:$B$38,2,FALSE)</f>
        <v>-9.0944170863708096E-2</v>
      </c>
      <c r="J629">
        <f>($B$1+Table4[[#This Row],[Home Differential]])-Table4[[#This Row],[Away Differential]]</f>
        <v>-0.39244327368022242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0.49960019840515468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-0.53773613438999557</v>
      </c>
      <c r="H630" t="s">
        <v>34</v>
      </c>
      <c r="I630">
        <f>VLOOKUP(Table4[[#This Row],[Visitor]],'NHL Model'!$A$6:$B$38,2,FALSE)</f>
        <v>-6.7671768126352963E-2</v>
      </c>
      <c r="J630">
        <f>($B$1+Table4[[#This Row],[Home Differential]])-Table4[[#This Row],[Away Differential]]</f>
        <v>-0.42632521173545301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0.54501677850494812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-0.14635285954937219</v>
      </c>
      <c r="H631" t="s">
        <v>29</v>
      </c>
      <c r="I631">
        <f>VLOOKUP(Table4[[#This Row],[Visitor]],'NHL Model'!$A$6:$B$38,2,FALSE)</f>
        <v>-1.0273405477215618</v>
      </c>
      <c r="J631">
        <f>($B$1+Table4[[#This Row],[Home Differential]])-Table4[[#This Row],[Away Differential]]</f>
        <v>0.92472684270037919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0.63919141353122089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0.79843701415173229</v>
      </c>
      <c r="H632" t="s">
        <v>15</v>
      </c>
      <c r="I632">
        <f>VLOOKUP(Table4[[#This Row],[Visitor]],'NHL Model'!$A$6:$B$38,2,FALSE)</f>
        <v>-2.5710604859208615E-2</v>
      </c>
      <c r="J632">
        <f>($B$1+Table4[[#This Row],[Home Differential]])-Table4[[#This Row],[Away Differential]]</f>
        <v>0.86788677353913046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0.55255388678353989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0.36021966242194059</v>
      </c>
      <c r="H633" t="s">
        <v>18</v>
      </c>
      <c r="I633">
        <f>VLOOKUP(Table4[[#This Row],[Visitor]],'NHL Model'!$A$6:$B$38,2,FALSE)</f>
        <v>-0.48612387559717724</v>
      </c>
      <c r="J633">
        <f>($B$1+Table4[[#This Row],[Home Differential]])-Table4[[#This Row],[Away Differential]]</f>
        <v>0.89008269254730743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0.60884427066526259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-9.5800647102357028E-2</v>
      </c>
      <c r="H634" t="s">
        <v>39</v>
      </c>
      <c r="I634">
        <f>VLOOKUP(Table4[[#This Row],[Visitor]],'NHL Model'!$A$6:$B$38,2,FALSE)</f>
        <v>0.57904383162035133</v>
      </c>
      <c r="J634">
        <f>($B$1+Table4[[#This Row],[Home Differential]])-Table4[[#This Row],[Away Differential]]</f>
        <v>-0.63110532419451881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0.62018210225298898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-0.31218903714497998</v>
      </c>
      <c r="H635" t="s">
        <v>37</v>
      </c>
      <c r="I635">
        <f>VLOOKUP(Table4[[#This Row],[Visitor]],'NHL Model'!$A$6:$B$38,2,FALSE)</f>
        <v>0.55584102906214949</v>
      </c>
      <c r="J635">
        <f>($B$1+Table4[[#This Row],[Home Differential]])-Table4[[#This Row],[Away Differential]]</f>
        <v>-0.82429091167893986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0.62104125855317871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0.13101659139829774</v>
      </c>
      <c r="H636" t="s">
        <v>55</v>
      </c>
      <c r="I636">
        <f>VLOOKUP(Table4[[#This Row],[Visitor]],'NHL Model'!$A$6:$B$38,2,FALSE)</f>
        <v>-4.6200185433750804E-2</v>
      </c>
      <c r="J636">
        <f>($B$1+Table4[[#This Row],[Home Differential]])-Table4[[#This Row],[Away Differential]]</f>
        <v>0.22095593136023817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0.56370097865411561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-0.35623783458898745</v>
      </c>
      <c r="H637" t="s">
        <v>22</v>
      </c>
      <c r="I637">
        <f>VLOOKUP(Table4[[#This Row],[Visitor]],'NHL Model'!$A$6:$B$38,2,FALSE)</f>
        <v>0.79843701415173229</v>
      </c>
      <c r="J637">
        <f>($B$1+Table4[[#This Row],[Home Differential]])-Table4[[#This Row],[Away Differential]]</f>
        <v>-1.1109356942125301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0.65178839365074681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6.850792131463232E-2</v>
      </c>
      <c r="H638" t="s">
        <v>26</v>
      </c>
      <c r="I638">
        <f>VLOOKUP(Table4[[#This Row],[Visitor]],'NHL Model'!$A$6:$B$38,2,FALSE)</f>
        <v>-0.71226595502109791</v>
      </c>
      <c r="J638">
        <f>($B$1+Table4[[#This Row],[Home Differential]])-Table4[[#This Row],[Away Differential]]</f>
        <v>0.8245130308639198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0.6284419152011167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-0.69519123816912842</v>
      </c>
      <c r="H639" t="s">
        <v>29</v>
      </c>
      <c r="I639">
        <f>VLOOKUP(Table4[[#This Row],[Visitor]],'NHL Model'!$A$6:$B$38,2,FALSE)</f>
        <v>-1.0273405477215618</v>
      </c>
      <c r="J639">
        <f>($B$1+Table4[[#This Row],[Home Differential]])-Table4[[#This Row],[Away Differential]]</f>
        <v>0.37588846408062293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0.58031991541778705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-0.18941601188968307</v>
      </c>
      <c r="H640" t="s">
        <v>40</v>
      </c>
      <c r="I640">
        <f>VLOOKUP(Table4[[#This Row],[Visitor]],'NHL Model'!$A$6:$B$38,2,FALSE)</f>
        <v>-0.25075515805082654</v>
      </c>
      <c r="J640">
        <f>($B$1+Table4[[#This Row],[Home Differential]])-Table4[[#This Row],[Away Differential]]</f>
        <v>0.10507830068933308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0.54769513188360075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-1.1472178948952137E-2</v>
      </c>
      <c r="H641" t="s">
        <v>34</v>
      </c>
      <c r="I641">
        <f>VLOOKUP(Table4[[#This Row],[Visitor]],'NHL Model'!$A$6:$B$38,2,FALSE)</f>
        <v>-6.7671768126352963E-2</v>
      </c>
      <c r="J641">
        <f>($B$1+Table4[[#This Row],[Home Differential]])-Table4[[#This Row],[Away Differential]]</f>
        <v>9.9938743705590416E-2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0.57321999297191795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-0.46392840252469486</v>
      </c>
      <c r="H642" t="s">
        <v>15</v>
      </c>
      <c r="I642">
        <f>VLOOKUP(Table4[[#This Row],[Visitor]],'NHL Model'!$A$6:$B$38,2,FALSE)</f>
        <v>-2.5710604859208615E-2</v>
      </c>
      <c r="J642">
        <f>($B$1+Table4[[#This Row],[Home Differential]])-Table4[[#This Row],[Away Differential]]</f>
        <v>-0.39447864313729664</v>
      </c>
      <c r="K642" t="str">
        <f>IF(Table4[[#This Row],[HomeIce Differential]]&gt;0,Table4[[#This Row],[Home]],Table4[[#This Row],[Visitor]])</f>
        <v>New York Rangers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0.60888624077051312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-1.2915976068889494</v>
      </c>
      <c r="H643" t="s">
        <v>20</v>
      </c>
      <c r="I643">
        <f>VLOOKUP(Table4[[#This Row],[Visitor]],'NHL Model'!$A$6:$B$38,2,FALSE)</f>
        <v>-0.14635285954937219</v>
      </c>
      <c r="J643">
        <f>($B$1+Table4[[#This Row],[Home Differential]])-Table4[[#This Row],[Away Differential]]</f>
        <v>-1.1015055928113877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0.57815369871220257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-0.81685014566908176</v>
      </c>
      <c r="H644" t="s">
        <v>32</v>
      </c>
      <c r="I644">
        <f>VLOOKUP(Table4[[#This Row],[Visitor]],'NHL Model'!$A$6:$B$38,2,FALSE)</f>
        <v>-0.69519123816912842</v>
      </c>
      <c r="J644">
        <f>($B$1+Table4[[#This Row],[Home Differential]])-Table4[[#This Row],[Away Differential]]</f>
        <v>-7.7919752971763789E-2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0.46835811191194876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0.36021966242194059</v>
      </c>
      <c r="H645" t="s">
        <v>12</v>
      </c>
      <c r="I645">
        <f>VLOOKUP(Table4[[#This Row],[Visitor]],'NHL Model'!$A$6:$B$38,2,FALSE)</f>
        <v>1.5507956238651657</v>
      </c>
      <c r="J645">
        <f>($B$1+Table4[[#This Row],[Home Differential]])-Table4[[#This Row],[Away Differential]]</f>
        <v>-1.1468368069150354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0.60449766173568908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-0.38525981166347251</v>
      </c>
      <c r="H646" t="s">
        <v>23</v>
      </c>
      <c r="I646">
        <f>VLOOKUP(Table4[[#This Row],[Visitor]],'NHL Model'!$A$6:$B$38,2,FALSE)</f>
        <v>-0.43117543965133126</v>
      </c>
      <c r="J646">
        <f>($B$1+Table4[[#This Row],[Home Differential]])-Table4[[#This Row],[Away Differential]]</f>
        <v>8.9654782516048359E-2</v>
      </c>
      <c r="K646" t="str">
        <f>IF(Table4[[#This Row],[HomeIce Differential]]&gt;0,Table4[[#This Row],[Home]],Table4[[#This Row],[Visitor]])</f>
        <v>Columbus Blue Jackets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0.54961687732739739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-0.94586858045267985</v>
      </c>
      <c r="H647" t="s">
        <v>29</v>
      </c>
      <c r="I647">
        <f>VLOOKUP(Table4[[#This Row],[Visitor]],'NHL Model'!$A$6:$B$38,2,FALSE)</f>
        <v>-1.0273405477215618</v>
      </c>
      <c r="J647">
        <f>($B$1+Table4[[#This Row],[Home Differential]])-Table4[[#This Row],[Away Differential]]</f>
        <v>0.1252111217970715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0.55343085069815101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-0.71226595502109791</v>
      </c>
      <c r="H648" t="s">
        <v>14</v>
      </c>
      <c r="I648">
        <f>VLOOKUP(Table4[[#This Row],[Visitor]],'NHL Model'!$A$6:$B$38,2,FALSE)</f>
        <v>6.850792131463232E-2</v>
      </c>
      <c r="J648">
        <f>($B$1+Table4[[#This Row],[Home Differential]])-Table4[[#This Row],[Away Differential]]</f>
        <v>-0.7370347218075407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0.58299550655908916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-0.52712659907212012</v>
      </c>
      <c r="H649" t="s">
        <v>27</v>
      </c>
      <c r="I649">
        <f>VLOOKUP(Table4[[#This Row],[Visitor]],'NHL Model'!$A$6:$B$38,2,FALSE)</f>
        <v>-0.13902937841722524</v>
      </c>
      <c r="J649">
        <f>($B$1+Table4[[#This Row],[Home Differential]])-Table4[[#This Row],[Away Differential]]</f>
        <v>-0.34435806612670528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0.53693778720669494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-0.31218903714497998</v>
      </c>
      <c r="H650" t="s">
        <v>34</v>
      </c>
      <c r="I650">
        <f>VLOOKUP(Table4[[#This Row],[Visitor]],'NHL Model'!$A$6:$B$38,2,FALSE)</f>
        <v>-6.7671768126352963E-2</v>
      </c>
      <c r="J650">
        <f>($B$1+Table4[[#This Row],[Home Differential]])-Table4[[#This Row],[Away Differential]]</f>
        <v>-0.20077811449043742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0.52082332551912869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7.5388445740041043E-4</v>
      </c>
      <c r="H651" t="s">
        <v>55</v>
      </c>
      <c r="I651">
        <f>VLOOKUP(Table4[[#This Row],[Visitor]],'NHL Model'!$A$6:$B$38,2,FALSE)</f>
        <v>-4.6200185433750804E-2</v>
      </c>
      <c r="J651">
        <f>($B$1+Table4[[#This Row],[Home Differential]])-Table4[[#This Row],[Away Differential]]</f>
        <v>9.0693224419340815E-2</v>
      </c>
      <c r="K651" t="str">
        <f>IF(Table4[[#This Row],[HomeIce Differential]]&gt;0,Table4[[#This Row],[Home]],Table4[[#This Row],[Visitor]])</f>
        <v>New Jersey Devils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0.61052933455009006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0.13101659139829774</v>
      </c>
      <c r="H652" t="s">
        <v>19</v>
      </c>
      <c r="I652">
        <f>VLOOKUP(Table4[[#This Row],[Visitor]],'NHL Model'!$A$6:$B$38,2,FALSE)</f>
        <v>-0.18941601188968307</v>
      </c>
      <c r="J652">
        <f>($B$1+Table4[[#This Row],[Home Differential]])-Table4[[#This Row],[Away Differential]]</f>
        <v>0.36417175781617039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0.57906311546061551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-0.35623783458898745</v>
      </c>
      <c r="H653" t="s">
        <v>40</v>
      </c>
      <c r="I653">
        <f>VLOOKUP(Table4[[#This Row],[Visitor]],'NHL Model'!$A$6:$B$38,2,FALSE)</f>
        <v>-0.25075515805082654</v>
      </c>
      <c r="J653">
        <f>($B$1+Table4[[#This Row],[Home Differential]])-Table4[[#This Row],[Away Differential]]</f>
        <v>-6.1743522009971297E-2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0.47019911713925372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-0.53773613438999557</v>
      </c>
      <c r="H654" t="s">
        <v>37</v>
      </c>
      <c r="I654">
        <f>VLOOKUP(Table4[[#This Row],[Visitor]],'NHL Model'!$A$6:$B$38,2,FALSE)</f>
        <v>0.55584102906214949</v>
      </c>
      <c r="J654">
        <f>($B$1+Table4[[#This Row],[Home Differential]])-Table4[[#This Row],[Away Differential]]</f>
        <v>-1.0498380089239554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0.64523471153899803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-1.2915976068889494</v>
      </c>
      <c r="H655" t="s">
        <v>18</v>
      </c>
      <c r="I655">
        <f>VLOOKUP(Table4[[#This Row],[Visitor]],'NHL Model'!$A$6:$B$38,2,FALSE)</f>
        <v>-0.48612387559717724</v>
      </c>
      <c r="J655">
        <f>($B$1+Table4[[#This Row],[Home Differential]])-Table4[[#This Row],[Away Differential]]</f>
        <v>-0.76173457676358258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0.6009957781805666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-0.81685014566908176</v>
      </c>
      <c r="H656" t="s">
        <v>21</v>
      </c>
      <c r="I656">
        <f>VLOOKUP(Table4[[#This Row],[Visitor]],'NHL Model'!$A$6:$B$38,2,FALSE)</f>
        <v>-9.0944170863708096E-2</v>
      </c>
      <c r="J656">
        <f>($B$1+Table4[[#This Row],[Home Differential]])-Table4[[#This Row],[Away Differential]]</f>
        <v>-0.68216682027718412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0.53317305829448747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0.79843701415173229</v>
      </c>
      <c r="H657" t="s">
        <v>10</v>
      </c>
      <c r="I657">
        <f>VLOOKUP(Table4[[#This Row],[Visitor]],'NHL Model'!$A$6:$B$38,2,FALSE)</f>
        <v>-9.5800647102357028E-2</v>
      </c>
      <c r="J657">
        <f>($B$1+Table4[[#This Row],[Home Differential]])-Table4[[#This Row],[Away Differential]]</f>
        <v>0.93797681578227887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0.66583007163410368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-0.38525981166347251</v>
      </c>
      <c r="H658" t="s">
        <v>14</v>
      </c>
      <c r="I658">
        <f>VLOOKUP(Table4[[#This Row],[Visitor]],'NHL Model'!$A$6:$B$38,2,FALSE)</f>
        <v>6.850792131463232E-2</v>
      </c>
      <c r="J658">
        <f>($B$1+Table4[[#This Row],[Home Differential]])-Table4[[#This Row],[Away Differential]]</f>
        <v>-0.41002857844991525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0.55812079400243086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-9.5800647102357028E-2</v>
      </c>
      <c r="H659" t="s">
        <v>20</v>
      </c>
      <c r="I659">
        <f>VLOOKUP(Table4[[#This Row],[Visitor]],'NHL Model'!$A$6:$B$38,2,FALSE)</f>
        <v>-0.14635285954937219</v>
      </c>
      <c r="J659">
        <f>($B$1+Table4[[#This Row],[Home Differential]])-Table4[[#This Row],[Away Differential]]</f>
        <v>9.4291366975204766E-2</v>
      </c>
      <c r="K659" t="str">
        <f>IF(Table4[[#This Row],[HomeIce Differential]]&gt;0,Table4[[#This Row],[Home]],Table4[[#This Row],[Visitor]])</f>
        <v>Chicago Blackhawks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0.55011422351139871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0.57904383162035133</v>
      </c>
      <c r="H660" t="s">
        <v>18</v>
      </c>
      <c r="I660">
        <f>VLOOKUP(Table4[[#This Row],[Visitor]],'NHL Model'!$A$6:$B$38,2,FALSE)</f>
        <v>-0.48612387559717724</v>
      </c>
      <c r="J660">
        <f>($B$1+Table4[[#This Row],[Home Differential]])-Table4[[#This Row],[Away Differential]]</f>
        <v>1.1089068617457181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0.63231658449385353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-0.46392840252469486</v>
      </c>
      <c r="H661" t="s">
        <v>12</v>
      </c>
      <c r="I661">
        <f>VLOOKUP(Table4[[#This Row],[Visitor]],'NHL Model'!$A$6:$B$38,2,FALSE)</f>
        <v>1.5507956238651657</v>
      </c>
      <c r="J661">
        <f>($B$1+Table4[[#This Row],[Home Differential]])-Table4[[#This Row],[Away Differential]]</f>
        <v>-1.9709848718616709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0.72555776463456245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7.5388445740041043E-4</v>
      </c>
      <c r="H662" t="s">
        <v>25</v>
      </c>
      <c r="I662">
        <f>VLOOKUP(Table4[[#This Row],[Visitor]],'NHL Model'!$A$6:$B$38,2,FALSE)</f>
        <v>0.36021966242194059</v>
      </c>
      <c r="J662">
        <f>($B$1+Table4[[#This Row],[Home Differential]])-Table4[[#This Row],[Away Differential]]</f>
        <v>-0.31572662343635061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0.50445485257175438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-0.94586858045267985</v>
      </c>
      <c r="H663" t="s">
        <v>32</v>
      </c>
      <c r="I663">
        <f>VLOOKUP(Table4[[#This Row],[Visitor]],'NHL Model'!$A$6:$B$38,2,FALSE)</f>
        <v>-0.69519123816912842</v>
      </c>
      <c r="J663">
        <f>($B$1+Table4[[#This Row],[Home Differential]])-Table4[[#This Row],[Away Differential]]</f>
        <v>-0.20693818775536188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0.48219735646161438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-0.31218903714497998</v>
      </c>
      <c r="H664" t="s">
        <v>34</v>
      </c>
      <c r="I664">
        <f>VLOOKUP(Table4[[#This Row],[Visitor]],'NHL Model'!$A$6:$B$38,2,FALSE)</f>
        <v>-6.7671768126352963E-2</v>
      </c>
      <c r="J664">
        <f>($B$1+Table4[[#This Row],[Home Differential]])-Table4[[#This Row],[Away Differential]]</f>
        <v>-0.20077811449043742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0.52082332551912869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-2.5710604859208615E-2</v>
      </c>
      <c r="H665" t="s">
        <v>55</v>
      </c>
      <c r="I665">
        <f>VLOOKUP(Table4[[#This Row],[Visitor]],'NHL Model'!$A$6:$B$38,2,FALSE)</f>
        <v>-4.6200185433750804E-2</v>
      </c>
      <c r="J665">
        <f>($B$1+Table4[[#This Row],[Home Differential]])-Table4[[#This Row],[Away Differential]]</f>
        <v>6.422873510273179E-2</v>
      </c>
      <c r="K665" t="str">
        <f>IF(Table4[[#This Row],[HomeIce Differential]]&gt;0,Table4[[#This Row],[Home]],Table4[[#This Row],[Visitor]])</f>
        <v>New York Rangers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0.54688953616352043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-0.35623783458898745</v>
      </c>
      <c r="H666" t="s">
        <v>26</v>
      </c>
      <c r="I666">
        <f>VLOOKUP(Table4[[#This Row],[Visitor]],'NHL Model'!$A$6:$B$38,2,FALSE)</f>
        <v>-0.71226595502109791</v>
      </c>
      <c r="J666">
        <f>($B$1+Table4[[#This Row],[Home Differential]])-Table4[[#This Row],[Away Differential]]</f>
        <v>0.39976727496030007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0.58288129126979882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0.79843701415173229</v>
      </c>
      <c r="H667" t="s">
        <v>31</v>
      </c>
      <c r="I667">
        <f>VLOOKUP(Table4[[#This Row],[Visitor]],'NHL Model'!$A$6:$B$38,2,FALSE)</f>
        <v>-1.1472178948952137E-2</v>
      </c>
      <c r="J667">
        <f>($B$1+Table4[[#This Row],[Home Differential]])-Table4[[#This Row],[Away Differential]]</f>
        <v>0.85364834762887398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0.63702167895813555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-0.43117543965133126</v>
      </c>
      <c r="H668" t="s">
        <v>38</v>
      </c>
      <c r="I668">
        <f>VLOOKUP(Table4[[#This Row],[Visitor]],'NHL Model'!$A$6:$B$38,2,FALSE)</f>
        <v>-0.81685014566908176</v>
      </c>
      <c r="J668">
        <f>($B$1+Table4[[#This Row],[Home Differential]])-Table4[[#This Row],[Away Differential]]</f>
        <v>0.42941386054594011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0.59618360053658748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0.36021966242194059</v>
      </c>
      <c r="H669" t="s">
        <v>39</v>
      </c>
      <c r="I669">
        <f>VLOOKUP(Table4[[#This Row],[Visitor]],'NHL Model'!$A$6:$B$38,2,FALSE)</f>
        <v>0.57904383162035133</v>
      </c>
      <c r="J669">
        <f>($B$1+Table4[[#This Row],[Home Differential]])-Table4[[#This Row],[Away Differential]]</f>
        <v>-0.17508501467022114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0.53878060557056939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-0.52712659907212012</v>
      </c>
      <c r="H670" t="s">
        <v>29</v>
      </c>
      <c r="I670">
        <f>VLOOKUP(Table4[[#This Row],[Visitor]],'NHL Model'!$A$6:$B$38,2,FALSE)</f>
        <v>-1.0273405477215618</v>
      </c>
      <c r="J670">
        <f>($B$1+Table4[[#This Row],[Home Differential]])-Table4[[#This Row],[Away Differential]]</f>
        <v>0.54395310317763124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0.60084295513714936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0.13101659139829774</v>
      </c>
      <c r="H671" t="s">
        <v>24</v>
      </c>
      <c r="I671">
        <f>VLOOKUP(Table4[[#This Row],[Visitor]],'NHL Model'!$A$6:$B$38,2,FALSE)</f>
        <v>7.5388445740041043E-4</v>
      </c>
      <c r="J671">
        <f>($B$1+Table4[[#This Row],[Home Differential]])-Table4[[#This Row],[Away Differential]]</f>
        <v>0.17400186146908694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0.53789518968360417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-0.13902937841722524</v>
      </c>
      <c r="H672" t="s">
        <v>31</v>
      </c>
      <c r="I672">
        <f>VLOOKUP(Table4[[#This Row],[Visitor]],'NHL Model'!$A$6:$B$38,2,FALSE)</f>
        <v>-1.1472178948952137E-2</v>
      </c>
      <c r="J672">
        <f>($B$1+Table4[[#This Row],[Home Differential]])-Table4[[#This Row],[Away Differential]]</f>
        <v>-8.3818044940083491E-2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0.4635362505006706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-0.69519123816912842</v>
      </c>
      <c r="H673" t="s">
        <v>21</v>
      </c>
      <c r="I673">
        <f>VLOOKUP(Table4[[#This Row],[Visitor]],'NHL Model'!$A$6:$B$38,2,FALSE)</f>
        <v>-9.0944170863708096E-2</v>
      </c>
      <c r="J673">
        <f>($B$1+Table4[[#This Row],[Home Differential]])-Table4[[#This Row],[Away Differential]]</f>
        <v>-0.56050791277723078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0.52012323812451711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-0.53773613438999557</v>
      </c>
      <c r="H674" t="s">
        <v>28</v>
      </c>
      <c r="I674">
        <f>VLOOKUP(Table4[[#This Row],[Visitor]],'NHL Model'!$A$6:$B$38,2,FALSE)</f>
        <v>-0.38525981166347251</v>
      </c>
      <c r="J674">
        <f>($B$1+Table4[[#This Row],[Home Differential]])-Table4[[#This Row],[Away Differential]]</f>
        <v>-0.10873716819833346</v>
      </c>
      <c r="K674" t="str">
        <f>IF(Table4[[#This Row],[HomeIce Differential]]&gt;0,Table4[[#This Row],[Home]],Table4[[#This Row],[Visitor]])</f>
        <v>Columbus Blue Jackets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0.47523992051725195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0.55584102906214949</v>
      </c>
      <c r="H675" t="s">
        <v>12</v>
      </c>
      <c r="I675">
        <f>VLOOKUP(Table4[[#This Row],[Visitor]],'NHL Model'!$A$6:$B$38,2,FALSE)</f>
        <v>1.5507956238651657</v>
      </c>
      <c r="J675">
        <f>($B$1+Table4[[#This Row],[Home Differential]])-Table4[[#This Row],[Away Differential]]</f>
        <v>-0.95121544027482663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0.60203272981462885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-0.18941601188968307</v>
      </c>
      <c r="H676" t="s">
        <v>11</v>
      </c>
      <c r="I676">
        <f>VLOOKUP(Table4[[#This Row],[Visitor]],'NHL Model'!$A$6:$B$38,2,FALSE)</f>
        <v>-0.46392840252469486</v>
      </c>
      <c r="J676">
        <f>($B$1+Table4[[#This Row],[Home Differential]])-Table4[[#This Row],[Away Differential]]</f>
        <v>0.31825154516320142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0.57413745461421783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-0.25075515805082654</v>
      </c>
      <c r="H677" t="s">
        <v>20</v>
      </c>
      <c r="I677">
        <f>VLOOKUP(Table4[[#This Row],[Visitor]],'NHL Model'!$A$6:$B$38,2,FALSE)</f>
        <v>-0.14635285954937219</v>
      </c>
      <c r="J677">
        <f>($B$1+Table4[[#This Row],[Home Differential]])-Table4[[#This Row],[Away Differential]]</f>
        <v>-6.0663143973264749E-2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0.46401159155656124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-9.5800647102357028E-2</v>
      </c>
      <c r="H678" t="s">
        <v>35</v>
      </c>
      <c r="I678">
        <f>VLOOKUP(Table4[[#This Row],[Visitor]],'NHL Model'!$A$6:$B$38,2,FALSE)</f>
        <v>-1.2915976068889494</v>
      </c>
      <c r="J678">
        <f>($B$1+Table4[[#This Row],[Home Differential]])-Table4[[#This Row],[Away Differential]]</f>
        <v>1.2395361143147821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0.67295963048162277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-0.31218903714497998</v>
      </c>
      <c r="H679" t="s">
        <v>33</v>
      </c>
      <c r="I679">
        <f>VLOOKUP(Table4[[#This Row],[Visitor]],'NHL Model'!$A$6:$B$38,2,FALSE)</f>
        <v>-0.53773613438999557</v>
      </c>
      <c r="J679">
        <f>($B$1+Table4[[#This Row],[Home Differential]])-Table4[[#This Row],[Away Differential]]</f>
        <v>0.2692862517732052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0.56888516124384103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-0.48612387559717724</v>
      </c>
      <c r="H680" t="s">
        <v>16</v>
      </c>
      <c r="I680">
        <f>VLOOKUP(Table4[[#This Row],[Visitor]],'NHL Model'!$A$6:$B$38,2,FALSE)</f>
        <v>-0.94586858045267985</v>
      </c>
      <c r="J680">
        <f>($B$1+Table4[[#This Row],[Home Differential]])-Table4[[#This Row],[Away Differential]]</f>
        <v>0.50348385938369222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0.59400651673156235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-4.6200185433750804E-2</v>
      </c>
      <c r="H681" t="s">
        <v>36</v>
      </c>
      <c r="I681">
        <f>VLOOKUP(Table4[[#This Row],[Visitor]],'NHL Model'!$A$6:$B$38,2,FALSE)</f>
        <v>-0.35623783458898745</v>
      </c>
      <c r="J681">
        <f>($B$1+Table4[[#This Row],[Home Differential]])-Table4[[#This Row],[Away Differential]]</f>
        <v>0.35377680368342623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0.61487117101045297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0.79843701415173229</v>
      </c>
      <c r="H682" t="s">
        <v>39</v>
      </c>
      <c r="I682">
        <f>VLOOKUP(Table4[[#This Row],[Visitor]],'NHL Model'!$A$6:$B$38,2,FALSE)</f>
        <v>0.57904383162035133</v>
      </c>
      <c r="J682">
        <f>($B$1+Table4[[#This Row],[Home Differential]])-Table4[[#This Row],[Away Differential]]</f>
        <v>0.26313233705957051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0.50190926819036508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-9.0944170863708096E-2</v>
      </c>
      <c r="H683" t="s">
        <v>16</v>
      </c>
      <c r="I683">
        <f>VLOOKUP(Table4[[#This Row],[Visitor]],'NHL Model'!$A$6:$B$38,2,FALSE)</f>
        <v>-0.94586858045267985</v>
      </c>
      <c r="J683">
        <f>($B$1+Table4[[#This Row],[Home Differential]])-Table4[[#This Row],[Away Differential]]</f>
        <v>0.89866356411716131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0.68811169569155717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0.36021966242194059</v>
      </c>
      <c r="H684" t="s">
        <v>31</v>
      </c>
      <c r="I684">
        <f>VLOOKUP(Table4[[#This Row],[Visitor]],'NHL Model'!$A$6:$B$38,2,FALSE)</f>
        <v>-1.1472178948952137E-2</v>
      </c>
      <c r="J684">
        <f>($B$1+Table4[[#This Row],[Home Differential]])-Table4[[#This Row],[Away Differential]]</f>
        <v>0.41543099589908233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0.59628560820000587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1.5507956238651657</v>
      </c>
      <c r="H685" t="s">
        <v>36</v>
      </c>
      <c r="I685">
        <f>VLOOKUP(Table4[[#This Row],[Visitor]],'NHL Model'!$A$6:$B$38,2,FALSE)</f>
        <v>-0.35623783458898745</v>
      </c>
      <c r="J685">
        <f>($B$1+Table4[[#This Row],[Home Differential]])-Table4[[#This Row],[Away Differential]]</f>
        <v>1.9507726129823426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0.85378211633654433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-0.71226595502109791</v>
      </c>
      <c r="H686" t="s">
        <v>38</v>
      </c>
      <c r="I686">
        <f>VLOOKUP(Table4[[#This Row],[Visitor]],'NHL Model'!$A$6:$B$38,2,FALSE)</f>
        <v>-0.81685014566908176</v>
      </c>
      <c r="J686">
        <f>($B$1+Table4[[#This Row],[Home Differential]])-Table4[[#This Row],[Away Differential]]</f>
        <v>0.1483233451761734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0.56603224744260083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-0.48612387559717724</v>
      </c>
      <c r="H687" t="s">
        <v>11</v>
      </c>
      <c r="I687">
        <f>VLOOKUP(Table4[[#This Row],[Visitor]],'NHL Model'!$A$6:$B$38,2,FALSE)</f>
        <v>-0.46392840252469486</v>
      </c>
      <c r="J687">
        <f>($B$1+Table4[[#This Row],[Home Differential]])-Table4[[#This Row],[Away Differential]]</f>
        <v>2.1543681455707231E-2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0.54231089670763499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-1.0273405477215618</v>
      </c>
      <c r="H688" t="s">
        <v>30</v>
      </c>
      <c r="I688">
        <f>VLOOKUP(Table4[[#This Row],[Visitor]],'NHL Model'!$A$6:$B$38,2,FALSE)</f>
        <v>0.13101659139829774</v>
      </c>
      <c r="J688">
        <f>($B$1+Table4[[#This Row],[Home Differential]])-Table4[[#This Row],[Away Differential]]</f>
        <v>-1.1146179845916699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0.65218337687268146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-2.5710604859208615E-2</v>
      </c>
      <c r="H689" t="s">
        <v>23</v>
      </c>
      <c r="I689">
        <f>VLOOKUP(Table4[[#This Row],[Visitor]],'NHL Model'!$A$6:$B$38,2,FALSE)</f>
        <v>-0.43117543965133126</v>
      </c>
      <c r="J689">
        <f>($B$1+Table4[[#This Row],[Home Differential]])-Table4[[#This Row],[Away Differential]]</f>
        <v>0.44920398932031225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0.58818415191066553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-0.13902937841722524</v>
      </c>
      <c r="H690" t="s">
        <v>19</v>
      </c>
      <c r="I690">
        <f>VLOOKUP(Table4[[#This Row],[Visitor]],'NHL Model'!$A$6:$B$38,2,FALSE)</f>
        <v>-0.18941601188968307</v>
      </c>
      <c r="J690">
        <f>($B$1+Table4[[#This Row],[Home Differential]])-Table4[[#This Row],[Away Differential]]</f>
        <v>9.4125788000647442E-2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0.57613419842632962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6.850792131463232E-2</v>
      </c>
      <c r="H691" t="s">
        <v>24</v>
      </c>
      <c r="I691">
        <f>VLOOKUP(Table4[[#This Row],[Visitor]],'NHL Model'!$A$6:$B$38,2,FALSE)</f>
        <v>7.5388445740041043E-4</v>
      </c>
      <c r="J691">
        <f>($B$1+Table4[[#This Row],[Home Differential]])-Table4[[#This Row],[Away Differential]]</f>
        <v>0.11149319138542152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0.53119015738947351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-0.69519123816912842</v>
      </c>
      <c r="H692" t="s">
        <v>34</v>
      </c>
      <c r="I692">
        <f>VLOOKUP(Table4[[#This Row],[Visitor]],'NHL Model'!$A$6:$B$38,2,FALSE)</f>
        <v>-6.7671768126352963E-2</v>
      </c>
      <c r="J692">
        <f>($B$1+Table4[[#This Row],[Home Differential]])-Table4[[#This Row],[Away Differential]]</f>
        <v>-0.58378031551458587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0.56190630045928991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-0.14635285954937219</v>
      </c>
      <c r="H693" t="s">
        <v>28</v>
      </c>
      <c r="I693">
        <f>VLOOKUP(Table4[[#This Row],[Visitor]],'NHL Model'!$A$6:$B$38,2,FALSE)</f>
        <v>-0.38525981166347251</v>
      </c>
      <c r="J693">
        <f>($B$1+Table4[[#This Row],[Home Differential]])-Table4[[#This Row],[Away Differential]]</f>
        <v>0.28264610664228995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0.56674205564183999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-0.25075515805082654</v>
      </c>
      <c r="H694" t="s">
        <v>17</v>
      </c>
      <c r="I694">
        <f>VLOOKUP(Table4[[#This Row],[Visitor]],'NHL Model'!$A$6:$B$38,2,FALSE)</f>
        <v>-0.52712659907212012</v>
      </c>
      <c r="J694">
        <f>($B$1+Table4[[#This Row],[Home Differential]])-Table4[[#This Row],[Away Differential]]</f>
        <v>0.32011059554948318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0.57683234604185007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-9.5800647102357028E-2</v>
      </c>
      <c r="H695" t="s">
        <v>22</v>
      </c>
      <c r="I695">
        <f>VLOOKUP(Table4[[#This Row],[Visitor]],'NHL Model'!$A$6:$B$38,2,FALSE)</f>
        <v>0.79843701415173229</v>
      </c>
      <c r="J695">
        <f>($B$1+Table4[[#This Row],[Home Differential]])-Table4[[#This Row],[Away Differential]]</f>
        <v>-0.85049850672589977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0.62385243292156889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-4.6200185433750804E-2</v>
      </c>
      <c r="H696" t="s">
        <v>35</v>
      </c>
      <c r="I696">
        <f>VLOOKUP(Table4[[#This Row],[Visitor]],'NHL Model'!$A$6:$B$38,2,FALSE)</f>
        <v>-1.2915976068889494</v>
      </c>
      <c r="J696">
        <f>($B$1+Table4[[#This Row],[Home Differential]])-Table4[[#This Row],[Away Differential]]</f>
        <v>1.2891365759833882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0.71871123302790219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-0.25075515805082654</v>
      </c>
      <c r="H697" t="s">
        <v>13</v>
      </c>
      <c r="I697">
        <f>VLOOKUP(Table4[[#This Row],[Visitor]],'NHL Model'!$A$6:$B$38,2,FALSE)</f>
        <v>-0.31218903714497998</v>
      </c>
      <c r="J697">
        <f>($B$1+Table4[[#This Row],[Home Differential]])-Table4[[#This Row],[Away Differential]]</f>
        <v>0.10517303362234304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0.48747192860284755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-9.0944170863708096E-2</v>
      </c>
      <c r="H698" t="s">
        <v>15</v>
      </c>
      <c r="I698">
        <f>VLOOKUP(Table4[[#This Row],[Visitor]],'NHL Model'!$A$6:$B$38,2,FALSE)</f>
        <v>-2.5710604859208615E-2</v>
      </c>
      <c r="J698">
        <f>($B$1+Table4[[#This Row],[Home Differential]])-Table4[[#This Row],[Away Differential]]</f>
        <v>-2.1494411476309882E-2</v>
      </c>
      <c r="K698" t="str">
        <f>IF(Table4[[#This Row],[HomeIce Differential]]&gt;0,Table4[[#This Row],[Home]],Table4[[#This Row],[Visitor]])</f>
        <v>New York Rangers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0.51659132601764035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-0.43117543965133126</v>
      </c>
      <c r="H699" t="s">
        <v>31</v>
      </c>
      <c r="I699">
        <f>VLOOKUP(Table4[[#This Row],[Visitor]],'NHL Model'!$A$6:$B$38,2,FALSE)</f>
        <v>-1.1472178948952137E-2</v>
      </c>
      <c r="J699">
        <f>($B$1+Table4[[#This Row],[Home Differential]])-Table4[[#This Row],[Away Differential]]</f>
        <v>-0.37596410617418952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0.51091626450923033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0.36021966242194059</v>
      </c>
      <c r="H700" t="s">
        <v>32</v>
      </c>
      <c r="I700">
        <f>VLOOKUP(Table4[[#This Row],[Visitor]],'NHL Model'!$A$6:$B$38,2,FALSE)</f>
        <v>-0.69519123816912842</v>
      </c>
      <c r="J700">
        <f>($B$1+Table4[[#This Row],[Home Differential]])-Table4[[#This Row],[Away Differential]]</f>
        <v>1.0991500551192586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0.69014709627024573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1.5507956238651657</v>
      </c>
      <c r="H701" t="s">
        <v>28</v>
      </c>
      <c r="I701">
        <f>VLOOKUP(Table4[[#This Row],[Visitor]],'NHL Model'!$A$6:$B$38,2,FALSE)</f>
        <v>-0.38525981166347251</v>
      </c>
      <c r="J701">
        <f>($B$1+Table4[[#This Row],[Home Differential]])-Table4[[#This Row],[Away Differential]]</f>
        <v>1.9797945900568277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0.85689517718495922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-0.52712659907212012</v>
      </c>
      <c r="H702" t="s">
        <v>13</v>
      </c>
      <c r="I702">
        <f>VLOOKUP(Table4[[#This Row],[Visitor]],'NHL Model'!$A$6:$B$38,2,FALSE)</f>
        <v>-0.31218903714497998</v>
      </c>
      <c r="J702">
        <f>($B$1+Table4[[#This Row],[Home Differential]])-Table4[[#This Row],[Away Differential]]</f>
        <v>-0.17119840739895054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0.54217322997664086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-6.7671768126352963E-2</v>
      </c>
      <c r="H703" t="s">
        <v>30</v>
      </c>
      <c r="I703">
        <f>VLOOKUP(Table4[[#This Row],[Visitor]],'NHL Model'!$A$6:$B$38,2,FALSE)</f>
        <v>0.13101659139829774</v>
      </c>
      <c r="J703">
        <f>($B$1+Table4[[#This Row],[Home Differential]])-Table4[[#This Row],[Away Differential]]</f>
        <v>-0.15494920499646112</v>
      </c>
      <c r="K703" t="str">
        <f>IF(Table4[[#This Row],[HomeIce Differential]]&gt;0,Table4[[#This Row],[Home]],Table4[[#This Row],[Visitor]])</f>
        <v>New York Islanders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0.54924389423383568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-0.48612387559717724</v>
      </c>
      <c r="H704" t="s">
        <v>26</v>
      </c>
      <c r="I704">
        <f>VLOOKUP(Table4[[#This Row],[Visitor]],'NHL Model'!$A$6:$B$38,2,FALSE)</f>
        <v>-0.71226595502109791</v>
      </c>
      <c r="J704">
        <f>($B$1+Table4[[#This Row],[Home Differential]])-Table4[[#This Row],[Away Differential]]</f>
        <v>0.26988123395211028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0.56894898238607061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-1.0273405477215618</v>
      </c>
      <c r="H705" t="s">
        <v>10</v>
      </c>
      <c r="I705">
        <f>VLOOKUP(Table4[[#This Row],[Visitor]],'NHL Model'!$A$6:$B$38,2,FALSE)</f>
        <v>-9.5800647102357028E-2</v>
      </c>
      <c r="J705">
        <f>($B$1+Table4[[#This Row],[Home Differential]])-Table4[[#This Row],[Away Differential]]</f>
        <v>-0.88780074609101522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0.55606000535611222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-0.35623783458898745</v>
      </c>
      <c r="H706" t="s">
        <v>11</v>
      </c>
      <c r="I706">
        <f>VLOOKUP(Table4[[#This Row],[Visitor]],'NHL Model'!$A$6:$B$38,2,FALSE)</f>
        <v>-0.46392840252469486</v>
      </c>
      <c r="J706">
        <f>($B$1+Table4[[#This Row],[Home Differential]])-Table4[[#This Row],[Away Differential]]</f>
        <v>0.15142972246389702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0.5562432055913632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-0.13902937841722524</v>
      </c>
      <c r="H707" t="s">
        <v>37</v>
      </c>
      <c r="I707">
        <f>VLOOKUP(Table4[[#This Row],[Visitor]],'NHL Model'!$A$6:$B$38,2,FALSE)</f>
        <v>0.55584102906214949</v>
      </c>
      <c r="J707">
        <f>($B$1+Table4[[#This Row],[Home Differential]])-Table4[[#This Row],[Away Differential]]</f>
        <v>-0.65113125295118512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0.57617312232979512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6.850792131463232E-2</v>
      </c>
      <c r="H708" t="s">
        <v>16</v>
      </c>
      <c r="I708">
        <f>VLOOKUP(Table4[[#This Row],[Visitor]],'NHL Model'!$A$6:$B$38,2,FALSE)</f>
        <v>-0.94586858045267985</v>
      </c>
      <c r="J708">
        <f>($B$1+Table4[[#This Row],[Home Differential]])-Table4[[#This Row],[Away Differential]]</f>
        <v>1.0581156562955019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0.65349944954660855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-0.53773613438999557</v>
      </c>
      <c r="H709" t="s">
        <v>39</v>
      </c>
      <c r="I709">
        <f>VLOOKUP(Table4[[#This Row],[Visitor]],'NHL Model'!$A$6:$B$38,2,FALSE)</f>
        <v>0.57904383162035133</v>
      </c>
      <c r="J709">
        <f>($B$1+Table4[[#This Row],[Home Differential]])-Table4[[#This Row],[Away Differential]]</f>
        <v>-1.0730408114821572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0.66758659366545792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-0.18941601188968307</v>
      </c>
      <c r="H710" t="s">
        <v>38</v>
      </c>
      <c r="I710">
        <f>VLOOKUP(Table4[[#This Row],[Visitor]],'NHL Model'!$A$6:$B$38,2,FALSE)</f>
        <v>-0.81685014566908176</v>
      </c>
      <c r="J710">
        <f>($B$1+Table4[[#This Row],[Home Differential]])-Table4[[#This Row],[Away Differential]]</f>
        <v>0.67117328830758827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0.61199383008847963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-0.14635285954937219</v>
      </c>
      <c r="H711" t="s">
        <v>35</v>
      </c>
      <c r="I711">
        <f>VLOOKUP(Table4[[#This Row],[Visitor]],'NHL Model'!$A$6:$B$38,2,FALSE)</f>
        <v>-1.2915976068889494</v>
      </c>
      <c r="J711">
        <f>($B$1+Table4[[#This Row],[Home Differential]])-Table4[[#This Row],[Away Differential]]</f>
        <v>1.1889839018677668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0.66753711522824577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-9.0944170863708096E-2</v>
      </c>
      <c r="H712" t="s">
        <v>14</v>
      </c>
      <c r="I712">
        <f>VLOOKUP(Table4[[#This Row],[Visitor]],'NHL Model'!$A$6:$B$38,2,FALSE)</f>
        <v>6.850792131463232E-2</v>
      </c>
      <c r="J712">
        <f>($B$1+Table4[[#This Row],[Home Differential]])-Table4[[#This Row],[Away Differential]]</f>
        <v>-0.11571293765015081</v>
      </c>
      <c r="K712" t="str">
        <f>IF(Table4[[#This Row],[HomeIce Differential]]&gt;0,Table4[[#This Row],[Home]],Table4[[#This Row],[Visitor]])</f>
        <v>Pittsburgh Penguins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0.47395048346685209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-1.0273405477215618</v>
      </c>
      <c r="H713" t="s">
        <v>22</v>
      </c>
      <c r="I713">
        <f>VLOOKUP(Table4[[#This Row],[Visitor]],'NHL Model'!$A$6:$B$38,2,FALSE)</f>
        <v>0.79843701415173229</v>
      </c>
      <c r="J713">
        <f>($B$1+Table4[[#This Row],[Home Differential]])-Table4[[#This Row],[Away Differential]]</f>
        <v>-1.7820384073451045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0.72377465344814518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-0.53773613438999557</v>
      </c>
      <c r="H714" t="s">
        <v>20</v>
      </c>
      <c r="I714">
        <f>VLOOKUP(Table4[[#This Row],[Visitor]],'NHL Model'!$A$6:$B$38,2,FALSE)</f>
        <v>-0.14635285954937219</v>
      </c>
      <c r="J714">
        <f>($B$1+Table4[[#This Row],[Home Differential]])-Table4[[#This Row],[Away Differential]]</f>
        <v>-0.34764412031243375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0.49729026790107039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-4.6200185433750804E-2</v>
      </c>
      <c r="H715" t="s">
        <v>28</v>
      </c>
      <c r="I715">
        <f>VLOOKUP(Table4[[#This Row],[Visitor]],'NHL Model'!$A$6:$B$38,2,FALSE)</f>
        <v>-0.38525981166347251</v>
      </c>
      <c r="J715">
        <f>($B$1+Table4[[#This Row],[Home Differential]])-Table4[[#This Row],[Away Differential]]</f>
        <v>0.38279878075791129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0.61798423185886786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-0.25075515805082654</v>
      </c>
      <c r="H716" t="s">
        <v>24</v>
      </c>
      <c r="I716">
        <f>VLOOKUP(Table4[[#This Row],[Visitor]],'NHL Model'!$A$6:$B$38,2,FALSE)</f>
        <v>7.5388445740041043E-4</v>
      </c>
      <c r="J716">
        <f>($B$1+Table4[[#This Row],[Home Differential]])-Table4[[#This Row],[Away Differential]]</f>
        <v>-0.20776988798003734</v>
      </c>
      <c r="K716" t="str">
        <f>IF(Table4[[#This Row],[HomeIce Differential]]&gt;0,Table4[[#This Row],[Home]],Table4[[#This Row],[Visitor]])</f>
        <v>New Jersey Devils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0.50054743888095299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-0.43117543965133126</v>
      </c>
      <c r="H717" t="s">
        <v>11</v>
      </c>
      <c r="I717">
        <f>VLOOKUP(Table4[[#This Row],[Visitor]],'NHL Model'!$A$6:$B$38,2,FALSE)</f>
        <v>-0.46392840252469486</v>
      </c>
      <c r="J717">
        <f>($B$1+Table4[[#This Row],[Home Differential]])-Table4[[#This Row],[Away Differential]]</f>
        <v>7.6492117401553206E-2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0.55832722506232568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-9.5800647102357028E-2</v>
      </c>
      <c r="H718" t="s">
        <v>17</v>
      </c>
      <c r="I718">
        <f>VLOOKUP(Table4[[#This Row],[Visitor]],'NHL Model'!$A$6:$B$38,2,FALSE)</f>
        <v>-0.52712659907212012</v>
      </c>
      <c r="J718">
        <f>($B$1+Table4[[#This Row],[Home Differential]])-Table4[[#This Row],[Away Differential]]</f>
        <v>0.47506510649795269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0.59095816110981003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1.5507956238651657</v>
      </c>
      <c r="H719" t="s">
        <v>19</v>
      </c>
      <c r="I719">
        <f>VLOOKUP(Table4[[#This Row],[Visitor]],'NHL Model'!$A$6:$B$38,2,FALSE)</f>
        <v>-0.18941601188968307</v>
      </c>
      <c r="J719">
        <f>($B$1+Table4[[#This Row],[Home Differential]])-Table4[[#This Row],[Away Differential]]</f>
        <v>1.7839507902830383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0.83917758315585689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-0.71226595502109791</v>
      </c>
      <c r="H720" t="s">
        <v>25</v>
      </c>
      <c r="I720">
        <f>VLOOKUP(Table4[[#This Row],[Visitor]],'NHL Model'!$A$6:$B$38,2,FALSE)</f>
        <v>0.36021966242194059</v>
      </c>
      <c r="J720">
        <f>($B$1+Table4[[#This Row],[Home Differential]])-Table4[[#This Row],[Away Differential]]</f>
        <v>-1.0287464629148491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0.63279812391188595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-0.31218903714497998</v>
      </c>
      <c r="H721" t="s">
        <v>39</v>
      </c>
      <c r="I721">
        <f>VLOOKUP(Table4[[#This Row],[Visitor]],'NHL Model'!$A$6:$B$38,2,FALSE)</f>
        <v>0.57904383162035133</v>
      </c>
      <c r="J721">
        <f>($B$1+Table4[[#This Row],[Home Differential]])-Table4[[#This Row],[Away Differential]]</f>
        <v>-0.8474937142371417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0.6433931406796386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-6.7671768126352963E-2</v>
      </c>
      <c r="H722" t="s">
        <v>24</v>
      </c>
      <c r="I722">
        <f>VLOOKUP(Table4[[#This Row],[Visitor]],'NHL Model'!$A$6:$B$38,2,FALSE)</f>
        <v>7.5388445740041043E-4</v>
      </c>
      <c r="J722">
        <f>($B$1+Table4[[#This Row],[Home Differential]])-Table4[[#This Row],[Away Differential]]</f>
        <v>-2.4686498055563773E-2</v>
      </c>
      <c r="K722" t="str">
        <f>IF(Table4[[#This Row],[HomeIce Differential]]&gt;0,Table4[[#This Row],[Home]],Table4[[#This Row],[Visitor]])</f>
        <v>New Jersey Devils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0.48341724370039696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-0.48612387559717724</v>
      </c>
      <c r="H723" t="s">
        <v>38</v>
      </c>
      <c r="I723">
        <f>VLOOKUP(Table4[[#This Row],[Visitor]],'NHL Model'!$A$6:$B$38,2,FALSE)</f>
        <v>-0.81685014566908176</v>
      </c>
      <c r="J723">
        <f>($B$1+Table4[[#This Row],[Home Differential]])-Table4[[#This Row],[Away Differential]]</f>
        <v>0.37446542460009413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0.58016727218189679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-2.5710604859208615E-2</v>
      </c>
      <c r="H724" t="s">
        <v>32</v>
      </c>
      <c r="I724">
        <f>VLOOKUP(Table4[[#This Row],[Visitor]],'NHL Model'!$A$6:$B$38,2,FALSE)</f>
        <v>-0.69519123816912842</v>
      </c>
      <c r="J724">
        <f>($B$1+Table4[[#This Row],[Home Differential]])-Table4[[#This Row],[Away Differential]]</f>
        <v>0.71321978783810935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0.61650397463050788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-0.13902937841722524</v>
      </c>
      <c r="H725" t="s">
        <v>37</v>
      </c>
      <c r="I725">
        <f>VLOOKUP(Table4[[#This Row],[Visitor]],'NHL Model'!$A$6:$B$38,2,FALSE)</f>
        <v>0.55584102906214949</v>
      </c>
      <c r="J725">
        <f>($B$1+Table4[[#This Row],[Home Differential]])-Table4[[#This Row],[Away Differential]]</f>
        <v>-0.65113125295118512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0.57617312232979512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-1.1472178948952137E-2</v>
      </c>
      <c r="H726" t="s">
        <v>39</v>
      </c>
      <c r="I726">
        <f>VLOOKUP(Table4[[#This Row],[Visitor]],'NHL Model'!$A$6:$B$38,2,FALSE)</f>
        <v>0.57904383162035133</v>
      </c>
      <c r="J726">
        <f>($B$1+Table4[[#This Row],[Home Differential]])-Table4[[#This Row],[Away Differential]]</f>
        <v>-0.54677685604111392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0.54921640531736815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-9.0944170863708096E-2</v>
      </c>
      <c r="H727" t="s">
        <v>26</v>
      </c>
      <c r="I727">
        <f>VLOOKUP(Table4[[#This Row],[Visitor]],'NHL Model'!$A$6:$B$38,2,FALSE)</f>
        <v>-0.71226595502109791</v>
      </c>
      <c r="J727">
        <f>($B$1+Table4[[#This Row],[Home Differential]])-Table4[[#This Row],[Away Differential]]</f>
        <v>0.66506093868557936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0.66305416134606532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-0.38525981166347251</v>
      </c>
      <c r="H728" t="s">
        <v>16</v>
      </c>
      <c r="I728">
        <f>VLOOKUP(Table4[[#This Row],[Visitor]],'NHL Model'!$A$6:$B$38,2,FALSE)</f>
        <v>-0.94586858045267985</v>
      </c>
      <c r="J728">
        <f>($B$1+Table4[[#This Row],[Home Differential]])-Table4[[#This Row],[Away Differential]]</f>
        <v>0.60434792331739695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0.60482576476687577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-1.0273405477215618</v>
      </c>
      <c r="H729" t="s">
        <v>17</v>
      </c>
      <c r="I729">
        <f>VLOOKUP(Table4[[#This Row],[Visitor]],'NHL Model'!$A$6:$B$38,2,FALSE)</f>
        <v>-0.52712659907212012</v>
      </c>
      <c r="J729">
        <f>($B$1+Table4[[#This Row],[Home Differential]])-Table4[[#This Row],[Away Differential]]</f>
        <v>-0.45647479412125214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0.50896405941676626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-0.35623783458898745</v>
      </c>
      <c r="H730" t="s">
        <v>38</v>
      </c>
      <c r="I730">
        <f>VLOOKUP(Table4[[#This Row],[Visitor]],'NHL Model'!$A$6:$B$38,2,FALSE)</f>
        <v>-0.81685014566908176</v>
      </c>
      <c r="J730">
        <f>($B$1+Table4[[#This Row],[Home Differential]])-Table4[[#This Row],[Away Differential]]</f>
        <v>0.50435146560828392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0.59409958106562499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6.850792131463232E-2</v>
      </c>
      <c r="H731" t="s">
        <v>37</v>
      </c>
      <c r="I731">
        <f>VLOOKUP(Table4[[#This Row],[Visitor]],'NHL Model'!$A$6:$B$38,2,FALSE)</f>
        <v>0.55584102906214949</v>
      </c>
      <c r="J731">
        <f>($B$1+Table4[[#This Row],[Home Differential]])-Table4[[#This Row],[Away Differential]]</f>
        <v>-0.4435939532193276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0.58020555692438902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-1.2915976068889494</v>
      </c>
      <c r="H732" t="s">
        <v>25</v>
      </c>
      <c r="I732">
        <f>VLOOKUP(Table4[[#This Row],[Visitor]],'NHL Model'!$A$6:$B$38,2,FALSE)</f>
        <v>0.36021966242194059</v>
      </c>
      <c r="J732">
        <f>($B$1+Table4[[#This Row],[Home Differential]])-Table4[[#This Row],[Away Differential]]</f>
        <v>-1.6080781147827006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0.70511469191055143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-4.6200185433750804E-2</v>
      </c>
      <c r="H733" t="s">
        <v>19</v>
      </c>
      <c r="I733">
        <f>VLOOKUP(Table4[[#This Row],[Visitor]],'NHL Model'!$A$6:$B$38,2,FALSE)</f>
        <v>-0.18941601188968307</v>
      </c>
      <c r="J733">
        <f>($B$1+Table4[[#This Row],[Home Differential]])-Table4[[#This Row],[Away Differential]]</f>
        <v>0.18695498098412186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0.60048502251062419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-0.25075515805082654</v>
      </c>
      <c r="H734" t="s">
        <v>30</v>
      </c>
      <c r="I734">
        <f>VLOOKUP(Table4[[#This Row],[Visitor]],'NHL Model'!$A$6:$B$38,2,FALSE)</f>
        <v>0.13101659139829774</v>
      </c>
      <c r="J734">
        <f>($B$1+Table4[[#This Row],[Home Differential]])-Table4[[#This Row],[Away Differential]]</f>
        <v>-0.33803259492093468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0.56637976343825969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0.79843701415173229</v>
      </c>
      <c r="H735" t="s">
        <v>18</v>
      </c>
      <c r="I735">
        <f>VLOOKUP(Table4[[#This Row],[Visitor]],'NHL Model'!$A$6:$B$38,2,FALSE)</f>
        <v>-0.48612387559717724</v>
      </c>
      <c r="J735">
        <f>($B$1+Table4[[#This Row],[Home Differential]])-Table4[[#This Row],[Away Differential]]</f>
        <v>1.3283000442770991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0.64952320346378878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-0.43117543965133126</v>
      </c>
      <c r="H736" t="s">
        <v>27</v>
      </c>
      <c r="I736">
        <f>VLOOKUP(Table4[[#This Row],[Visitor]],'NHL Model'!$A$6:$B$38,2,FALSE)</f>
        <v>-0.13902937841722524</v>
      </c>
      <c r="J736">
        <f>($B$1+Table4[[#This Row],[Home Differential]])-Table4[[#This Row],[Away Differential]]</f>
        <v>-0.24840690670591642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0.51895321730956734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-0.31218903714497998</v>
      </c>
      <c r="H737" t="s">
        <v>20</v>
      </c>
      <c r="I737">
        <f>VLOOKUP(Table4[[#This Row],[Visitor]],'NHL Model'!$A$6:$B$38,2,FALSE)</f>
        <v>-0.14635285954937219</v>
      </c>
      <c r="J737">
        <f>($B$1+Table4[[#This Row],[Home Differential]])-Table4[[#This Row],[Away Differential]]</f>
        <v>-0.12209702306741818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0.47309681491525102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7.5388445740041043E-4</v>
      </c>
      <c r="H738" t="s">
        <v>32</v>
      </c>
      <c r="I738">
        <f>VLOOKUP(Table4[[#This Row],[Visitor]],'NHL Model'!$A$6:$B$38,2,FALSE)</f>
        <v>-0.69519123816912842</v>
      </c>
      <c r="J738">
        <f>($B$1+Table4[[#This Row],[Home Differential]])-Table4[[#This Row],[Away Differential]]</f>
        <v>0.73968427715471841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0.68014377301707751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-2.5710604859208615E-2</v>
      </c>
      <c r="H739" t="s">
        <v>36</v>
      </c>
      <c r="I739">
        <f>VLOOKUP(Table4[[#This Row],[Visitor]],'NHL Model'!$A$6:$B$38,2,FALSE)</f>
        <v>-0.35623783458898745</v>
      </c>
      <c r="J739">
        <f>($B$1+Table4[[#This Row],[Home Differential]])-Table4[[#This Row],[Away Differential]]</f>
        <v>0.37426638425796843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0.57656976305247754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-9.0944170863708096E-2</v>
      </c>
      <c r="H740" t="s">
        <v>32</v>
      </c>
      <c r="I740">
        <f>VLOOKUP(Table4[[#This Row],[Visitor]],'NHL Model'!$A$6:$B$38,2,FALSE)</f>
        <v>-0.69519123816912842</v>
      </c>
      <c r="J740">
        <f>($B$1+Table4[[#This Row],[Home Differential]])-Table4[[#This Row],[Away Differential]]</f>
        <v>0.64798622183360988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0.66122263097192113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-0.43117543965133126</v>
      </c>
      <c r="H741" t="s">
        <v>18</v>
      </c>
      <c r="I741">
        <f>VLOOKUP(Table4[[#This Row],[Visitor]],'NHL Model'!$A$6:$B$38,2,FALSE)</f>
        <v>-0.48612387559717724</v>
      </c>
      <c r="J741">
        <f>($B$1+Table4[[#This Row],[Home Differential]])-Table4[[#This Row],[Away Differential]]</f>
        <v>9.868759047403558E-2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0.50149487813305005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-0.38525981166347251</v>
      </c>
      <c r="H742" t="s">
        <v>38</v>
      </c>
      <c r="I742">
        <f>VLOOKUP(Table4[[#This Row],[Visitor]],'NHL Model'!$A$6:$B$38,2,FALSE)</f>
        <v>-0.81685014566908176</v>
      </c>
      <c r="J742">
        <f>($B$1+Table4[[#This Row],[Home Differential]])-Table4[[#This Row],[Away Differential]]</f>
        <v>0.47532948853379886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0.5909865202172101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-9.5800647102357028E-2</v>
      </c>
      <c r="H743" t="s">
        <v>16</v>
      </c>
      <c r="I743">
        <f>VLOOKUP(Table4[[#This Row],[Visitor]],'NHL Model'!$A$6:$B$38,2,FALSE)</f>
        <v>-0.94586858045267985</v>
      </c>
      <c r="J743">
        <f>($B$1+Table4[[#This Row],[Home Differential]])-Table4[[#This Row],[Away Differential]]</f>
        <v>0.89380708787851237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0.63587478634446848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-0.52712659907212012</v>
      </c>
      <c r="H744" t="s">
        <v>30</v>
      </c>
      <c r="I744">
        <f>VLOOKUP(Table4[[#This Row],[Visitor]],'NHL Model'!$A$6:$B$38,2,FALSE)</f>
        <v>0.13101659139829774</v>
      </c>
      <c r="J744">
        <f>($B$1+Table4[[#This Row],[Home Differential]])-Table4[[#This Row],[Away Differential]]</f>
        <v>-0.61440403594222825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0.59602492201774837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-6.7671768126352963E-2</v>
      </c>
      <c r="H745" t="s">
        <v>40</v>
      </c>
      <c r="I745">
        <f>VLOOKUP(Table4[[#This Row],[Visitor]],'NHL Model'!$A$6:$B$38,2,FALSE)</f>
        <v>-0.25075515805082654</v>
      </c>
      <c r="J745">
        <f>($B$1+Table4[[#This Row],[Home Differential]])-Table4[[#This Row],[Away Differential]]</f>
        <v>0.22682254445266317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0.56075410570219364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6.850792131463232E-2</v>
      </c>
      <c r="H746" t="s">
        <v>27</v>
      </c>
      <c r="I746">
        <f>VLOOKUP(Table4[[#This Row],[Visitor]],'NHL Model'!$A$6:$B$38,2,FALSE)</f>
        <v>-0.13902937841722524</v>
      </c>
      <c r="J746">
        <f>($B$1+Table4[[#This Row],[Home Differential]])-Table4[[#This Row],[Away Differential]]</f>
        <v>0.25127645426004719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0.52444076603316314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-4.6200185433750804E-2</v>
      </c>
      <c r="H747" t="s">
        <v>39</v>
      </c>
      <c r="I747">
        <f>VLOOKUP(Table4[[#This Row],[Visitor]],'NHL Model'!$A$6:$B$38,2,FALSE)</f>
        <v>0.57904383162035133</v>
      </c>
      <c r="J747">
        <f>($B$1+Table4[[#This Row],[Home Differential]])-Table4[[#This Row],[Away Differential]]</f>
        <v>-0.58150486252591249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0.57400339628425256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-0.14635285954937219</v>
      </c>
      <c r="H748" t="s">
        <v>19</v>
      </c>
      <c r="I748">
        <f>VLOOKUP(Table4[[#This Row],[Visitor]],'NHL Model'!$A$6:$B$38,2,FALSE)</f>
        <v>-0.18941601188968307</v>
      </c>
      <c r="J748">
        <f>($B$1+Table4[[#This Row],[Home Differential]])-Table4[[#This Row],[Away Differential]]</f>
        <v>8.6802306868500489E-2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0.54931090471096788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0.79843701415173229</v>
      </c>
      <c r="H749" t="s">
        <v>33</v>
      </c>
      <c r="I749">
        <f>VLOOKUP(Table4[[#This Row],[Visitor]],'NHL Model'!$A$6:$B$38,2,FALSE)</f>
        <v>-0.53773613438999557</v>
      </c>
      <c r="J749">
        <f>($B$1+Table4[[#This Row],[Home Differential]])-Table4[[#This Row],[Away Differential]]</f>
        <v>1.3799123030699174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0.71405490759128154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0.36021966242194059</v>
      </c>
      <c r="H750" t="s">
        <v>11</v>
      </c>
      <c r="I750">
        <f>VLOOKUP(Table4[[#This Row],[Visitor]],'NHL Model'!$A$6:$B$38,2,FALSE)</f>
        <v>-0.46392840252469486</v>
      </c>
      <c r="J750">
        <f>($B$1+Table4[[#This Row],[Home Differential]])-Table4[[#This Row],[Away Differential]]</f>
        <v>0.86788721947482506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0.6653405409659543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1.5507956238651657</v>
      </c>
      <c r="H751" t="s">
        <v>29</v>
      </c>
      <c r="I751">
        <f>VLOOKUP(Table4[[#This Row],[Visitor]],'NHL Model'!$A$6:$B$38,2,FALSE)</f>
        <v>-1.0273405477215618</v>
      </c>
      <c r="J751">
        <f>($B$1+Table4[[#This Row],[Home Differential]])-Table4[[#This Row],[Away Differential]]</f>
        <v>2.621875326114917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0.92905809197611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-0.71226595502109791</v>
      </c>
      <c r="H752" t="s">
        <v>33</v>
      </c>
      <c r="I752">
        <f>VLOOKUP(Table4[[#This Row],[Visitor]],'NHL Model'!$A$6:$B$38,2,FALSE)</f>
        <v>-0.53773613438999557</v>
      </c>
      <c r="J752">
        <f>($B$1+Table4[[#This Row],[Home Differential]])-Table4[[#This Row],[Away Differential]]</f>
        <v>-0.13079066610291279</v>
      </c>
      <c r="K752" t="str">
        <f>IF(Table4[[#This Row],[HomeIce Differential]]&gt;0,Table4[[#This Row],[Home]],Table4[[#This Row],[Visitor]])</f>
        <v>San Jose Sharks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0.46390709468171137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-0.31218903714497998</v>
      </c>
      <c r="H753" t="s">
        <v>31</v>
      </c>
      <c r="I753">
        <f>VLOOKUP(Table4[[#This Row],[Visitor]],'NHL Model'!$A$6:$B$38,2,FALSE)</f>
        <v>-1.1472178948952137E-2</v>
      </c>
      <c r="J753">
        <f>($B$1+Table4[[#This Row],[Home Differential]])-Table4[[#This Row],[Away Differential]]</f>
        <v>-0.25697770366783823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0.50833410776402466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-1.2915976068889494</v>
      </c>
      <c r="H754" t="s">
        <v>37</v>
      </c>
      <c r="I754">
        <f>VLOOKUP(Table4[[#This Row],[Visitor]],'NHL Model'!$A$6:$B$38,2,FALSE)</f>
        <v>0.55584102906214949</v>
      </c>
      <c r="J754">
        <f>($B$1+Table4[[#This Row],[Home Differential]])-Table4[[#This Row],[Away Differential]]</f>
        <v>-1.8036994814229095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0.72609814235013015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-1.1472178948952137E-2</v>
      </c>
      <c r="H755" t="s">
        <v>13</v>
      </c>
      <c r="I755">
        <f>VLOOKUP(Table4[[#This Row],[Visitor]],'NHL Model'!$A$6:$B$38,2,FALSE)</f>
        <v>-0.31218903714497998</v>
      </c>
      <c r="J755">
        <f>($B$1+Table4[[#This Row],[Home Differential]])-Table4[[#This Row],[Away Differential]]</f>
        <v>0.34445601272421744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0.57266257922512287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-0.43117543965133126</v>
      </c>
      <c r="H756" t="s">
        <v>34</v>
      </c>
      <c r="I756">
        <f>VLOOKUP(Table4[[#This Row],[Visitor]],'NHL Model'!$A$6:$B$38,2,FALSE)</f>
        <v>-6.7671768126352963E-2</v>
      </c>
      <c r="J756">
        <f>($B$1+Table4[[#This Row],[Home Differential]])-Table4[[#This Row],[Away Differential]]</f>
        <v>-0.31976451699678871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0.52338271393353086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-0.94586858045267985</v>
      </c>
      <c r="H757" t="s">
        <v>30</v>
      </c>
      <c r="I757">
        <f>VLOOKUP(Table4[[#This Row],[Visitor]],'NHL Model'!$A$6:$B$38,2,FALSE)</f>
        <v>0.13101659139829774</v>
      </c>
      <c r="J757">
        <f>($B$1+Table4[[#This Row],[Home Differential]])-Table4[[#This Row],[Away Differential]]</f>
        <v>-1.033146017322788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0.64344423443255205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-9.5800647102357028E-2</v>
      </c>
      <c r="H758" t="s">
        <v>21</v>
      </c>
      <c r="I758">
        <f>VLOOKUP(Table4[[#This Row],[Visitor]],'NHL Model'!$A$6:$B$38,2,FALSE)</f>
        <v>-9.0944170863708096E-2</v>
      </c>
      <c r="J758">
        <f>($B$1+Table4[[#This Row],[Home Differential]])-Table4[[#This Row],[Away Differential]]</f>
        <v>3.8882678289540666E-2</v>
      </c>
      <c r="K758" t="str">
        <f>IF(Table4[[#This Row],[HomeIce Differential]]&gt;0,Table4[[#This Row],[Home]],Table4[[#This Row],[Visitor]])</f>
        <v>Chicago Blackhawks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0.54417077524229385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7.5388445740041043E-4</v>
      </c>
      <c r="H759" t="s">
        <v>25</v>
      </c>
      <c r="I759">
        <f>VLOOKUP(Table4[[#This Row],[Visitor]],'NHL Model'!$A$6:$B$38,2,FALSE)</f>
        <v>0.36021966242194059</v>
      </c>
      <c r="J759">
        <f>($B$1+Table4[[#This Row],[Home Differential]])-Table4[[#This Row],[Away Differential]]</f>
        <v>-0.31572662343635061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0.50445485257175438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-0.35623783458898745</v>
      </c>
      <c r="H760" t="s">
        <v>18</v>
      </c>
      <c r="I760">
        <f>VLOOKUP(Table4[[#This Row],[Visitor]],'NHL Model'!$A$6:$B$38,2,FALSE)</f>
        <v>-0.48612387559717724</v>
      </c>
      <c r="J760">
        <f>($B$1+Table4[[#This Row],[Home Differential]])-Table4[[#This Row],[Away Differential]]</f>
        <v>0.1736251955363794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0.49933618331385665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-0.13902937841722524</v>
      </c>
      <c r="H761" t="s">
        <v>15</v>
      </c>
      <c r="I761">
        <f>VLOOKUP(Table4[[#This Row],[Visitor]],'NHL Model'!$A$6:$B$38,2,FALSE)</f>
        <v>-2.5710604859208615E-2</v>
      </c>
      <c r="J761">
        <f>($B$1+Table4[[#This Row],[Home Differential]])-Table4[[#This Row],[Away Differential]]</f>
        <v>-6.9579619029827011E-2</v>
      </c>
      <c r="K761" t="str">
        <f>IF(Table4[[#This Row],[HomeIce Differential]]&gt;0,Table4[[#This Row],[Home]],Table4[[#This Row],[Visitor]])</f>
        <v>New York Rangers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0.54800404267526615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6.850792131463232E-2</v>
      </c>
      <c r="H762" t="s">
        <v>28</v>
      </c>
      <c r="I762">
        <f>VLOOKUP(Table4[[#This Row],[Visitor]],'NHL Model'!$A$6:$B$38,2,FALSE)</f>
        <v>-0.38525981166347251</v>
      </c>
      <c r="J762">
        <f>($B$1+Table4[[#This Row],[Home Differential]])-Table4[[#This Row],[Away Differential]]</f>
        <v>0.49750688750629446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0.58978923409735695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-4.6200185433750804E-2</v>
      </c>
      <c r="H763" t="s">
        <v>32</v>
      </c>
      <c r="I763">
        <f>VLOOKUP(Table4[[#This Row],[Visitor]],'NHL Model'!$A$6:$B$38,2,FALSE)</f>
        <v>-0.69519123816912842</v>
      </c>
      <c r="J763">
        <f>($B$1+Table4[[#This Row],[Home Differential]])-Table4[[#This Row],[Away Differential]]</f>
        <v>0.69273020726356727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0.65473732417111186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-0.81685014566908176</v>
      </c>
      <c r="H764" t="s">
        <v>17</v>
      </c>
      <c r="I764">
        <f>VLOOKUP(Table4[[#This Row],[Visitor]],'NHL Model'!$A$6:$B$38,2,FALSE)</f>
        <v>-0.52712659907212012</v>
      </c>
      <c r="J764">
        <f>($B$1+Table4[[#This Row],[Home Differential]])-Table4[[#This Row],[Away Differential]]</f>
        <v>-0.2459843920687721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0.48638567242697123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-0.14635285954937219</v>
      </c>
      <c r="H765" t="s">
        <v>29</v>
      </c>
      <c r="I765">
        <f>VLOOKUP(Table4[[#This Row],[Visitor]],'NHL Model'!$A$6:$B$38,2,FALSE)</f>
        <v>-1.0273405477215618</v>
      </c>
      <c r="J765">
        <f>($B$1+Table4[[#This Row],[Home Differential]])-Table4[[#This Row],[Away Differential]]</f>
        <v>0.92472684270037919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0.63919141353122089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-0.25075515805082654</v>
      </c>
      <c r="H766" t="s">
        <v>19</v>
      </c>
      <c r="I766">
        <f>VLOOKUP(Table4[[#This Row],[Visitor]],'NHL Model'!$A$6:$B$38,2,FALSE)</f>
        <v>-0.18941601188968307</v>
      </c>
      <c r="J766">
        <f>($B$1+Table4[[#This Row],[Home Differential]])-Table4[[#This Row],[Away Differential]]</f>
        <v>-1.7599991632953865E-2</v>
      </c>
      <c r="K766" t="str">
        <f>IF(Table4[[#This Row],[HomeIce Differential]]&gt;0,Table4[[#This Row],[Home]],Table4[[#This Row],[Visitor]])</f>
        <v>Toronto Maple Leafs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0.45939239510361501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0.79843701415173229</v>
      </c>
      <c r="H767" t="s">
        <v>11</v>
      </c>
      <c r="I767">
        <f>VLOOKUP(Table4[[#This Row],[Visitor]],'NHL Model'!$A$6:$B$38,2,FALSE)</f>
        <v>-0.46392840252469486</v>
      </c>
      <c r="J767">
        <f>($B$1+Table4[[#This Row],[Home Differential]])-Table4[[#This Row],[Away Differential]]</f>
        <v>1.3061045712046166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0.70613787424133201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0.57904383162035133</v>
      </c>
      <c r="H768" t="s">
        <v>37</v>
      </c>
      <c r="I768">
        <f>VLOOKUP(Table4[[#This Row],[Visitor]],'NHL Model'!$A$6:$B$38,2,FALSE)</f>
        <v>0.55584102906214949</v>
      </c>
      <c r="J768">
        <f>($B$1+Table4[[#This Row],[Home Differential]])-Table4[[#This Row],[Away Differential]]</f>
        <v>6.694195708639139E-2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0.5071805716470339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-0.71226595502109791</v>
      </c>
      <c r="H769" t="s">
        <v>36</v>
      </c>
      <c r="I769">
        <f>VLOOKUP(Table4[[#This Row],[Visitor]],'NHL Model'!$A$6:$B$38,2,FALSE)</f>
        <v>-0.35623783458898745</v>
      </c>
      <c r="J769">
        <f>($B$1+Table4[[#This Row],[Home Differential]])-Table4[[#This Row],[Away Differential]]</f>
        <v>-0.31228896590392091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0.48693917030031425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-0.52712659907212012</v>
      </c>
      <c r="H770" t="s">
        <v>35</v>
      </c>
      <c r="I770">
        <f>VLOOKUP(Table4[[#This Row],[Visitor]],'NHL Model'!$A$6:$B$38,2,FALSE)</f>
        <v>-1.2915976068889494</v>
      </c>
      <c r="J770">
        <f>($B$1+Table4[[#This Row],[Home Differential]])-Table4[[#This Row],[Away Differential]]</f>
        <v>0.80821016234501886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0.62918865683417424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-1.1472178948952137E-2</v>
      </c>
      <c r="H771" t="s">
        <v>15</v>
      </c>
      <c r="I771">
        <f>VLOOKUP(Table4[[#This Row],[Visitor]],'NHL Model'!$A$6:$B$38,2,FALSE)</f>
        <v>-2.5710604859208615E-2</v>
      </c>
      <c r="J771">
        <f>($B$1+Table4[[#This Row],[Home Differential]])-Table4[[#This Row],[Away Differential]]</f>
        <v>5.7977580438446072E-2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0.50136463314647317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0.36021966242194059</v>
      </c>
      <c r="H772" t="s">
        <v>23</v>
      </c>
      <c r="I772">
        <f>VLOOKUP(Table4[[#This Row],[Visitor]],'NHL Model'!$A$6:$B$38,2,FALSE)</f>
        <v>-0.43117543965133126</v>
      </c>
      <c r="J772">
        <f>($B$1+Table4[[#This Row],[Home Differential]])-Table4[[#This Row],[Away Differential]]</f>
        <v>0.83513425660146146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0.66182727355040338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-0.94586858045267985</v>
      </c>
      <c r="H773" t="s">
        <v>24</v>
      </c>
      <c r="I773">
        <f>VLOOKUP(Table4[[#This Row],[Visitor]],'NHL Model'!$A$6:$B$38,2,FALSE)</f>
        <v>7.5388445740041043E-4</v>
      </c>
      <c r="J773">
        <f>($B$1+Table4[[#This Row],[Home Differential]])-Table4[[#This Row],[Away Differential]]</f>
        <v>-0.90288331038189074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0.57761758389911333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-9.5800647102357028E-2</v>
      </c>
      <c r="H774" t="s">
        <v>40</v>
      </c>
      <c r="I774">
        <f>VLOOKUP(Table4[[#This Row],[Visitor]],'NHL Model'!$A$6:$B$38,2,FALSE)</f>
        <v>-0.25075515805082654</v>
      </c>
      <c r="J774">
        <f>($B$1+Table4[[#This Row],[Home Differential]])-Table4[[#This Row],[Away Differential]]</f>
        <v>0.19869366547665912</v>
      </c>
      <c r="K774" t="str">
        <f>IF(Table4[[#This Row],[HomeIce Differential]]&gt;0,Table4[[#This Row],[Home]],Table4[[#This Row],[Visitor]])</f>
        <v>Chicago Blackhawks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0.55773684358992404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1.5507956238651657</v>
      </c>
      <c r="H775" t="s">
        <v>22</v>
      </c>
      <c r="I775">
        <f>VLOOKUP(Table4[[#This Row],[Visitor]],'NHL Model'!$A$6:$B$38,2,FALSE)</f>
        <v>0.79843701415173229</v>
      </c>
      <c r="J775">
        <f>($B$1+Table4[[#This Row],[Home Differential]])-Table4[[#This Row],[Away Differential]]</f>
        <v>0.79609776424162293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0.66434130195668473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-0.46392840252469486</v>
      </c>
      <c r="H776" t="s">
        <v>33</v>
      </c>
      <c r="I776">
        <f>VLOOKUP(Table4[[#This Row],[Visitor]],'NHL Model'!$A$6:$B$38,2,FALSE)</f>
        <v>-0.53773613438999557</v>
      </c>
      <c r="J776">
        <f>($B$1+Table4[[#This Row],[Home Differential]])-Table4[[#This Row],[Away Differential]]</f>
        <v>0.11754688639349031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0.55260874160797124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-0.69519123816912842</v>
      </c>
      <c r="H777" t="s">
        <v>14</v>
      </c>
      <c r="I777">
        <f>VLOOKUP(Table4[[#This Row],[Visitor]],'NHL Model'!$A$6:$B$38,2,FALSE)</f>
        <v>6.850792131463232E-2</v>
      </c>
      <c r="J777">
        <f>($B$1+Table4[[#This Row],[Home Differential]])-Table4[[#This Row],[Away Differential]]</f>
        <v>-0.71996000495557122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0.591365785791649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-0.18941601188968307</v>
      </c>
      <c r="H778" t="s">
        <v>34</v>
      </c>
      <c r="I778">
        <f>VLOOKUP(Table4[[#This Row],[Visitor]],'NHL Model'!$A$6:$B$38,2,FALSE)</f>
        <v>-6.7671768126352963E-2</v>
      </c>
      <c r="J778">
        <f>($B$1+Table4[[#This Row],[Home Differential]])-Table4[[#This Row],[Away Differential]]</f>
        <v>-7.8005089235140504E-2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0.50765399879880235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-0.81685014566908176</v>
      </c>
      <c r="H779" t="s">
        <v>30</v>
      </c>
      <c r="I779">
        <f>VLOOKUP(Table4[[#This Row],[Visitor]],'NHL Model'!$A$6:$B$38,2,FALSE)</f>
        <v>0.13101659139829774</v>
      </c>
      <c r="J779">
        <f>($B$1+Table4[[#This Row],[Home Differential]])-Table4[[#This Row],[Away Differential]]</f>
        <v>-0.9041275825391899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0.62960498988288649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-0.14635285954937219</v>
      </c>
      <c r="H780" t="s">
        <v>27</v>
      </c>
      <c r="I780">
        <f>VLOOKUP(Table4[[#This Row],[Visitor]],'NHL Model'!$A$6:$B$38,2,FALSE)</f>
        <v>-0.13902937841722524</v>
      </c>
      <c r="J780">
        <f>($B$1+Table4[[#This Row],[Home Differential]])-Table4[[#This Row],[Away Differential]]</f>
        <v>3.6415673396042653E-2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0.50139358757764607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-0.38525981166347251</v>
      </c>
      <c r="H781" t="s">
        <v>36</v>
      </c>
      <c r="I781">
        <f>VLOOKUP(Table4[[#This Row],[Visitor]],'NHL Model'!$A$6:$B$38,2,FALSE)</f>
        <v>-0.35623783458898745</v>
      </c>
      <c r="J781">
        <f>($B$1+Table4[[#This Row],[Home Differential]])-Table4[[#This Row],[Away Differential]]</f>
        <v>1.4717177453704544E-2</v>
      </c>
      <c r="K781" t="str">
        <f>IF(Table4[[#This Row],[HomeIce Differential]]&gt;0,Table4[[#This Row],[Home]],Table4[[#This Row],[Visitor]])</f>
        <v>Columbus Blue Jackets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0.53800248846920939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0.57904383162035133</v>
      </c>
      <c r="H782" t="s">
        <v>21</v>
      </c>
      <c r="I782">
        <f>VLOOKUP(Table4[[#This Row],[Visitor]],'NHL Model'!$A$6:$B$38,2,FALSE)</f>
        <v>-9.0944170863708096E-2</v>
      </c>
      <c r="J782">
        <f>($B$1+Table4[[#This Row],[Home Differential]])-Table4[[#This Row],[Away Differential]]</f>
        <v>0.71372715701224898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0.64880446371629807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-0.52712659907212012</v>
      </c>
      <c r="H783" t="s">
        <v>24</v>
      </c>
      <c r="I783">
        <f>VLOOKUP(Table4[[#This Row],[Visitor]],'NHL Model'!$A$6:$B$38,2,FALSE)</f>
        <v>7.5388445740041043E-4</v>
      </c>
      <c r="J783">
        <f>($B$1+Table4[[#This Row],[Home Differential]])-Table4[[#This Row],[Away Differential]]</f>
        <v>-0.48414132900133094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0.53019259746044156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-0.31218903714497998</v>
      </c>
      <c r="H784" t="s">
        <v>15</v>
      </c>
      <c r="I784">
        <f>VLOOKUP(Table4[[#This Row],[Visitor]],'NHL Model'!$A$6:$B$38,2,FALSE)</f>
        <v>-2.5710604859208615E-2</v>
      </c>
      <c r="J784">
        <f>($B$1+Table4[[#This Row],[Home Differential]])-Table4[[#This Row],[Away Differential]]</f>
        <v>-0.24273927775758175</v>
      </c>
      <c r="K784" t="str">
        <f>IF(Table4[[#This Row],[HomeIce Differential]]&gt;0,Table4[[#This Row],[Home]],Table4[[#This Row],[Visitor]])</f>
        <v>New York Rangers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0.59260982113464333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-0.48612387559717724</v>
      </c>
      <c r="H785" t="s">
        <v>34</v>
      </c>
      <c r="I785">
        <f>VLOOKUP(Table4[[#This Row],[Visitor]],'NHL Model'!$A$6:$B$38,2,FALSE)</f>
        <v>-6.7671768126352963E-2</v>
      </c>
      <c r="J785">
        <f>($B$1+Table4[[#This Row],[Home Differential]])-Table4[[#This Row],[Away Differential]]</f>
        <v>-0.37471295294263468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0.53948055670538519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-1.0273405477215618</v>
      </c>
      <c r="H786" t="s">
        <v>23</v>
      </c>
      <c r="I786">
        <f>VLOOKUP(Table4[[#This Row],[Visitor]],'NHL Model'!$A$6:$B$38,2,FALSE)</f>
        <v>-0.43117543965133126</v>
      </c>
      <c r="J786">
        <f>($B$1+Table4[[#This Row],[Home Differential]])-Table4[[#This Row],[Away Differential]]</f>
        <v>-0.55242595354204105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0.51925632162158619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0.55584102906214949</v>
      </c>
      <c r="H787" t="s">
        <v>33</v>
      </c>
      <c r="I787">
        <f>VLOOKUP(Table4[[#This Row],[Visitor]],'NHL Model'!$A$6:$B$38,2,FALSE)</f>
        <v>-0.53773613438999557</v>
      </c>
      <c r="J787">
        <f>($B$1+Table4[[#This Row],[Home Differential]])-Table4[[#This Row],[Away Differential]]</f>
        <v>1.1373163179803347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0.67601157944580004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-0.25075515805082654</v>
      </c>
      <c r="H788" t="s">
        <v>35</v>
      </c>
      <c r="I788">
        <f>VLOOKUP(Table4[[#This Row],[Visitor]],'NHL Model'!$A$6:$B$38,2,FALSE)</f>
        <v>-1.2915976068889494</v>
      </c>
      <c r="J788">
        <f>($B$1+Table4[[#This Row],[Home Differential]])-Table4[[#This Row],[Away Differential]]</f>
        <v>1.0845816033663125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0.65883381541366293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-0.94586858045267985</v>
      </c>
      <c r="H789" t="s">
        <v>14</v>
      </c>
      <c r="I789">
        <f>VLOOKUP(Table4[[#This Row],[Visitor]],'NHL Model'!$A$6:$B$38,2,FALSE)</f>
        <v>6.850792131463232E-2</v>
      </c>
      <c r="J789">
        <f>($B$1+Table4[[#This Row],[Home Differential]])-Table4[[#This Row],[Away Differential]]</f>
        <v>-0.97063734723912265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0.61825485051128504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1.5507956238651657</v>
      </c>
      <c r="H790" t="s">
        <v>31</v>
      </c>
      <c r="I790">
        <f>VLOOKUP(Table4[[#This Row],[Visitor]],'NHL Model'!$A$6:$B$38,2,FALSE)</f>
        <v>-1.1472178948952137E-2</v>
      </c>
      <c r="J790">
        <f>($B$1+Table4[[#This Row],[Home Differential]])-Table4[[#This Row],[Away Differential]]</f>
        <v>1.6060069573423073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0.8008407873526292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-0.69519123816912842</v>
      </c>
      <c r="H791" t="s">
        <v>30</v>
      </c>
      <c r="I791">
        <f>VLOOKUP(Table4[[#This Row],[Visitor]],'NHL Model'!$A$6:$B$38,2,FALSE)</f>
        <v>0.13101659139829774</v>
      </c>
      <c r="J791">
        <f>($B$1+Table4[[#This Row],[Home Differential]])-Table4[[#This Row],[Away Differential]]</f>
        <v>-0.78246867503923667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0.61655516971291613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-0.18941601188968307</v>
      </c>
      <c r="H792" t="s">
        <v>26</v>
      </c>
      <c r="I792">
        <f>VLOOKUP(Table4[[#This Row],[Visitor]],'NHL Model'!$A$6:$B$38,2,FALSE)</f>
        <v>-0.71226595502109791</v>
      </c>
      <c r="J792">
        <f>($B$1+Table4[[#This Row],[Home Differential]])-Table4[[#This Row],[Away Differential]]</f>
        <v>0.56658909765960441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0.60077554029265345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-4.6200185433750804E-2</v>
      </c>
      <c r="H793" t="s">
        <v>27</v>
      </c>
      <c r="I793">
        <f>VLOOKUP(Table4[[#This Row],[Visitor]],'NHL Model'!$A$6:$B$38,2,FALSE)</f>
        <v>-0.13902937841722524</v>
      </c>
      <c r="J793">
        <f>($B$1+Table4[[#This Row],[Home Differential]])-Table4[[#This Row],[Away Differential]]</f>
        <v>0.13656834751166402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0.55311062920680865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-0.81685014566908176</v>
      </c>
      <c r="H794" t="s">
        <v>22</v>
      </c>
      <c r="I794">
        <f>VLOOKUP(Table4[[#This Row],[Visitor]],'NHL Model'!$A$6:$B$38,2,FALSE)</f>
        <v>0.79843701415173229</v>
      </c>
      <c r="J794">
        <f>($B$1+Table4[[#This Row],[Home Differential]])-Table4[[#This Row],[Away Differential]]</f>
        <v>-1.5715480052926245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0.7011962664583502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-9.0944170863708096E-2</v>
      </c>
      <c r="H795" t="s">
        <v>20</v>
      </c>
      <c r="I795">
        <f>VLOOKUP(Table4[[#This Row],[Visitor]],'NHL Model'!$A$6:$B$38,2,FALSE)</f>
        <v>-0.14635285954937219</v>
      </c>
      <c r="J795">
        <f>($B$1+Table4[[#This Row],[Home Differential]])-Table4[[#This Row],[Away Differential]]</f>
        <v>9.9147843213853698E-2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0.6023511328584874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0.36021966242194059</v>
      </c>
      <c r="H796" t="s">
        <v>10</v>
      </c>
      <c r="I796">
        <f>VLOOKUP(Table4[[#This Row],[Visitor]],'NHL Model'!$A$6:$B$38,2,FALSE)</f>
        <v>-9.5800647102357028E-2</v>
      </c>
      <c r="J796">
        <f>($B$1+Table4[[#This Row],[Home Differential]])-Table4[[#This Row],[Away Differential]]</f>
        <v>0.49975946405248722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0.62503558852370866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-0.38525981166347251</v>
      </c>
      <c r="H797" t="s">
        <v>39</v>
      </c>
      <c r="I797">
        <f>VLOOKUP(Table4[[#This Row],[Visitor]],'NHL Model'!$A$6:$B$38,2,FALSE)</f>
        <v>0.57904383162035133</v>
      </c>
      <c r="J797">
        <f>($B$1+Table4[[#This Row],[Home Differential]])-Table4[[#This Row],[Away Differential]]</f>
        <v>-0.92056448875563424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0.65123112383058168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-0.52712659907212012</v>
      </c>
      <c r="H798" t="s">
        <v>14</v>
      </c>
      <c r="I798">
        <f>VLOOKUP(Table4[[#This Row],[Visitor]],'NHL Model'!$A$6:$B$38,2,FALSE)</f>
        <v>6.850792131463232E-2</v>
      </c>
      <c r="J798">
        <f>($B$1+Table4[[#This Row],[Home Differential]])-Table4[[#This Row],[Away Differential]]</f>
        <v>-0.5518953658585628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0.57082731477265103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-6.7671768126352963E-2</v>
      </c>
      <c r="H799" t="s">
        <v>26</v>
      </c>
      <c r="I799">
        <f>VLOOKUP(Table4[[#This Row],[Visitor]],'NHL Model'!$A$6:$B$38,2,FALSE)</f>
        <v>-0.71226595502109791</v>
      </c>
      <c r="J799">
        <f>($B$1+Table4[[#This Row],[Home Differential]])-Table4[[#This Row],[Away Differential]]</f>
        <v>0.68833334142293456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0.61383451411124623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-0.48612387559717724</v>
      </c>
      <c r="H800" t="s">
        <v>23</v>
      </c>
      <c r="I800">
        <f>VLOOKUP(Table4[[#This Row],[Visitor]],'NHL Model'!$A$6:$B$38,2,FALSE)</f>
        <v>-0.43117543965133126</v>
      </c>
      <c r="J800">
        <f>($B$1+Table4[[#This Row],[Home Differential]])-Table4[[#This Row],[Away Differential]]</f>
        <v>-1.1209281417656369E-2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0.46120237070791603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-1.0273405477215618</v>
      </c>
      <c r="H801" t="s">
        <v>36</v>
      </c>
      <c r="I801">
        <f>VLOOKUP(Table4[[#This Row],[Visitor]],'NHL Model'!$A$6:$B$38,2,FALSE)</f>
        <v>-0.35623783458898745</v>
      </c>
      <c r="J801">
        <f>($B$1+Table4[[#This Row],[Home Differential]])-Table4[[#This Row],[Away Differential]]</f>
        <v>-0.62736355860438486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0.53087071047977408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-0.25075515805082654</v>
      </c>
      <c r="H802" t="s">
        <v>11</v>
      </c>
      <c r="I802">
        <f>VLOOKUP(Table4[[#This Row],[Visitor]],'NHL Model'!$A$6:$B$38,2,FALSE)</f>
        <v>-0.46392840252469486</v>
      </c>
      <c r="J802">
        <f>($B$1+Table4[[#This Row],[Home Differential]])-Table4[[#This Row],[Away Differential]]</f>
        <v>0.25691239900205792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0.57005335125258116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-0.94586858045267985</v>
      </c>
      <c r="H803" t="s">
        <v>22</v>
      </c>
      <c r="I803">
        <f>VLOOKUP(Table4[[#This Row],[Visitor]],'NHL Model'!$A$6:$B$38,2,FALSE)</f>
        <v>0.79843701415173229</v>
      </c>
      <c r="J803">
        <f>($B$1+Table4[[#This Row],[Home Differential]])-Table4[[#This Row],[Away Differential]]</f>
        <v>-1.7005664400762226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0.71503551100801577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-9.5800647102357028E-2</v>
      </c>
      <c r="H804" t="s">
        <v>37</v>
      </c>
      <c r="I804">
        <f>VLOOKUP(Table4[[#This Row],[Visitor]],'NHL Model'!$A$6:$B$38,2,FALSE)</f>
        <v>0.55584102906214949</v>
      </c>
      <c r="J804">
        <f>($B$1+Table4[[#This Row],[Home Differential]])-Table4[[#This Row],[Away Differential]]</f>
        <v>-0.60790252163631697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0.59783022012652898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1.5507956238651657</v>
      </c>
      <c r="H805" t="s">
        <v>27</v>
      </c>
      <c r="I805">
        <f>VLOOKUP(Table4[[#This Row],[Visitor]],'NHL Model'!$A$6:$B$38,2,FALSE)</f>
        <v>-0.13902937841722524</v>
      </c>
      <c r="J805">
        <f>($B$1+Table4[[#This Row],[Home Differential]])-Table4[[#This Row],[Away Differential]]</f>
        <v>1.7335641568105804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0.79399206399946332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0.57904383162035133</v>
      </c>
      <c r="H806" t="s">
        <v>35</v>
      </c>
      <c r="I806">
        <f>VLOOKUP(Table4[[#This Row],[Visitor]],'NHL Model'!$A$6:$B$38,2,FALSE)</f>
        <v>-1.2915976068889494</v>
      </c>
      <c r="J806">
        <f>($B$1+Table4[[#This Row],[Home Differential]])-Table4[[#This Row],[Away Differential]]</f>
        <v>1.9143805930374902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0.777593318955627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-0.69519123816912842</v>
      </c>
      <c r="H807" t="s">
        <v>31</v>
      </c>
      <c r="I807">
        <f>VLOOKUP(Table4[[#This Row],[Visitor]],'NHL Model'!$A$6:$B$38,2,FALSE)</f>
        <v>-1.1472178948952137E-2</v>
      </c>
      <c r="J807">
        <f>($B$1+Table4[[#This Row],[Home Differential]])-Table4[[#This Row],[Away Differential]]</f>
        <v>-0.63997990469198673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0.54941708270418577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-0.53773613438999557</v>
      </c>
      <c r="H808" t="s">
        <v>15</v>
      </c>
      <c r="I808">
        <f>VLOOKUP(Table4[[#This Row],[Visitor]],'NHL Model'!$A$6:$B$38,2,FALSE)</f>
        <v>-2.5710604859208615E-2</v>
      </c>
      <c r="J808">
        <f>($B$1+Table4[[#This Row],[Home Differential]])-Table4[[#This Row],[Away Differential]]</f>
        <v>-0.46828637500259734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0.61680327412046265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-0.18941601188968307</v>
      </c>
      <c r="H809" t="s">
        <v>20</v>
      </c>
      <c r="I809">
        <f>VLOOKUP(Table4[[#This Row],[Visitor]],'NHL Model'!$A$6:$B$38,2,FALSE)</f>
        <v>-0.14635285954937219</v>
      </c>
      <c r="J809">
        <f>($B$1+Table4[[#This Row],[Home Differential]])-Table4[[#This Row],[Away Differential]]</f>
        <v>6.7600218787872146E-4</v>
      </c>
      <c r="K809" t="str">
        <f>IF(Table4[[#This Row],[HomeIce Differential]]&gt;0,Table4[[#This Row],[Home]],Table4[[#This Row],[Visitor]])</f>
        <v>Toronto Maple Leafs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0.54007251180507543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-0.81685014566908176</v>
      </c>
      <c r="H810" t="s">
        <v>24</v>
      </c>
      <c r="I810">
        <f>VLOOKUP(Table4[[#This Row],[Visitor]],'NHL Model'!$A$6:$B$38,2,FALSE)</f>
        <v>7.5388445740041043E-4</v>
      </c>
      <c r="J810">
        <f>($B$1+Table4[[#This Row],[Home Differential]])-Table4[[#This Row],[Away Differential]]</f>
        <v>-0.77386487559829265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0.56377833934944765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-9.0944170863708096E-2</v>
      </c>
      <c r="H811" t="s">
        <v>18</v>
      </c>
      <c r="I811">
        <f>VLOOKUP(Table4[[#This Row],[Visitor]],'NHL Model'!$A$6:$B$38,2,FALSE)</f>
        <v>-0.48612387559717724</v>
      </c>
      <c r="J811">
        <f>($B$1+Table4[[#This Row],[Home Differential]])-Table4[[#This Row],[Away Differential]]</f>
        <v>0.43891885926165874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0.58041424421998888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-0.38525981166347251</v>
      </c>
      <c r="H812" t="s">
        <v>37</v>
      </c>
      <c r="I812">
        <f>VLOOKUP(Table4[[#This Row],[Visitor]],'NHL Model'!$A$6:$B$38,2,FALSE)</f>
        <v>0.55584102906214949</v>
      </c>
      <c r="J812">
        <f>($B$1+Table4[[#This Row],[Home Differential]])-Table4[[#This Row],[Away Differential]]</f>
        <v>-0.8973616861974324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0.62887924170412179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-0.52712659907212012</v>
      </c>
      <c r="H813" t="s">
        <v>22</v>
      </c>
      <c r="I813">
        <f>VLOOKUP(Table4[[#This Row],[Visitor]],'NHL Model'!$A$6:$B$38,2,FALSE)</f>
        <v>0.79843701415173229</v>
      </c>
      <c r="J813">
        <f>($B$1+Table4[[#This Row],[Home Differential]])-Table4[[#This Row],[Away Differential]]</f>
        <v>-1.2818244586956629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0.66761619859321197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-6.7671768126352963E-2</v>
      </c>
      <c r="H814" t="s">
        <v>11</v>
      </c>
      <c r="I814">
        <f>VLOOKUP(Table4[[#This Row],[Visitor]],'NHL Model'!$A$6:$B$38,2,FALSE)</f>
        <v>-0.46392840252469486</v>
      </c>
      <c r="J814">
        <f>($B$1+Table4[[#This Row],[Home Differential]])-Table4[[#This Row],[Away Differential]]</f>
        <v>0.43999578892653152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0.58719642843281061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-1.0273405477215618</v>
      </c>
      <c r="H815" t="s">
        <v>55</v>
      </c>
      <c r="I815">
        <f>VLOOKUP(Table4[[#This Row],[Visitor]],'NHL Model'!$A$6:$B$38,2,FALSE)</f>
        <v>-4.6200185433750804E-2</v>
      </c>
      <c r="J815">
        <f>($B$1+Table4[[#This Row],[Home Differential]])-Table4[[#This Row],[Away Differential]]</f>
        <v>-0.93740120775962144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0.56055093736873129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0.13101659139829774</v>
      </c>
      <c r="H816" t="s">
        <v>23</v>
      </c>
      <c r="I816">
        <f>VLOOKUP(Table4[[#This Row],[Visitor]],'NHL Model'!$A$6:$B$38,2,FALSE)</f>
        <v>-0.43117543965133126</v>
      </c>
      <c r="J816">
        <f>($B$1+Table4[[#This Row],[Home Differential]])-Table4[[#This Row],[Away Differential]]</f>
        <v>0.60593118557781867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0.60499559440126083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-0.35623783458898745</v>
      </c>
      <c r="H817" t="s">
        <v>25</v>
      </c>
      <c r="I817">
        <f>VLOOKUP(Table4[[#This Row],[Visitor]],'NHL Model'!$A$6:$B$38,2,FALSE)</f>
        <v>0.36021966242194059</v>
      </c>
      <c r="J817">
        <f>($B$1+Table4[[#This Row],[Home Differential]])-Table4[[#This Row],[Away Differential]]</f>
        <v>-0.67271834248273843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0.60478273041612818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-1.2915976068889494</v>
      </c>
      <c r="H818" t="s">
        <v>13</v>
      </c>
      <c r="I818">
        <f>VLOOKUP(Table4[[#This Row],[Visitor]],'NHL Model'!$A$6:$B$38,2,FALSE)</f>
        <v>-0.31218903714497998</v>
      </c>
      <c r="J818">
        <f>($B$1+Table4[[#This Row],[Home Differential]])-Table4[[#This Row],[Away Differential]]</f>
        <v>-0.93566941521577984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0.62668096501261406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-0.25075515805082654</v>
      </c>
      <c r="H819" t="s">
        <v>26</v>
      </c>
      <c r="I819">
        <f>VLOOKUP(Table4[[#This Row],[Visitor]],'NHL Model'!$A$6:$B$38,2,FALSE)</f>
        <v>-0.71226595502109791</v>
      </c>
      <c r="J819">
        <f>($B$1+Table4[[#This Row],[Home Differential]])-Table4[[#This Row],[Away Differential]]</f>
        <v>0.50524995149846097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0.59669143693101678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-0.94586858045267985</v>
      </c>
      <c r="H820" t="s">
        <v>31</v>
      </c>
      <c r="I820">
        <f>VLOOKUP(Table4[[#This Row],[Visitor]],'NHL Model'!$A$6:$B$38,2,FALSE)</f>
        <v>-1.1472178948952137E-2</v>
      </c>
      <c r="J820">
        <f>($B$1+Table4[[#This Row],[Home Differential]])-Table4[[#This Row],[Away Differential]]</f>
        <v>-0.89065724697553816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0.5763061474238218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-9.5800647102357028E-2</v>
      </c>
      <c r="H821" t="s">
        <v>11</v>
      </c>
      <c r="I821">
        <f>VLOOKUP(Table4[[#This Row],[Visitor]],'NHL Model'!$A$6:$B$38,2,FALSE)</f>
        <v>-0.46392840252469486</v>
      </c>
      <c r="J821">
        <f>($B$1+Table4[[#This Row],[Home Differential]])-Table4[[#This Row],[Away Differential]]</f>
        <v>0.41186690995052744</v>
      </c>
      <c r="K821" t="str">
        <f>IF(Table4[[#This Row],[HomeIce Differential]]&gt;0,Table4[[#This Row],[Home]],Table4[[#This Row],[Visitor]])</f>
        <v>Chicago Blackhawks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0.58417916632054112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-0.35623783458898745</v>
      </c>
      <c r="H822" t="s">
        <v>20</v>
      </c>
      <c r="I822">
        <f>VLOOKUP(Table4[[#This Row],[Visitor]],'NHL Model'!$A$6:$B$38,2,FALSE)</f>
        <v>-0.14635285954937219</v>
      </c>
      <c r="J822">
        <f>($B$1+Table4[[#This Row],[Home Differential]])-Table4[[#This Row],[Away Differential]]</f>
        <v>-0.16614582051142565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0.47782173721777921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-0.69519123816912842</v>
      </c>
      <c r="H823" t="s">
        <v>24</v>
      </c>
      <c r="I823">
        <f>VLOOKUP(Table4[[#This Row],[Visitor]],'NHL Model'!$A$6:$B$38,2,FALSE)</f>
        <v>7.5388445740041043E-4</v>
      </c>
      <c r="J823">
        <f>($B$1+Table4[[#This Row],[Home Differential]])-Table4[[#This Row],[Away Differential]]</f>
        <v>-0.65220596809833931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0.55072851917947729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-0.18941601188968307</v>
      </c>
      <c r="H824" t="s">
        <v>12</v>
      </c>
      <c r="I824">
        <f>VLOOKUP(Table4[[#This Row],[Visitor]],'NHL Model'!$A$6:$B$38,2,FALSE)</f>
        <v>1.5507956238651657</v>
      </c>
      <c r="J824">
        <f>($B$1+Table4[[#This Row],[Home Differential]])-Table4[[#This Row],[Away Differential]]</f>
        <v>-1.6964724812266592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0.69611201827836622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-0.81685014566908176</v>
      </c>
      <c r="H825" t="s">
        <v>14</v>
      </c>
      <c r="I825">
        <f>VLOOKUP(Table4[[#This Row],[Visitor]],'NHL Model'!$A$6:$B$38,2,FALSE)</f>
        <v>6.850792131463232E-2</v>
      </c>
      <c r="J825">
        <f>($B$1+Table4[[#This Row],[Home Differential]])-Table4[[#This Row],[Away Differential]]</f>
        <v>-0.84161891245552456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0.60441560596161936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-0.38525981166347251</v>
      </c>
      <c r="H826" t="s">
        <v>13</v>
      </c>
      <c r="I826">
        <f>VLOOKUP(Table4[[#This Row],[Visitor]],'NHL Model'!$A$6:$B$38,2,FALSE)</f>
        <v>-0.31218903714497998</v>
      </c>
      <c r="J826">
        <f>($B$1+Table4[[#This Row],[Home Differential]])-Table4[[#This Row],[Away Differential]]</f>
        <v>-2.9331619990302926E-2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0.5294620643666057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-0.52712659907212012</v>
      </c>
      <c r="H827" t="s">
        <v>31</v>
      </c>
      <c r="I827">
        <f>VLOOKUP(Table4[[#This Row],[Visitor]],'NHL Model'!$A$6:$B$38,2,FALSE)</f>
        <v>-1.1472178948952137E-2</v>
      </c>
      <c r="J827">
        <f>($B$1+Table4[[#This Row],[Home Differential]])-Table4[[#This Row],[Away Differential]]</f>
        <v>-0.47191526559497837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0.52888116098515003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-2.5710604859208615E-2</v>
      </c>
      <c r="H828" t="s">
        <v>21</v>
      </c>
      <c r="I828">
        <f>VLOOKUP(Table4[[#This Row],[Visitor]],'NHL Model'!$A$6:$B$38,2,FALSE)</f>
        <v>-9.0944170863708096E-2</v>
      </c>
      <c r="J828">
        <f>($B$1+Table4[[#This Row],[Home Differential]])-Table4[[#This Row],[Away Differential]]</f>
        <v>0.10897272053268908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0.55168902824796928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-0.13902937841722524</v>
      </c>
      <c r="H829" t="s">
        <v>30</v>
      </c>
      <c r="I829">
        <f>VLOOKUP(Table4[[#This Row],[Visitor]],'NHL Model'!$A$6:$B$38,2,FALSE)</f>
        <v>0.13101659139829774</v>
      </c>
      <c r="J829">
        <f>($B$1+Table4[[#This Row],[Home Differential]])-Table4[[#This Row],[Away Differential]]</f>
        <v>-0.22630681528733337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0.53060405854937143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0.55584102906214949</v>
      </c>
      <c r="H830" t="s">
        <v>55</v>
      </c>
      <c r="I830">
        <f>VLOOKUP(Table4[[#This Row],[Visitor]],'NHL Model'!$A$6:$B$38,2,FALSE)</f>
        <v>-4.6200185433750804E-2</v>
      </c>
      <c r="J830">
        <f>($B$1+Table4[[#This Row],[Home Differential]])-Table4[[#This Row],[Away Differential]]</f>
        <v>0.64578036902408986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0.62328666293315438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-9.0944170863708096E-2</v>
      </c>
      <c r="H831" t="s">
        <v>29</v>
      </c>
      <c r="I831">
        <f>VLOOKUP(Table4[[#This Row],[Visitor]],'NHL Model'!$A$6:$B$38,2,FALSE)</f>
        <v>-1.0273405477215618</v>
      </c>
      <c r="J831">
        <f>($B$1+Table4[[#This Row],[Home Differential]])-Table4[[#This Row],[Away Differential]]</f>
        <v>0.98013553138604326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0.69685083813168658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-0.71226595502109791</v>
      </c>
      <c r="H832" t="s">
        <v>13</v>
      </c>
      <c r="I832">
        <f>VLOOKUP(Table4[[#This Row],[Visitor]],'NHL Model'!$A$6:$B$38,2,FALSE)</f>
        <v>-0.31218903714497998</v>
      </c>
      <c r="J832">
        <f>($B$1+Table4[[#This Row],[Home Differential]])-Table4[[#This Row],[Away Differential]]</f>
        <v>-0.35633776334792838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0.55435182931434834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-0.46392840252469486</v>
      </c>
      <c r="H833" t="s">
        <v>55</v>
      </c>
      <c r="I833">
        <f>VLOOKUP(Table4[[#This Row],[Visitor]],'NHL Model'!$A$6:$B$38,2,FALSE)</f>
        <v>-4.6200185433750804E-2</v>
      </c>
      <c r="J833">
        <f>($B$1+Table4[[#This Row],[Home Differential]])-Table4[[#This Row],[Away Differential]]</f>
        <v>-0.37398906256275444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0.50011617490467442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-6.7671768126352963E-2</v>
      </c>
      <c r="H834" t="s">
        <v>10</v>
      </c>
      <c r="I834">
        <f>VLOOKUP(Table4[[#This Row],[Visitor]],'NHL Model'!$A$6:$B$38,2,FALSE)</f>
        <v>-9.5800647102357028E-2</v>
      </c>
      <c r="J834">
        <f>($B$1+Table4[[#This Row],[Home Differential]])-Table4[[#This Row],[Away Differential]]</f>
        <v>7.1868033504193657E-2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0.54687947728273356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-0.48612387559717724</v>
      </c>
      <c r="H835" t="s">
        <v>20</v>
      </c>
      <c r="I835">
        <f>VLOOKUP(Table4[[#This Row],[Visitor]],'NHL Model'!$A$6:$B$38,2,FALSE)</f>
        <v>-0.14635285954937219</v>
      </c>
      <c r="J835">
        <f>($B$1+Table4[[#This Row],[Home Differential]])-Table4[[#This Row],[Away Differential]]</f>
        <v>-0.29603186151961547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0.49175404610150747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7.5388445740041043E-4</v>
      </c>
      <c r="H836" t="s">
        <v>40</v>
      </c>
      <c r="I836">
        <f>VLOOKUP(Table4[[#This Row],[Visitor]],'NHL Model'!$A$6:$B$38,2,FALSE)</f>
        <v>-0.25075515805082654</v>
      </c>
      <c r="J836">
        <f>($B$1+Table4[[#This Row],[Home Differential]])-Table4[[#This Row],[Away Differential]]</f>
        <v>0.29524819703641658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0.6290151185751417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-0.69519123816912842</v>
      </c>
      <c r="H837" t="s">
        <v>22</v>
      </c>
      <c r="I837">
        <f>VLOOKUP(Table4[[#This Row],[Visitor]],'NHL Model'!$A$6:$B$38,2,FALSE)</f>
        <v>0.79843701415173229</v>
      </c>
      <c r="J837">
        <f>($B$1+Table4[[#This Row],[Home Differential]])-Table4[[#This Row],[Away Differential]]</f>
        <v>-1.4498890977926711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0.68814644628837973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-1.2915976068889494</v>
      </c>
      <c r="H838" t="s">
        <v>39</v>
      </c>
      <c r="I838">
        <f>VLOOKUP(Table4[[#This Row],[Visitor]],'NHL Model'!$A$6:$B$38,2,FALSE)</f>
        <v>0.57904383162035133</v>
      </c>
      <c r="J838">
        <f>($B$1+Table4[[#This Row],[Home Differential]])-Table4[[#This Row],[Away Differential]]</f>
        <v>-1.8269022839811111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0.74845002447659015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-0.18941601188968307</v>
      </c>
      <c r="H839" t="s">
        <v>23</v>
      </c>
      <c r="I839">
        <f>VLOOKUP(Table4[[#This Row],[Visitor]],'NHL Model'!$A$6:$B$38,2,FALSE)</f>
        <v>-0.43117543965133126</v>
      </c>
      <c r="J839">
        <f>($B$1+Table4[[#This Row],[Home Differential]])-Table4[[#This Row],[Away Differential]]</f>
        <v>0.28549858228983782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0.57062418719866692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-0.81685014566908176</v>
      </c>
      <c r="H840" t="s">
        <v>33</v>
      </c>
      <c r="I840">
        <f>VLOOKUP(Table4[[#This Row],[Visitor]],'NHL Model'!$A$6:$B$38,2,FALSE)</f>
        <v>-0.53773613438999557</v>
      </c>
      <c r="J840">
        <f>($B$1+Table4[[#This Row],[Home Differential]])-Table4[[#This Row],[Away Differential]]</f>
        <v>-0.23537485675089664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0.48524763386629061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-0.38525981166347251</v>
      </c>
      <c r="H841" t="s">
        <v>27</v>
      </c>
      <c r="I841">
        <f>VLOOKUP(Table4[[#This Row],[Visitor]],'NHL Model'!$A$6:$B$38,2,FALSE)</f>
        <v>-0.13902937841722524</v>
      </c>
      <c r="J841">
        <f>($B$1+Table4[[#This Row],[Home Differential]])-Table4[[#This Row],[Away Differential]]</f>
        <v>-0.20249127871805767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0.52423291874656963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0.13101659139829774</v>
      </c>
      <c r="H842" t="s">
        <v>15</v>
      </c>
      <c r="I842">
        <f>VLOOKUP(Table4[[#This Row],[Visitor]],'NHL Model'!$A$6:$B$38,2,FALSE)</f>
        <v>-2.5710604859208615E-2</v>
      </c>
      <c r="J842">
        <f>($B$1+Table4[[#This Row],[Home Differential]])-Table4[[#This Row],[Away Differential]]</f>
        <v>0.20046635078569597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0.4549309127882768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-0.35623783458898745</v>
      </c>
      <c r="H843" t="s">
        <v>12</v>
      </c>
      <c r="I843">
        <f>VLOOKUP(Table4[[#This Row],[Visitor]],'NHL Model'!$A$6:$B$38,2,FALSE)</f>
        <v>1.5507956238651657</v>
      </c>
      <c r="J843">
        <f>($B$1+Table4[[#This Row],[Home Differential]])-Table4[[#This Row],[Away Differential]]</f>
        <v>-1.8632943039259635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0.71400626730122085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-9.0944170863708096E-2</v>
      </c>
      <c r="H844" t="s">
        <v>27</v>
      </c>
      <c r="I844">
        <f>VLOOKUP(Table4[[#This Row],[Visitor]],'NHL Model'!$A$6:$B$38,2,FALSE)</f>
        <v>-0.13902937841722524</v>
      </c>
      <c r="J844">
        <f>($B$1+Table4[[#This Row],[Home Differential]])-Table4[[#This Row],[Away Differential]]</f>
        <v>9.1824362081706745E-2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0.55984959866082129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-0.43117543965133126</v>
      </c>
      <c r="H845" t="s">
        <v>13</v>
      </c>
      <c r="I845">
        <f>VLOOKUP(Table4[[#This Row],[Visitor]],'NHL Model'!$A$6:$B$38,2,FALSE)</f>
        <v>-0.31218903714497998</v>
      </c>
      <c r="J845">
        <f>($B$1+Table4[[#This Row],[Home Differential]])-Table4[[#This Row],[Away Differential]]</f>
        <v>-7.524724797816168E-2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0.5242004762203617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0.36021966242194059</v>
      </c>
      <c r="H846" t="s">
        <v>55</v>
      </c>
      <c r="I846">
        <f>VLOOKUP(Table4[[#This Row],[Visitor]],'NHL Model'!$A$6:$B$38,2,FALSE)</f>
        <v>-4.6200185433750804E-2</v>
      </c>
      <c r="J846">
        <f>($B$1+Table4[[#This Row],[Home Differential]])-Table4[[#This Row],[Away Differential]]</f>
        <v>0.45015900238388101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0.62053265780325828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-0.71226595502109791</v>
      </c>
      <c r="H847" t="s">
        <v>22</v>
      </c>
      <c r="I847">
        <f>VLOOKUP(Table4[[#This Row],[Visitor]],'NHL Model'!$A$6:$B$38,2,FALSE)</f>
        <v>0.79843701415173229</v>
      </c>
      <c r="J847">
        <f>($B$1+Table4[[#This Row],[Home Differential]])-Table4[[#This Row],[Away Differential]]</f>
        <v>-1.4669638146446407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0.67980378714650458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-0.52712659907212012</v>
      </c>
      <c r="H848" t="s">
        <v>33</v>
      </c>
      <c r="I848">
        <f>VLOOKUP(Table4[[#This Row],[Visitor]],'NHL Model'!$A$6:$B$38,2,FALSE)</f>
        <v>-0.53773613438999557</v>
      </c>
      <c r="J848">
        <f>($B$1+Table4[[#This Row],[Home Differential]])-Table4[[#This Row],[Away Differential]]</f>
        <v>5.4348689846065057E-2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0.54832522602304212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-6.7671768126352963E-2</v>
      </c>
      <c r="H849" t="s">
        <v>16</v>
      </c>
      <c r="I849">
        <f>VLOOKUP(Table4[[#This Row],[Visitor]],'NHL Model'!$A$6:$B$38,2,FALSE)</f>
        <v>-0.94586858045267985</v>
      </c>
      <c r="J849">
        <f>($B$1+Table4[[#This Row],[Home Differential]])-Table4[[#This Row],[Away Differential]]</f>
        <v>0.92193596685451651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0.63889204845673797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-0.48612387559717724</v>
      </c>
      <c r="H850" t="s">
        <v>12</v>
      </c>
      <c r="I850">
        <f>VLOOKUP(Table4[[#This Row],[Visitor]],'NHL Model'!$A$6:$B$38,2,FALSE)</f>
        <v>1.5507956238651657</v>
      </c>
      <c r="J850">
        <f>($B$1+Table4[[#This Row],[Home Differential]])-Table4[[#This Row],[Away Differential]]</f>
        <v>-1.9931803449341534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0.72793857618494917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7.5388445740041043E-4</v>
      </c>
      <c r="H851" t="s">
        <v>29</v>
      </c>
      <c r="I851">
        <f>VLOOKUP(Table4[[#This Row],[Visitor]],'NHL Model'!$A$6:$B$38,2,FALSE)</f>
        <v>-1.0273405477215618</v>
      </c>
      <c r="J851">
        <f>($B$1+Table4[[#This Row],[Home Differential]])-Table4[[#This Row],[Away Differential]]</f>
        <v>1.0718335867071518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0.71577198017684296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-2.5710604859208615E-2</v>
      </c>
      <c r="H852" t="s">
        <v>30</v>
      </c>
      <c r="I852">
        <f>VLOOKUP(Table4[[#This Row],[Visitor]],'NHL Model'!$A$6:$B$38,2,FALSE)</f>
        <v>0.13101659139829774</v>
      </c>
      <c r="J852">
        <f>($B$1+Table4[[#This Row],[Home Differential]])-Table4[[#This Row],[Away Differential]]</f>
        <v>-0.11298804172931676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0.54474290334042985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6.850792131463232E-2</v>
      </c>
      <c r="H853" t="s">
        <v>10</v>
      </c>
      <c r="I853">
        <f>VLOOKUP(Table4[[#This Row],[Visitor]],'NHL Model'!$A$6:$B$38,2,FALSE)</f>
        <v>-9.5800647102357028E-2</v>
      </c>
      <c r="J853">
        <f>($B$1+Table4[[#This Row],[Home Differential]])-Table4[[#This Row],[Away Differential]]</f>
        <v>0.20804772294517895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0.56148687837260403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-0.69519123816912842</v>
      </c>
      <c r="H854" t="s">
        <v>19</v>
      </c>
      <c r="I854">
        <f>VLOOKUP(Table4[[#This Row],[Visitor]],'NHL Model'!$A$6:$B$38,2,FALSE)</f>
        <v>-0.18941601188968307</v>
      </c>
      <c r="J854">
        <f>($B$1+Table4[[#This Row],[Home Differential]])-Table4[[#This Row],[Away Differential]]</f>
        <v>-0.46203607175125583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0.50956059340246607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-1.2915976068889494</v>
      </c>
      <c r="H855" t="s">
        <v>11</v>
      </c>
      <c r="I855">
        <f>VLOOKUP(Table4[[#This Row],[Visitor]],'NHL Model'!$A$6:$B$38,2,FALSE)</f>
        <v>-0.46392840252469486</v>
      </c>
      <c r="J855">
        <f>($B$1+Table4[[#This Row],[Home Differential]])-Table4[[#This Row],[Away Differential]]</f>
        <v>-0.78393004983606507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0.54408875590306016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0.55584102906214949</v>
      </c>
      <c r="H856" t="s">
        <v>40</v>
      </c>
      <c r="I856">
        <f>VLOOKUP(Table4[[#This Row],[Visitor]],'NHL Model'!$A$6:$B$38,2,FALSE)</f>
        <v>-0.25075515805082654</v>
      </c>
      <c r="J856">
        <f>($B$1+Table4[[#This Row],[Home Differential]])-Table4[[#This Row],[Away Differential]]</f>
        <v>0.85033534164116564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0.64167047740334615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-0.81685014566908176</v>
      </c>
      <c r="H857" t="s">
        <v>31</v>
      </c>
      <c r="I857">
        <f>VLOOKUP(Table4[[#This Row],[Visitor]],'NHL Model'!$A$6:$B$38,2,FALSE)</f>
        <v>-1.1472178948952137E-2</v>
      </c>
      <c r="J857">
        <f>($B$1+Table4[[#This Row],[Home Differential]])-Table4[[#This Row],[Away Differential]]</f>
        <v>-0.76163881219194007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0.56246690287415613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-0.14635285954937219</v>
      </c>
      <c r="H858" t="s">
        <v>39</v>
      </c>
      <c r="I858">
        <f>VLOOKUP(Table4[[#This Row],[Visitor]],'NHL Model'!$A$6:$B$38,2,FALSE)</f>
        <v>0.57904383162035133</v>
      </c>
      <c r="J858">
        <f>($B$1+Table4[[#This Row],[Home Differential]])-Table4[[#This Row],[Away Differential]]</f>
        <v>-0.68165753664153395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0.62560461750636598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-9.5800647102357028E-2</v>
      </c>
      <c r="H859" t="s">
        <v>28</v>
      </c>
      <c r="I859">
        <f>VLOOKUP(Table4[[#This Row],[Visitor]],'NHL Model'!$A$6:$B$38,2,FALSE)</f>
        <v>-0.38525981166347251</v>
      </c>
      <c r="J859">
        <f>($B$1+Table4[[#This Row],[Home Differential]])-Table4[[#This Row],[Away Differential]]</f>
        <v>0.33319831908930508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0.572164570895217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-0.43117543965133126</v>
      </c>
      <c r="H860" t="s">
        <v>18</v>
      </c>
      <c r="I860">
        <f>VLOOKUP(Table4[[#This Row],[Visitor]],'NHL Model'!$A$6:$B$38,2,FALSE)</f>
        <v>-0.48612387559717724</v>
      </c>
      <c r="J860">
        <f>($B$1+Table4[[#This Row],[Home Differential]])-Table4[[#This Row],[Away Differential]]</f>
        <v>9.868759047403558E-2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0.50149487813305005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-0.94586858045267985</v>
      </c>
      <c r="H861" t="s">
        <v>33</v>
      </c>
      <c r="I861">
        <f>VLOOKUP(Table4[[#This Row],[Visitor]],'NHL Model'!$A$6:$B$38,2,FALSE)</f>
        <v>-0.53773613438999557</v>
      </c>
      <c r="J861">
        <f>($B$1+Table4[[#This Row],[Home Differential]])-Table4[[#This Row],[Away Differential]]</f>
        <v>-0.36439329153449473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0.49908687841595623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-0.71226595502109791</v>
      </c>
      <c r="H862" t="s">
        <v>12</v>
      </c>
      <c r="I862">
        <f>VLOOKUP(Table4[[#This Row],[Visitor]],'NHL Model'!$A$6:$B$38,2,FALSE)</f>
        <v>1.5507956238651657</v>
      </c>
      <c r="J862">
        <f>($B$1+Table4[[#This Row],[Home Differential]])-Table4[[#This Row],[Away Differential]]</f>
        <v>-2.219322424358074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0.74199404070629404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-0.52712659907212012</v>
      </c>
      <c r="H863" t="s">
        <v>34</v>
      </c>
      <c r="I863">
        <f>VLOOKUP(Table4[[#This Row],[Visitor]],'NHL Model'!$A$6:$B$38,2,FALSE)</f>
        <v>-6.7671768126352963E-2</v>
      </c>
      <c r="J863">
        <f>($B$1+Table4[[#This Row],[Home Differential]])-Table4[[#This Row],[Away Differential]]</f>
        <v>-0.41571567641757756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0.5413662002544235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-0.46392840252469486</v>
      </c>
      <c r="H864" t="s">
        <v>40</v>
      </c>
      <c r="I864">
        <f>VLOOKUP(Table4[[#This Row],[Visitor]],'NHL Model'!$A$6:$B$38,2,FALSE)</f>
        <v>-0.25075515805082654</v>
      </c>
      <c r="J864">
        <f>($B$1+Table4[[#This Row],[Home Differential]])-Table4[[#This Row],[Away Differential]]</f>
        <v>-0.16943408994567871</v>
      </c>
      <c r="K864" t="str">
        <f>IF(Table4[[#This Row],[HomeIce Differential]]&gt;0,Table4[[#This Row],[Home]],Table4[[#This Row],[Visitor]])</f>
        <v>Winnipeg Jets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0.48175061447259526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0.13101659139829774</v>
      </c>
      <c r="H865" t="s">
        <v>29</v>
      </c>
      <c r="I865">
        <f>VLOOKUP(Table4[[#This Row],[Visitor]],'NHL Model'!$A$6:$B$38,2,FALSE)</f>
        <v>-1.0273405477215618</v>
      </c>
      <c r="J865">
        <f>($B$1+Table4[[#This Row],[Home Differential]])-Table4[[#This Row],[Away Differential]]</f>
        <v>1.202096293648049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0.66894362428086851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-0.35623783458898745</v>
      </c>
      <c r="H866" t="s">
        <v>24</v>
      </c>
      <c r="I866">
        <f>VLOOKUP(Table4[[#This Row],[Visitor]],'NHL Model'!$A$6:$B$38,2,FALSE)</f>
        <v>7.5388445740041043E-4</v>
      </c>
      <c r="J866">
        <f>($B$1+Table4[[#This Row],[Home Differential]])-Table4[[#This Row],[Away Differential]]</f>
        <v>-0.31325256451819827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0.51437046654184437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-0.13902937841722524</v>
      </c>
      <c r="H867" t="s">
        <v>13</v>
      </c>
      <c r="I867">
        <f>VLOOKUP(Table4[[#This Row],[Visitor]],'NHL Model'!$A$6:$B$38,2,FALSE)</f>
        <v>-0.31218903714497998</v>
      </c>
      <c r="J867">
        <f>($B$1+Table4[[#This Row],[Home Differential]])-Table4[[#This Row],[Away Differential]]</f>
        <v>0.21689881325594434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0.52326578929759948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6.850792131463232E-2</v>
      </c>
      <c r="H868" t="s">
        <v>15</v>
      </c>
      <c r="I868">
        <f>VLOOKUP(Table4[[#This Row],[Visitor]],'NHL Model'!$A$6:$B$38,2,FALSE)</f>
        <v>-2.5710604859208615E-2</v>
      </c>
      <c r="J868">
        <f>($B$1+Table4[[#This Row],[Home Differential]])-Table4[[#This Row],[Away Differential]]</f>
        <v>0.13795768070203054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0.44822588049414619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-1.2915976068889494</v>
      </c>
      <c r="H869" t="s">
        <v>28</v>
      </c>
      <c r="I869">
        <f>VLOOKUP(Table4[[#This Row],[Visitor]],'NHL Model'!$A$6:$B$38,2,FALSE)</f>
        <v>-0.38525981166347251</v>
      </c>
      <c r="J869">
        <f>($B$1+Table4[[#This Row],[Home Differential]])-Table4[[#This Row],[Away Differential]]</f>
        <v>-0.86259864069728742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0.55610335132838407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-4.6200185433750804E-2</v>
      </c>
      <c r="H870" t="s">
        <v>39</v>
      </c>
      <c r="I870">
        <f>VLOOKUP(Table4[[#This Row],[Visitor]],'NHL Model'!$A$6:$B$38,2,FALSE)</f>
        <v>0.57904383162035133</v>
      </c>
      <c r="J870">
        <f>($B$1+Table4[[#This Row],[Home Differential]])-Table4[[#This Row],[Away Differential]]</f>
        <v>-0.58150486252591249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0.57400339628425256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-0.81685014566908176</v>
      </c>
      <c r="H871" t="s">
        <v>19</v>
      </c>
      <c r="I871">
        <f>VLOOKUP(Table4[[#This Row],[Visitor]],'NHL Model'!$A$6:$B$38,2,FALSE)</f>
        <v>-0.18941601188968307</v>
      </c>
      <c r="J871">
        <f>($B$1+Table4[[#This Row],[Home Differential]])-Table4[[#This Row],[Away Differential]]</f>
        <v>-0.58369497925120917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0.52261041357243632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-0.14635285954937219</v>
      </c>
      <c r="H872" t="s">
        <v>32</v>
      </c>
      <c r="I872">
        <f>VLOOKUP(Table4[[#This Row],[Visitor]],'NHL Model'!$A$6:$B$38,2,FALSE)</f>
        <v>-0.69519123816912842</v>
      </c>
      <c r="J872">
        <f>($B$1+Table4[[#This Row],[Home Differential]])-Table4[[#This Row],[Away Differential]]</f>
        <v>0.59257753314794581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0.60356320637145544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0.79843701415173229</v>
      </c>
      <c r="H873" t="s">
        <v>25</v>
      </c>
      <c r="I873">
        <f>VLOOKUP(Table4[[#This Row],[Visitor]],'NHL Model'!$A$6:$B$38,2,FALSE)</f>
        <v>0.36021966242194059</v>
      </c>
      <c r="J873">
        <f>($B$1+Table4[[#This Row],[Home Differential]])-Table4[[#This Row],[Away Differential]]</f>
        <v>0.48195650625798125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0.54536825756858953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-1.1472178948952137E-2</v>
      </c>
      <c r="H874" t="s">
        <v>20</v>
      </c>
      <c r="I874">
        <f>VLOOKUP(Table4[[#This Row],[Visitor]],'NHL Model'!$A$6:$B$38,2,FALSE)</f>
        <v>-0.14635285954937219</v>
      </c>
      <c r="J874">
        <f>($B$1+Table4[[#This Row],[Home Differential]])-Table4[[#This Row],[Away Differential]]</f>
        <v>0.17861983512860966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0.61996083842835226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0.36021966242194059</v>
      </c>
      <c r="H875" t="s">
        <v>13</v>
      </c>
      <c r="I875">
        <f>VLOOKUP(Table4[[#This Row],[Visitor]],'NHL Model'!$A$6:$B$38,2,FALSE)</f>
        <v>-0.31218903714497998</v>
      </c>
      <c r="J875">
        <f>($B$1+Table4[[#This Row],[Home Differential]])-Table4[[#This Row],[Away Differential]]</f>
        <v>0.71614785409511017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0.58314716944583744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0.55584102906214949</v>
      </c>
      <c r="H876" t="s">
        <v>21</v>
      </c>
      <c r="I876">
        <f>VLOOKUP(Table4[[#This Row],[Visitor]],'NHL Model'!$A$6:$B$38,2,FALSE)</f>
        <v>-9.0944170863708096E-2</v>
      </c>
      <c r="J876">
        <f>($B$1+Table4[[#This Row],[Home Differential]])-Table4[[#This Row],[Away Differential]]</f>
        <v>0.69052435445404714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0.62808615501760312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-0.94586858045267985</v>
      </c>
      <c r="H877" t="s">
        <v>19</v>
      </c>
      <c r="I877">
        <f>VLOOKUP(Table4[[#This Row],[Visitor]],'NHL Model'!$A$6:$B$38,2,FALSE)</f>
        <v>-0.18941601188968307</v>
      </c>
      <c r="J877">
        <f>($B$1+Table4[[#This Row],[Home Differential]])-Table4[[#This Row],[Away Differential]]</f>
        <v>-0.71271341403480726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0.53644965812210199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-9.5800647102357028E-2</v>
      </c>
      <c r="H878" t="s">
        <v>33</v>
      </c>
      <c r="I878">
        <f>VLOOKUP(Table4[[#This Row],[Visitor]],'NHL Model'!$A$6:$B$38,2,FALSE)</f>
        <v>-0.53773613438999557</v>
      </c>
      <c r="J878">
        <f>($B$1+Table4[[#This Row],[Home Differential]])-Table4[[#This Row],[Away Differential]]</f>
        <v>0.48567464181582815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0.59209619967049065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1.5507956238651657</v>
      </c>
      <c r="H879" t="s">
        <v>26</v>
      </c>
      <c r="I879">
        <f>VLOOKUP(Table4[[#This Row],[Visitor]],'NHL Model'!$A$6:$B$38,2,FALSE)</f>
        <v>-0.71226595502109791</v>
      </c>
      <c r="J879">
        <f>($B$1+Table4[[#This Row],[Home Differential]])-Table4[[#This Row],[Away Differential]]</f>
        <v>2.3068007334144531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0.89526141519048874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0.57904383162035133</v>
      </c>
      <c r="H880" t="s">
        <v>40</v>
      </c>
      <c r="I880">
        <f>VLOOKUP(Table4[[#This Row],[Visitor]],'NHL Model'!$A$6:$B$38,2,FALSE)</f>
        <v>-0.25075515805082654</v>
      </c>
      <c r="J880">
        <f>($B$1+Table4[[#This Row],[Home Differential]])-Table4[[#This Row],[Away Differential]]</f>
        <v>0.87353814419936748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0.66242100434294748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-0.46392840252469486</v>
      </c>
      <c r="H881" t="s">
        <v>23</v>
      </c>
      <c r="I881">
        <f>VLOOKUP(Table4[[#This Row],[Visitor]],'NHL Model'!$A$6:$B$38,2,FALSE)</f>
        <v>-0.43117543965133126</v>
      </c>
      <c r="J881">
        <f>($B$1+Table4[[#This Row],[Home Differential]])-Table4[[#This Row],[Away Differential]]</f>
        <v>1.0986191654826005E-2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0.54117844084247069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-6.7671768126352963E-2</v>
      </c>
      <c r="H882" t="s">
        <v>18</v>
      </c>
      <c r="I882">
        <f>VLOOKUP(Table4[[#This Row],[Visitor]],'NHL Model'!$A$6:$B$38,2,FALSE)</f>
        <v>-0.48612387559717724</v>
      </c>
      <c r="J882">
        <f>($B$1+Table4[[#This Row],[Home Differential]])-Table4[[#This Row],[Away Differential]]</f>
        <v>0.46219126199901389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0.53028940615530407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-1.0273405477215618</v>
      </c>
      <c r="H883" t="s">
        <v>35</v>
      </c>
      <c r="I883">
        <f>VLOOKUP(Table4[[#This Row],[Visitor]],'NHL Model'!$A$6:$B$38,2,FALSE)</f>
        <v>-1.2915976068889494</v>
      </c>
      <c r="J883">
        <f>($B$1+Table4[[#This Row],[Home Differential]])-Table4[[#This Row],[Away Differential]]</f>
        <v>0.30799621369557717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0.57303740995504659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6.850792131463232E-2</v>
      </c>
      <c r="H884" t="s">
        <v>36</v>
      </c>
      <c r="I884">
        <f>VLOOKUP(Table4[[#This Row],[Visitor]],'NHL Model'!$A$6:$B$38,2,FALSE)</f>
        <v>-0.35623783458898745</v>
      </c>
      <c r="J884">
        <f>($B$1+Table4[[#This Row],[Home Differential]])-Table4[[#This Row],[Away Differential]]</f>
        <v>0.4684849104318094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0.58667617324894206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-4.6200185433750804E-2</v>
      </c>
      <c r="H885" t="s">
        <v>38</v>
      </c>
      <c r="I885">
        <f>VLOOKUP(Table4[[#This Row],[Visitor]],'NHL Model'!$A$6:$B$38,2,FALSE)</f>
        <v>-0.81685014566908176</v>
      </c>
      <c r="J885">
        <f>($B$1+Table4[[#This Row],[Home Differential]])-Table4[[#This Row],[Away Differential]]</f>
        <v>0.81438911476352061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0.66778714434108222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0.79843701415173229</v>
      </c>
      <c r="H886" t="s">
        <v>30</v>
      </c>
      <c r="I886">
        <f>VLOOKUP(Table4[[#This Row],[Visitor]],'NHL Model'!$A$6:$B$38,2,FALSE)</f>
        <v>0.13101659139829774</v>
      </c>
      <c r="J886">
        <f>($B$1+Table4[[#This Row],[Home Differential]])-Table4[[#This Row],[Away Differential]]</f>
        <v>0.71115957728162416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0.56995387090943461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-1.1472178948952137E-2</v>
      </c>
      <c r="H887" t="s">
        <v>32</v>
      </c>
      <c r="I887">
        <f>VLOOKUP(Table4[[#This Row],[Visitor]],'NHL Model'!$A$6:$B$38,2,FALSE)</f>
        <v>-0.69519123816912842</v>
      </c>
      <c r="J887">
        <f>($B$1+Table4[[#This Row],[Home Differential]])-Table4[[#This Row],[Away Differential]]</f>
        <v>0.72745821374836583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0.67883233654178599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0.36021966242194059</v>
      </c>
      <c r="H888" t="s">
        <v>36</v>
      </c>
      <c r="I888">
        <f>VLOOKUP(Table4[[#This Row],[Visitor]],'NHL Model'!$A$6:$B$38,2,FALSE)</f>
        <v>-0.35623783458898745</v>
      </c>
      <c r="J888">
        <f>($B$1+Table4[[#This Row],[Home Differential]])-Table4[[#This Row],[Away Differential]]</f>
        <v>0.76019665153911764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0.65026335697123461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-0.52712659907212012</v>
      </c>
      <c r="H889" t="s">
        <v>19</v>
      </c>
      <c r="I889">
        <f>VLOOKUP(Table4[[#This Row],[Visitor]],'NHL Model'!$A$6:$B$38,2,FALSE)</f>
        <v>-0.18941601188968307</v>
      </c>
      <c r="J889">
        <f>($B$1+Table4[[#This Row],[Home Differential]])-Table4[[#This Row],[Away Differential]]</f>
        <v>-0.29397143265424741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0.48903755368310359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7.5388445740041043E-4</v>
      </c>
      <c r="H890" t="s">
        <v>28</v>
      </c>
      <c r="I890">
        <f>VLOOKUP(Table4[[#This Row],[Visitor]],'NHL Model'!$A$6:$B$38,2,FALSE)</f>
        <v>-0.38525981166347251</v>
      </c>
      <c r="J890">
        <f>($B$1+Table4[[#This Row],[Home Differential]])-Table4[[#This Row],[Away Differential]]</f>
        <v>0.42975285064906255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0.64344284588043466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0.13101659139829774</v>
      </c>
      <c r="H891" t="s">
        <v>14</v>
      </c>
      <c r="I891">
        <f>VLOOKUP(Table4[[#This Row],[Visitor]],'NHL Model'!$A$6:$B$38,2,FALSE)</f>
        <v>6.850792131463232E-2</v>
      </c>
      <c r="J891">
        <f>($B$1+Table4[[#This Row],[Home Differential]])-Table4[[#This Row],[Away Differential]]</f>
        <v>0.10624782461185503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0.49725792307143246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-0.13902937841722524</v>
      </c>
      <c r="H892" t="s">
        <v>22</v>
      </c>
      <c r="I892">
        <f>VLOOKUP(Table4[[#This Row],[Visitor]],'NHL Model'!$A$6:$B$38,2,FALSE)</f>
        <v>0.79843701415173229</v>
      </c>
      <c r="J892">
        <f>($B$1+Table4[[#This Row],[Home Differential]])-Table4[[#This Row],[Away Differential]]</f>
        <v>-0.89372723804076792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0.60219533512483503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0.55584102906214949</v>
      </c>
      <c r="H893" t="s">
        <v>23</v>
      </c>
      <c r="I893">
        <f>VLOOKUP(Table4[[#This Row],[Visitor]],'NHL Model'!$A$6:$B$38,2,FALSE)</f>
        <v>-0.43117543965133126</v>
      </c>
      <c r="J893">
        <f>($B$1+Table4[[#This Row],[Home Differential]])-Table4[[#This Row],[Away Differential]]</f>
        <v>1.0307556232416704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0.66458127868029948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-0.38525981166347251</v>
      </c>
      <c r="H894" t="s">
        <v>10</v>
      </c>
      <c r="I894">
        <f>VLOOKUP(Table4[[#This Row],[Visitor]],'NHL Model'!$A$6:$B$38,2,FALSE)</f>
        <v>-9.5800647102357028E-2</v>
      </c>
      <c r="J894">
        <f>($B$1+Table4[[#This Row],[Home Differential]])-Table4[[#This Row],[Away Differential]]</f>
        <v>-0.24572001003292587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0.48718680640712869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-0.94586858045267985</v>
      </c>
      <c r="H895" t="s">
        <v>17</v>
      </c>
      <c r="I895">
        <f>VLOOKUP(Table4[[#This Row],[Visitor]],'NHL Model'!$A$6:$B$38,2,FALSE)</f>
        <v>-0.52712659907212012</v>
      </c>
      <c r="J895">
        <f>($B$1+Table4[[#This Row],[Home Differential]])-Table4[[#This Row],[Away Differential]]</f>
        <v>-0.37500282685237019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0.50022491697663685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1.5507956238651657</v>
      </c>
      <c r="H896" t="s">
        <v>33</v>
      </c>
      <c r="I896">
        <f>VLOOKUP(Table4[[#This Row],[Visitor]],'NHL Model'!$A$6:$B$38,2,FALSE)</f>
        <v>-0.53773613438999557</v>
      </c>
      <c r="J896">
        <f>($B$1+Table4[[#This Row],[Home Differential]])-Table4[[#This Row],[Away Differential]]</f>
        <v>2.1322709127833508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0.87654036286200276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0.57904383162035133</v>
      </c>
      <c r="H897" t="s">
        <v>35</v>
      </c>
      <c r="I897">
        <f>VLOOKUP(Table4[[#This Row],[Visitor]],'NHL Model'!$A$6:$B$38,2,FALSE)</f>
        <v>-1.2915976068889494</v>
      </c>
      <c r="J897">
        <f>($B$1+Table4[[#This Row],[Home Differential]])-Table4[[#This Row],[Away Differential]]</f>
        <v>1.9143805930374902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0.777593318955627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-0.46392840252469486</v>
      </c>
      <c r="H898" t="s">
        <v>21</v>
      </c>
      <c r="I898">
        <f>VLOOKUP(Table4[[#This Row],[Visitor]],'NHL Model'!$A$6:$B$38,2,FALSE)</f>
        <v>-9.0944170863708096E-2</v>
      </c>
      <c r="J898">
        <f>($B$1+Table4[[#This Row],[Home Differential]])-Table4[[#This Row],[Away Differential]]</f>
        <v>-0.32924507713279716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0.49531668282022567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-0.31218903714497998</v>
      </c>
      <c r="H899" t="s">
        <v>32</v>
      </c>
      <c r="I899">
        <f>VLOOKUP(Table4[[#This Row],[Visitor]],'NHL Model'!$A$6:$B$38,2,FALSE)</f>
        <v>-0.69519123816912842</v>
      </c>
      <c r="J899">
        <f>($B$1+Table4[[#This Row],[Home Differential]])-Table4[[#This Row],[Away Differential]]</f>
        <v>0.42674135555233805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0.58577468319818282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-1.0273405477215618</v>
      </c>
      <c r="H900" t="s">
        <v>34</v>
      </c>
      <c r="I900">
        <f>VLOOKUP(Table4[[#This Row],[Visitor]],'NHL Model'!$A$6:$B$38,2,FALSE)</f>
        <v>-6.7671768126352963E-2</v>
      </c>
      <c r="J900">
        <f>($B$1+Table4[[#This Row],[Home Differential]])-Table4[[#This Row],[Away Differential]]</f>
        <v>-0.91592962506701925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0.59753450761905536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-4.6200185433750804E-2</v>
      </c>
      <c r="H901" t="s">
        <v>26</v>
      </c>
      <c r="I901">
        <f>VLOOKUP(Table4[[#This Row],[Visitor]],'NHL Model'!$A$6:$B$38,2,FALSE)</f>
        <v>-0.71226595502109791</v>
      </c>
      <c r="J901">
        <f>($B$1+Table4[[#This Row],[Home Differential]])-Table4[[#This Row],[Away Differential]]</f>
        <v>0.70980492411553675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0.65656885454525604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-0.14635285954937219</v>
      </c>
      <c r="H902" t="s">
        <v>38</v>
      </c>
      <c r="I902">
        <f>VLOOKUP(Table4[[#This Row],[Visitor]],'NHL Model'!$A$6:$B$38,2,FALSE)</f>
        <v>-0.81685014566908176</v>
      </c>
      <c r="J902">
        <f>($B$1+Table4[[#This Row],[Home Differential]])-Table4[[#This Row],[Away Differential]]</f>
        <v>0.71423644064789915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0.6166130265414258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-0.25075515805082654</v>
      </c>
      <c r="H903" t="s">
        <v>18</v>
      </c>
      <c r="I903">
        <f>VLOOKUP(Table4[[#This Row],[Visitor]],'NHL Model'!$A$6:$B$38,2,FALSE)</f>
        <v>-0.48612387559717724</v>
      </c>
      <c r="J903">
        <f>($B$1+Table4[[#This Row],[Home Differential]])-Table4[[#This Row],[Away Differential]]</f>
        <v>0.2791078720745403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0.51316016010869492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-0.43117543965133126</v>
      </c>
      <c r="H904" t="s">
        <v>14</v>
      </c>
      <c r="I904">
        <f>VLOOKUP(Table4[[#This Row],[Visitor]],'NHL Model'!$A$6:$B$38,2,FALSE)</f>
        <v>6.850792131463232E-2</v>
      </c>
      <c r="J904">
        <f>($B$1+Table4[[#This Row],[Home Differential]])-Table4[[#This Row],[Away Differential]]</f>
        <v>-0.455944206437774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0.55284415346510263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7.5388445740041043E-4</v>
      </c>
      <c r="H905" t="s">
        <v>30</v>
      </c>
      <c r="I905">
        <f>VLOOKUP(Table4[[#This Row],[Visitor]],'NHL Model'!$A$6:$B$38,2,FALSE)</f>
        <v>0.13101659139829774</v>
      </c>
      <c r="J905">
        <f>($B$1+Table4[[#This Row],[Home Differential]])-Table4[[#This Row],[Away Differential]]</f>
        <v>-8.6523552412707733E-2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0.47986923923090929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-2.5710604859208615E-2</v>
      </c>
      <c r="H906" t="s">
        <v>25</v>
      </c>
      <c r="I906">
        <f>VLOOKUP(Table4[[#This Row],[Visitor]],'NHL Model'!$A$6:$B$38,2,FALSE)</f>
        <v>0.36021966242194059</v>
      </c>
      <c r="J906">
        <f>($B$1+Table4[[#This Row],[Home Differential]])-Table4[[#This Row],[Away Differential]]</f>
        <v>-0.3421911127529596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0.56932851668127482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-0.13902937841722524</v>
      </c>
      <c r="H907" t="s">
        <v>36</v>
      </c>
      <c r="I907">
        <f>VLOOKUP(Table4[[#This Row],[Visitor]],'NHL Model'!$A$6:$B$38,2,FALSE)</f>
        <v>-0.35623783458898745</v>
      </c>
      <c r="J907">
        <f>($B$1+Table4[[#This Row],[Home Differential]])-Table4[[#This Row],[Away Differential]]</f>
        <v>0.26094761069995182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0.59049071160012767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0.55584102906214949</v>
      </c>
      <c r="H908" t="s">
        <v>11</v>
      </c>
      <c r="I908">
        <f>VLOOKUP(Table4[[#This Row],[Visitor]],'NHL Model'!$A$6:$B$38,2,FALSE)</f>
        <v>-0.46392840252469486</v>
      </c>
      <c r="J908">
        <f>($B$1+Table4[[#This Row],[Home Differential]])-Table4[[#This Row],[Away Differential]]</f>
        <v>1.063508586115034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0.66809454609585039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-0.14635285954937219</v>
      </c>
      <c r="H909" t="s">
        <v>13</v>
      </c>
      <c r="I909">
        <f>VLOOKUP(Table4[[#This Row],[Visitor]],'NHL Model'!$A$6:$B$38,2,FALSE)</f>
        <v>-0.31218903714497998</v>
      </c>
      <c r="J909">
        <f>($B$1+Table4[[#This Row],[Home Differential]])-Table4[[#This Row],[Away Differential]]</f>
        <v>0.20957533212379739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0.49616444195761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0.79843701415173229</v>
      </c>
      <c r="H910" t="s">
        <v>29</v>
      </c>
      <c r="I910">
        <f>VLOOKUP(Table4[[#This Row],[Visitor]],'NHL Model'!$A$6:$B$38,2,FALSE)</f>
        <v>-1.0273405477215618</v>
      </c>
      <c r="J910">
        <f>($B$1+Table4[[#This Row],[Home Differential]])-Table4[[#This Row],[Away Differential]]</f>
        <v>1.8695167164014836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0.76657263670538878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-1.1472178948952137E-2</v>
      </c>
      <c r="H911" t="s">
        <v>17</v>
      </c>
      <c r="I911">
        <f>VLOOKUP(Table4[[#This Row],[Visitor]],'NHL Model'!$A$6:$B$38,2,FALSE)</f>
        <v>-0.52712659907212012</v>
      </c>
      <c r="J911">
        <f>($B$1+Table4[[#This Row],[Home Differential]])-Table4[[#This Row],[Away Differential]]</f>
        <v>0.55939357465135753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0.66080477602676357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0.57904383162035133</v>
      </c>
      <c r="H912" t="s">
        <v>32</v>
      </c>
      <c r="I912">
        <f>VLOOKUP(Table4[[#This Row],[Visitor]],'NHL Model'!$A$6:$B$38,2,FALSE)</f>
        <v>-0.69519123816912842</v>
      </c>
      <c r="J912">
        <f>($B$1+Table4[[#This Row],[Home Differential]])-Table4[[#This Row],[Away Differential]]</f>
        <v>1.3179742243176693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0.71361941009883667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-0.31218903714497998</v>
      </c>
      <c r="H913" t="s">
        <v>20</v>
      </c>
      <c r="I913">
        <f>VLOOKUP(Table4[[#This Row],[Visitor]],'NHL Model'!$A$6:$B$38,2,FALSE)</f>
        <v>-0.14635285954937219</v>
      </c>
      <c r="J913">
        <f>($B$1+Table4[[#This Row],[Home Differential]])-Table4[[#This Row],[Away Differential]]</f>
        <v>-0.12209702306741818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0.47309681491525102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7.5388445740041043E-4</v>
      </c>
      <c r="H914" t="s">
        <v>23</v>
      </c>
      <c r="I914">
        <f>VLOOKUP(Table4[[#This Row],[Visitor]],'NHL Model'!$A$6:$B$38,2,FALSE)</f>
        <v>-0.43117543965133126</v>
      </c>
      <c r="J914">
        <f>($B$1+Table4[[#This Row],[Home Differential]])-Table4[[#This Row],[Away Differential]]</f>
        <v>0.4756684786369213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0.65182395029723517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0.55584102906214949</v>
      </c>
      <c r="H915" t="s">
        <v>19</v>
      </c>
      <c r="I915">
        <f>VLOOKUP(Table4[[#This Row],[Visitor]],'NHL Model'!$A$6:$B$38,2,FALSE)</f>
        <v>-0.18941601188968307</v>
      </c>
      <c r="J915">
        <f>($B$1+Table4[[#This Row],[Home Differential]])-Table4[[#This Row],[Away Differential]]</f>
        <v>0.78899619548002209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0.63864879973965427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-4.6200185433750804E-2</v>
      </c>
      <c r="H916" t="s">
        <v>12</v>
      </c>
      <c r="I916">
        <f>VLOOKUP(Table4[[#This Row],[Visitor]],'NHL Model'!$A$6:$B$38,2,FALSE)</f>
        <v>1.5507956238651657</v>
      </c>
      <c r="J916">
        <f>($B$1+Table4[[#This Row],[Home Differential]])-Table4[[#This Row],[Away Differential]]</f>
        <v>-1.5532566547707269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0.63972934356103905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-0.81685014566908176</v>
      </c>
      <c r="H917" t="s">
        <v>40</v>
      </c>
      <c r="I917">
        <f>VLOOKUP(Table4[[#This Row],[Visitor]],'NHL Model'!$A$6:$B$38,2,FALSE)</f>
        <v>-0.25075515805082654</v>
      </c>
      <c r="J917">
        <f>($B$1+Table4[[#This Row],[Home Differential]])-Table4[[#This Row],[Away Differential]]</f>
        <v>-0.52235583309006572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0.51960698994685706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0.79843701415173229</v>
      </c>
      <c r="H918" t="s">
        <v>27</v>
      </c>
      <c r="I918">
        <f>VLOOKUP(Table4[[#This Row],[Visitor]],'NHL Model'!$A$6:$B$38,2,FALSE)</f>
        <v>-0.13902937841722524</v>
      </c>
      <c r="J918">
        <f>($B$1+Table4[[#This Row],[Home Differential]])-Table4[[#This Row],[Away Differential]]</f>
        <v>0.98120554709714702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0.62905916152635144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-9.0944170863708096E-2</v>
      </c>
      <c r="H919" t="s">
        <v>28</v>
      </c>
      <c r="I919">
        <f>VLOOKUP(Table4[[#This Row],[Visitor]],'NHL Model'!$A$6:$B$38,2,FALSE)</f>
        <v>-0.38525981166347251</v>
      </c>
      <c r="J919">
        <f>($B$1+Table4[[#This Row],[Home Differential]])-Table4[[#This Row],[Away Differential]]</f>
        <v>0.33805479532795402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0.62449695696898933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0.36021966242194059</v>
      </c>
      <c r="H920" t="s">
        <v>37</v>
      </c>
      <c r="I920">
        <f>VLOOKUP(Table4[[#This Row],[Visitor]],'NHL Model'!$A$6:$B$38,2,FALSE)</f>
        <v>0.55584102906214949</v>
      </c>
      <c r="J920">
        <f>($B$1+Table4[[#This Row],[Home Differential]])-Table4[[#This Row],[Away Differential]]</f>
        <v>-0.1518822121120193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0.51629174218155716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1.5507956238651657</v>
      </c>
      <c r="H921" t="s">
        <v>34</v>
      </c>
      <c r="I921">
        <f>VLOOKUP(Table4[[#This Row],[Visitor]],'NHL Model'!$A$6:$B$38,2,FALSE)</f>
        <v>-6.7671768126352963E-2</v>
      </c>
      <c r="J921">
        <f>($B$1+Table4[[#This Row],[Home Differential]])-Table4[[#This Row],[Away Differential]]</f>
        <v>1.6622065465197082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0.78940875460620807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-0.46392840252469486</v>
      </c>
      <c r="H922" t="s">
        <v>19</v>
      </c>
      <c r="I922">
        <f>VLOOKUP(Table4[[#This Row],[Visitor]],'NHL Model'!$A$6:$B$38,2,FALSE)</f>
        <v>-0.18941601188968307</v>
      </c>
      <c r="J922">
        <f>($B$1+Table4[[#This Row],[Home Differential]])-Table4[[#This Row],[Away Differential]]</f>
        <v>-0.23077323610682218</v>
      </c>
      <c r="K922" t="str">
        <f>IF(Table4[[#This Row],[HomeIce Differential]]&gt;0,Table4[[#This Row],[Home]],Table4[[#This Row],[Visitor]])</f>
        <v>Toronto Maple Leafs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0.48475403809817458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-0.31218903714497998</v>
      </c>
      <c r="H923" t="s">
        <v>17</v>
      </c>
      <c r="I923">
        <f>VLOOKUP(Table4[[#This Row],[Visitor]],'NHL Model'!$A$6:$B$38,2,FALSE)</f>
        <v>-0.52712659907212012</v>
      </c>
      <c r="J923">
        <f>($B$1+Table4[[#This Row],[Home Differential]])-Table4[[#This Row],[Away Differential]]</f>
        <v>0.25867671645532975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0.56774712268316041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-0.48612387559717724</v>
      </c>
      <c r="H924" t="s">
        <v>30</v>
      </c>
      <c r="I924">
        <f>VLOOKUP(Table4[[#This Row],[Visitor]],'NHL Model'!$A$6:$B$38,2,FALSE)</f>
        <v>0.13101659139829774</v>
      </c>
      <c r="J924">
        <f>($B$1+Table4[[#This Row],[Home Differential]])-Table4[[#This Row],[Away Differential]]</f>
        <v>-0.57340131246728543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0.59412942595901141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-1.0273405477215618</v>
      </c>
      <c r="H925" t="s">
        <v>10</v>
      </c>
      <c r="I925">
        <f>VLOOKUP(Table4[[#This Row],[Visitor]],'NHL Model'!$A$6:$B$38,2,FALSE)</f>
        <v>-9.5800647102357028E-2</v>
      </c>
      <c r="J925">
        <f>($B$1+Table4[[#This Row],[Home Differential]])-Table4[[#This Row],[Away Differential]]</f>
        <v>-0.88780074609101522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0.55606000535611222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-2.5710604859208615E-2</v>
      </c>
      <c r="H926" t="s">
        <v>27</v>
      </c>
      <c r="I926">
        <f>VLOOKUP(Table4[[#This Row],[Visitor]],'NHL Model'!$A$6:$B$38,2,FALSE)</f>
        <v>-0.13902937841722524</v>
      </c>
      <c r="J926">
        <f>($B$1+Table4[[#This Row],[Home Differential]])-Table4[[#This Row],[Away Differential]]</f>
        <v>0.15705792808620622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0.51433435583669851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-0.35623783458898745</v>
      </c>
      <c r="H927" t="s">
        <v>26</v>
      </c>
      <c r="I927">
        <f>VLOOKUP(Table4[[#This Row],[Visitor]],'NHL Model'!$A$6:$B$38,2,FALSE)</f>
        <v>-0.71226595502109791</v>
      </c>
      <c r="J927">
        <f>($B$1+Table4[[#This Row],[Home Differential]])-Table4[[#This Row],[Away Differential]]</f>
        <v>0.39976727496030007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0.58288129126979882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6.850792131463232E-2</v>
      </c>
      <c r="H928" t="s">
        <v>24</v>
      </c>
      <c r="I928">
        <f>VLOOKUP(Table4[[#This Row],[Visitor]],'NHL Model'!$A$6:$B$38,2,FALSE)</f>
        <v>7.5388445740041043E-4</v>
      </c>
      <c r="J928">
        <f>($B$1+Table4[[#This Row],[Home Differential]])-Table4[[#This Row],[Away Differential]]</f>
        <v>0.11149319138542152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0.53119015738947351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-0.53773613438999557</v>
      </c>
      <c r="H929" t="s">
        <v>16</v>
      </c>
      <c r="I929">
        <f>VLOOKUP(Table4[[#This Row],[Visitor]],'NHL Model'!$A$6:$B$38,2,FALSE)</f>
        <v>-0.94586858045267985</v>
      </c>
      <c r="J929">
        <f>($B$1+Table4[[#This Row],[Home Differential]])-Table4[[#This Row],[Away Differential]]</f>
        <v>0.45187160059087389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0.58847029493199943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-1.2915976068889494</v>
      </c>
      <c r="H930" t="s">
        <v>32</v>
      </c>
      <c r="I930">
        <f>VLOOKUP(Table4[[#This Row],[Visitor]],'NHL Model'!$A$6:$B$38,2,FALSE)</f>
        <v>-0.69519123816912842</v>
      </c>
      <c r="J930">
        <f>($B$1+Table4[[#This Row],[Home Differential]])-Table4[[#This Row],[Away Differential]]</f>
        <v>-0.55266721419163145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0.51928220059876873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-1.1472178948952137E-2</v>
      </c>
      <c r="H931" t="s">
        <v>40</v>
      </c>
      <c r="I931">
        <f>VLOOKUP(Table4[[#This Row],[Visitor]],'NHL Model'!$A$6:$B$38,2,FALSE)</f>
        <v>-0.25075515805082654</v>
      </c>
      <c r="J931">
        <f>($B$1+Table4[[#This Row],[Home Differential]])-Table4[[#This Row],[Away Differential]]</f>
        <v>0.28302213363006401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0.62770368209985017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-0.46392840252469486</v>
      </c>
      <c r="H932" t="s">
        <v>23</v>
      </c>
      <c r="I932">
        <f>VLOOKUP(Table4[[#This Row],[Visitor]],'NHL Model'!$A$6:$B$38,2,FALSE)</f>
        <v>-0.43117543965133126</v>
      </c>
      <c r="J932">
        <f>($B$1+Table4[[#This Row],[Home Differential]])-Table4[[#This Row],[Away Differential]]</f>
        <v>1.0986191654826005E-2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0.54117844084247069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-4.6200185433750804E-2</v>
      </c>
      <c r="H933" t="s">
        <v>34</v>
      </c>
      <c r="I933">
        <f>VLOOKUP(Table4[[#This Row],[Visitor]],'NHL Model'!$A$6:$B$38,2,FALSE)</f>
        <v>-6.7671768126352963E-2</v>
      </c>
      <c r="J933">
        <f>($B$1+Table4[[#This Row],[Home Differential]])-Table4[[#This Row],[Away Differential]]</f>
        <v>6.5210737220791765E-2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0.54866153791259531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0.79843701415173229</v>
      </c>
      <c r="H934" t="s">
        <v>20</v>
      </c>
      <c r="I934">
        <f>VLOOKUP(Table4[[#This Row],[Visitor]],'NHL Model'!$A$6:$B$38,2,FALSE)</f>
        <v>-0.14635285954937219</v>
      </c>
      <c r="J934">
        <f>($B$1+Table4[[#This Row],[Home Differential]])-Table4[[#This Row],[Away Differential]]</f>
        <v>0.988529028229294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0.6720729314321896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0.36021966242194059</v>
      </c>
      <c r="H935" t="s">
        <v>26</v>
      </c>
      <c r="I935">
        <f>VLOOKUP(Table4[[#This Row],[Visitor]],'NHL Model'!$A$6:$B$38,2,FALSE)</f>
        <v>-0.71226595502109791</v>
      </c>
      <c r="J935">
        <f>($B$1+Table4[[#This Row],[Home Differential]])-Table4[[#This Row],[Away Differential]]</f>
        <v>1.1162247719712282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0.69197862664438992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-0.38525981166347251</v>
      </c>
      <c r="H936" t="s">
        <v>30</v>
      </c>
      <c r="I936">
        <f>VLOOKUP(Table4[[#This Row],[Visitor]],'NHL Model'!$A$6:$B$38,2,FALSE)</f>
        <v>0.13101659139829774</v>
      </c>
      <c r="J936">
        <f>($B$1+Table4[[#This Row],[Home Differential]])-Table4[[#This Row],[Away Differential]]</f>
        <v>-0.47253724853358064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0.58331017792369799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1.5507956238651657</v>
      </c>
      <c r="H937" t="s">
        <v>10</v>
      </c>
      <c r="I937">
        <f>VLOOKUP(Table4[[#This Row],[Visitor]],'NHL Model'!$A$6:$B$38,2,FALSE)</f>
        <v>-9.5800647102357028E-2</v>
      </c>
      <c r="J937">
        <f>($B$1+Table4[[#This Row],[Home Differential]])-Table4[[#This Row],[Away Differential]]</f>
        <v>1.6903354254957121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0.82837372913677831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0.57904383162035133</v>
      </c>
      <c r="H938" t="s">
        <v>29</v>
      </c>
      <c r="I938">
        <f>VLOOKUP(Table4[[#This Row],[Visitor]],'NHL Model'!$A$6:$B$38,2,FALSE)</f>
        <v>-1.0273405477215618</v>
      </c>
      <c r="J938">
        <f>($B$1+Table4[[#This Row],[Home Differential]])-Table4[[#This Row],[Away Differential]]</f>
        <v>1.6501235338701026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0.74924761725860212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-0.31218903714497998</v>
      </c>
      <c r="H939" t="s">
        <v>16</v>
      </c>
      <c r="I939">
        <f>VLOOKUP(Table4[[#This Row],[Visitor]],'NHL Model'!$A$6:$B$38,2,FALSE)</f>
        <v>-0.94586858045267985</v>
      </c>
      <c r="J939">
        <f>($B$1+Table4[[#This Row],[Home Differential]])-Table4[[#This Row],[Away Differential]]</f>
        <v>0.67741869783588948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0.61266374791781886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-0.48612387559717724</v>
      </c>
      <c r="H940" t="s">
        <v>22</v>
      </c>
      <c r="I940">
        <f>VLOOKUP(Table4[[#This Row],[Visitor]],'NHL Model'!$A$6:$B$38,2,FALSE)</f>
        <v>0.79843701415173229</v>
      </c>
      <c r="J940">
        <f>($B$1+Table4[[#This Row],[Home Differential]])-Table4[[#This Row],[Away Differential]]</f>
        <v>-1.2408217352207198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0.66572070253447502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-2.5710604859208615E-2</v>
      </c>
      <c r="H941" t="s">
        <v>14</v>
      </c>
      <c r="I941">
        <f>VLOOKUP(Table4[[#This Row],[Visitor]],'NHL Model'!$A$6:$B$38,2,FALSE)</f>
        <v>6.850792131463232E-2</v>
      </c>
      <c r="J941">
        <f>($B$1+Table4[[#This Row],[Home Differential]])-Table4[[#This Row],[Away Differential]]</f>
        <v>-5.0479371645651333E-2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0.51955351941916272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-0.13902937841722524</v>
      </c>
      <c r="H942" t="s">
        <v>21</v>
      </c>
      <c r="I942">
        <f>VLOOKUP(Table4[[#This Row],[Visitor]],'NHL Model'!$A$6:$B$38,2,FALSE)</f>
        <v>-9.0944170863708096E-2</v>
      </c>
      <c r="J942">
        <f>($B$1+Table4[[#This Row],[Home Differential]])-Table4[[#This Row],[Away Differential]]</f>
        <v>-4.3460530253275342E-3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0.43442844629572142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-0.69519123816912842</v>
      </c>
      <c r="H943" t="s">
        <v>38</v>
      </c>
      <c r="I943">
        <f>VLOOKUP(Table4[[#This Row],[Visitor]],'NHL Model'!$A$6:$B$38,2,FALSE)</f>
        <v>-0.81685014566908176</v>
      </c>
      <c r="J943">
        <f>($B$1+Table4[[#This Row],[Home Differential]])-Table4[[#This Row],[Away Differential]]</f>
        <v>0.16539806202814289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0.55774152842799196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-0.53773613438999557</v>
      </c>
      <c r="H944" t="s">
        <v>17</v>
      </c>
      <c r="I944">
        <f>VLOOKUP(Table4[[#This Row],[Visitor]],'NHL Model'!$A$6:$B$38,2,FALSE)</f>
        <v>-0.52712659907212012</v>
      </c>
      <c r="J944">
        <f>($B$1+Table4[[#This Row],[Home Differential]])-Table4[[#This Row],[Away Differential]]</f>
        <v>3.3129619210314154E-2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0.54355366969734098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-1.2915976068889494</v>
      </c>
      <c r="H945" t="s">
        <v>24</v>
      </c>
      <c r="I945">
        <f>VLOOKUP(Table4[[#This Row],[Visitor]],'NHL Model'!$A$6:$B$38,2,FALSE)</f>
        <v>7.5388445740041043E-4</v>
      </c>
      <c r="J945">
        <f>($B$1+Table4[[#This Row],[Home Differential]])-Table4[[#This Row],[Away Differential]]</f>
        <v>-1.2486123368181603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0.61470242803626762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0.55584102906214949</v>
      </c>
      <c r="H946" t="s">
        <v>23</v>
      </c>
      <c r="I946">
        <f>VLOOKUP(Table4[[#This Row],[Visitor]],'NHL Model'!$A$6:$B$38,2,FALSE)</f>
        <v>-0.43117543965133126</v>
      </c>
      <c r="J946">
        <f>($B$1+Table4[[#This Row],[Home Differential]])-Table4[[#This Row],[Away Differential]]</f>
        <v>1.0307556232416704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0.66458127868029948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-0.18941601188968307</v>
      </c>
      <c r="H947" t="s">
        <v>36</v>
      </c>
      <c r="I947">
        <f>VLOOKUP(Table4[[#This Row],[Visitor]],'NHL Model'!$A$6:$B$38,2,FALSE)</f>
        <v>-0.35623783458898745</v>
      </c>
      <c r="J947">
        <f>($B$1+Table4[[#This Row],[Home Differential]])-Table4[[#This Row],[Away Differential]]</f>
        <v>0.21056097722749398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0.55900979834047881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-1.1472178948952137E-2</v>
      </c>
      <c r="H948" t="s">
        <v>16</v>
      </c>
      <c r="I948">
        <f>VLOOKUP(Table4[[#This Row],[Visitor]],'NHL Model'!$A$6:$B$38,2,FALSE)</f>
        <v>-0.94586858045267985</v>
      </c>
      <c r="J948">
        <f>($B$1+Table4[[#This Row],[Home Differential]])-Table4[[#This Row],[Away Differential]]</f>
        <v>0.97813555603191726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0.70572140126142202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-6.7671768126352963E-2</v>
      </c>
      <c r="H949" t="s">
        <v>35</v>
      </c>
      <c r="I949">
        <f>VLOOKUP(Table4[[#This Row],[Visitor]],'NHL Model'!$A$6:$B$38,2,FALSE)</f>
        <v>-1.2915976068889494</v>
      </c>
      <c r="J949">
        <f>($B$1+Table4[[#This Row],[Home Differential]])-Table4[[#This Row],[Away Differential]]</f>
        <v>1.267664993290786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0.67597689259389238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0.13101659139829774</v>
      </c>
      <c r="H950" t="s">
        <v>11</v>
      </c>
      <c r="I950">
        <f>VLOOKUP(Table4[[#This Row],[Visitor]],'NHL Model'!$A$6:$B$38,2,FALSE)</f>
        <v>-0.46392840252469486</v>
      </c>
      <c r="J950">
        <f>($B$1+Table4[[#This Row],[Home Differential]])-Table4[[#This Row],[Away Differential]]</f>
        <v>0.63868414845118227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0.60850886181681174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6.850792131463232E-2</v>
      </c>
      <c r="H951" t="s">
        <v>20</v>
      </c>
      <c r="I951">
        <f>VLOOKUP(Table4[[#This Row],[Visitor]],'NHL Model'!$A$6:$B$38,2,FALSE)</f>
        <v>-0.14635285954937219</v>
      </c>
      <c r="J951">
        <f>($B$1+Table4[[#This Row],[Home Differential]])-Table4[[#This Row],[Away Differential]]</f>
        <v>0.25859993539219411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0.56773888671353867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-0.53773613438999557</v>
      </c>
      <c r="H952" t="s">
        <v>40</v>
      </c>
      <c r="I952">
        <f>VLOOKUP(Table4[[#This Row],[Visitor]],'NHL Model'!$A$6:$B$38,2,FALSE)</f>
        <v>-0.25075515805082654</v>
      </c>
      <c r="J952">
        <f>($B$1+Table4[[#This Row],[Home Differential]])-Table4[[#This Row],[Away Differential]]</f>
        <v>-0.24324182181097942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0.48966764782254485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-4.6200185433750804E-2</v>
      </c>
      <c r="H953" t="s">
        <v>10</v>
      </c>
      <c r="I953">
        <f>VLOOKUP(Table4[[#This Row],[Visitor]],'NHL Model'!$A$6:$B$38,2,FALSE)</f>
        <v>-9.5800647102357028E-2</v>
      </c>
      <c r="J953">
        <f>($B$1+Table4[[#This Row],[Home Differential]])-Table4[[#This Row],[Away Differential]]</f>
        <v>9.3339616196795816E-2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0.58962996775310272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-0.31218903714497998</v>
      </c>
      <c r="H954" t="s">
        <v>12</v>
      </c>
      <c r="I954">
        <f>VLOOKUP(Table4[[#This Row],[Visitor]],'NHL Model'!$A$6:$B$38,2,FALSE)</f>
        <v>1.5507956238651657</v>
      </c>
      <c r="J954">
        <f>($B$1+Table4[[#This Row],[Home Differential]])-Table4[[#This Row],[Away Differential]]</f>
        <v>-1.8192455064819559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0.70928134499869266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-1.0273405477215618</v>
      </c>
      <c r="H955" t="s">
        <v>26</v>
      </c>
      <c r="I955">
        <f>VLOOKUP(Table4[[#This Row],[Visitor]],'NHL Model'!$A$6:$B$38,2,FALSE)</f>
        <v>-0.71226595502109791</v>
      </c>
      <c r="J955">
        <f>($B$1+Table4[[#This Row],[Home Differential]])-Table4[[#This Row],[Away Differential]]</f>
        <v>-0.27133543817227435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0.4891049685275996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-2.5710604859208615E-2</v>
      </c>
      <c r="H956" t="s">
        <v>28</v>
      </c>
      <c r="I956">
        <f>VLOOKUP(Table4[[#This Row],[Visitor]],'NHL Model'!$A$6:$B$38,2,FALSE)</f>
        <v>-0.38525981166347251</v>
      </c>
      <c r="J956">
        <f>($B$1+Table4[[#This Row],[Home Differential]])-Table4[[#This Row],[Away Differential]]</f>
        <v>0.40328836133245349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0.57968282390089243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-0.69519123816912842</v>
      </c>
      <c r="H957" t="s">
        <v>25</v>
      </c>
      <c r="I957">
        <f>VLOOKUP(Table4[[#This Row],[Visitor]],'NHL Model'!$A$6:$B$38,2,FALSE)</f>
        <v>0.36021966242194059</v>
      </c>
      <c r="J957">
        <f>($B$1+Table4[[#This Row],[Home Differential]])-Table4[[#This Row],[Away Differential]]</f>
        <v>-1.0116717460628795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0.6411407830537611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-0.18941601188968307</v>
      </c>
      <c r="H958" t="s">
        <v>27</v>
      </c>
      <c r="I958">
        <f>VLOOKUP(Table4[[#This Row],[Visitor]],'NHL Model'!$A$6:$B$38,2,FALSE)</f>
        <v>-0.13902937841722524</v>
      </c>
      <c r="J958">
        <f>($B$1+Table4[[#This Row],[Home Differential]])-Table4[[#This Row],[Away Differential]]</f>
        <v>-6.6474789442682314E-3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0.5032256088753001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-0.81685014566908176</v>
      </c>
      <c r="H959" t="s">
        <v>39</v>
      </c>
      <c r="I959">
        <f>VLOOKUP(Table4[[#This Row],[Visitor]],'NHL Model'!$A$6:$B$38,2,FALSE)</f>
        <v>0.57904383162035133</v>
      </c>
      <c r="J959">
        <f>($B$1+Table4[[#This Row],[Home Differential]])-Table4[[#This Row],[Away Differential]]</f>
        <v>-1.3521548227612437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0.69752593578977018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-1.1472178948952137E-2</v>
      </c>
      <c r="H960" t="s">
        <v>12</v>
      </c>
      <c r="I960">
        <f>VLOOKUP(Table4[[#This Row],[Visitor]],'NHL Model'!$A$6:$B$38,2,FALSE)</f>
        <v>1.5507956238651657</v>
      </c>
      <c r="J960">
        <f>($B$1+Table4[[#This Row],[Home Differential]])-Table4[[#This Row],[Away Differential]]</f>
        <v>-1.5185286482859282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0.61505985530863572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-9.0944170863708096E-2</v>
      </c>
      <c r="H961" t="s">
        <v>14</v>
      </c>
      <c r="I961">
        <f>VLOOKUP(Table4[[#This Row],[Visitor]],'NHL Model'!$A$6:$B$38,2,FALSE)</f>
        <v>6.850792131463232E-2</v>
      </c>
      <c r="J961">
        <f>($B$1+Table4[[#This Row],[Home Differential]])-Table4[[#This Row],[Away Differential]]</f>
        <v>-0.11571293765015081</v>
      </c>
      <c r="K961" t="str">
        <f>IF(Table4[[#This Row],[HomeIce Differential]]&gt;0,Table4[[#This Row],[Home]],Table4[[#This Row],[Visitor]])</f>
        <v>Pittsburgh Penguins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0.47395048346685209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-0.43117543965133126</v>
      </c>
      <c r="H962" t="s">
        <v>20</v>
      </c>
      <c r="I962">
        <f>VLOOKUP(Table4[[#This Row],[Visitor]],'NHL Model'!$A$6:$B$38,2,FALSE)</f>
        <v>-0.14635285954937219</v>
      </c>
      <c r="J962">
        <f>($B$1+Table4[[#This Row],[Home Differential]])-Table4[[#This Row],[Away Differential]]</f>
        <v>-0.24108342557376947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0.47573771774681678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-0.38525981166347251</v>
      </c>
      <c r="H963" t="s">
        <v>29</v>
      </c>
      <c r="I963">
        <f>VLOOKUP(Table4[[#This Row],[Visitor]],'NHL Model'!$A$6:$B$38,2,FALSE)</f>
        <v>-1.0273405477215618</v>
      </c>
      <c r="J963">
        <f>($B$1+Table4[[#This Row],[Home Differential]])-Table4[[#This Row],[Away Differential]]</f>
        <v>0.6858198905862789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0.61356490720700518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-0.94586858045267985</v>
      </c>
      <c r="H964" t="s">
        <v>39</v>
      </c>
      <c r="I964">
        <f>VLOOKUP(Table4[[#This Row],[Visitor]],'NHL Model'!$A$6:$B$38,2,FALSE)</f>
        <v>0.57904383162035133</v>
      </c>
      <c r="J964">
        <f>($B$1+Table4[[#This Row],[Home Differential]])-Table4[[#This Row],[Away Differential]]</f>
        <v>-1.4811732575448415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0.71136518033943574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-0.52712659907212012</v>
      </c>
      <c r="H965" t="s">
        <v>36</v>
      </c>
      <c r="I965">
        <f>VLOOKUP(Table4[[#This Row],[Visitor]],'NHL Model'!$A$6:$B$38,2,FALSE)</f>
        <v>-0.35623783458898745</v>
      </c>
      <c r="J965">
        <f>($B$1+Table4[[#This Row],[Home Differential]])-Table4[[#This Row],[Away Differential]]</f>
        <v>-0.12714960995494307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0.47471662817596616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-6.7671768126352963E-2</v>
      </c>
      <c r="H966" t="s">
        <v>37</v>
      </c>
      <c r="I966">
        <f>VLOOKUP(Table4[[#This Row],[Visitor]],'NHL Model'!$A$6:$B$38,2,FALSE)</f>
        <v>0.55584102906214949</v>
      </c>
      <c r="J966">
        <f>($B$1+Table4[[#This Row],[Home Differential]])-Table4[[#This Row],[Away Differential]]</f>
        <v>-0.57977364266031284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0.59481295801425949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7.5388445740041043E-4</v>
      </c>
      <c r="H967" t="s">
        <v>11</v>
      </c>
      <c r="I967">
        <f>VLOOKUP(Table4[[#This Row],[Visitor]],'NHL Model'!$A$6:$B$38,2,FALSE)</f>
        <v>-0.46392840252469486</v>
      </c>
      <c r="J967">
        <f>($B$1+Table4[[#This Row],[Home Differential]])-Table4[[#This Row],[Away Differential]]</f>
        <v>0.5084214415102849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0.65533721771278608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-0.53773613438999557</v>
      </c>
      <c r="H968" t="s">
        <v>18</v>
      </c>
      <c r="I968">
        <f>VLOOKUP(Table4[[#This Row],[Visitor]],'NHL Model'!$A$6:$B$38,2,FALSE)</f>
        <v>-0.48612387559717724</v>
      </c>
      <c r="J968">
        <f>($B$1+Table4[[#This Row],[Home Differential]])-Table4[[#This Row],[Away Differential]]</f>
        <v>-7.8731042646287275E-3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0.52013234736943448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-0.25075515805082654</v>
      </c>
      <c r="H969" t="s">
        <v>10</v>
      </c>
      <c r="I969">
        <f>VLOOKUP(Table4[[#This Row],[Visitor]],'NHL Model'!$A$6:$B$38,2,FALSE)</f>
        <v>-9.5800647102357028E-2</v>
      </c>
      <c r="J969">
        <f>($B$1+Table4[[#This Row],[Home Differential]])-Table4[[#This Row],[Away Differential]]</f>
        <v>-0.11121535642027991</v>
      </c>
      <c r="K969" t="str">
        <f>IF(Table4[[#This Row],[HomeIce Differential]]&gt;0,Table4[[#This Row],[Home]],Table4[[#This Row],[Visitor]])</f>
        <v>Chicago Blackhawks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0.47026291934761155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0.79843701415173229</v>
      </c>
      <c r="H970" t="s">
        <v>55</v>
      </c>
      <c r="I970">
        <f>VLOOKUP(Table4[[#This Row],[Visitor]],'NHL Model'!$A$6:$B$38,2,FALSE)</f>
        <v>-4.6200185433750804E-2</v>
      </c>
      <c r="J970">
        <f>($B$1+Table4[[#This Row],[Home Differential]])-Table4[[#This Row],[Away Differential]]</f>
        <v>0.88837635411367266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0.66132999107863588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-1.1472178948952137E-2</v>
      </c>
      <c r="H971" t="s">
        <v>30</v>
      </c>
      <c r="I971">
        <f>VLOOKUP(Table4[[#This Row],[Visitor]],'NHL Model'!$A$6:$B$38,2,FALSE)</f>
        <v>0.13101659139829774</v>
      </c>
      <c r="J971">
        <f>($B$1+Table4[[#This Row],[Home Differential]])-Table4[[#This Row],[Away Differential]]</f>
        <v>-9.8749615819060277E-2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0.48118067570620082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-0.71226595502109791</v>
      </c>
      <c r="H972" t="s">
        <v>20</v>
      </c>
      <c r="I972">
        <f>VLOOKUP(Table4[[#This Row],[Visitor]],'NHL Model'!$A$6:$B$38,2,FALSE)</f>
        <v>-0.14635285954937219</v>
      </c>
      <c r="J972">
        <f>($B$1+Table4[[#This Row],[Home Differential]])-Table4[[#This Row],[Away Differential]]</f>
        <v>-0.5221739409435362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0.50588907084080337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7.5388445740041043E-4</v>
      </c>
      <c r="H973" t="s">
        <v>19</v>
      </c>
      <c r="I973">
        <f>VLOOKUP(Table4[[#This Row],[Visitor]],'NHL Model'!$A$6:$B$38,2,FALSE)</f>
        <v>-0.18941601188968307</v>
      </c>
      <c r="J973">
        <f>($B$1+Table4[[#This Row],[Home Differential]])-Table4[[#This Row],[Away Differential]]</f>
        <v>0.23390905087527308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0.62589147135658996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-0.69519123816912842</v>
      </c>
      <c r="H974" t="s">
        <v>35</v>
      </c>
      <c r="I974">
        <f>VLOOKUP(Table4[[#This Row],[Visitor]],'NHL Model'!$A$6:$B$38,2,FALSE)</f>
        <v>-1.2915976068889494</v>
      </c>
      <c r="J974">
        <f>($B$1+Table4[[#This Row],[Home Differential]])-Table4[[#This Row],[Away Differential]]</f>
        <v>0.64014552324801055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0.60866561711481193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-0.81685014566908176</v>
      </c>
      <c r="H975" t="s">
        <v>25</v>
      </c>
      <c r="I975">
        <f>VLOOKUP(Table4[[#This Row],[Visitor]],'NHL Model'!$A$6:$B$38,2,FALSE)</f>
        <v>0.36021966242194059</v>
      </c>
      <c r="J975">
        <f>($B$1+Table4[[#This Row],[Home Differential]])-Table4[[#This Row],[Away Differential]]</f>
        <v>-1.1333306535628327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0.65419060322373146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-0.38525981166347251</v>
      </c>
      <c r="H976" t="s">
        <v>11</v>
      </c>
      <c r="I976">
        <f>VLOOKUP(Table4[[#This Row],[Visitor]],'NHL Model'!$A$6:$B$38,2,FALSE)</f>
        <v>-0.46392840252469486</v>
      </c>
      <c r="J976">
        <f>($B$1+Table4[[#This Row],[Home Differential]])-Table4[[#This Row],[Away Differential]]</f>
        <v>0.12240774538941196</v>
      </c>
      <c r="K976" t="str">
        <f>IF(Table4[[#This Row],[HomeIce Differential]]&gt;0,Table4[[#This Row],[Home]],Table4[[#This Row],[Visitor]])</f>
        <v>Columbus Blue Jackets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0.5531301447429483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-0.94586858045267985</v>
      </c>
      <c r="H977" t="s">
        <v>36</v>
      </c>
      <c r="I977">
        <f>VLOOKUP(Table4[[#This Row],[Visitor]],'NHL Model'!$A$6:$B$38,2,FALSE)</f>
        <v>-0.35623783458898745</v>
      </c>
      <c r="J977">
        <f>($B$1+Table4[[#This Row],[Home Differential]])-Table4[[#This Row],[Away Differential]]</f>
        <v>-0.54589159133550291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0.52213156803964467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-0.31218903714497998</v>
      </c>
      <c r="H978" t="s">
        <v>30</v>
      </c>
      <c r="I978">
        <f>VLOOKUP(Table4[[#This Row],[Visitor]],'NHL Model'!$A$6:$B$38,2,FALSE)</f>
        <v>0.13101659139829774</v>
      </c>
      <c r="J978">
        <f>($B$1+Table4[[#This Row],[Home Differential]])-Table4[[#This Row],[Away Differential]]</f>
        <v>-0.39946647401508811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0.57547219477275491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-1.0273405477215618</v>
      </c>
      <c r="H979" t="s">
        <v>21</v>
      </c>
      <c r="I979">
        <f>VLOOKUP(Table4[[#This Row],[Visitor]],'NHL Model'!$A$6:$B$38,2,FALSE)</f>
        <v>-9.0944170863708096E-2</v>
      </c>
      <c r="J979">
        <f>($B$1+Table4[[#This Row],[Home Differential]])-Table4[[#This Row],[Away Differential]]</f>
        <v>-0.89265722232966416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0.55575144528428244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-2.5710604859208615E-2</v>
      </c>
      <c r="H980" t="s">
        <v>19</v>
      </c>
      <c r="I980">
        <f>VLOOKUP(Table4[[#This Row],[Visitor]],'NHL Model'!$A$6:$B$38,2,FALSE)</f>
        <v>-0.18941601188968307</v>
      </c>
      <c r="J980">
        <f>($B$1+Table4[[#This Row],[Home Differential]])-Table4[[#This Row],[Away Differential]]</f>
        <v>0.20744456155866406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0.56225167297002032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-0.13902937841722524</v>
      </c>
      <c r="H981" t="s">
        <v>55</v>
      </c>
      <c r="I981">
        <f>VLOOKUP(Table4[[#This Row],[Visitor]],'NHL Model'!$A$6:$B$38,2,FALSE)</f>
        <v>-4.6200185433750804E-2</v>
      </c>
      <c r="J981">
        <f>($B$1+Table4[[#This Row],[Home Differential]])-Table4[[#This Row],[Away Differential]]</f>
        <v>-4.9090038455284826E-2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0.43922793838017027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6.850792131463232E-2</v>
      </c>
      <c r="H982" t="s">
        <v>23</v>
      </c>
      <c r="I982">
        <f>VLOOKUP(Table4[[#This Row],[Visitor]],'NHL Model'!$A$6:$B$38,2,FALSE)</f>
        <v>-0.43117543965133126</v>
      </c>
      <c r="J982">
        <f>($B$1+Table4[[#This Row],[Home Differential]])-Table4[[#This Row],[Away Differential]]</f>
        <v>0.54342251549415321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0.59829056210713016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-0.25075515805082654</v>
      </c>
      <c r="H983" t="s">
        <v>37</v>
      </c>
      <c r="I983">
        <f>VLOOKUP(Table4[[#This Row],[Visitor]],'NHL Model'!$A$6:$B$38,2,FALSE)</f>
        <v>0.55584102906214949</v>
      </c>
      <c r="J983">
        <f>($B$1+Table4[[#This Row],[Home Differential]])-Table4[[#This Row],[Away Differential]]</f>
        <v>-0.76285703258478643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0.61194882721868349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-1.1472178948952137E-2</v>
      </c>
      <c r="H984" t="s">
        <v>18</v>
      </c>
      <c r="I984">
        <f>VLOOKUP(Table4[[#This Row],[Visitor]],'NHL Model'!$A$6:$B$38,2,FALSE)</f>
        <v>-0.48612387559717724</v>
      </c>
      <c r="J984">
        <f>($B$1+Table4[[#This Row],[Home Differential]])-Table4[[#This Row],[Away Differential]]</f>
        <v>0.5183908511764147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0.59831909253628957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-9.5800647102357028E-2</v>
      </c>
      <c r="H985" t="s">
        <v>38</v>
      </c>
      <c r="I985">
        <f>VLOOKUP(Table4[[#This Row],[Visitor]],'NHL Model'!$A$6:$B$38,2,FALSE)</f>
        <v>-0.81685014566908176</v>
      </c>
      <c r="J985">
        <f>($B$1+Table4[[#This Row],[Home Differential]])-Table4[[#This Row],[Away Differential]]</f>
        <v>0.76478865309491428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0.62203554179480292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0.57904383162035133</v>
      </c>
      <c r="H986" t="s">
        <v>12</v>
      </c>
      <c r="I986">
        <f>VLOOKUP(Table4[[#This Row],[Visitor]],'NHL Model'!$A$6:$B$38,2,FALSE)</f>
        <v>1.5507956238651657</v>
      </c>
      <c r="J986">
        <f>($B$1+Table4[[#This Row],[Home Differential]])-Table4[[#This Row],[Away Differential]]</f>
        <v>-0.92801263771662479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0.58102534790709803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-0.71226595502109791</v>
      </c>
      <c r="H987" t="s">
        <v>11</v>
      </c>
      <c r="I987">
        <f>VLOOKUP(Table4[[#This Row],[Visitor]],'NHL Model'!$A$6:$B$38,2,FALSE)</f>
        <v>-0.46392840252469486</v>
      </c>
      <c r="J987">
        <f>($B$1+Table4[[#This Row],[Home Differential]])-Table4[[#This Row],[Away Differential]]</f>
        <v>-0.2045983979682135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0.47182412803166096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-0.52712659907212012</v>
      </c>
      <c r="H988" t="s">
        <v>25</v>
      </c>
      <c r="I988">
        <f>VLOOKUP(Table4[[#This Row],[Visitor]],'NHL Model'!$A$6:$B$38,2,FALSE)</f>
        <v>0.36021966242194059</v>
      </c>
      <c r="J988">
        <f>($B$1+Table4[[#This Row],[Home Differential]])-Table4[[#This Row],[Away Differential]]</f>
        <v>-0.84360710696587105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0.62061053535859334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-0.53773613438999557</v>
      </c>
      <c r="H989" t="s">
        <v>35</v>
      </c>
      <c r="I989">
        <f>VLOOKUP(Table4[[#This Row],[Visitor]],'NHL Model'!$A$6:$B$38,2,FALSE)</f>
        <v>-1.2915976068889494</v>
      </c>
      <c r="J989">
        <f>($B$1+Table4[[#This Row],[Home Differential]])-Table4[[#This Row],[Away Differential]]</f>
        <v>0.79760062702714341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0.62555513906915383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-0.14635285954937219</v>
      </c>
      <c r="H990" t="s">
        <v>34</v>
      </c>
      <c r="I990">
        <f>VLOOKUP(Table4[[#This Row],[Visitor]],'NHL Model'!$A$6:$B$38,2,FALSE)</f>
        <v>-6.7671768126352963E-2</v>
      </c>
      <c r="J990">
        <f>($B$1+Table4[[#This Row],[Home Differential]])-Table4[[#This Row],[Away Differential]]</f>
        <v>-3.494193689482962E-2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0.50303480234585607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-9.0944170863708096E-2</v>
      </c>
      <c r="H991" t="s">
        <v>22</v>
      </c>
      <c r="I991">
        <f>VLOOKUP(Table4[[#This Row],[Visitor]],'NHL Model'!$A$6:$B$38,2,FALSE)</f>
        <v>0.79843701415173229</v>
      </c>
      <c r="J991">
        <f>($B$1+Table4[[#This Row],[Home Differential]])-Table4[[#This Row],[Away Differential]]</f>
        <v>-0.84564203048725084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0.570708330797985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-0.43117543965133126</v>
      </c>
      <c r="H992" t="s">
        <v>29</v>
      </c>
      <c r="I992">
        <f>VLOOKUP(Table4[[#This Row],[Visitor]],'NHL Model'!$A$6:$B$38,2,FALSE)</f>
        <v>-1.0273405477215618</v>
      </c>
      <c r="J992">
        <f>($B$1+Table4[[#This Row],[Home Differential]])-Table4[[#This Row],[Away Differential]]</f>
        <v>0.63990426259842015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0.61876198752638245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-0.38525981166347251</v>
      </c>
      <c r="H993" t="s">
        <v>55</v>
      </c>
      <c r="I993">
        <f>VLOOKUP(Table4[[#This Row],[Visitor]],'NHL Model'!$A$6:$B$38,2,FALSE)</f>
        <v>-4.6200185433750804E-2</v>
      </c>
      <c r="J993">
        <f>($B$1+Table4[[#This Row],[Home Differential]])-Table4[[#This Row],[Away Differential]]</f>
        <v>-0.29532047170153208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0.49167773841974782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-0.94586858045267985</v>
      </c>
      <c r="H994" t="s">
        <v>25</v>
      </c>
      <c r="I994">
        <f>VLOOKUP(Table4[[#This Row],[Visitor]],'NHL Model'!$A$6:$B$38,2,FALSE)</f>
        <v>0.36021966242194059</v>
      </c>
      <c r="J994">
        <f>($B$1+Table4[[#This Row],[Home Differential]])-Table4[[#This Row],[Away Differential]]</f>
        <v>-1.262349088346431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0.66802984777339713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-0.31218903714497998</v>
      </c>
      <c r="H995" t="s">
        <v>18</v>
      </c>
      <c r="I995">
        <f>VLOOKUP(Table4[[#This Row],[Visitor]],'NHL Model'!$A$6:$B$38,2,FALSE)</f>
        <v>-0.48612387559717724</v>
      </c>
      <c r="J995">
        <f>($B$1+Table4[[#This Row],[Home Differential]])-Table4[[#This Row],[Away Differential]]</f>
        <v>0.21767399298038687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0.50406110561638484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7.5388445740041043E-4</v>
      </c>
      <c r="H996" t="s">
        <v>15</v>
      </c>
      <c r="I996">
        <f>VLOOKUP(Table4[[#This Row],[Visitor]],'NHL Model'!$A$6:$B$38,2,FALSE)</f>
        <v>-2.5710604859208615E-2</v>
      </c>
      <c r="J996">
        <f>($B$1+Table4[[#This Row],[Home Differential]])-Table4[[#This Row],[Away Differential]]</f>
        <v>7.020364384479863E-2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0.5026760696217647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6.850792131463232E-2</v>
      </c>
      <c r="H997" t="s">
        <v>27</v>
      </c>
      <c r="I997">
        <f>VLOOKUP(Table4[[#This Row],[Visitor]],'NHL Model'!$A$6:$B$38,2,FALSE)</f>
        <v>-0.13902937841722524</v>
      </c>
      <c r="J997">
        <f>($B$1+Table4[[#This Row],[Home Differential]])-Table4[[#This Row],[Away Differential]]</f>
        <v>0.25127645426004719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0.52444076603316314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-0.69519123816912842</v>
      </c>
      <c r="H998" t="s">
        <v>36</v>
      </c>
      <c r="I998">
        <f>VLOOKUP(Table4[[#This Row],[Visitor]],'NHL Model'!$A$6:$B$38,2,FALSE)</f>
        <v>-0.35623783458898745</v>
      </c>
      <c r="J998">
        <f>($B$1+Table4[[#This Row],[Home Differential]])-Table4[[#This Row],[Away Differential]]</f>
        <v>-0.29521424905195143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0.49524250332000863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-0.53773613438999557</v>
      </c>
      <c r="H999" t="s">
        <v>30</v>
      </c>
      <c r="I999">
        <f>VLOOKUP(Table4[[#This Row],[Visitor]],'NHL Model'!$A$6:$B$38,2,FALSE)</f>
        <v>0.13101659139829774</v>
      </c>
      <c r="J999">
        <f>($B$1+Table4[[#This Row],[Home Differential]])-Table4[[#This Row],[Away Differential]]</f>
        <v>-0.62501357126010371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0.59966564775857434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-0.18941601188968307</v>
      </c>
      <c r="H1000" t="s">
        <v>37</v>
      </c>
      <c r="I1000">
        <f>VLOOKUP(Table4[[#This Row],[Visitor]],'NHL Model'!$A$6:$B$38,2,FALSE)</f>
        <v>0.55584102906214949</v>
      </c>
      <c r="J1000">
        <f>($B$1+Table4[[#This Row],[Home Differential]])-Table4[[#This Row],[Away Differential]]</f>
        <v>-0.70151788642364299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0.60787193183285226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-0.25075515805082654</v>
      </c>
      <c r="H1001" t="s">
        <v>38</v>
      </c>
      <c r="I1001">
        <f>VLOOKUP(Table4[[#This Row],[Visitor]],'NHL Model'!$A$6:$B$38,2,FALSE)</f>
        <v>-0.81685014566908176</v>
      </c>
      <c r="J1001">
        <f>($B$1+Table4[[#This Row],[Home Differential]])-Table4[[#This Row],[Away Differential]]</f>
        <v>0.60983414214644482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0.60790972672684296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-1.1472178948952137E-2</v>
      </c>
      <c r="H1002" t="s">
        <v>35</v>
      </c>
      <c r="I1002">
        <f>VLOOKUP(Table4[[#This Row],[Visitor]],'NHL Model'!$A$6:$B$38,2,FALSE)</f>
        <v>-1.2915976068889494</v>
      </c>
      <c r="J1002">
        <f>($B$1+Table4[[#This Row],[Home Differential]])-Table4[[#This Row],[Away Differential]]</f>
        <v>1.3238645824681869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0.74280624539857631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-0.43117543965133126</v>
      </c>
      <c r="H1003" t="s">
        <v>37</v>
      </c>
      <c r="I1003">
        <f>VLOOKUP(Table4[[#This Row],[Visitor]],'NHL Model'!$A$6:$B$38,2,FALSE)</f>
        <v>0.55584102906214949</v>
      </c>
      <c r="J1003">
        <f>($B$1+Table4[[#This Row],[Home Differential]])-Table4[[#This Row],[Away Differential]]</f>
        <v>-0.94327731418529115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0.62363022125747802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1.5507956238651657</v>
      </c>
      <c r="H1004" t="s">
        <v>34</v>
      </c>
      <c r="I1004">
        <f>VLOOKUP(Table4[[#This Row],[Visitor]],'NHL Model'!$A$6:$B$38,2,FALSE)</f>
        <v>-6.7671768126352963E-2</v>
      </c>
      <c r="J1004">
        <f>($B$1+Table4[[#This Row],[Home Differential]])-Table4[[#This Row],[Away Differential]]</f>
        <v>1.6622065465197082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0.78940875460620807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0.57904383162035133</v>
      </c>
      <c r="H1005" t="s">
        <v>10</v>
      </c>
      <c r="I1005">
        <f>VLOOKUP(Table4[[#This Row],[Visitor]],'NHL Model'!$A$6:$B$38,2,FALSE)</f>
        <v>-9.5800647102357028E-2</v>
      </c>
      <c r="J1005">
        <f>($B$1+Table4[[#This Row],[Home Differential]])-Table4[[#This Row],[Away Differential]]</f>
        <v>0.71858363325089791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0.6485079023522996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7.5388445740041043E-4</v>
      </c>
      <c r="H1006" t="s">
        <v>26</v>
      </c>
      <c r="I1006">
        <f>VLOOKUP(Table4[[#This Row],[Visitor]],'NHL Model'!$A$6:$B$38,2,FALSE)</f>
        <v>-0.71226595502109791</v>
      </c>
      <c r="J1006">
        <f>($B$1+Table4[[#This Row],[Home Differential]])-Table4[[#This Row],[Away Differential]]</f>
        <v>0.75675899400668789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0.6819753033912217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6.850792131463232E-2</v>
      </c>
      <c r="H1007" t="s">
        <v>21</v>
      </c>
      <c r="I1007">
        <f>VLOOKUP(Table4[[#This Row],[Visitor]],'NHL Model'!$A$6:$B$38,2,FALSE)</f>
        <v>-9.0944170863708096E-2</v>
      </c>
      <c r="J1007">
        <f>($B$1+Table4[[#This Row],[Home Differential]])-Table4[[#This Row],[Away Differential]]</f>
        <v>0.20319124670653002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0.5617954384444338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-0.14635285954937219</v>
      </c>
      <c r="H1008" t="s">
        <v>17</v>
      </c>
      <c r="I1008">
        <f>VLOOKUP(Table4[[#This Row],[Visitor]],'NHL Model'!$A$6:$B$38,2,FALSE)</f>
        <v>-0.52712659907212012</v>
      </c>
      <c r="J1008">
        <f>($B$1+Table4[[#This Row],[Home Differential]])-Table4[[#This Row],[Away Differential]]</f>
        <v>0.42451289405093751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0.58553564585643303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-9.5800647102357028E-2</v>
      </c>
      <c r="H1009" t="s">
        <v>55</v>
      </c>
      <c r="I1009">
        <f>VLOOKUP(Table4[[#This Row],[Visitor]],'NHL Model'!$A$6:$B$38,2,FALSE)</f>
        <v>-4.6200185433750804E-2</v>
      </c>
      <c r="J1009">
        <f>($B$1+Table4[[#This Row],[Home Differential]])-Table4[[#This Row],[Away Differential]]</f>
        <v>-5.8613071404166259E-3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0.46062871684215506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-0.13902937841722524</v>
      </c>
      <c r="H1010" t="s">
        <v>15</v>
      </c>
      <c r="I1010">
        <f>VLOOKUP(Table4[[#This Row],[Visitor]],'NHL Model'!$A$6:$B$38,2,FALSE)</f>
        <v>-2.5710604859208615E-2</v>
      </c>
      <c r="J1010">
        <f>($B$1+Table4[[#This Row],[Home Differential]])-Table4[[#This Row],[Away Differential]]</f>
        <v>-6.9579619029827011E-2</v>
      </c>
      <c r="K1010" t="str">
        <f>IF(Table4[[#This Row],[HomeIce Differential]]&gt;0,Table4[[#This Row],[Home]],Table4[[#This Row],[Visitor]])</f>
        <v>New York Rangers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0.54800404267526615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-0.81685014566908176</v>
      </c>
      <c r="H1011" t="s">
        <v>36</v>
      </c>
      <c r="I1011">
        <f>VLOOKUP(Table4[[#This Row],[Visitor]],'NHL Model'!$A$6:$B$38,2,FALSE)</f>
        <v>-0.35623783458898745</v>
      </c>
      <c r="J1011">
        <f>($B$1+Table4[[#This Row],[Home Differential]])-Table4[[#This Row],[Away Differential]]</f>
        <v>-0.41687315655190477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0.50829232348997899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0.79843701415173229</v>
      </c>
      <c r="H1012" t="s">
        <v>16</v>
      </c>
      <c r="I1012">
        <f>VLOOKUP(Table4[[#This Row],[Visitor]],'NHL Model'!$A$6:$B$38,2,FALSE)</f>
        <v>-0.94586858045267985</v>
      </c>
      <c r="J1012">
        <f>($B$1+Table4[[#This Row],[Home Differential]])-Table4[[#This Row],[Away Differential]]</f>
        <v>1.7880447491326017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0.75783349426525937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-9.0944170863708096E-2</v>
      </c>
      <c r="H1013" t="s">
        <v>13</v>
      </c>
      <c r="I1013">
        <f>VLOOKUP(Table4[[#This Row],[Visitor]],'NHL Model'!$A$6:$B$38,2,FALSE)</f>
        <v>-0.31218903714497998</v>
      </c>
      <c r="J1013">
        <f>($B$1+Table4[[#This Row],[Home Differential]])-Table4[[#This Row],[Away Differential]]</f>
        <v>0.26498402080946148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0.55473946917408323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-0.43117543965133126</v>
      </c>
      <c r="H1014" t="s">
        <v>33</v>
      </c>
      <c r="I1014">
        <f>VLOOKUP(Table4[[#This Row],[Visitor]],'NHL Model'!$A$6:$B$38,2,FALSE)</f>
        <v>-0.53773613438999557</v>
      </c>
      <c r="J1014">
        <f>($B$1+Table4[[#This Row],[Home Differential]])-Table4[[#This Row],[Away Differential]]</f>
        <v>0.15029984926685391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0.56624425841227521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0.36021966242194059</v>
      </c>
      <c r="H1015" t="s">
        <v>14</v>
      </c>
      <c r="I1015">
        <f>VLOOKUP(Table4[[#This Row],[Visitor]],'NHL Model'!$A$6:$B$38,2,FALSE)</f>
        <v>6.850792131463232E-2</v>
      </c>
      <c r="J1015">
        <f>($B$1+Table4[[#This Row],[Home Differential]])-Table4[[#This Row],[Away Differential]]</f>
        <v>0.3354508956354979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0.55450087241151591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1.5507956238651657</v>
      </c>
      <c r="H1016" t="s">
        <v>17</v>
      </c>
      <c r="I1016">
        <f>VLOOKUP(Table4[[#This Row],[Visitor]],'NHL Model'!$A$6:$B$38,2,FALSE)</f>
        <v>-0.52712659907212012</v>
      </c>
      <c r="J1016">
        <f>($B$1+Table4[[#This Row],[Home Differential]])-Table4[[#This Row],[Away Differential]]</f>
        <v>2.1216613774654753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0.87540232430132203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0.57904383162035133</v>
      </c>
      <c r="H1017" t="s">
        <v>20</v>
      </c>
      <c r="I1017">
        <f>VLOOKUP(Table4[[#This Row],[Visitor]],'NHL Model'!$A$6:$B$38,2,FALSE)</f>
        <v>-0.14635285954937219</v>
      </c>
      <c r="J1017">
        <f>($B$1+Table4[[#This Row],[Home Differential]])-Table4[[#This Row],[Away Differential]]</f>
        <v>0.76913584569791305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0.65474791198540294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-0.46392840252469486</v>
      </c>
      <c r="H1018" t="s">
        <v>26</v>
      </c>
      <c r="I1018">
        <f>VLOOKUP(Table4[[#This Row],[Visitor]],'NHL Model'!$A$6:$B$38,2,FALSE)</f>
        <v>-0.71226595502109791</v>
      </c>
      <c r="J1018">
        <f>($B$1+Table4[[#This Row],[Home Differential]])-Table4[[#This Row],[Away Differential]]</f>
        <v>0.29207670702459265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0.57132979393645733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-6.7671768126352963E-2</v>
      </c>
      <c r="H1019" t="s">
        <v>55</v>
      </c>
      <c r="I1019">
        <f>VLOOKUP(Table4[[#This Row],[Visitor]],'NHL Model'!$A$6:$B$38,2,FALSE)</f>
        <v>-4.6200185433750804E-2</v>
      </c>
      <c r="J1019">
        <f>($B$1+Table4[[#This Row],[Home Differential]])-Table4[[#This Row],[Away Differential]]</f>
        <v>2.2267571835587439E-2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0.5423885452701146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-0.48612387559717724</v>
      </c>
      <c r="H1020" t="s">
        <v>19</v>
      </c>
      <c r="I1020">
        <f>VLOOKUP(Table4[[#This Row],[Visitor]],'NHL Model'!$A$6:$B$38,2,FALSE)</f>
        <v>-0.18941601188968307</v>
      </c>
      <c r="J1020">
        <f>($B$1+Table4[[#This Row],[Home Differential]])-Table4[[#This Row],[Away Differential]]</f>
        <v>-0.25296870917930458</v>
      </c>
      <c r="K1020" t="str">
        <f>IF(Table4[[#This Row],[HomeIce Differential]]&gt;0,Table4[[#This Row],[Home]],Table4[[#This Row],[Visitor]])</f>
        <v>Toronto Maple Leafs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0.48713484964856124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-2.5710604859208615E-2</v>
      </c>
      <c r="H1021" t="s">
        <v>16</v>
      </c>
      <c r="I1021">
        <f>VLOOKUP(Table4[[#This Row],[Visitor]],'NHL Model'!$A$6:$B$38,2,FALSE)</f>
        <v>-0.94586858045267985</v>
      </c>
      <c r="J1021">
        <f>($B$1+Table4[[#This Row],[Home Differential]])-Table4[[#This Row],[Away Differential]]</f>
        <v>0.96389713012166078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0.64339303935014391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-0.69519123816912842</v>
      </c>
      <c r="H1022" t="s">
        <v>29</v>
      </c>
      <c r="I1022">
        <f>VLOOKUP(Table4[[#This Row],[Visitor]],'NHL Model'!$A$6:$B$38,2,FALSE)</f>
        <v>-1.0273405477215618</v>
      </c>
      <c r="J1022">
        <f>($B$1+Table4[[#This Row],[Home Differential]])-Table4[[#This Row],[Away Differential]]</f>
        <v>0.37588846408062293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0.58031991541778705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-1.2915976068889494</v>
      </c>
      <c r="H1023" t="s">
        <v>30</v>
      </c>
      <c r="I1023">
        <f>VLOOKUP(Table4[[#This Row],[Visitor]],'NHL Model'!$A$6:$B$38,2,FALSE)</f>
        <v>0.13101659139829774</v>
      </c>
      <c r="J1023">
        <f>($B$1+Table4[[#This Row],[Home Differential]])-Table4[[#This Row],[Away Differential]]</f>
        <v>-1.3788750437590576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0.68052907856970646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0.55584102906214949</v>
      </c>
      <c r="H1024" t="s">
        <v>28</v>
      </c>
      <c r="I1024">
        <f>VLOOKUP(Table4[[#This Row],[Visitor]],'NHL Model'!$A$6:$B$38,2,FALSE)</f>
        <v>-0.38525981166347251</v>
      </c>
      <c r="J1024">
        <f>($B$1+Table4[[#This Row],[Home Differential]])-Table4[[#This Row],[Away Differential]]</f>
        <v>0.98483999525381161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0.65609820470863911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-0.25075515805082654</v>
      </c>
      <c r="H1025" t="s">
        <v>31</v>
      </c>
      <c r="I1025">
        <f>VLOOKUP(Table4[[#This Row],[Visitor]],'NHL Model'!$A$6:$B$38,2,FALSE)</f>
        <v>-1.1472178948952137E-2</v>
      </c>
      <c r="J1025">
        <f>($B$1+Table4[[#This Row],[Home Differential]])-Table4[[#This Row],[Away Differential]]</f>
        <v>-0.1955438245736848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0.49923600240566146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-0.35623783458898745</v>
      </c>
      <c r="H1026" t="s">
        <v>18</v>
      </c>
      <c r="I1026">
        <f>VLOOKUP(Table4[[#This Row],[Visitor]],'NHL Model'!$A$6:$B$38,2,FALSE)</f>
        <v>-0.48612387559717724</v>
      </c>
      <c r="J1026">
        <f>($B$1+Table4[[#This Row],[Home Differential]])-Table4[[#This Row],[Away Differential]]</f>
        <v>0.1736251955363794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0.49933618331385665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-0.13902937841722524</v>
      </c>
      <c r="H1027" t="s">
        <v>22</v>
      </c>
      <c r="I1027">
        <f>VLOOKUP(Table4[[#This Row],[Visitor]],'NHL Model'!$A$6:$B$38,2,FALSE)</f>
        <v>0.79843701415173229</v>
      </c>
      <c r="J1027">
        <f>($B$1+Table4[[#This Row],[Home Differential]])-Table4[[#This Row],[Away Differential]]</f>
        <v>-0.89372723804076792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0.60219533512483503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-9.0944170863708096E-2</v>
      </c>
      <c r="H1028" t="s">
        <v>33</v>
      </c>
      <c r="I1028">
        <f>VLOOKUP(Table4[[#This Row],[Visitor]],'NHL Model'!$A$6:$B$38,2,FALSE)</f>
        <v>-0.53773613438999557</v>
      </c>
      <c r="J1028">
        <f>($B$1+Table4[[#This Row],[Home Differential]])-Table4[[#This Row],[Away Differential]]</f>
        <v>0.49053111805447708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0.64433310901757934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-0.43117543965133126</v>
      </c>
      <c r="H1029" t="s">
        <v>22</v>
      </c>
      <c r="I1029">
        <f>VLOOKUP(Table4[[#This Row],[Visitor]],'NHL Model'!$A$6:$B$38,2,FALSE)</f>
        <v>0.79843701415173229</v>
      </c>
      <c r="J1029">
        <f>($B$1+Table4[[#This Row],[Home Differential]])-Table4[[#This Row],[Away Differential]]</f>
        <v>-1.1858732992748739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0.64965243405251805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0.36021966242194059</v>
      </c>
      <c r="H1030" t="s">
        <v>35</v>
      </c>
      <c r="I1030">
        <f>VLOOKUP(Table4[[#This Row],[Visitor]],'NHL Model'!$A$6:$B$38,2,FALSE)</f>
        <v>-1.2915976068889494</v>
      </c>
      <c r="J1030">
        <f>($B$1+Table4[[#This Row],[Home Differential]])-Table4[[#This Row],[Away Differential]]</f>
        <v>1.6955564238390797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0.75412100512703606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0.57904383162035133</v>
      </c>
      <c r="H1031" t="s">
        <v>17</v>
      </c>
      <c r="I1031">
        <f>VLOOKUP(Table4[[#This Row],[Visitor]],'NHL Model'!$A$6:$B$38,2,FALSE)</f>
        <v>-0.52712659907212012</v>
      </c>
      <c r="J1031">
        <f>($B$1+Table4[[#This Row],[Home Differential]])-Table4[[#This Row],[Away Differential]]</f>
        <v>1.1499095852206609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0.69559184958381426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-0.46392840252469486</v>
      </c>
      <c r="H1032" t="s">
        <v>28</v>
      </c>
      <c r="I1032">
        <f>VLOOKUP(Table4[[#This Row],[Visitor]],'NHL Model'!$A$6:$B$38,2,FALSE)</f>
        <v>-0.38525981166347251</v>
      </c>
      <c r="J1032">
        <f>($B$1+Table4[[#This Row],[Home Differential]])-Table4[[#This Row],[Away Differential]]</f>
        <v>-3.4929436333032748E-2</v>
      </c>
      <c r="K1032" t="str">
        <f>IF(Table4[[#This Row],[HomeIce Differential]]&gt;0,Table4[[#This Row],[Home]],Table4[[#This Row],[Visitor]])</f>
        <v>Columbus Blue Jackets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0.4673228871673023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-6.7671768126352963E-2</v>
      </c>
      <c r="H1033" t="s">
        <v>27</v>
      </c>
      <c r="I1033">
        <f>VLOOKUP(Table4[[#This Row],[Visitor]],'NHL Model'!$A$6:$B$38,2,FALSE)</f>
        <v>-0.13902937841722524</v>
      </c>
      <c r="J1033">
        <f>($B$1+Table4[[#This Row],[Home Differential]])-Table4[[#This Row],[Away Differential]]</f>
        <v>0.11509676481906186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0.50983336494329268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7.5388445740041043E-4</v>
      </c>
      <c r="H1034" t="s">
        <v>16</v>
      </c>
      <c r="I1034">
        <f>VLOOKUP(Table4[[#This Row],[Visitor]],'NHL Model'!$A$6:$B$38,2,FALSE)</f>
        <v>-0.94586858045267985</v>
      </c>
      <c r="J1034">
        <f>($B$1+Table4[[#This Row],[Home Differential]])-Table4[[#This Row],[Away Differential]]</f>
        <v>0.99036161943826984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0.70703283773671355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-0.69519123816912842</v>
      </c>
      <c r="H1035" t="s">
        <v>12</v>
      </c>
      <c r="I1035">
        <f>VLOOKUP(Table4[[#This Row],[Visitor]],'NHL Model'!$A$6:$B$38,2,FALSE)</f>
        <v>1.5507956238651657</v>
      </c>
      <c r="J1035">
        <f>($B$1+Table4[[#This Row],[Home Differential]])-Table4[[#This Row],[Away Differential]]</f>
        <v>-2.2022477075061047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0.75036431993885389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0.55584102906214949</v>
      </c>
      <c r="H1036" t="s">
        <v>26</v>
      </c>
      <c r="I1036">
        <f>VLOOKUP(Table4[[#This Row],[Visitor]],'NHL Model'!$A$6:$B$38,2,FALSE)</f>
        <v>-0.71226595502109791</v>
      </c>
      <c r="J1036">
        <f>($B$1+Table4[[#This Row],[Home Differential]])-Table4[[#This Row],[Away Differential]]</f>
        <v>1.3118461386114371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0.69473263177428612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-0.18941601188968307</v>
      </c>
      <c r="H1037" t="s">
        <v>31</v>
      </c>
      <c r="I1037">
        <f>VLOOKUP(Table4[[#This Row],[Visitor]],'NHL Model'!$A$6:$B$38,2,FALSE)</f>
        <v>-1.1472178948952137E-2</v>
      </c>
      <c r="J1037">
        <f>($B$1+Table4[[#This Row],[Home Differential]])-Table4[[#This Row],[Away Differential]]</f>
        <v>-0.13420467841254133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0.49516478104369821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-4.6200185433750804E-2</v>
      </c>
      <c r="H1038" t="s">
        <v>10</v>
      </c>
      <c r="I1038">
        <f>VLOOKUP(Table4[[#This Row],[Visitor]],'NHL Model'!$A$6:$B$38,2,FALSE)</f>
        <v>-9.5800647102357028E-2</v>
      </c>
      <c r="J1038">
        <f>($B$1+Table4[[#This Row],[Home Differential]])-Table4[[#This Row],[Away Differential]]</f>
        <v>9.3339616196795816E-2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0.58962996775310272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-0.81685014566908176</v>
      </c>
      <c r="H1039" t="s">
        <v>29</v>
      </c>
      <c r="I1039">
        <f>VLOOKUP(Table4[[#This Row],[Visitor]],'NHL Model'!$A$6:$B$38,2,FALSE)</f>
        <v>-1.0273405477215618</v>
      </c>
      <c r="J1039">
        <f>($B$1+Table4[[#This Row],[Home Differential]])-Table4[[#This Row],[Away Differential]]</f>
        <v>0.25422955658066959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0.56727009524781669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-0.14635285954937219</v>
      </c>
      <c r="H1040" t="s">
        <v>14</v>
      </c>
      <c r="I1040">
        <f>VLOOKUP(Table4[[#This Row],[Visitor]],'NHL Model'!$A$6:$B$38,2,FALSE)</f>
        <v>6.850792131463232E-2</v>
      </c>
      <c r="J1040">
        <f>($B$1+Table4[[#This Row],[Home Differential]])-Table4[[#This Row],[Away Differential]]</f>
        <v>-0.1711216263358149</v>
      </c>
      <c r="K1040" t="str">
        <f>IF(Table4[[#This Row],[HomeIce Differential]]&gt;0,Table4[[#This Row],[Home]],Table4[[#This Row],[Visitor]])</f>
        <v>Pittsburgh Penguins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0.53249428767821516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-0.25075515805082654</v>
      </c>
      <c r="H1041" t="s">
        <v>15</v>
      </c>
      <c r="I1041">
        <f>VLOOKUP(Table4[[#This Row],[Visitor]],'NHL Model'!$A$6:$B$38,2,FALSE)</f>
        <v>-2.5710604859208615E-2</v>
      </c>
      <c r="J1041">
        <f>($B$1+Table4[[#This Row],[Home Differential]])-Table4[[#This Row],[Away Differential]]</f>
        <v>-0.18130539866342832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0.58355040312251771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0.13101659139829774</v>
      </c>
      <c r="H1042" t="s">
        <v>13</v>
      </c>
      <c r="I1042">
        <f>VLOOKUP(Table4[[#This Row],[Visitor]],'NHL Model'!$A$6:$B$38,2,FALSE)</f>
        <v>-0.31218903714497998</v>
      </c>
      <c r="J1042">
        <f>($B$1+Table4[[#This Row],[Home Differential]])-Table4[[#This Row],[Away Differential]]</f>
        <v>0.48694478307146732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0.52591665270725763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-1.2915976068889494</v>
      </c>
      <c r="H1043" t="s">
        <v>17</v>
      </c>
      <c r="I1043">
        <f>VLOOKUP(Table4[[#This Row],[Visitor]],'NHL Model'!$A$6:$B$38,2,FALSE)</f>
        <v>-0.52712659907212012</v>
      </c>
      <c r="J1043">
        <f>($B$1+Table4[[#This Row],[Home Differential]])-Table4[[#This Row],[Away Differential]]</f>
        <v>-0.72073185328863976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0.53730976111379114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-0.43117543965133126</v>
      </c>
      <c r="H1044" t="s">
        <v>19</v>
      </c>
      <c r="I1044">
        <f>VLOOKUP(Table4[[#This Row],[Visitor]],'NHL Model'!$A$6:$B$38,2,FALSE)</f>
        <v>-0.18941601188968307</v>
      </c>
      <c r="J1044">
        <f>($B$1+Table4[[#This Row],[Home Differential]])-Table4[[#This Row],[Away Differential]]</f>
        <v>-0.19802027323345858</v>
      </c>
      <c r="K1044" t="str">
        <f>IF(Table4[[#This Row],[HomeIce Differential]]&gt;0,Table4[[#This Row],[Home]],Table4[[#This Row],[Visitor]])</f>
        <v>Toronto Maple Leafs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0.47111852129387061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0.57904383162035133</v>
      </c>
      <c r="H1045" t="s">
        <v>26</v>
      </c>
      <c r="I1045">
        <f>VLOOKUP(Table4[[#This Row],[Visitor]],'NHL Model'!$A$6:$B$38,2,FALSE)</f>
        <v>-0.71226595502109791</v>
      </c>
      <c r="J1045">
        <f>($B$1+Table4[[#This Row],[Home Differential]])-Table4[[#This Row],[Away Differential]]</f>
        <v>1.3350489411696387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0.71545094047298097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-6.7671768126352963E-2</v>
      </c>
      <c r="H1046" t="s">
        <v>15</v>
      </c>
      <c r="I1046">
        <f>VLOOKUP(Table4[[#This Row],[Visitor]],'NHL Model'!$A$6:$B$38,2,FALSE)</f>
        <v>-2.5710604859208615E-2</v>
      </c>
      <c r="J1046">
        <f>($B$1+Table4[[#This Row],[Home Differential]])-Table4[[#This Row],[Away Differential]]</f>
        <v>1.777991261045251E-3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0.43361847940427573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-0.48612387559717724</v>
      </c>
      <c r="H1047" t="s">
        <v>33</v>
      </c>
      <c r="I1047">
        <f>VLOOKUP(Table4[[#This Row],[Visitor]],'NHL Model'!$A$6:$B$38,2,FALSE)</f>
        <v>-0.53773613438999557</v>
      </c>
      <c r="J1047">
        <f>($B$1+Table4[[#This Row],[Home Differential]])-Table4[[#This Row],[Away Differential]]</f>
        <v>9.5351413321007938E-2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0.55022793005758452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7.5388445740041043E-4</v>
      </c>
      <c r="H1048" t="s">
        <v>13</v>
      </c>
      <c r="I1048">
        <f>VLOOKUP(Table4[[#This Row],[Visitor]],'NHL Model'!$A$6:$B$38,2,FALSE)</f>
        <v>-0.31218903714497998</v>
      </c>
      <c r="J1048">
        <f>($B$1+Table4[[#This Row],[Home Differential]])-Table4[[#This Row],[Away Differential]]</f>
        <v>0.35668207613057001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0.5739740157004144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0.13101659139829774</v>
      </c>
      <c r="H1049" t="s">
        <v>16</v>
      </c>
      <c r="I1049">
        <f>VLOOKUP(Table4[[#This Row],[Visitor]],'NHL Model'!$A$6:$B$38,2,FALSE)</f>
        <v>-0.94586858045267985</v>
      </c>
      <c r="J1049">
        <f>($B$1+Table4[[#This Row],[Home Differential]])-Table4[[#This Row],[Away Differential]]</f>
        <v>1.1206243263791671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0.6602044818407391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-0.35623783458898745</v>
      </c>
      <c r="H1050" t="s">
        <v>31</v>
      </c>
      <c r="I1050">
        <f>VLOOKUP(Table4[[#This Row],[Visitor]],'NHL Model'!$A$6:$B$38,2,FALSE)</f>
        <v>-1.1472178948952137E-2</v>
      </c>
      <c r="J1050">
        <f>($B$1+Table4[[#This Row],[Home Differential]])-Table4[[#This Row],[Away Differential]]</f>
        <v>-0.3010265011118457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0.51305903006655285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-0.13902937841722524</v>
      </c>
      <c r="H1051" t="s">
        <v>28</v>
      </c>
      <c r="I1051">
        <f>VLOOKUP(Table4[[#This Row],[Visitor]],'NHL Model'!$A$6:$B$38,2,FALSE)</f>
        <v>-0.38525981166347251</v>
      </c>
      <c r="J1051">
        <f>($B$1+Table4[[#This Row],[Home Differential]])-Table4[[#This Row],[Away Differential]]</f>
        <v>0.28996958777443688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0.59360377244854257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0.55584102906214949</v>
      </c>
      <c r="H1052" t="s">
        <v>25</v>
      </c>
      <c r="I1052">
        <f>VLOOKUP(Table4[[#This Row],[Visitor]],'NHL Model'!$A$6:$B$38,2,FALSE)</f>
        <v>0.36021966242194059</v>
      </c>
      <c r="J1052">
        <f>($B$1+Table4[[#This Row],[Home Differential]])-Table4[[#This Row],[Away Differential]]</f>
        <v>0.23936052116839845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0.5071566401790818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-4.6200185433750804E-2</v>
      </c>
      <c r="H1053" t="s">
        <v>14</v>
      </c>
      <c r="I1053">
        <f>VLOOKUP(Table4[[#This Row],[Visitor]],'NHL Model'!$A$6:$B$38,2,FALSE)</f>
        <v>6.850792131463232E-2</v>
      </c>
      <c r="J1053">
        <f>($B$1+Table4[[#This Row],[Home Differential]])-Table4[[#This Row],[Away Differential]]</f>
        <v>-7.0968952220193532E-2</v>
      </c>
      <c r="K1053" t="str">
        <f>IF(Table4[[#This Row],[HomeIce Differential]]&gt;0,Table4[[#This Row],[Home]],Table4[[#This Row],[Visitor]])</f>
        <v>Pittsburgh Penguins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0.48073080941383417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-0.81685014566908176</v>
      </c>
      <c r="H1054" t="s">
        <v>32</v>
      </c>
      <c r="I1054">
        <f>VLOOKUP(Table4[[#This Row],[Visitor]],'NHL Model'!$A$6:$B$38,2,FALSE)</f>
        <v>-0.69519123816912842</v>
      </c>
      <c r="J1054">
        <f>($B$1+Table4[[#This Row],[Home Differential]])-Table4[[#This Row],[Away Differential]]</f>
        <v>-7.7919752971763789E-2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0.46835811191194876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-0.14635285954937219</v>
      </c>
      <c r="H1055" t="s">
        <v>10</v>
      </c>
      <c r="I1055">
        <f>VLOOKUP(Table4[[#This Row],[Visitor]],'NHL Model'!$A$6:$B$38,2,FALSE)</f>
        <v>-9.5800647102357028E-2</v>
      </c>
      <c r="J1055">
        <f>($B$1+Table4[[#This Row],[Home Differential]])-Table4[[#This Row],[Away Differential]]</f>
        <v>-6.8130579188255547E-3</v>
      </c>
      <c r="K1055" t="str">
        <f>IF(Table4[[#This Row],[HomeIce Differential]]&gt;0,Table4[[#This Row],[Home]],Table4[[#This Row],[Visitor]])</f>
        <v>Chicago Blackhawks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0.46156030008291299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-0.25075515805082654</v>
      </c>
      <c r="H1056" t="s">
        <v>12</v>
      </c>
      <c r="I1056">
        <f>VLOOKUP(Table4[[#This Row],[Visitor]],'NHL Model'!$A$6:$B$38,2,FALSE)</f>
        <v>1.5507956238651657</v>
      </c>
      <c r="J1056">
        <f>($B$1+Table4[[#This Row],[Home Differential]])-Table4[[#This Row],[Away Differential]]</f>
        <v>-1.7578116273878026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0.70018069034036734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0.79843701415173229</v>
      </c>
      <c r="H1057" t="s">
        <v>21</v>
      </c>
      <c r="I1057">
        <f>VLOOKUP(Table4[[#This Row],[Visitor]],'NHL Model'!$A$6:$B$38,2,FALSE)</f>
        <v>-9.0944170863708096E-2</v>
      </c>
      <c r="J1057">
        <f>($B$1+Table4[[#This Row],[Home Differential]])-Table4[[#This Row],[Away Differential]]</f>
        <v>0.93312033954362994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0.66612948316308473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-0.52712659907212012</v>
      </c>
      <c r="H1058" t="s">
        <v>29</v>
      </c>
      <c r="I1058">
        <f>VLOOKUP(Table4[[#This Row],[Visitor]],'NHL Model'!$A$6:$B$38,2,FALSE)</f>
        <v>-1.0273405477215618</v>
      </c>
      <c r="J1058">
        <f>($B$1+Table4[[#This Row],[Home Differential]])-Table4[[#This Row],[Away Differential]]</f>
        <v>0.54395310317763124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0.60084295513714936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-6.7671768126352963E-2</v>
      </c>
      <c r="H1059" t="s">
        <v>19</v>
      </c>
      <c r="I1059">
        <f>VLOOKUP(Table4[[#This Row],[Visitor]],'NHL Model'!$A$6:$B$38,2,FALSE)</f>
        <v>-0.18941601188968307</v>
      </c>
      <c r="J1059">
        <f>($B$1+Table4[[#This Row],[Home Differential]])-Table4[[#This Row],[Away Differential]]</f>
        <v>0.1654833982915197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0.55775068207661449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-0.48612387559717724</v>
      </c>
      <c r="H1060" t="s">
        <v>31</v>
      </c>
      <c r="I1060">
        <f>VLOOKUP(Table4[[#This Row],[Visitor]],'NHL Model'!$A$6:$B$38,2,FALSE)</f>
        <v>-1.1472178948952137E-2</v>
      </c>
      <c r="J1060">
        <f>($B$1+Table4[[#This Row],[Home Differential]])-Table4[[#This Row],[Away Differential]]</f>
        <v>-0.43091254212003549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0.52699133895028105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-0.35623783458898745</v>
      </c>
      <c r="H1061" t="s">
        <v>33</v>
      </c>
      <c r="I1061">
        <f>VLOOKUP(Table4[[#This Row],[Visitor]],'NHL Model'!$A$6:$B$38,2,FALSE)</f>
        <v>-0.53773613438999557</v>
      </c>
      <c r="J1061">
        <f>($B$1+Table4[[#This Row],[Home Differential]])-Table4[[#This Row],[Away Differential]]</f>
        <v>0.22523745432919773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0.56416023894131284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-0.69519123816912842</v>
      </c>
      <c r="H1062" t="s">
        <v>11</v>
      </c>
      <c r="I1062">
        <f>VLOOKUP(Table4[[#This Row],[Visitor]],'NHL Model'!$A$6:$B$38,2,FALSE)</f>
        <v>-0.46392840252469486</v>
      </c>
      <c r="J1062">
        <f>($B$1+Table4[[#This Row],[Home Differential]])-Table4[[#This Row],[Away Differential]]</f>
        <v>-0.18752368111624401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0.48011484704626983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-0.25075515805082654</v>
      </c>
      <c r="H1063" t="s">
        <v>35</v>
      </c>
      <c r="I1063">
        <f>VLOOKUP(Table4[[#This Row],[Visitor]],'NHL Model'!$A$6:$B$38,2,FALSE)</f>
        <v>-1.2915976068889494</v>
      </c>
      <c r="J1063">
        <f>($B$1+Table4[[#This Row],[Home Differential]])-Table4[[#This Row],[Away Differential]]</f>
        <v>1.0845816033663125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0.65883381541366293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1.5507956238651657</v>
      </c>
      <c r="H1064" t="s">
        <v>14</v>
      </c>
      <c r="I1064">
        <f>VLOOKUP(Table4[[#This Row],[Visitor]],'NHL Model'!$A$6:$B$38,2,FALSE)</f>
        <v>6.850792131463232E-2</v>
      </c>
      <c r="J1064">
        <f>($B$1+Table4[[#This Row],[Home Differential]])-Table4[[#This Row],[Away Differential]]</f>
        <v>1.526026857078723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0.76058946721142806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0.57904383162035133</v>
      </c>
      <c r="H1065" t="s">
        <v>55</v>
      </c>
      <c r="I1065">
        <f>VLOOKUP(Table4[[#This Row],[Visitor]],'NHL Model'!$A$6:$B$38,2,FALSE)</f>
        <v>-4.6200185433750804E-2</v>
      </c>
      <c r="J1065">
        <f>($B$1+Table4[[#This Row],[Home Differential]])-Table4[[#This Row],[Away Differential]]</f>
        <v>0.6689831715822917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0.64400497163184922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-0.71226595502109791</v>
      </c>
      <c r="H1066" t="s">
        <v>16</v>
      </c>
      <c r="I1066">
        <f>VLOOKUP(Table4[[#This Row],[Visitor]],'NHL Model'!$A$6:$B$38,2,FALSE)</f>
        <v>-0.94586858045267985</v>
      </c>
      <c r="J1066">
        <f>($B$1+Table4[[#This Row],[Home Differential]])-Table4[[#This Row],[Away Differential]]</f>
        <v>0.2773417799597715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0.57987149199226651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7.5388445740041043E-4</v>
      </c>
      <c r="H1067" t="s">
        <v>21</v>
      </c>
      <c r="I1067">
        <f>VLOOKUP(Table4[[#This Row],[Visitor]],'NHL Model'!$A$6:$B$38,2,FALSE)</f>
        <v>-9.0944170863708096E-2</v>
      </c>
      <c r="J1067">
        <f>($B$1+Table4[[#This Row],[Home Differential]])-Table4[[#This Row],[Away Differential]]</f>
        <v>0.13543720984929811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0.61532882663453881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-2.5710604859208615E-2</v>
      </c>
      <c r="H1068" t="s">
        <v>13</v>
      </c>
      <c r="I1068">
        <f>VLOOKUP(Table4[[#This Row],[Visitor]],'NHL Model'!$A$6:$B$38,2,FALSE)</f>
        <v>-0.31218903714497998</v>
      </c>
      <c r="J1068">
        <f>($B$1+Table4[[#This Row],[Home Differential]])-Table4[[#This Row],[Away Differential]]</f>
        <v>0.33021758681396096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0.50910521021666244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-0.38525981166347251</v>
      </c>
      <c r="H1069" t="s">
        <v>25</v>
      </c>
      <c r="I1069">
        <f>VLOOKUP(Table4[[#This Row],[Visitor]],'NHL Model'!$A$6:$B$38,2,FALSE)</f>
        <v>0.36021966242194059</v>
      </c>
      <c r="J1069">
        <f>($B$1+Table4[[#This Row],[Home Differential]])-Table4[[#This Row],[Away Differential]]</f>
        <v>-0.70174031955722349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0.60789579126454307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-9.5800647102357028E-2</v>
      </c>
      <c r="H1070" t="s">
        <v>34</v>
      </c>
      <c r="I1070">
        <f>VLOOKUP(Table4[[#This Row],[Visitor]],'NHL Model'!$A$6:$B$38,2,FALSE)</f>
        <v>-6.7671768126352963E-2</v>
      </c>
      <c r="J1070">
        <f>($B$1+Table4[[#This Row],[Home Differential]])-Table4[[#This Row],[Away Differential]]</f>
        <v>1.5610275552185533E-2</v>
      </c>
      <c r="K1070" t="str">
        <f>IF(Table4[[#This Row],[HomeIce Differential]]&gt;0,Table4[[#This Row],[Home]],Table4[[#This Row],[Visitor]])</f>
        <v>Chicago Blackhawks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0.50238771290752104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-0.52712659907212012</v>
      </c>
      <c r="H1071" t="s">
        <v>33</v>
      </c>
      <c r="I1071">
        <f>VLOOKUP(Table4[[#This Row],[Visitor]],'NHL Model'!$A$6:$B$38,2,FALSE)</f>
        <v>-0.53773613438999557</v>
      </c>
      <c r="J1071">
        <f>($B$1+Table4[[#This Row],[Home Differential]])-Table4[[#This Row],[Away Differential]]</f>
        <v>5.4348689846065057E-2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0.54832522602304212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-0.48612387559717724</v>
      </c>
      <c r="H1072" t="s">
        <v>21</v>
      </c>
      <c r="I1072">
        <f>VLOOKUP(Table4[[#This Row],[Visitor]],'NHL Model'!$A$6:$B$38,2,FALSE)</f>
        <v>-9.0944170863708096E-2</v>
      </c>
      <c r="J1072">
        <f>($B$1+Table4[[#This Row],[Home Differential]])-Table4[[#This Row],[Away Differential]]</f>
        <v>-0.35144055020527953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0.49769749437061234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-0.69519123816912842</v>
      </c>
      <c r="H1073" t="s">
        <v>37</v>
      </c>
      <c r="I1073">
        <f>VLOOKUP(Table4[[#This Row],[Visitor]],'NHL Model'!$A$6:$B$38,2,FALSE)</f>
        <v>0.55584102906214949</v>
      </c>
      <c r="J1073">
        <f>($B$1+Table4[[#This Row],[Home Differential]])-Table4[[#This Row],[Away Differential]]</f>
        <v>-1.2072931127030884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0.66212423349333993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-0.18941601188968307</v>
      </c>
      <c r="H1074" t="s">
        <v>30</v>
      </c>
      <c r="I1074">
        <f>VLOOKUP(Table4[[#This Row],[Visitor]],'NHL Model'!$A$6:$B$38,2,FALSE)</f>
        <v>0.13101659139829774</v>
      </c>
      <c r="J1074">
        <f>($B$1+Table4[[#This Row],[Home Differential]])-Table4[[#This Row],[Away Differential]]</f>
        <v>-0.27669344875979118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0.56230286805242846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-0.81685014566908176</v>
      </c>
      <c r="H1075" t="s">
        <v>11</v>
      </c>
      <c r="I1075">
        <f>VLOOKUP(Table4[[#This Row],[Visitor]],'NHL Model'!$A$6:$B$38,2,FALSE)</f>
        <v>-0.46392840252469486</v>
      </c>
      <c r="J1075">
        <f>($B$1+Table4[[#This Row],[Home Differential]])-Table4[[#This Row],[Away Differential]]</f>
        <v>-0.30918258861619735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0.49316466721624019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-0.14635285954937219</v>
      </c>
      <c r="H1076" t="s">
        <v>23</v>
      </c>
      <c r="I1076">
        <f>VLOOKUP(Table4[[#This Row],[Visitor]],'NHL Model'!$A$6:$B$38,2,FALSE)</f>
        <v>-0.43117543965133126</v>
      </c>
      <c r="J1076">
        <f>($B$1+Table4[[#This Row],[Home Differential]])-Table4[[#This Row],[Away Differential]]</f>
        <v>0.32856173463014871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0.57524338365161309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-0.25075515805082654</v>
      </c>
      <c r="H1077" t="s">
        <v>29</v>
      </c>
      <c r="I1077">
        <f>VLOOKUP(Table4[[#This Row],[Visitor]],'NHL Model'!$A$6:$B$38,2,FALSE)</f>
        <v>-1.0273405477215618</v>
      </c>
      <c r="J1077">
        <f>($B$1+Table4[[#This Row],[Home Differential]])-Table4[[#This Row],[Away Differential]]</f>
        <v>0.82032454419892487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0.63048811371663793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-1.1472178948952137E-2</v>
      </c>
      <c r="H1078" t="s">
        <v>27</v>
      </c>
      <c r="I1078">
        <f>VLOOKUP(Table4[[#This Row],[Visitor]],'NHL Model'!$A$6:$B$38,2,FALSE)</f>
        <v>-0.13902937841722524</v>
      </c>
      <c r="J1078">
        <f>($B$1+Table4[[#This Row],[Home Differential]])-Table4[[#This Row],[Away Differential]]</f>
        <v>0.1712963539964627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0.5776962463695644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0.36021966242194059</v>
      </c>
      <c r="H1079" t="s">
        <v>14</v>
      </c>
      <c r="I1079">
        <f>VLOOKUP(Table4[[#This Row],[Visitor]],'NHL Model'!$A$6:$B$38,2,FALSE)</f>
        <v>6.850792131463232E-2</v>
      </c>
      <c r="J1079">
        <f>($B$1+Table4[[#This Row],[Home Differential]])-Table4[[#This Row],[Away Differential]]</f>
        <v>0.3354508956354979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0.55450087241151591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-0.94586858045267985</v>
      </c>
      <c r="H1080" t="s">
        <v>35</v>
      </c>
      <c r="I1080">
        <f>VLOOKUP(Table4[[#This Row],[Visitor]],'NHL Model'!$A$6:$B$38,2,FALSE)</f>
        <v>-1.2915976068889494</v>
      </c>
      <c r="J1080">
        <f>($B$1+Table4[[#This Row],[Home Differential]])-Table4[[#This Row],[Away Differential]]</f>
        <v>0.38946818096445912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0.58177655239517601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1.5507956238651657</v>
      </c>
      <c r="H1081" t="s">
        <v>39</v>
      </c>
      <c r="I1081">
        <f>VLOOKUP(Table4[[#This Row],[Visitor]],'NHL Model'!$A$6:$B$38,2,FALSE)</f>
        <v>0.57904383162035133</v>
      </c>
      <c r="J1081">
        <f>($B$1+Table4[[#This Row],[Home Differential]])-Table4[[#This Row],[Away Differential]]</f>
        <v>1.0154909467730038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0.66824931683996502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-2.5710604859208615E-2</v>
      </c>
      <c r="H1082" t="s">
        <v>24</v>
      </c>
      <c r="I1082">
        <f>VLOOKUP(Table4[[#This Row],[Visitor]],'NHL Model'!$A$6:$B$38,2,FALSE)</f>
        <v>7.5388445740041043E-4</v>
      </c>
      <c r="J1082">
        <f>($B$1+Table4[[#This Row],[Home Differential]])-Table4[[#This Row],[Away Differential]]</f>
        <v>1.7274665211580574E-2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0.52108374719300898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0.79843701415173229</v>
      </c>
      <c r="H1083" t="s">
        <v>36</v>
      </c>
      <c r="I1083">
        <f>VLOOKUP(Table4[[#This Row],[Visitor]],'NHL Model'!$A$6:$B$38,2,FALSE)</f>
        <v>-0.35623783458898745</v>
      </c>
      <c r="J1083">
        <f>($B$1+Table4[[#This Row],[Home Differential]])-Table4[[#This Row],[Away Differential]]</f>
        <v>1.1984140032689092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0.69104864105893382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-9.0944170863708096E-2</v>
      </c>
      <c r="H1084" t="s">
        <v>40</v>
      </c>
      <c r="I1084">
        <f>VLOOKUP(Table4[[#This Row],[Visitor]],'NHL Model'!$A$6:$B$38,2,FALSE)</f>
        <v>-0.25075515805082654</v>
      </c>
      <c r="J1084">
        <f>($B$1+Table4[[#This Row],[Home Differential]])-Table4[[#This Row],[Away Differential]]</f>
        <v>0.20355014171530805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0.61006922966369637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-0.38525981166347251</v>
      </c>
      <c r="H1085" t="s">
        <v>15</v>
      </c>
      <c r="I1085">
        <f>VLOOKUP(Table4[[#This Row],[Visitor]],'NHL Model'!$A$6:$B$38,2,FALSE)</f>
        <v>-2.5710604859208615E-2</v>
      </c>
      <c r="J1085">
        <f>($B$1+Table4[[#This Row],[Home Differential]])-Table4[[#This Row],[Away Differential]]</f>
        <v>-0.31581005227607428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0.60044780428558642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-0.71226595502109791</v>
      </c>
      <c r="H1086" t="s">
        <v>18</v>
      </c>
      <c r="I1086">
        <f>VLOOKUP(Table4[[#This Row],[Visitor]],'NHL Model'!$A$6:$B$38,2,FALSE)</f>
        <v>-0.48612387559717724</v>
      </c>
      <c r="J1086">
        <f>($B$1+Table4[[#This Row],[Home Differential]])-Table4[[#This Row],[Away Differential]]</f>
        <v>-0.18240292489573112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0.52865647496093637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-0.52712659907212012</v>
      </c>
      <c r="H1087" t="s">
        <v>11</v>
      </c>
      <c r="I1087">
        <f>VLOOKUP(Table4[[#This Row],[Visitor]],'NHL Model'!$A$6:$B$38,2,FALSE)</f>
        <v>-0.46392840252469486</v>
      </c>
      <c r="J1087">
        <f>($B$1+Table4[[#This Row],[Home Differential]])-Table4[[#This Row],[Away Differential]]</f>
        <v>-1.9459042019235651E-2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0.45959180732690741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-0.31218903714497998</v>
      </c>
      <c r="H1088" t="s">
        <v>27</v>
      </c>
      <c r="I1088">
        <f>VLOOKUP(Table4[[#This Row],[Visitor]],'NHL Model'!$A$6:$B$38,2,FALSE)</f>
        <v>-0.13902937841722524</v>
      </c>
      <c r="J1088">
        <f>($B$1+Table4[[#This Row],[Home Differential]])-Table4[[#This Row],[Away Differential]]</f>
        <v>-0.12942050419956513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0.51639493559562655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-6.7671768126352963E-2</v>
      </c>
      <c r="H1089" t="s">
        <v>10</v>
      </c>
      <c r="I1089">
        <f>VLOOKUP(Table4[[#This Row],[Visitor]],'NHL Model'!$A$6:$B$38,2,FALSE)</f>
        <v>-9.5800647102357028E-2</v>
      </c>
      <c r="J1089">
        <f>($B$1+Table4[[#This Row],[Home Differential]])-Table4[[#This Row],[Away Differential]]</f>
        <v>7.1868033504193657E-2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0.54687947728273356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-1.0273405477215618</v>
      </c>
      <c r="H1090" t="s">
        <v>32</v>
      </c>
      <c r="I1090">
        <f>VLOOKUP(Table4[[#This Row],[Visitor]],'NHL Model'!$A$6:$B$38,2,FALSE)</f>
        <v>-0.69519123816912842</v>
      </c>
      <c r="J1090">
        <f>($B$1+Table4[[#This Row],[Home Differential]])-Table4[[#This Row],[Away Differential]]</f>
        <v>-0.28841015502424383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0.49093649890174379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-0.35623783458898745</v>
      </c>
      <c r="H1091" t="s">
        <v>30</v>
      </c>
      <c r="I1091">
        <f>VLOOKUP(Table4[[#This Row],[Visitor]],'NHL Model'!$A$6:$B$38,2,FALSE)</f>
        <v>0.13101659139829774</v>
      </c>
      <c r="J1091">
        <f>($B$1+Table4[[#This Row],[Home Differential]])-Table4[[#This Row],[Away Differential]]</f>
        <v>-0.44351527145909558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0.5801971170752831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-0.53773613438999557</v>
      </c>
      <c r="H1092" t="s">
        <v>23</v>
      </c>
      <c r="I1092">
        <f>VLOOKUP(Table4[[#This Row],[Visitor]],'NHL Model'!$A$6:$B$38,2,FALSE)</f>
        <v>-0.43117543965133126</v>
      </c>
      <c r="J1092">
        <f>($B$1+Table4[[#This Row],[Home Differential]])-Table4[[#This Row],[Away Differential]]</f>
        <v>-6.2821540210474702E-2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0.46673859250747896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-0.81685014566908176</v>
      </c>
      <c r="H1093" t="s">
        <v>37</v>
      </c>
      <c r="I1093">
        <f>VLOOKUP(Table4[[#This Row],[Visitor]],'NHL Model'!$A$6:$B$38,2,FALSE)</f>
        <v>0.55584102906214949</v>
      </c>
      <c r="J1093">
        <f>($B$1+Table4[[#This Row],[Home Differential]])-Table4[[#This Row],[Away Differential]]</f>
        <v>-1.3289520202030416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0.67517405366331018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-0.14635285954937219</v>
      </c>
      <c r="H1094" t="s">
        <v>55</v>
      </c>
      <c r="I1094">
        <f>VLOOKUP(Table4[[#This Row],[Visitor]],'NHL Model'!$A$6:$B$38,2,FALSE)</f>
        <v>-4.6200185433750804E-2</v>
      </c>
      <c r="J1094">
        <f>($B$1+Table4[[#This Row],[Home Differential]])-Table4[[#This Row],[Away Differential]]</f>
        <v>-5.6413519587431779E-2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0.46605123209553206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-0.94586858045267985</v>
      </c>
      <c r="H1095" t="s">
        <v>11</v>
      </c>
      <c r="I1095">
        <f>VLOOKUP(Table4[[#This Row],[Visitor]],'NHL Model'!$A$6:$B$38,2,FALSE)</f>
        <v>-0.46392840252469486</v>
      </c>
      <c r="J1095">
        <f>($B$1+Table4[[#This Row],[Home Differential]])-Table4[[#This Row],[Away Differential]]</f>
        <v>-0.43820102339979544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0.50700391176590587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-9.5800647102357028E-2</v>
      </c>
      <c r="H1096" t="s">
        <v>12</v>
      </c>
      <c r="I1096">
        <f>VLOOKUP(Table4[[#This Row],[Visitor]],'NHL Model'!$A$6:$B$38,2,FALSE)</f>
        <v>1.5507956238651657</v>
      </c>
      <c r="J1096">
        <f>($B$1+Table4[[#This Row],[Home Differential]])-Table4[[#This Row],[Away Differential]]</f>
        <v>-1.602857116439333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0.68607030657204304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-0.18941601188968307</v>
      </c>
      <c r="H1097" t="s">
        <v>25</v>
      </c>
      <c r="I1097">
        <f>VLOOKUP(Table4[[#This Row],[Visitor]],'NHL Model'!$A$6:$B$38,2,FALSE)</f>
        <v>0.36021966242194059</v>
      </c>
      <c r="J1097">
        <f>($B$1+Table4[[#This Row],[Home Differential]])-Table4[[#This Row],[Away Differential]]</f>
        <v>-0.50589651978343408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0.58688848139327354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-4.6200185433750804E-2</v>
      </c>
      <c r="H1098" t="s">
        <v>31</v>
      </c>
      <c r="I1098">
        <f>VLOOKUP(Table4[[#This Row],[Visitor]],'NHL Model'!$A$6:$B$38,2,FALSE)</f>
        <v>-1.1472178948952137E-2</v>
      </c>
      <c r="J1098">
        <f>($B$1+Table4[[#This Row],[Home Differential]])-Table4[[#This Row],[Away Differential]]</f>
        <v>9.0111480433909315E-3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0.56096658653203246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0.79843701415173229</v>
      </c>
      <c r="H1099" t="s">
        <v>24</v>
      </c>
      <c r="I1099">
        <f>VLOOKUP(Table4[[#This Row],[Visitor]],'NHL Model'!$A$6:$B$38,2,FALSE)</f>
        <v>7.5388445740041043E-4</v>
      </c>
      <c r="J1099">
        <f>($B$1+Table4[[#This Row],[Home Differential]])-Table4[[#This Row],[Away Differential]]</f>
        <v>0.84142228422252141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0.63571024248284402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-0.38525981166347251</v>
      </c>
      <c r="H1100" t="s">
        <v>32</v>
      </c>
      <c r="I1100">
        <f>VLOOKUP(Table4[[#This Row],[Visitor]],'NHL Model'!$A$6:$B$38,2,FALSE)</f>
        <v>-0.69519123816912842</v>
      </c>
      <c r="J1100">
        <f>($B$1+Table4[[#This Row],[Home Differential]])-Table4[[#This Row],[Away Differential]]</f>
        <v>0.35367058103384552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0.57793670004723974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-0.71226595502109791</v>
      </c>
      <c r="H1101" t="s">
        <v>21</v>
      </c>
      <c r="I1101">
        <f>VLOOKUP(Table4[[#This Row],[Visitor]],'NHL Model'!$A$6:$B$38,2,FALSE)</f>
        <v>-9.0944170863708096E-2</v>
      </c>
      <c r="J1101">
        <f>($B$1+Table4[[#This Row],[Home Differential]])-Table4[[#This Row],[Away Differential]]</f>
        <v>-0.57758262962920026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0.51183251910990823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-0.52712659907212012</v>
      </c>
      <c r="H1102" t="s">
        <v>37</v>
      </c>
      <c r="I1102">
        <f>VLOOKUP(Table4[[#This Row],[Visitor]],'NHL Model'!$A$6:$B$38,2,FALSE)</f>
        <v>0.55584102906214949</v>
      </c>
      <c r="J1102">
        <f>($B$1+Table4[[#This Row],[Home Differential]])-Table4[[#This Row],[Away Differential]]</f>
        <v>-1.0392284736060799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0.64159398579817206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-0.31218903714497998</v>
      </c>
      <c r="H1103" t="s">
        <v>23</v>
      </c>
      <c r="I1103">
        <f>VLOOKUP(Table4[[#This Row],[Visitor]],'NHL Model'!$A$6:$B$38,2,FALSE)</f>
        <v>-0.43117543965133126</v>
      </c>
      <c r="J1103">
        <f>($B$1+Table4[[#This Row],[Home Differential]])-Table4[[#This Row],[Away Differential]]</f>
        <v>0.16272555703454089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0.55745486047834047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-6.7671768126352963E-2</v>
      </c>
      <c r="H1104" t="s">
        <v>39</v>
      </c>
      <c r="I1104">
        <f>VLOOKUP(Table4[[#This Row],[Visitor]],'NHL Model'!$A$6:$B$38,2,FALSE)</f>
        <v>0.57904383162035133</v>
      </c>
      <c r="J1104">
        <f>($B$1+Table4[[#This Row],[Home Differential]])-Table4[[#This Row],[Away Differential]]</f>
        <v>-0.60297644521851468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0.61716484014071937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-0.48612387559717724</v>
      </c>
      <c r="H1105" t="s">
        <v>30</v>
      </c>
      <c r="I1105">
        <f>VLOOKUP(Table4[[#This Row],[Visitor]],'NHL Model'!$A$6:$B$38,2,FALSE)</f>
        <v>0.13101659139829774</v>
      </c>
      <c r="J1105">
        <f>($B$1+Table4[[#This Row],[Home Differential]])-Table4[[#This Row],[Away Differential]]</f>
        <v>-0.57340131246728543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0.59412942595901141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-1.0273405477215618</v>
      </c>
      <c r="H1106" t="s">
        <v>20</v>
      </c>
      <c r="I1106">
        <f>VLOOKUP(Table4[[#This Row],[Visitor]],'NHL Model'!$A$6:$B$38,2,FALSE)</f>
        <v>-0.14635285954937219</v>
      </c>
      <c r="J1106">
        <f>($B$1+Table4[[#This Row],[Home Differential]])-Table4[[#This Row],[Away Differential]]</f>
        <v>-0.83724853364400009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0.54980799701517757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-0.35623783458898745</v>
      </c>
      <c r="H1107" t="s">
        <v>19</v>
      </c>
      <c r="I1107">
        <f>VLOOKUP(Table4[[#This Row],[Visitor]],'NHL Model'!$A$6:$B$38,2,FALSE)</f>
        <v>-0.18941601188968307</v>
      </c>
      <c r="J1107">
        <f>($B$1+Table4[[#This Row],[Home Differential]])-Table4[[#This Row],[Away Differential]]</f>
        <v>-0.12308266817111477</v>
      </c>
      <c r="K1107" t="str">
        <f>IF(Table4[[#This Row],[HomeIce Differential]]&gt;0,Table4[[#This Row],[Home]],Table4[[#This Row],[Visitor]])</f>
        <v>Toronto Maple Leafs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0.47320254076483304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6.850792131463232E-2</v>
      </c>
      <c r="H1108" t="s">
        <v>40</v>
      </c>
      <c r="I1108">
        <f>VLOOKUP(Table4[[#This Row],[Visitor]],'NHL Model'!$A$6:$B$38,2,FALSE)</f>
        <v>-0.25075515805082654</v>
      </c>
      <c r="J1108">
        <f>($B$1+Table4[[#This Row],[Home Differential]])-Table4[[#This Row],[Away Differential]]</f>
        <v>0.3630022338936485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0.5753615067920641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-0.53773613438999557</v>
      </c>
      <c r="H1109" t="s">
        <v>27</v>
      </c>
      <c r="I1109">
        <f>VLOOKUP(Table4[[#This Row],[Visitor]],'NHL Model'!$A$6:$B$38,2,FALSE)</f>
        <v>-0.13902937841722524</v>
      </c>
      <c r="J1109">
        <f>($B$1+Table4[[#This Row],[Home Differential]])-Table4[[#This Row],[Away Differential]]</f>
        <v>-0.35496760144458073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0.54058838858144587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-0.81685014566908176</v>
      </c>
      <c r="H1110" t="s">
        <v>35</v>
      </c>
      <c r="I1110">
        <f>VLOOKUP(Table4[[#This Row],[Visitor]],'NHL Model'!$A$6:$B$38,2,FALSE)</f>
        <v>-1.2915976068889494</v>
      </c>
      <c r="J1110">
        <f>($B$1+Table4[[#This Row],[Home Differential]])-Table4[[#This Row],[Away Differential]]</f>
        <v>0.51848661574805721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0.59561579694484157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-1.1472178948952137E-2</v>
      </c>
      <c r="H1111" t="s">
        <v>23</v>
      </c>
      <c r="I1111">
        <f>VLOOKUP(Table4[[#This Row],[Visitor]],'NHL Model'!$A$6:$B$38,2,FALSE)</f>
        <v>-0.43117543965133126</v>
      </c>
      <c r="J1111">
        <f>($B$1+Table4[[#This Row],[Home Differential]])-Table4[[#This Row],[Away Differential]]</f>
        <v>0.46344241523056873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0.65051251382194364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-0.94586858045267985</v>
      </c>
      <c r="H1112" t="s">
        <v>37</v>
      </c>
      <c r="I1112">
        <f>VLOOKUP(Table4[[#This Row],[Visitor]],'NHL Model'!$A$6:$B$38,2,FALSE)</f>
        <v>0.55584102906214949</v>
      </c>
      <c r="J1112">
        <f>($B$1+Table4[[#This Row],[Home Differential]])-Table4[[#This Row],[Away Differential]]</f>
        <v>-1.4579704549866399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0.68901329821297586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-9.5800647102357028E-2</v>
      </c>
      <c r="H1113" t="s">
        <v>29</v>
      </c>
      <c r="I1113">
        <f>VLOOKUP(Table4[[#This Row],[Visitor]],'NHL Model'!$A$6:$B$38,2,FALSE)</f>
        <v>-1.0273405477215618</v>
      </c>
      <c r="J1113">
        <f>($B$1+Table4[[#This Row],[Home Differential]])-Table4[[#This Row],[Away Differential]]</f>
        <v>0.97527905514739432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0.64461392878459789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0.57904383162035133</v>
      </c>
      <c r="H1114" t="s">
        <v>20</v>
      </c>
      <c r="I1114">
        <f>VLOOKUP(Table4[[#This Row],[Visitor]],'NHL Model'!$A$6:$B$38,2,FALSE)</f>
        <v>-0.14635285954937219</v>
      </c>
      <c r="J1114">
        <f>($B$1+Table4[[#This Row],[Home Differential]])-Table4[[#This Row],[Away Differential]]</f>
        <v>0.76913584569791305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0.65474791198540294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0.13101659139829774</v>
      </c>
      <c r="H1115" t="s">
        <v>28</v>
      </c>
      <c r="I1115">
        <f>VLOOKUP(Table4[[#This Row],[Visitor]],'NHL Model'!$A$6:$B$38,2,FALSE)</f>
        <v>-0.38525981166347251</v>
      </c>
      <c r="J1115">
        <f>($B$1+Table4[[#This Row],[Home Differential]])-Table4[[#This Row],[Away Differential]]</f>
        <v>0.56001555758995991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0.59649426639148762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-2.5710604859208615E-2</v>
      </c>
      <c r="H1116" t="s">
        <v>40</v>
      </c>
      <c r="I1116">
        <f>VLOOKUP(Table4[[#This Row],[Visitor]],'NHL Model'!$A$6:$B$38,2,FALSE)</f>
        <v>-0.25075515805082654</v>
      </c>
      <c r="J1116">
        <f>($B$1+Table4[[#This Row],[Home Differential]])-Table4[[#This Row],[Away Differential]]</f>
        <v>0.26878370771980753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0.56525509659559947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6.850792131463232E-2</v>
      </c>
      <c r="H1117" t="s">
        <v>25</v>
      </c>
      <c r="I1117">
        <f>VLOOKUP(Table4[[#This Row],[Visitor]],'NHL Model'!$A$6:$B$38,2,FALSE)</f>
        <v>0.36021966242194059</v>
      </c>
      <c r="J1117">
        <f>($B$1+Table4[[#This Row],[Home Differential]])-Table4[[#This Row],[Away Differential]]</f>
        <v>-0.24797258657911866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0.5592221064848103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-4.6200185433750804E-2</v>
      </c>
      <c r="H1118" t="s">
        <v>13</v>
      </c>
      <c r="I1118">
        <f>VLOOKUP(Table4[[#This Row],[Visitor]],'NHL Model'!$A$6:$B$38,2,FALSE)</f>
        <v>-0.31218903714497998</v>
      </c>
      <c r="J1118">
        <f>($B$1+Table4[[#This Row],[Home Differential]])-Table4[[#This Row],[Away Differential]]</f>
        <v>0.30972800623941876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0.54792905413778914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0.79843701415173229</v>
      </c>
      <c r="H1119" t="s">
        <v>12</v>
      </c>
      <c r="I1119">
        <f>VLOOKUP(Table4[[#This Row],[Visitor]],'NHL Model'!$A$6:$B$38,2,FALSE)</f>
        <v>1.5507956238651657</v>
      </c>
      <c r="J1119">
        <f>($B$1+Table4[[#This Row],[Home Differential]])-Table4[[#This Row],[Away Differential]]</f>
        <v>-0.70861945518524383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0.56381539506836953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-2.5710604859208615E-2</v>
      </c>
      <c r="H1120" t="s">
        <v>36</v>
      </c>
      <c r="I1120">
        <f>VLOOKUP(Table4[[#This Row],[Visitor]],'NHL Model'!$A$6:$B$38,2,FALSE)</f>
        <v>-0.35623783458898745</v>
      </c>
      <c r="J1120">
        <f>($B$1+Table4[[#This Row],[Home Differential]])-Table4[[#This Row],[Away Differential]]</f>
        <v>0.37426638425796843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0.57656976305247754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-9.0944170863708096E-2</v>
      </c>
      <c r="H1121" t="s">
        <v>19</v>
      </c>
      <c r="I1121">
        <f>VLOOKUP(Table4[[#This Row],[Visitor]],'NHL Model'!$A$6:$B$38,2,FALSE)</f>
        <v>-0.18941601188968307</v>
      </c>
      <c r="J1121">
        <f>($B$1+Table4[[#This Row],[Home Differential]])-Table4[[#This Row],[Away Differential]]</f>
        <v>0.14221099555416458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0.60697032931143358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-0.94586858045267985</v>
      </c>
      <c r="H1122" t="s">
        <v>13</v>
      </c>
      <c r="I1122">
        <f>VLOOKUP(Table4[[#This Row],[Visitor]],'NHL Model'!$A$6:$B$38,2,FALSE)</f>
        <v>-0.31218903714497998</v>
      </c>
      <c r="J1122">
        <f>($B$1+Table4[[#This Row],[Home Differential]])-Table4[[#This Row],[Away Differential]]</f>
        <v>-0.58994038877951027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0.58959612087545976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0.57904383162035133</v>
      </c>
      <c r="H1123" t="s">
        <v>24</v>
      </c>
      <c r="I1123">
        <f>VLOOKUP(Table4[[#This Row],[Visitor]],'NHL Model'!$A$6:$B$38,2,FALSE)</f>
        <v>7.5388445740041043E-4</v>
      </c>
      <c r="J1123">
        <f>($B$1+Table4[[#This Row],[Home Differential]])-Table4[[#This Row],[Away Differential]]</f>
        <v>0.62202910169114045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0.61844648555330539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-0.71226595502109791</v>
      </c>
      <c r="H1124" t="s">
        <v>36</v>
      </c>
      <c r="I1124">
        <f>VLOOKUP(Table4[[#This Row],[Visitor]],'NHL Model'!$A$6:$B$38,2,FALSE)</f>
        <v>-0.35623783458898745</v>
      </c>
      <c r="J1124">
        <f>($B$1+Table4[[#This Row],[Home Differential]])-Table4[[#This Row],[Away Differential]]</f>
        <v>-0.31228896590392091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0.48693917030031425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-0.46392840252469486</v>
      </c>
      <c r="H1125" t="s">
        <v>32</v>
      </c>
      <c r="I1125">
        <f>VLOOKUP(Table4[[#This Row],[Visitor]],'NHL Model'!$A$6:$B$38,2,FALSE)</f>
        <v>-0.69519123816912842</v>
      </c>
      <c r="J1125">
        <f>($B$1+Table4[[#This Row],[Home Differential]])-Table4[[#This Row],[Away Differential]]</f>
        <v>0.27500199017262317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0.56949826356231303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-0.48612387559717724</v>
      </c>
      <c r="H1126" t="s">
        <v>25</v>
      </c>
      <c r="I1126">
        <f>VLOOKUP(Table4[[#This Row],[Visitor]],'NHL Model'!$A$6:$B$38,2,FALSE)</f>
        <v>0.36021966242194059</v>
      </c>
      <c r="J1126">
        <f>($B$1+Table4[[#This Row],[Home Differential]])-Table4[[#This Row],[Away Differential]]</f>
        <v>-0.80260438349092822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0.61871503929985638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-1.0273405477215618</v>
      </c>
      <c r="H1127" t="s">
        <v>33</v>
      </c>
      <c r="I1127">
        <f>VLOOKUP(Table4[[#This Row],[Visitor]],'NHL Model'!$A$6:$B$38,2,FALSE)</f>
        <v>-0.53773613438999557</v>
      </c>
      <c r="J1127">
        <f>($B$1+Table4[[#This Row],[Home Differential]])-Table4[[#This Row],[Away Differential]]</f>
        <v>-0.44586525880337669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0.50782602085608564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0.13101659139829774</v>
      </c>
      <c r="H1128" t="s">
        <v>10</v>
      </c>
      <c r="I1128">
        <f>VLOOKUP(Table4[[#This Row],[Visitor]],'NHL Model'!$A$6:$B$38,2,FALSE)</f>
        <v>-9.5800647102357028E-2</v>
      </c>
      <c r="J1128">
        <f>($B$1+Table4[[#This Row],[Home Differential]])-Table4[[#This Row],[Away Differential]]</f>
        <v>0.27055639302884438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0.56819191066673469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-0.13902937841722524</v>
      </c>
      <c r="H1129" t="s">
        <v>28</v>
      </c>
      <c r="I1129">
        <f>VLOOKUP(Table4[[#This Row],[Visitor]],'NHL Model'!$A$6:$B$38,2,FALSE)</f>
        <v>-0.38525981166347251</v>
      </c>
      <c r="J1129">
        <f>($B$1+Table4[[#This Row],[Home Differential]])-Table4[[#This Row],[Away Differential]]</f>
        <v>0.28996958777443688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0.59360377244854257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6.850792131463232E-2</v>
      </c>
      <c r="H1130" t="s">
        <v>12</v>
      </c>
      <c r="I1130">
        <f>VLOOKUP(Table4[[#This Row],[Visitor]],'NHL Model'!$A$6:$B$38,2,FALSE)</f>
        <v>1.5507956238651657</v>
      </c>
      <c r="J1130">
        <f>($B$1+Table4[[#This Row],[Home Differential]])-Table4[[#This Row],[Away Differential]]</f>
        <v>-1.4385485480223437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0.66844564336990298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-1.2915976068889494</v>
      </c>
      <c r="H1131" t="s">
        <v>22</v>
      </c>
      <c r="I1131">
        <f>VLOOKUP(Table4[[#This Row],[Visitor]],'NHL Model'!$A$6:$B$38,2,FALSE)</f>
        <v>0.79843701415173229</v>
      </c>
      <c r="J1131">
        <f>($B$1+Table4[[#This Row],[Home Differential]])-Table4[[#This Row],[Away Differential]]</f>
        <v>-2.0462954665124924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0.75212035514517017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0.55584102906214949</v>
      </c>
      <c r="H1132" t="s">
        <v>34</v>
      </c>
      <c r="I1132">
        <f>VLOOKUP(Table4[[#This Row],[Visitor]],'NHL Model'!$A$6:$B$38,2,FALSE)</f>
        <v>-6.7671768126352963E-2</v>
      </c>
      <c r="J1132">
        <f>($B$1+Table4[[#This Row],[Home Differential]])-Table4[[#This Row],[Away Differential]]</f>
        <v>0.66725195171669205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0.58642469057096125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-4.6200185433750804E-2</v>
      </c>
      <c r="H1133" t="s">
        <v>17</v>
      </c>
      <c r="I1133">
        <f>VLOOKUP(Table4[[#This Row],[Visitor]],'NHL Model'!$A$6:$B$38,2,FALSE)</f>
        <v>-0.52712659907212012</v>
      </c>
      <c r="J1133">
        <f>($B$1+Table4[[#This Row],[Home Differential]])-Table4[[#This Row],[Away Differential]]</f>
        <v>0.52466556816655896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0.63670976365608944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-0.81685014566908176</v>
      </c>
      <c r="H1134" t="s">
        <v>31</v>
      </c>
      <c r="I1134">
        <f>VLOOKUP(Table4[[#This Row],[Visitor]],'NHL Model'!$A$6:$B$38,2,FALSE)</f>
        <v>-1.1472178948952137E-2</v>
      </c>
      <c r="J1134">
        <f>($B$1+Table4[[#This Row],[Home Differential]])-Table4[[#This Row],[Away Differential]]</f>
        <v>-0.76163881219194007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0.56246690287415613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-0.25075515805082654</v>
      </c>
      <c r="H1135" t="s">
        <v>20</v>
      </c>
      <c r="I1135">
        <f>VLOOKUP(Table4[[#This Row],[Visitor]],'NHL Model'!$A$6:$B$38,2,FALSE)</f>
        <v>-0.14635285954937219</v>
      </c>
      <c r="J1135">
        <f>($B$1+Table4[[#This Row],[Home Differential]])-Table4[[#This Row],[Away Differential]]</f>
        <v>-6.0663143973264749E-2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0.46401159155656124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-0.43117543965133126</v>
      </c>
      <c r="H1136" t="s">
        <v>21</v>
      </c>
      <c r="I1136">
        <f>VLOOKUP(Table4[[#This Row],[Visitor]],'NHL Model'!$A$6:$B$38,2,FALSE)</f>
        <v>-9.0944170863708096E-2</v>
      </c>
      <c r="J1136">
        <f>($B$1+Table4[[#This Row],[Home Differential]])-Table4[[#This Row],[Away Differential]]</f>
        <v>-0.29649211425943356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0.48168116601592165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-0.18941601188968307</v>
      </c>
      <c r="H1137" t="s">
        <v>15</v>
      </c>
      <c r="I1137">
        <f>VLOOKUP(Table4[[#This Row],[Visitor]],'NHL Model'!$A$6:$B$38,2,FALSE)</f>
        <v>-2.5710604859208615E-2</v>
      </c>
      <c r="J1137">
        <f>($B$1+Table4[[#This Row],[Home Differential]])-Table4[[#This Row],[Away Differential]]</f>
        <v>-0.11996625250228485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0.57944049441431689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-0.94586858045267985</v>
      </c>
      <c r="H1138" t="s">
        <v>31</v>
      </c>
      <c r="I1138">
        <f>VLOOKUP(Table4[[#This Row],[Visitor]],'NHL Model'!$A$6:$B$38,2,FALSE)</f>
        <v>-1.1472178948952137E-2</v>
      </c>
      <c r="J1138">
        <f>($B$1+Table4[[#This Row],[Home Differential]])-Table4[[#This Row],[Away Differential]]</f>
        <v>-0.89065724697553816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0.5763061474238218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-0.46392840252469486</v>
      </c>
      <c r="H1139" t="s">
        <v>34</v>
      </c>
      <c r="I1139">
        <f>VLOOKUP(Table4[[#This Row],[Visitor]],'NHL Model'!$A$6:$B$38,2,FALSE)</f>
        <v>-6.7671768126352963E-2</v>
      </c>
      <c r="J1139">
        <f>($B$1+Table4[[#This Row],[Home Differential]])-Table4[[#This Row],[Away Differential]]</f>
        <v>-0.35251747987015231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0.53709974515499848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-0.48612387559717724</v>
      </c>
      <c r="H1140" t="s">
        <v>28</v>
      </c>
      <c r="I1140">
        <f>VLOOKUP(Table4[[#This Row],[Visitor]],'NHL Model'!$A$6:$B$38,2,FALSE)</f>
        <v>-0.38525981166347251</v>
      </c>
      <c r="J1140">
        <f>($B$1+Table4[[#This Row],[Home Differential]])-Table4[[#This Row],[Away Differential]]</f>
        <v>-5.7124909405515123E-2</v>
      </c>
      <c r="K1140" t="str">
        <f>IF(Table4[[#This Row],[HomeIce Differential]]&gt;0,Table4[[#This Row],[Home]],Table4[[#This Row],[Visitor]])</f>
        <v>Columbus Blue Jackets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0.46970369871768902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-1.0273405477215618</v>
      </c>
      <c r="H1141" t="s">
        <v>24</v>
      </c>
      <c r="I1141">
        <f>VLOOKUP(Table4[[#This Row],[Visitor]],'NHL Model'!$A$6:$B$38,2,FALSE)</f>
        <v>7.5388445740041043E-4</v>
      </c>
      <c r="J1141">
        <f>($B$1+Table4[[#This Row],[Home Differential]])-Table4[[#This Row],[Away Differential]]</f>
        <v>-0.98435527765077269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0.58635672633924274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0.13101659139829774</v>
      </c>
      <c r="H1142" t="s">
        <v>39</v>
      </c>
      <c r="I1142">
        <f>VLOOKUP(Table4[[#This Row],[Visitor]],'NHL Model'!$A$6:$B$38,2,FALSE)</f>
        <v>0.57904383162035133</v>
      </c>
      <c r="J1142">
        <f>($B$1+Table4[[#This Row],[Home Differential]])-Table4[[#This Row],[Away Differential]]</f>
        <v>-0.40428808569386399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0.59585240675671824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-0.35623783458898745</v>
      </c>
      <c r="H1143" t="s">
        <v>14</v>
      </c>
      <c r="I1143">
        <f>VLOOKUP(Table4[[#This Row],[Visitor]],'NHL Model'!$A$6:$B$38,2,FALSE)</f>
        <v>6.850792131463232E-2</v>
      </c>
      <c r="J1143">
        <f>($B$1+Table4[[#This Row],[Home Differential]])-Table4[[#This Row],[Away Differential]]</f>
        <v>-0.38100660137543019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0.55500773315401608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-0.13902937841722524</v>
      </c>
      <c r="H1144" t="s">
        <v>10</v>
      </c>
      <c r="I1144">
        <f>VLOOKUP(Table4[[#This Row],[Visitor]],'NHL Model'!$A$6:$B$38,2,FALSE)</f>
        <v>-9.5800647102357028E-2</v>
      </c>
      <c r="J1144">
        <f>($B$1+Table4[[#This Row],[Home Differential]])-Table4[[#This Row],[Away Differential]]</f>
        <v>5.1042321332139817E-4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0.56527214217529753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-1.2915976068889494</v>
      </c>
      <c r="H1145" t="s">
        <v>33</v>
      </c>
      <c r="I1145">
        <f>VLOOKUP(Table4[[#This Row],[Visitor]],'NHL Model'!$A$6:$B$38,2,FALSE)</f>
        <v>-0.53773613438999557</v>
      </c>
      <c r="J1145">
        <f>($B$1+Table4[[#This Row],[Home Differential]])-Table4[[#This Row],[Away Differential]]</f>
        <v>-0.71012231797076431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0.53617172255311052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0.55584102906214949</v>
      </c>
      <c r="H1146" t="s">
        <v>32</v>
      </c>
      <c r="I1146">
        <f>VLOOKUP(Table4[[#This Row],[Visitor]],'NHL Model'!$A$6:$B$38,2,FALSE)</f>
        <v>-0.69519123816912842</v>
      </c>
      <c r="J1146">
        <f>($B$1+Table4[[#This Row],[Home Differential]])-Table4[[#This Row],[Away Differential]]</f>
        <v>1.2947714217594675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0.69290110140014183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-4.6200185433750804E-2</v>
      </c>
      <c r="H1147" t="s">
        <v>22</v>
      </c>
      <c r="I1147">
        <f>VLOOKUP(Table4[[#This Row],[Visitor]],'NHL Model'!$A$6:$B$38,2,FALSE)</f>
        <v>0.79843701415173229</v>
      </c>
      <c r="J1147">
        <f>($B$1+Table4[[#This Row],[Home Differential]])-Table4[[#This Row],[Away Differential]]</f>
        <v>-0.80089804505729345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0.57752895044537966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-0.81685014566908176</v>
      </c>
      <c r="H1148" t="s">
        <v>13</v>
      </c>
      <c r="I1148">
        <f>VLOOKUP(Table4[[#This Row],[Visitor]],'NHL Model'!$A$6:$B$38,2,FALSE)</f>
        <v>-0.31218903714497998</v>
      </c>
      <c r="J1148">
        <f>($B$1+Table4[[#This Row],[Home Differential]])-Table4[[#This Row],[Away Differential]]</f>
        <v>-0.46092195399591224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0.57575687632579409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-0.14635285954937219</v>
      </c>
      <c r="H1149" t="s">
        <v>17</v>
      </c>
      <c r="I1149">
        <f>VLOOKUP(Table4[[#This Row],[Visitor]],'NHL Model'!$A$6:$B$38,2,FALSE)</f>
        <v>-0.52712659907212012</v>
      </c>
      <c r="J1149">
        <f>($B$1+Table4[[#This Row],[Home Differential]])-Table4[[#This Row],[Away Differential]]</f>
        <v>0.42451289405093751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0.58553564585643303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-0.25075515805082654</v>
      </c>
      <c r="H1150" t="s">
        <v>12</v>
      </c>
      <c r="I1150">
        <f>VLOOKUP(Table4[[#This Row],[Visitor]],'NHL Model'!$A$6:$B$38,2,FALSE)</f>
        <v>1.5507956238651657</v>
      </c>
      <c r="J1150">
        <f>($B$1+Table4[[#This Row],[Home Differential]])-Table4[[#This Row],[Away Differential]]</f>
        <v>-1.7578116273878026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0.70018069034036734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-0.43117543965133126</v>
      </c>
      <c r="H1151" t="s">
        <v>26</v>
      </c>
      <c r="I1151">
        <f>VLOOKUP(Table4[[#This Row],[Visitor]],'NHL Model'!$A$6:$B$38,2,FALSE)</f>
        <v>-0.71226595502109791</v>
      </c>
      <c r="J1151">
        <f>($B$1+Table4[[#This Row],[Home Differential]])-Table4[[#This Row],[Away Differential]]</f>
        <v>0.32482966989795625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0.5849653107407613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-2.5710604859208615E-2</v>
      </c>
      <c r="H1152" t="s">
        <v>10</v>
      </c>
      <c r="I1152">
        <f>VLOOKUP(Table4[[#This Row],[Visitor]],'NHL Model'!$A$6:$B$38,2,FALSE)</f>
        <v>-9.5800647102357028E-2</v>
      </c>
      <c r="J1152">
        <f>($B$1+Table4[[#This Row],[Home Differential]])-Table4[[#This Row],[Away Differential]]</f>
        <v>0.11382919677133801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0.55138046817613939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-9.0944170863708096E-2</v>
      </c>
      <c r="H1153" t="s">
        <v>34</v>
      </c>
      <c r="I1153">
        <f>VLOOKUP(Table4[[#This Row],[Visitor]],'NHL Model'!$A$6:$B$38,2,FALSE)</f>
        <v>-6.7671768126352963E-2</v>
      </c>
      <c r="J1153">
        <f>($B$1+Table4[[#This Row],[Home Differential]])-Table4[[#This Row],[Away Differential]]</f>
        <v>2.0466751790834466E-2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0.55538686852318209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-0.43117543965133126</v>
      </c>
      <c r="H1154" t="s">
        <v>32</v>
      </c>
      <c r="I1154">
        <f>VLOOKUP(Table4[[#This Row],[Visitor]],'NHL Model'!$A$6:$B$38,2,FALSE)</f>
        <v>-0.69519123816912842</v>
      </c>
      <c r="J1154">
        <f>($B$1+Table4[[#This Row],[Home Differential]])-Table4[[#This Row],[Away Differential]]</f>
        <v>0.30775495304598677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0.58313378036661712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0.36021966242194059</v>
      </c>
      <c r="H1155" t="s">
        <v>24</v>
      </c>
      <c r="I1155">
        <f>VLOOKUP(Table4[[#This Row],[Visitor]],'NHL Model'!$A$6:$B$38,2,FALSE)</f>
        <v>7.5388445740041043E-4</v>
      </c>
      <c r="J1155">
        <f>($B$1+Table4[[#This Row],[Home Differential]])-Table4[[#This Row],[Away Differential]]</f>
        <v>0.40320493249272976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0.59497417172471434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-0.38525981166347251</v>
      </c>
      <c r="H1156" t="s">
        <v>33</v>
      </c>
      <c r="I1156">
        <f>VLOOKUP(Table4[[#This Row],[Visitor]],'NHL Model'!$A$6:$B$38,2,FALSE)</f>
        <v>-0.53773613438999557</v>
      </c>
      <c r="J1156">
        <f>($B$1+Table4[[#This Row],[Home Differential]])-Table4[[#This Row],[Away Differential]]</f>
        <v>0.19621547725471267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0.56104717809289795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-0.94586858045267985</v>
      </c>
      <c r="H1157" t="s">
        <v>38</v>
      </c>
      <c r="I1157">
        <f>VLOOKUP(Table4[[#This Row],[Visitor]],'NHL Model'!$A$6:$B$38,2,FALSE)</f>
        <v>-0.81685014566908176</v>
      </c>
      <c r="J1157">
        <f>($B$1+Table4[[#This Row],[Home Differential]])-Table4[[#This Row],[Away Differential]]</f>
        <v>-8.5279280255408541E-2</v>
      </c>
      <c r="K1157" t="str">
        <f>IF(Table4[[#This Row],[HomeIce Differential]]&gt;0,Table4[[#This Row],[Home]],Table4[[#This Row],[Visitor]])</f>
        <v>Vancouver Canucks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0.46914753629164402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1.5507956238651657</v>
      </c>
      <c r="H1158" t="s">
        <v>40</v>
      </c>
      <c r="I1158">
        <f>VLOOKUP(Table4[[#This Row],[Visitor]],'NHL Model'!$A$6:$B$38,2,FALSE)</f>
        <v>-0.25075515805082654</v>
      </c>
      <c r="J1158">
        <f>($B$1+Table4[[#This Row],[Home Differential]])-Table4[[#This Row],[Away Differential]]</f>
        <v>1.8452899364441817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0.84246744987966626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-0.71226595502109791</v>
      </c>
      <c r="H1159" t="s">
        <v>27</v>
      </c>
      <c r="I1159">
        <f>VLOOKUP(Table4[[#This Row],[Visitor]],'NHL Model'!$A$6:$B$38,2,FALSE)</f>
        <v>-0.13902937841722524</v>
      </c>
      <c r="J1159">
        <f>($B$1+Table4[[#This Row],[Home Differential]])-Table4[[#This Row],[Away Differential]]</f>
        <v>-0.52949742207568318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0.54910457040355387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-0.52712659907212012</v>
      </c>
      <c r="H1160" t="s">
        <v>31</v>
      </c>
      <c r="I1160">
        <f>VLOOKUP(Table4[[#This Row],[Visitor]],'NHL Model'!$A$6:$B$38,2,FALSE)</f>
        <v>-1.1472178948952137E-2</v>
      </c>
      <c r="J1160">
        <f>($B$1+Table4[[#This Row],[Home Differential]])-Table4[[#This Row],[Away Differential]]</f>
        <v>-0.47191526559497837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0.52888116098515003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-0.31218903714497998</v>
      </c>
      <c r="H1161" t="s">
        <v>55</v>
      </c>
      <c r="I1161">
        <f>VLOOKUP(Table4[[#This Row],[Visitor]],'NHL Model'!$A$6:$B$38,2,FALSE)</f>
        <v>-4.6200185433750804E-2</v>
      </c>
      <c r="J1161">
        <f>($B$1+Table4[[#This Row],[Home Differential]])-Table4[[#This Row],[Away Differential]]</f>
        <v>-0.22224969718303955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0.48383975526880468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-1.0273405477215618</v>
      </c>
      <c r="H1162" t="s">
        <v>18</v>
      </c>
      <c r="I1162">
        <f>VLOOKUP(Table4[[#This Row],[Visitor]],'NHL Model'!$A$6:$B$38,2,FALSE)</f>
        <v>-0.48612387559717724</v>
      </c>
      <c r="J1162">
        <f>($B$1+Table4[[#This Row],[Home Differential]])-Table4[[#This Row],[Away Differential]]</f>
        <v>-0.49747751759619502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0.5726500764835416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0.13101659139829774</v>
      </c>
      <c r="H1163" t="s">
        <v>11</v>
      </c>
      <c r="I1163">
        <f>VLOOKUP(Table4[[#This Row],[Visitor]],'NHL Model'!$A$6:$B$38,2,FALSE)</f>
        <v>-0.46392840252469486</v>
      </c>
      <c r="J1163">
        <f>($B$1+Table4[[#This Row],[Home Differential]])-Table4[[#This Row],[Away Differential]]</f>
        <v>0.63868414845118227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0.60850886181681174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6.850792131463232E-2</v>
      </c>
      <c r="H1164" t="s">
        <v>39</v>
      </c>
      <c r="I1164">
        <f>VLOOKUP(Table4[[#This Row],[Visitor]],'NHL Model'!$A$6:$B$38,2,FALSE)</f>
        <v>0.57904383162035133</v>
      </c>
      <c r="J1164">
        <f>($B$1+Table4[[#This Row],[Home Differential]])-Table4[[#This Row],[Away Differential]]</f>
        <v>-0.46679675577752944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0.60255743905084891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-1.2915976068889494</v>
      </c>
      <c r="H1165" t="s">
        <v>19</v>
      </c>
      <c r="I1165">
        <f>VLOOKUP(Table4[[#This Row],[Visitor]],'NHL Model'!$A$6:$B$38,2,FALSE)</f>
        <v>-0.18941601188968307</v>
      </c>
      <c r="J1165">
        <f>($B$1+Table4[[#This Row],[Home Differential]])-Table4[[#This Row],[Away Differential]]</f>
        <v>-1.0584424404710768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0.57353450225925628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0.55584102906214949</v>
      </c>
      <c r="H1166" t="s">
        <v>36</v>
      </c>
      <c r="I1166">
        <f>VLOOKUP(Table4[[#This Row],[Visitor]],'NHL Model'!$A$6:$B$38,2,FALSE)</f>
        <v>-0.35623783458898745</v>
      </c>
      <c r="J1166">
        <f>($B$1+Table4[[#This Row],[Home Differential]])-Table4[[#This Row],[Away Differential]]</f>
        <v>0.95581801817932655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0.65298514386022422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-0.14635285954937219</v>
      </c>
      <c r="H1167" t="s">
        <v>22</v>
      </c>
      <c r="I1167">
        <f>VLOOKUP(Table4[[#This Row],[Visitor]],'NHL Model'!$A$6:$B$38,2,FALSE)</f>
        <v>0.79843701415173229</v>
      </c>
      <c r="J1167">
        <f>($B$1+Table4[[#This Row],[Home Differential]])-Table4[[#This Row],[Away Differential]]</f>
        <v>-0.9010507191729149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0.629274948174946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0.36021966242194059</v>
      </c>
      <c r="H1168" t="s">
        <v>18</v>
      </c>
      <c r="I1168">
        <f>VLOOKUP(Table4[[#This Row],[Visitor]],'NHL Model'!$A$6:$B$38,2,FALSE)</f>
        <v>-0.48612387559717724</v>
      </c>
      <c r="J1168">
        <f>($B$1+Table4[[#This Row],[Home Differential]])-Table4[[#This Row],[Away Differential]]</f>
        <v>0.89008269254730743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0.60884427066526259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-0.38525981166347251</v>
      </c>
      <c r="H1169" t="s">
        <v>21</v>
      </c>
      <c r="I1169">
        <f>VLOOKUP(Table4[[#This Row],[Visitor]],'NHL Model'!$A$6:$B$38,2,FALSE)</f>
        <v>-9.0944170863708096E-2</v>
      </c>
      <c r="J1169">
        <f>($B$1+Table4[[#This Row],[Home Differential]])-Table4[[#This Row],[Away Differential]]</f>
        <v>-0.25057648627157481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0.48687824633529897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7.5388445740041043E-4</v>
      </c>
      <c r="H1170" t="s">
        <v>10</v>
      </c>
      <c r="I1170">
        <f>VLOOKUP(Table4[[#This Row],[Visitor]],'NHL Model'!$A$6:$B$38,2,FALSE)</f>
        <v>-9.5800647102357028E-2</v>
      </c>
      <c r="J1170">
        <f>($B$1+Table4[[#This Row],[Home Differential]])-Table4[[#This Row],[Away Differential]]</f>
        <v>0.14029368608794704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0.61504869155947905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-2.5710604859208615E-2</v>
      </c>
      <c r="H1171" t="s">
        <v>11</v>
      </c>
      <c r="I1171">
        <f>VLOOKUP(Table4[[#This Row],[Visitor]],'NHL Model'!$A$6:$B$38,2,FALSE)</f>
        <v>-0.46392840252469486</v>
      </c>
      <c r="J1171">
        <f>($B$1+Table4[[#This Row],[Home Differential]])-Table4[[#This Row],[Away Differential]]</f>
        <v>0.48195695219367585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0.59169741932621656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-0.13902937841722524</v>
      </c>
      <c r="H1172" t="s">
        <v>39</v>
      </c>
      <c r="I1172">
        <f>VLOOKUP(Table4[[#This Row],[Visitor]],'NHL Model'!$A$6:$B$38,2,FALSE)</f>
        <v>0.57904383162035133</v>
      </c>
      <c r="J1172">
        <f>($B$1+Table4[[#This Row],[Home Differential]])-Table4[[#This Row],[Away Differential]]</f>
        <v>-0.67433405550938696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0.59864866126844107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0.55584102906214949</v>
      </c>
      <c r="H1173" t="s">
        <v>29</v>
      </c>
      <c r="I1173">
        <f>VLOOKUP(Table4[[#This Row],[Visitor]],'NHL Model'!$A$6:$B$38,2,FALSE)</f>
        <v>-1.0273405477215618</v>
      </c>
      <c r="J1173">
        <f>($B$1+Table4[[#This Row],[Home Differential]])-Table4[[#This Row],[Away Differential]]</f>
        <v>1.626920731311901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0.72852930855990727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-1.1472178948952137E-2</v>
      </c>
      <c r="H1174" t="s">
        <v>19</v>
      </c>
      <c r="I1174">
        <f>VLOOKUP(Table4[[#This Row],[Visitor]],'NHL Model'!$A$6:$B$38,2,FALSE)</f>
        <v>-0.18941601188968307</v>
      </c>
      <c r="J1174">
        <f>($B$1+Table4[[#This Row],[Home Differential]])-Table4[[#This Row],[Away Differential]]</f>
        <v>0.22168298746892054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0.62458003488129843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1.5507956238651657</v>
      </c>
      <c r="H1175" t="s">
        <v>16</v>
      </c>
      <c r="I1175">
        <f>VLOOKUP(Table4[[#This Row],[Visitor]],'NHL Model'!$A$6:$B$38,2,FALSE)</f>
        <v>-0.94586858045267985</v>
      </c>
      <c r="J1175">
        <f>($B$1+Table4[[#This Row],[Home Differential]])-Table4[[#This Row],[Away Differential]]</f>
        <v>2.5404033588460351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0.92031894953598048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0.13101659139829774</v>
      </c>
      <c r="H1176" t="s">
        <v>14</v>
      </c>
      <c r="I1176">
        <f>VLOOKUP(Table4[[#This Row],[Visitor]],'NHL Model'!$A$6:$B$38,2,FALSE)</f>
        <v>6.850792131463232E-2</v>
      </c>
      <c r="J1176">
        <f>($B$1+Table4[[#This Row],[Home Differential]])-Table4[[#This Row],[Away Differential]]</f>
        <v>0.10624782461185503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0.49725792307143246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-0.53773613438999557</v>
      </c>
      <c r="H1177" t="s">
        <v>35</v>
      </c>
      <c r="I1177">
        <f>VLOOKUP(Table4[[#This Row],[Visitor]],'NHL Model'!$A$6:$B$38,2,FALSE)</f>
        <v>-1.2915976068889494</v>
      </c>
      <c r="J1177">
        <f>($B$1+Table4[[#This Row],[Home Differential]])-Table4[[#This Row],[Away Differential]]</f>
        <v>0.79760062702714341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0.62555513906915383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-0.14635285954937219</v>
      </c>
      <c r="H1178" t="s">
        <v>38</v>
      </c>
      <c r="I1178">
        <f>VLOOKUP(Table4[[#This Row],[Visitor]],'NHL Model'!$A$6:$B$38,2,FALSE)</f>
        <v>-0.81685014566908176</v>
      </c>
      <c r="J1178">
        <f>($B$1+Table4[[#This Row],[Home Differential]])-Table4[[#This Row],[Away Differential]]</f>
        <v>0.71423644064789915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0.6166130265414258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-9.0944170863708096E-2</v>
      </c>
      <c r="H1179" t="s">
        <v>39</v>
      </c>
      <c r="I1179">
        <f>VLOOKUP(Table4[[#This Row],[Visitor]],'NHL Model'!$A$6:$B$38,2,FALSE)</f>
        <v>0.57904383162035133</v>
      </c>
      <c r="J1179">
        <f>($B$1+Table4[[#This Row],[Home Differential]])-Table4[[#This Row],[Away Differential]]</f>
        <v>-0.62624884795586988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0.56717498139195721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-0.43117543965133126</v>
      </c>
      <c r="H1180" t="s">
        <v>30</v>
      </c>
      <c r="I1180">
        <f>VLOOKUP(Table4[[#This Row],[Visitor]],'NHL Model'!$A$6:$B$38,2,FALSE)</f>
        <v>0.13101659139829774</v>
      </c>
      <c r="J1180">
        <f>($B$1+Table4[[#This Row],[Home Differential]])-Table4[[#This Row],[Away Differential]]</f>
        <v>-0.51845287652143934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0.57806115747705433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-0.38525981166347251</v>
      </c>
      <c r="H1181" t="s">
        <v>25</v>
      </c>
      <c r="I1181">
        <f>VLOOKUP(Table4[[#This Row],[Visitor]],'NHL Model'!$A$6:$B$38,2,FALSE)</f>
        <v>0.36021966242194059</v>
      </c>
      <c r="J1181">
        <f>($B$1+Table4[[#This Row],[Home Differential]])-Table4[[#This Row],[Away Differential]]</f>
        <v>-0.70174031955722349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0.60789579126454307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-9.5800647102357028E-2</v>
      </c>
      <c r="H1182" t="s">
        <v>40</v>
      </c>
      <c r="I1182">
        <f>VLOOKUP(Table4[[#This Row],[Visitor]],'NHL Model'!$A$6:$B$38,2,FALSE)</f>
        <v>-0.25075515805082654</v>
      </c>
      <c r="J1182">
        <f>($B$1+Table4[[#This Row],[Home Differential]])-Table4[[#This Row],[Away Differential]]</f>
        <v>0.19869366547665912</v>
      </c>
      <c r="K1182" t="str">
        <f>IF(Table4[[#This Row],[HomeIce Differential]]&gt;0,Table4[[#This Row],[Home]],Table4[[#This Row],[Visitor]])</f>
        <v>Chicago Blackhawks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0.55773684358992404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-0.52712659907212012</v>
      </c>
      <c r="H1183" t="s">
        <v>32</v>
      </c>
      <c r="I1183">
        <f>VLOOKUP(Table4[[#This Row],[Visitor]],'NHL Model'!$A$6:$B$38,2,FALSE)</f>
        <v>-0.69519123816912842</v>
      </c>
      <c r="J1183">
        <f>($B$1+Table4[[#This Row],[Home Differential]])-Table4[[#This Row],[Away Differential]]</f>
        <v>0.21180379362519791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0.56521474797738402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-0.46392840252469486</v>
      </c>
      <c r="H1184" t="s">
        <v>36</v>
      </c>
      <c r="I1184">
        <f>VLOOKUP(Table4[[#This Row],[Visitor]],'NHL Model'!$A$6:$B$38,2,FALSE)</f>
        <v>-0.35623783458898745</v>
      </c>
      <c r="J1184">
        <f>($B$1+Table4[[#This Row],[Home Differential]])-Table4[[#This Row],[Away Differential]]</f>
        <v>-6.395141340751781E-2</v>
      </c>
      <c r="K1184" t="str">
        <f>IF(Table4[[#This Row],[HomeIce Differential]]&gt;0,Table4[[#This Row],[Home]],Table4[[#This Row],[Visitor]])</f>
        <v>Ottawa Senators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0.4704359480157172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-2.5710604859208615E-2</v>
      </c>
      <c r="H1185" t="s">
        <v>24</v>
      </c>
      <c r="I1185">
        <f>VLOOKUP(Table4[[#This Row],[Visitor]],'NHL Model'!$A$6:$B$38,2,FALSE)</f>
        <v>7.5388445740041043E-4</v>
      </c>
      <c r="J1185">
        <f>($B$1+Table4[[#This Row],[Home Differential]])-Table4[[#This Row],[Away Differential]]</f>
        <v>1.7274665211580574E-2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0.52108374719300898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6.850792131463232E-2</v>
      </c>
      <c r="H1186" t="s">
        <v>26</v>
      </c>
      <c r="I1186">
        <f>VLOOKUP(Table4[[#This Row],[Visitor]],'NHL Model'!$A$6:$B$38,2,FALSE)</f>
        <v>-0.71226595502109791</v>
      </c>
      <c r="J1186">
        <f>($B$1+Table4[[#This Row],[Home Differential]])-Table4[[#This Row],[Away Differential]]</f>
        <v>0.8245130308639198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0.6284419152011167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0.55584102906214949</v>
      </c>
      <c r="H1187" t="s">
        <v>18</v>
      </c>
      <c r="I1187">
        <f>VLOOKUP(Table4[[#This Row],[Visitor]],'NHL Model'!$A$6:$B$38,2,FALSE)</f>
        <v>-0.48612387559717724</v>
      </c>
      <c r="J1187">
        <f>($B$1+Table4[[#This Row],[Home Differential]])-Table4[[#This Row],[Away Differential]]</f>
        <v>1.0857040591875162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0.6113040979723644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0.79843701415173229</v>
      </c>
      <c r="H1188" t="s">
        <v>27</v>
      </c>
      <c r="I1188">
        <f>VLOOKUP(Table4[[#This Row],[Visitor]],'NHL Model'!$A$6:$B$38,2,FALSE)</f>
        <v>-0.13902937841722524</v>
      </c>
      <c r="J1188">
        <f>($B$1+Table4[[#This Row],[Home Differential]])-Table4[[#This Row],[Away Differential]]</f>
        <v>0.98120554709714702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0.62905916152635144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1.5507956238651657</v>
      </c>
      <c r="H1189" t="s">
        <v>38</v>
      </c>
      <c r="I1189">
        <f>VLOOKUP(Table4[[#This Row],[Visitor]],'NHL Model'!$A$6:$B$38,2,FALSE)</f>
        <v>-0.81685014566908176</v>
      </c>
      <c r="J1189">
        <f>($B$1+Table4[[#This Row],[Home Differential]])-Table4[[#This Row],[Away Differential]]</f>
        <v>2.4113849240624372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0.90647970498631492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-0.31218903714497998</v>
      </c>
      <c r="H1190" t="s">
        <v>35</v>
      </c>
      <c r="I1190">
        <f>VLOOKUP(Table4[[#This Row],[Visitor]],'NHL Model'!$A$6:$B$38,2,FALSE)</f>
        <v>-1.2915976068889494</v>
      </c>
      <c r="J1190">
        <f>($B$1+Table4[[#This Row],[Home Differential]])-Table4[[#This Row],[Away Differential]]</f>
        <v>1.0231477242721589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0.64974859205497315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-0.53773613438999557</v>
      </c>
      <c r="H1191" t="s">
        <v>31</v>
      </c>
      <c r="I1191">
        <f>VLOOKUP(Table4[[#This Row],[Visitor]],'NHL Model'!$A$6:$B$38,2,FALSE)</f>
        <v>-1.1472178948952137E-2</v>
      </c>
      <c r="J1191">
        <f>($B$1+Table4[[#This Row],[Home Differential]])-Table4[[#This Row],[Away Differential]]</f>
        <v>-0.48252480091285382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0.53252756074984398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0.36021966242194059</v>
      </c>
      <c r="H1192" t="s">
        <v>28</v>
      </c>
      <c r="I1192">
        <f>VLOOKUP(Table4[[#This Row],[Visitor]],'NHL Model'!$A$6:$B$38,2,FALSE)</f>
        <v>-0.38525981166347251</v>
      </c>
      <c r="J1192">
        <f>($B$1+Table4[[#This Row],[Home Differential]])-Table4[[#This Row],[Away Differential]]</f>
        <v>0.7892186286136027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0.6533764178196495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0.57904383162035133</v>
      </c>
      <c r="H1193" t="s">
        <v>40</v>
      </c>
      <c r="I1193">
        <f>VLOOKUP(Table4[[#This Row],[Visitor]],'NHL Model'!$A$6:$B$38,2,FALSE)</f>
        <v>-0.25075515805082654</v>
      </c>
      <c r="J1193">
        <f>($B$1+Table4[[#This Row],[Home Differential]])-Table4[[#This Row],[Away Differential]]</f>
        <v>0.87353814419936748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0.66242100434294748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-0.52712659907212012</v>
      </c>
      <c r="H1194" t="s">
        <v>10</v>
      </c>
      <c r="I1194">
        <f>VLOOKUP(Table4[[#This Row],[Visitor]],'NHL Model'!$A$6:$B$38,2,FALSE)</f>
        <v>-9.5800647102357028E-2</v>
      </c>
      <c r="J1194">
        <f>($B$1+Table4[[#This Row],[Home Differential]])-Table4[[#This Row],[Away Differential]]</f>
        <v>-0.38758679744157348</v>
      </c>
      <c r="K1194" t="str">
        <f>IF(Table4[[#This Row],[HomeIce Differential]]&gt;0,Table4[[#This Row],[Home]],Table4[[#This Row],[Visitor]])</f>
        <v>Chicago Blackhawks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0.49990807792710013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-0.46392840252469486</v>
      </c>
      <c r="H1195" t="s">
        <v>21</v>
      </c>
      <c r="I1195">
        <f>VLOOKUP(Table4[[#This Row],[Visitor]],'NHL Model'!$A$6:$B$38,2,FALSE)</f>
        <v>-9.0944170863708096E-2</v>
      </c>
      <c r="J1195">
        <f>($B$1+Table4[[#This Row],[Home Differential]])-Table4[[#This Row],[Away Differential]]</f>
        <v>-0.32924507713279716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0.49531668282022567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-0.31218903714497998</v>
      </c>
      <c r="H1196" t="s">
        <v>29</v>
      </c>
      <c r="I1196">
        <f>VLOOKUP(Table4[[#This Row],[Visitor]],'NHL Model'!$A$6:$B$38,2,FALSE)</f>
        <v>-1.0273405477215618</v>
      </c>
      <c r="J1196">
        <f>($B$1+Table4[[#This Row],[Home Differential]])-Table4[[#This Row],[Away Differential]]</f>
        <v>0.75889066510477143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0.62140289035794827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-6.7671768126352963E-2</v>
      </c>
      <c r="H1197" t="s">
        <v>38</v>
      </c>
      <c r="I1197">
        <f>VLOOKUP(Table4[[#This Row],[Visitor]],'NHL Model'!$A$6:$B$38,2,FALSE)</f>
        <v>-0.81685014566908176</v>
      </c>
      <c r="J1197">
        <f>($B$1+Table4[[#This Row],[Home Differential]])-Table4[[#This Row],[Away Differential]]</f>
        <v>0.79291753207091842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0.62505280390707241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7.5388445740041043E-4</v>
      </c>
      <c r="H1198" t="s">
        <v>22</v>
      </c>
      <c r="I1198">
        <f>VLOOKUP(Table4[[#This Row],[Visitor]],'NHL Model'!$A$6:$B$38,2,FALSE)</f>
        <v>0.79843701415173229</v>
      </c>
      <c r="J1198">
        <f>($B$1+Table4[[#This Row],[Home Differential]])-Table4[[#This Row],[Away Differential]]</f>
        <v>-0.75394397516614231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0.55146051580637301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-2.5710604859208615E-2</v>
      </c>
      <c r="H1199" t="s">
        <v>18</v>
      </c>
      <c r="I1199">
        <f>VLOOKUP(Table4[[#This Row],[Visitor]],'NHL Model'!$A$6:$B$38,2,FALSE)</f>
        <v>-0.48612387559717724</v>
      </c>
      <c r="J1199">
        <f>($B$1+Table4[[#This Row],[Home Differential]])-Table4[[#This Row],[Away Differential]]</f>
        <v>0.50415242526615822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0.5347903970487099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-0.35623783458898745</v>
      </c>
      <c r="H1200" t="s">
        <v>23</v>
      </c>
      <c r="I1200">
        <f>VLOOKUP(Table4[[#This Row],[Visitor]],'NHL Model'!$A$6:$B$38,2,FALSE)</f>
        <v>-0.43117543965133126</v>
      </c>
      <c r="J1200">
        <f>($B$1+Table4[[#This Row],[Home Differential]])-Table4[[#This Row],[Away Differential]]</f>
        <v>0.11867675959053342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0.55272993817581229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-0.13902937841722524</v>
      </c>
      <c r="H1201" t="s">
        <v>26</v>
      </c>
      <c r="I1201">
        <f>VLOOKUP(Table4[[#This Row],[Visitor]],'NHL Model'!$A$6:$B$38,2,FALSE)</f>
        <v>-0.71226595502109791</v>
      </c>
      <c r="J1201">
        <f>($B$1+Table4[[#This Row],[Home Differential]])-Table4[[#This Row],[Away Differential]]</f>
        <v>0.61697573113206228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0.63221803046096148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-0.69519123816912842</v>
      </c>
      <c r="H1202" t="s">
        <v>55</v>
      </c>
      <c r="I1202">
        <f>VLOOKUP(Table4[[#This Row],[Visitor]],'NHL Model'!$A$6:$B$38,2,FALSE)</f>
        <v>-4.6200185433750804E-2</v>
      </c>
      <c r="J1202">
        <f>($B$1+Table4[[#This Row],[Home Differential]])-Table4[[#This Row],[Away Differential]]</f>
        <v>-0.60525189820718805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0.52492273020896585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-0.53773613438999557</v>
      </c>
      <c r="H1203" t="s">
        <v>19</v>
      </c>
      <c r="I1203">
        <f>VLOOKUP(Table4[[#This Row],[Visitor]],'NHL Model'!$A$6:$B$38,2,FALSE)</f>
        <v>-0.18941601188968307</v>
      </c>
      <c r="J1203">
        <f>($B$1+Table4[[#This Row],[Home Differential]])-Table4[[#This Row],[Away Differential]]</f>
        <v>-0.30458096797212286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0.49267107144812416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0.55584102906214949</v>
      </c>
      <c r="H1204" t="s">
        <v>14</v>
      </c>
      <c r="I1204">
        <f>VLOOKUP(Table4[[#This Row],[Visitor]],'NHL Model'!$A$6:$B$38,2,FALSE)</f>
        <v>6.850792131463232E-2</v>
      </c>
      <c r="J1204">
        <f>($B$1+Table4[[#This Row],[Home Differential]])-Table4[[#This Row],[Away Differential]]</f>
        <v>0.5310722622757067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0.55696580433257603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-0.14635285954937219</v>
      </c>
      <c r="H1205" t="s">
        <v>16</v>
      </c>
      <c r="I1205">
        <f>VLOOKUP(Table4[[#This Row],[Visitor]],'NHL Model'!$A$6:$B$38,2,FALSE)</f>
        <v>-0.94586858045267985</v>
      </c>
      <c r="J1205">
        <f>($B$1+Table4[[#This Row],[Home Differential]])-Table4[[#This Row],[Away Differential]]</f>
        <v>0.84325487543149724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0.63045227109109148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-1.1472178948952137E-2</v>
      </c>
      <c r="H1206" t="s">
        <v>35</v>
      </c>
      <c r="I1206">
        <f>VLOOKUP(Table4[[#This Row],[Visitor]],'NHL Model'!$A$6:$B$38,2,FALSE)</f>
        <v>-1.2915976068889494</v>
      </c>
      <c r="J1206">
        <f>($B$1+Table4[[#This Row],[Home Differential]])-Table4[[#This Row],[Away Differential]]</f>
        <v>1.3238645824681869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0.74280624539857631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0.13101659139829774</v>
      </c>
      <c r="H1207" t="s">
        <v>27</v>
      </c>
      <c r="I1207">
        <f>VLOOKUP(Table4[[#This Row],[Visitor]],'NHL Model'!$A$6:$B$38,2,FALSE)</f>
        <v>-0.13902937841722524</v>
      </c>
      <c r="J1207">
        <f>($B$1+Table4[[#This Row],[Home Differential]])-Table4[[#This Row],[Away Differential]]</f>
        <v>0.31378512434371258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0.53114579832729381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-1.1472178948952137E-2</v>
      </c>
      <c r="H1208" t="s">
        <v>16</v>
      </c>
      <c r="I1208">
        <f>VLOOKUP(Table4[[#This Row],[Visitor]],'NHL Model'!$A$6:$B$38,2,FALSE)</f>
        <v>-0.94586858045267985</v>
      </c>
      <c r="J1208">
        <f>($B$1+Table4[[#This Row],[Home Differential]])-Table4[[#This Row],[Away Differential]]</f>
        <v>0.97813555603191726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0.70572140126142202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0.36021966242194059</v>
      </c>
      <c r="H1209" t="s">
        <v>30</v>
      </c>
      <c r="I1209">
        <f>VLOOKUP(Table4[[#This Row],[Visitor]],'NHL Model'!$A$6:$B$38,2,FALSE)</f>
        <v>0.13101659139829774</v>
      </c>
      <c r="J1209">
        <f>($B$1+Table4[[#This Row],[Home Differential]])-Table4[[#This Row],[Away Differential]]</f>
        <v>0.27294222555183245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0.52927732159886665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-0.38525981166347251</v>
      </c>
      <c r="H1210" t="s">
        <v>40</v>
      </c>
      <c r="I1210">
        <f>VLOOKUP(Table4[[#This Row],[Visitor]],'NHL Model'!$A$6:$B$38,2,FALSE)</f>
        <v>-0.25075515805082654</v>
      </c>
      <c r="J1210">
        <f>($B$1+Table4[[#This Row],[Home Differential]])-Table4[[#This Row],[Away Differential]]</f>
        <v>-9.0765499084456358E-2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0.47331217798766861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0.57904383162035133</v>
      </c>
      <c r="H1211" t="s">
        <v>12</v>
      </c>
      <c r="I1211">
        <f>VLOOKUP(Table4[[#This Row],[Visitor]],'NHL Model'!$A$6:$B$38,2,FALSE)</f>
        <v>1.5507956238651657</v>
      </c>
      <c r="J1211">
        <f>($B$1+Table4[[#This Row],[Home Differential]])-Table4[[#This Row],[Away Differential]]</f>
        <v>-0.92801263771662479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0.58102534790709803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-0.52712659907212012</v>
      </c>
      <c r="H1212" t="s">
        <v>20</v>
      </c>
      <c r="I1212">
        <f>VLOOKUP(Table4[[#This Row],[Visitor]],'NHL Model'!$A$6:$B$38,2,FALSE)</f>
        <v>-0.14635285954937219</v>
      </c>
      <c r="J1212">
        <f>($B$1+Table4[[#This Row],[Home Differential]])-Table4[[#This Row],[Away Differential]]</f>
        <v>-0.3370345849945583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0.49365675013604982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-0.31218903714497998</v>
      </c>
      <c r="H1213" t="s">
        <v>19</v>
      </c>
      <c r="I1213">
        <f>VLOOKUP(Table4[[#This Row],[Visitor]],'NHL Model'!$A$6:$B$38,2,FALSE)</f>
        <v>-0.18941601188968307</v>
      </c>
      <c r="J1213">
        <f>($B$1+Table4[[#This Row],[Home Differential]])-Table4[[#This Row],[Away Differential]]</f>
        <v>-7.9033870727107297E-2</v>
      </c>
      <c r="K1213" t="str">
        <f>IF(Table4[[#This Row],[HomeIce Differential]]&gt;0,Table4[[#This Row],[Home]],Table4[[#This Row],[Visitor]])</f>
        <v>Toronto Maple Leafs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0.46847761846230479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7.5388445740041043E-4</v>
      </c>
      <c r="H1214" t="s">
        <v>18</v>
      </c>
      <c r="I1214">
        <f>VLOOKUP(Table4[[#This Row],[Visitor]],'NHL Model'!$A$6:$B$38,2,FALSE)</f>
        <v>-0.48612387559717724</v>
      </c>
      <c r="J1214">
        <f>($B$1+Table4[[#This Row],[Home Differential]])-Table4[[#This Row],[Away Differential]]</f>
        <v>0.53061691458276727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0.59963052901158109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-2.5710604859208615E-2</v>
      </c>
      <c r="H1215" t="s">
        <v>26</v>
      </c>
      <c r="I1215">
        <f>VLOOKUP(Table4[[#This Row],[Visitor]],'NHL Model'!$A$6:$B$38,2,FALSE)</f>
        <v>-0.71226595502109791</v>
      </c>
      <c r="J1215">
        <f>($B$1+Table4[[#This Row],[Home Differential]])-Table4[[#This Row],[Away Differential]]</f>
        <v>0.73029450469007884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0.61833550500465218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-0.35623783458898745</v>
      </c>
      <c r="H1216" t="s">
        <v>34</v>
      </c>
      <c r="I1216">
        <f>VLOOKUP(Table4[[#This Row],[Visitor]],'NHL Model'!$A$6:$B$38,2,FALSE)</f>
        <v>-6.7671768126352963E-2</v>
      </c>
      <c r="J1216">
        <f>($B$1+Table4[[#This Row],[Home Differential]])-Table4[[#This Row],[Away Differential]]</f>
        <v>-0.24482691193444489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0.52554824782165699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6.850792131463232E-2</v>
      </c>
      <c r="H1217" t="s">
        <v>11</v>
      </c>
      <c r="I1217">
        <f>VLOOKUP(Table4[[#This Row],[Visitor]],'NHL Model'!$A$6:$B$38,2,FALSE)</f>
        <v>-0.46392840252469486</v>
      </c>
      <c r="J1217">
        <f>($B$1+Table4[[#This Row],[Home Differential]])-Table4[[#This Row],[Away Differential]]</f>
        <v>0.57617547836751681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0.60180382952268108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-0.69519123816912842</v>
      </c>
      <c r="H1218" t="s">
        <v>10</v>
      </c>
      <c r="I1218">
        <f>VLOOKUP(Table4[[#This Row],[Visitor]],'NHL Model'!$A$6:$B$38,2,FALSE)</f>
        <v>-9.5800647102357028E-2</v>
      </c>
      <c r="J1218">
        <f>($B$1+Table4[[#This Row],[Home Differential]])-Table4[[#This Row],[Away Differential]]</f>
        <v>-0.55565143653858184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0.52043179819634677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-0.53773613438999557</v>
      </c>
      <c r="H1219" t="s">
        <v>29</v>
      </c>
      <c r="I1219">
        <f>VLOOKUP(Table4[[#This Row],[Visitor]],'NHL Model'!$A$6:$B$38,2,FALSE)</f>
        <v>-1.0273405477215618</v>
      </c>
      <c r="J1219">
        <f>($B$1+Table4[[#This Row],[Home Differential]])-Table4[[#This Row],[Away Differential]]</f>
        <v>0.53334356785975578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0.59720943737212884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0.55584102906214949</v>
      </c>
      <c r="H1220" t="s">
        <v>21</v>
      </c>
      <c r="I1220">
        <f>VLOOKUP(Table4[[#This Row],[Visitor]],'NHL Model'!$A$6:$B$38,2,FALSE)</f>
        <v>-9.0944170863708096E-2</v>
      </c>
      <c r="J1220">
        <f>($B$1+Table4[[#This Row],[Home Differential]])-Table4[[#This Row],[Away Differential]]</f>
        <v>0.69052435445404714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0.62808615501760312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-0.81685014566908176</v>
      </c>
      <c r="H1221" t="s">
        <v>55</v>
      </c>
      <c r="I1221">
        <f>VLOOKUP(Table4[[#This Row],[Visitor]],'NHL Model'!$A$6:$B$38,2,FALSE)</f>
        <v>-4.6200185433750804E-2</v>
      </c>
      <c r="J1221">
        <f>($B$1+Table4[[#This Row],[Home Differential]])-Table4[[#This Row],[Away Differential]]</f>
        <v>-0.72691080570714139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0.53797255037893632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0.79843701415173229</v>
      </c>
      <c r="H1222" t="s">
        <v>23</v>
      </c>
      <c r="I1222">
        <f>VLOOKUP(Table4[[#This Row],[Visitor]],'NHL Model'!$A$6:$B$38,2,FALSE)</f>
        <v>-0.43117543965133126</v>
      </c>
      <c r="J1222">
        <f>($B$1+Table4[[#This Row],[Home Differential]])-Table4[[#This Row],[Away Differential]]</f>
        <v>1.273351608331253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0.70262460682578098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1.5507956238651657</v>
      </c>
      <c r="H1223" t="s">
        <v>35</v>
      </c>
      <c r="I1223">
        <f>VLOOKUP(Table4[[#This Row],[Visitor]],'NHL Model'!$A$6:$B$38,2,FALSE)</f>
        <v>-1.2915976068889494</v>
      </c>
      <c r="J1223">
        <f>($B$1+Table4[[#This Row],[Home Differential]])-Table4[[#This Row],[Away Differential]]</f>
        <v>2.8861323852823046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0.95740379367313477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-0.71226595502109791</v>
      </c>
      <c r="H1224" t="s">
        <v>34</v>
      </c>
      <c r="I1224">
        <f>VLOOKUP(Table4[[#This Row],[Visitor]],'NHL Model'!$A$6:$B$38,2,FALSE)</f>
        <v>-6.7671768126352963E-2</v>
      </c>
      <c r="J1224">
        <f>($B$1+Table4[[#This Row],[Home Differential]])-Table4[[#This Row],[Away Differential]]</f>
        <v>-0.60085503236655535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0.5535340670275174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-0.48612387559717724</v>
      </c>
      <c r="H1225" t="s">
        <v>24</v>
      </c>
      <c r="I1225">
        <f>VLOOKUP(Table4[[#This Row],[Visitor]],'NHL Model'!$A$6:$B$38,2,FALSE)</f>
        <v>7.5388445740041043E-4</v>
      </c>
      <c r="J1225">
        <f>($B$1+Table4[[#This Row],[Home Differential]])-Table4[[#This Row],[Away Differential]]</f>
        <v>-0.44313860552638806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0.52830277542557258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-2.5710604859208615E-2</v>
      </c>
      <c r="H1226" t="s">
        <v>22</v>
      </c>
      <c r="I1226">
        <f>VLOOKUP(Table4[[#This Row],[Visitor]],'NHL Model'!$A$6:$B$38,2,FALSE)</f>
        <v>0.79843701415173229</v>
      </c>
      <c r="J1226">
        <f>($B$1+Table4[[#This Row],[Home Differential]])-Table4[[#This Row],[Away Differential]]</f>
        <v>-0.78040846448275136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0.61633417991589357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-0.35623783458898745</v>
      </c>
      <c r="H1227" t="s">
        <v>25</v>
      </c>
      <c r="I1227">
        <f>VLOOKUP(Table4[[#This Row],[Visitor]],'NHL Model'!$A$6:$B$38,2,FALSE)</f>
        <v>0.36021966242194059</v>
      </c>
      <c r="J1227">
        <f>($B$1+Table4[[#This Row],[Home Differential]])-Table4[[#This Row],[Away Differential]]</f>
        <v>-0.67271834248273843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0.60478273041612818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-0.13902937841722524</v>
      </c>
      <c r="H1228" t="s">
        <v>21</v>
      </c>
      <c r="I1228">
        <f>VLOOKUP(Table4[[#This Row],[Visitor]],'NHL Model'!$A$6:$B$38,2,FALSE)</f>
        <v>-9.0944170863708096E-2</v>
      </c>
      <c r="J1228">
        <f>($B$1+Table4[[#This Row],[Home Differential]])-Table4[[#This Row],[Away Differential]]</f>
        <v>-4.3460530253275342E-3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0.43442844629572142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6.850792131463232E-2</v>
      </c>
      <c r="H1229" t="s">
        <v>11</v>
      </c>
      <c r="I1229">
        <f>VLOOKUP(Table4[[#This Row],[Visitor]],'NHL Model'!$A$6:$B$38,2,FALSE)</f>
        <v>-0.46392840252469486</v>
      </c>
      <c r="J1229">
        <f>($B$1+Table4[[#This Row],[Home Differential]])-Table4[[#This Row],[Away Differential]]</f>
        <v>0.57617547836751681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0.60180382952268108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-0.43117543965133126</v>
      </c>
      <c r="H1230" t="s">
        <v>37</v>
      </c>
      <c r="I1230">
        <f>VLOOKUP(Table4[[#This Row],[Visitor]],'NHL Model'!$A$6:$B$38,2,FALSE)</f>
        <v>0.55584102906214949</v>
      </c>
      <c r="J1230">
        <f>($B$1+Table4[[#This Row],[Home Differential]])-Table4[[#This Row],[Away Differential]]</f>
        <v>-0.94327731418529115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0.62363022125747802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-0.31218903714497998</v>
      </c>
      <c r="H1231" t="s">
        <v>29</v>
      </c>
      <c r="I1231">
        <f>VLOOKUP(Table4[[#This Row],[Visitor]],'NHL Model'!$A$6:$B$38,2,FALSE)</f>
        <v>-1.0273405477215618</v>
      </c>
      <c r="J1231">
        <f>($B$1+Table4[[#This Row],[Home Differential]])-Table4[[#This Row],[Away Differential]]</f>
        <v>0.75889066510477143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0.62140289035794827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-0.53773613438999557</v>
      </c>
      <c r="H1232" t="s">
        <v>10</v>
      </c>
      <c r="I1232">
        <f>VLOOKUP(Table4[[#This Row],[Visitor]],'NHL Model'!$A$6:$B$38,2,FALSE)</f>
        <v>-9.5800647102357028E-2</v>
      </c>
      <c r="J1232">
        <f>($B$1+Table4[[#This Row],[Home Differential]])-Table4[[#This Row],[Away Differential]]</f>
        <v>-0.39819633275944893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0.50354227624200498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-0.25075515805082654</v>
      </c>
      <c r="H1233" t="s">
        <v>32</v>
      </c>
      <c r="I1233">
        <f>VLOOKUP(Table4[[#This Row],[Visitor]],'NHL Model'!$A$6:$B$38,2,FALSE)</f>
        <v>-0.69519123816912842</v>
      </c>
      <c r="J1233">
        <f>($B$1+Table4[[#This Row],[Home Differential]])-Table4[[#This Row],[Away Differential]]</f>
        <v>0.48817523464649148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0.5948599065568726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-1.1472178948952137E-2</v>
      </c>
      <c r="H1234" t="s">
        <v>29</v>
      </c>
      <c r="I1234">
        <f>VLOOKUP(Table4[[#This Row],[Visitor]],'NHL Model'!$A$6:$B$38,2,FALSE)</f>
        <v>-1.0273405477215618</v>
      </c>
      <c r="J1234">
        <f>($B$1+Table4[[#This Row],[Home Differential]])-Table4[[#This Row],[Away Differential]]</f>
        <v>1.0596075233007993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0.71446054370155143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0.36021966242194059</v>
      </c>
      <c r="H1235" t="s">
        <v>21</v>
      </c>
      <c r="I1235">
        <f>VLOOKUP(Table4[[#This Row],[Visitor]],'NHL Model'!$A$6:$B$38,2,FALSE)</f>
        <v>-9.0944170863708096E-2</v>
      </c>
      <c r="J1235">
        <f>($B$1+Table4[[#This Row],[Home Differential]])-Table4[[#This Row],[Away Differential]]</f>
        <v>0.49490298781383829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0.62533214988770702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0.57904383162035133</v>
      </c>
      <c r="H1236" t="s">
        <v>16</v>
      </c>
      <c r="I1236">
        <f>VLOOKUP(Table4[[#This Row],[Visitor]],'NHL Model'!$A$6:$B$38,2,FALSE)</f>
        <v>-0.94586858045267985</v>
      </c>
      <c r="J1236">
        <f>($B$1+Table4[[#This Row],[Home Differential]])-Table4[[#This Row],[Away Differential]]</f>
        <v>1.5686515666012206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0.74050847481847271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-0.71226595502109791</v>
      </c>
      <c r="H1237" t="s">
        <v>28</v>
      </c>
      <c r="I1237">
        <f>VLOOKUP(Table4[[#This Row],[Visitor]],'NHL Model'!$A$6:$B$38,2,FALSE)</f>
        <v>-0.38525981166347251</v>
      </c>
      <c r="J1237">
        <f>($B$1+Table4[[#This Row],[Home Differential]])-Table4[[#This Row],[Away Differential]]</f>
        <v>-0.28326698882943585</v>
      </c>
      <c r="K1237" t="str">
        <f>IF(Table4[[#This Row],[HomeIce Differential]]&gt;0,Table4[[#This Row],[Home]],Table4[[#This Row],[Visitor]])</f>
        <v>Columbus Blue Jackets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0.48382610945189936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-6.7671768126352963E-2</v>
      </c>
      <c r="H1238" t="s">
        <v>32</v>
      </c>
      <c r="I1238">
        <f>VLOOKUP(Table4[[#This Row],[Visitor]],'NHL Model'!$A$6:$B$38,2,FALSE)</f>
        <v>-0.69519123816912842</v>
      </c>
      <c r="J1238">
        <f>($B$1+Table4[[#This Row],[Home Differential]])-Table4[[#This Row],[Away Differential]]</f>
        <v>0.67125862457096508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0.61200298373710205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-0.48612387559717724</v>
      </c>
      <c r="H1239" t="s">
        <v>11</v>
      </c>
      <c r="I1239">
        <f>VLOOKUP(Table4[[#This Row],[Visitor]],'NHL Model'!$A$6:$B$38,2,FALSE)</f>
        <v>-0.46392840252469486</v>
      </c>
      <c r="J1239">
        <f>($B$1+Table4[[#This Row],[Home Differential]])-Table4[[#This Row],[Away Differential]]</f>
        <v>2.1543681455707231E-2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0.54231089670763499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7.5388445740041043E-4</v>
      </c>
      <c r="H1240" t="s">
        <v>27</v>
      </c>
      <c r="I1240">
        <f>VLOOKUP(Table4[[#This Row],[Visitor]],'NHL Model'!$A$6:$B$38,2,FALSE)</f>
        <v>-0.13902937841722524</v>
      </c>
      <c r="J1240">
        <f>($B$1+Table4[[#This Row],[Home Differential]])-Table4[[#This Row],[Away Differential]]</f>
        <v>0.18352241740281525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0.57900768284485593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-0.35623783458898745</v>
      </c>
      <c r="H1241" t="s">
        <v>37</v>
      </c>
      <c r="I1241">
        <f>VLOOKUP(Table4[[#This Row],[Visitor]],'NHL Model'!$A$6:$B$38,2,FALSE)</f>
        <v>0.55584102906214949</v>
      </c>
      <c r="J1241">
        <f>($B$1+Table4[[#This Row],[Home Differential]])-Table4[[#This Row],[Away Differential]]</f>
        <v>-0.86833970912294733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0.6257661808557069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-1.2915976068889494</v>
      </c>
      <c r="H1242" t="s">
        <v>12</v>
      </c>
      <c r="I1242">
        <f>VLOOKUP(Table4[[#This Row],[Visitor]],'NHL Model'!$A$6:$B$38,2,FALSE)</f>
        <v>1.5507956238651657</v>
      </c>
      <c r="J1242">
        <f>($B$1+Table4[[#This Row],[Home Differential]])-Table4[[#This Row],[Away Differential]]</f>
        <v>-2.7986540762259255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0.81433822879564421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-4.6200185433750804E-2</v>
      </c>
      <c r="H1243" t="s">
        <v>17</v>
      </c>
      <c r="I1243">
        <f>VLOOKUP(Table4[[#This Row],[Visitor]],'NHL Model'!$A$6:$B$38,2,FALSE)</f>
        <v>-0.52712659907212012</v>
      </c>
      <c r="J1243">
        <f>($B$1+Table4[[#This Row],[Home Differential]])-Table4[[#This Row],[Away Differential]]</f>
        <v>0.52466556816655896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0.63670976365608944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-0.81685014566908176</v>
      </c>
      <c r="H1244" t="s">
        <v>20</v>
      </c>
      <c r="I1244">
        <f>VLOOKUP(Table4[[#This Row],[Visitor]],'NHL Model'!$A$6:$B$38,2,FALSE)</f>
        <v>-0.14635285954937219</v>
      </c>
      <c r="J1244">
        <f>($B$1+Table4[[#This Row],[Home Differential]])-Table4[[#This Row],[Away Differential]]</f>
        <v>-0.62675813159152005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0.5272296100253826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-2.5710604859208615E-2</v>
      </c>
      <c r="H1245" t="s">
        <v>23</v>
      </c>
      <c r="I1245">
        <f>VLOOKUP(Table4[[#This Row],[Visitor]],'NHL Model'!$A$6:$B$38,2,FALSE)</f>
        <v>-0.43117543965133126</v>
      </c>
      <c r="J1245">
        <f>($B$1+Table4[[#This Row],[Home Differential]])-Table4[[#This Row],[Away Differential]]</f>
        <v>0.44920398932031225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0.58818415191066553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-0.53773613438999557</v>
      </c>
      <c r="H1246" t="s">
        <v>17</v>
      </c>
      <c r="I1246">
        <f>VLOOKUP(Table4[[#This Row],[Visitor]],'NHL Model'!$A$6:$B$38,2,FALSE)</f>
        <v>-0.52712659907212012</v>
      </c>
      <c r="J1246">
        <f>($B$1+Table4[[#This Row],[Home Differential]])-Table4[[#This Row],[Away Differential]]</f>
        <v>3.3129619210314154E-2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0.54355366969734098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-0.18941601188968307</v>
      </c>
      <c r="H1247" t="s">
        <v>22</v>
      </c>
      <c r="I1247">
        <f>VLOOKUP(Table4[[#This Row],[Visitor]],'NHL Model'!$A$6:$B$38,2,FALSE)</f>
        <v>0.79843701415173229</v>
      </c>
      <c r="J1247">
        <f>($B$1+Table4[[#This Row],[Home Differential]])-Table4[[#This Row],[Away Differential]]</f>
        <v>-0.94411387151322579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0.63389414462789218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-1.1472178948952137E-2</v>
      </c>
      <c r="H1248" t="s">
        <v>33</v>
      </c>
      <c r="I1248">
        <f>VLOOKUP(Table4[[#This Row],[Visitor]],'NHL Model'!$A$6:$B$38,2,FALSE)</f>
        <v>-0.53773613438999557</v>
      </c>
      <c r="J1248">
        <f>($B$1+Table4[[#This Row],[Home Differential]])-Table4[[#This Row],[Away Differential]]</f>
        <v>0.57000310996923298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0.66194281458744419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-0.43117543965133126</v>
      </c>
      <c r="H1249" t="s">
        <v>28</v>
      </c>
      <c r="I1249">
        <f>VLOOKUP(Table4[[#This Row],[Visitor]],'NHL Model'!$A$6:$B$38,2,FALSE)</f>
        <v>-0.38525981166347251</v>
      </c>
      <c r="J1249">
        <f>($B$1+Table4[[#This Row],[Home Differential]])-Table4[[#This Row],[Away Differential]]</f>
        <v>-2.1764734596691482E-3</v>
      </c>
      <c r="K1249" t="str">
        <f>IF(Table4[[#This Row],[HomeIce Differential]]&gt;0,Table4[[#This Row],[Home]],Table4[[#This Row],[Visitor]])</f>
        <v>Columbus Blue Jackets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0.45367475635791277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-9.5800647102357028E-2</v>
      </c>
      <c r="H1250" t="s">
        <v>25</v>
      </c>
      <c r="I1250">
        <f>VLOOKUP(Table4[[#This Row],[Visitor]],'NHL Model'!$A$6:$B$38,2,FALSE)</f>
        <v>0.36021966242194059</v>
      </c>
      <c r="J1250">
        <f>($B$1+Table4[[#This Row],[Home Differential]])-Table4[[#This Row],[Away Differential]]</f>
        <v>-0.41228115499610801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0.57684676968695026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1.5507956238651657</v>
      </c>
      <c r="H1251" t="s">
        <v>16</v>
      </c>
      <c r="I1251">
        <f>VLOOKUP(Table4[[#This Row],[Visitor]],'NHL Model'!$A$6:$B$38,2,FALSE)</f>
        <v>-0.94586858045267985</v>
      </c>
      <c r="J1251">
        <f>($B$1+Table4[[#This Row],[Home Differential]])-Table4[[#This Row],[Away Differential]]</f>
        <v>2.5404033588460351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0.92031894953598048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0.57904383162035133</v>
      </c>
      <c r="H1252" t="s">
        <v>34</v>
      </c>
      <c r="I1252">
        <f>VLOOKUP(Table4[[#This Row],[Visitor]],'NHL Model'!$A$6:$B$38,2,FALSE)</f>
        <v>-6.7671768126352963E-2</v>
      </c>
      <c r="J1252">
        <f>($B$1+Table4[[#This Row],[Home Differential]])-Table4[[#This Row],[Away Differential]]</f>
        <v>0.69045475427489389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0.60739540214479215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-0.71226595502109791</v>
      </c>
      <c r="H1253" t="s">
        <v>27</v>
      </c>
      <c r="I1253">
        <f>VLOOKUP(Table4[[#This Row],[Visitor]],'NHL Model'!$A$6:$B$38,2,FALSE)</f>
        <v>-0.13902937841722524</v>
      </c>
      <c r="J1253">
        <f>($B$1+Table4[[#This Row],[Home Differential]])-Table4[[#This Row],[Away Differential]]</f>
        <v>-0.52949742207568318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0.54910457040355387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-0.31218903714497998</v>
      </c>
      <c r="H1254" t="s">
        <v>38</v>
      </c>
      <c r="I1254">
        <f>VLOOKUP(Table4[[#This Row],[Visitor]],'NHL Model'!$A$6:$B$38,2,FALSE)</f>
        <v>-0.81685014566908176</v>
      </c>
      <c r="J1254">
        <f>($B$1+Table4[[#This Row],[Home Differential]])-Table4[[#This Row],[Away Differential]]</f>
        <v>0.54840026305229139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0.59882450336815318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-0.48612387559717724</v>
      </c>
      <c r="H1255" t="s">
        <v>37</v>
      </c>
      <c r="I1255">
        <f>VLOOKUP(Table4[[#This Row],[Visitor]],'NHL Model'!$A$6:$B$38,2,FALSE)</f>
        <v>0.55584102906214949</v>
      </c>
      <c r="J1255">
        <f>($B$1+Table4[[#This Row],[Home Differential]])-Table4[[#This Row],[Away Differential]]</f>
        <v>-0.99822575013113712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0.63969848973943511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7.5388445740041043E-4</v>
      </c>
      <c r="H1256" t="s">
        <v>14</v>
      </c>
      <c r="I1256">
        <f>VLOOKUP(Table4[[#This Row],[Visitor]],'NHL Model'!$A$6:$B$38,2,FALSE)</f>
        <v>6.850792131463232E-2</v>
      </c>
      <c r="J1256">
        <f>($B$1+Table4[[#This Row],[Home Differential]])-Table4[[#This Row],[Away Differential]]</f>
        <v>-2.4014882329042309E-2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0.45474988468613931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0.13101659139829774</v>
      </c>
      <c r="H1257" t="s">
        <v>19</v>
      </c>
      <c r="I1257">
        <f>VLOOKUP(Table4[[#This Row],[Visitor]],'NHL Model'!$A$6:$B$38,2,FALSE)</f>
        <v>-0.18941601188968307</v>
      </c>
      <c r="J1257">
        <f>($B$1+Table4[[#This Row],[Home Differential]])-Table4[[#This Row],[Away Differential]]</f>
        <v>0.36417175781617039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0.57906311546061551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-0.35623783458898745</v>
      </c>
      <c r="H1258" t="s">
        <v>11</v>
      </c>
      <c r="I1258">
        <f>VLOOKUP(Table4[[#This Row],[Visitor]],'NHL Model'!$A$6:$B$38,2,FALSE)</f>
        <v>-0.46392840252469486</v>
      </c>
      <c r="J1258">
        <f>($B$1+Table4[[#This Row],[Home Differential]])-Table4[[#This Row],[Away Differential]]</f>
        <v>0.15142972246389702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0.5562432055913632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-0.69519123816912842</v>
      </c>
      <c r="H1259" t="s">
        <v>20</v>
      </c>
      <c r="I1259">
        <f>VLOOKUP(Table4[[#This Row],[Visitor]],'NHL Model'!$A$6:$B$38,2,FALSE)</f>
        <v>-0.14635285954937219</v>
      </c>
      <c r="J1259">
        <f>($B$1+Table4[[#This Row],[Home Differential]])-Table4[[#This Row],[Away Differential]]</f>
        <v>-0.50509922409156671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0.51417978985541224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-1.2915976068889494</v>
      </c>
      <c r="H1260" t="s">
        <v>40</v>
      </c>
      <c r="I1260">
        <f>VLOOKUP(Table4[[#This Row],[Visitor]],'NHL Model'!$A$6:$B$38,2,FALSE)</f>
        <v>-0.25075515805082654</v>
      </c>
      <c r="J1260">
        <f>($B$1+Table4[[#This Row],[Home Differential]])-Table4[[#This Row],[Away Differential]]</f>
        <v>-0.99710329430993339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0.57053107863367702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-4.6200185433750804E-2</v>
      </c>
      <c r="H1261" t="s">
        <v>29</v>
      </c>
      <c r="I1261">
        <f>VLOOKUP(Table4[[#This Row],[Visitor]],'NHL Model'!$A$6:$B$38,2,FALSE)</f>
        <v>-1.0273405477215618</v>
      </c>
      <c r="J1261">
        <f>($B$1+Table4[[#This Row],[Home Differential]])-Table4[[#This Row],[Away Differential]]</f>
        <v>1.0248795168160005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0.69036553133087719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-9.0944170863708096E-2</v>
      </c>
      <c r="H1262" t="s">
        <v>37</v>
      </c>
      <c r="I1262">
        <f>VLOOKUP(Table4[[#This Row],[Visitor]],'NHL Model'!$A$6:$B$38,2,FALSE)</f>
        <v>0.55584102906214949</v>
      </c>
      <c r="J1262">
        <f>($B$1+Table4[[#This Row],[Home Differential]])-Table4[[#This Row],[Away Differential]]</f>
        <v>-0.60304604539766804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0.54468611800294509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-9.5800647102357028E-2</v>
      </c>
      <c r="H1263" t="s">
        <v>35</v>
      </c>
      <c r="I1263">
        <f>VLOOKUP(Table4[[#This Row],[Visitor]],'NHL Model'!$A$6:$B$38,2,FALSE)</f>
        <v>-1.2915976068889494</v>
      </c>
      <c r="J1263">
        <f>($B$1+Table4[[#This Row],[Home Differential]])-Table4[[#This Row],[Away Differential]]</f>
        <v>1.2395361143147821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0.67295963048162277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1.5507956238651657</v>
      </c>
      <c r="H1264" t="s">
        <v>20</v>
      </c>
      <c r="I1264">
        <f>VLOOKUP(Table4[[#This Row],[Visitor]],'NHL Model'!$A$6:$B$38,2,FALSE)</f>
        <v>-0.14635285954937219</v>
      </c>
      <c r="J1264">
        <f>($B$1+Table4[[#This Row],[Home Differential]])-Table4[[#This Row],[Away Differential]]</f>
        <v>1.7408876379427274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0.83455838670291072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0.57904383162035133</v>
      </c>
      <c r="H1265" t="s">
        <v>15</v>
      </c>
      <c r="I1265">
        <f>VLOOKUP(Table4[[#This Row],[Visitor]],'NHL Model'!$A$6:$B$38,2,FALSE)</f>
        <v>-2.5710604859208615E-2</v>
      </c>
      <c r="J1265">
        <f>($B$1+Table4[[#This Row],[Home Differential]])-Table4[[#This Row],[Away Differential]]</f>
        <v>0.6484935910077495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0.53531450257558699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-0.71226595502109791</v>
      </c>
      <c r="H1266" t="s">
        <v>24</v>
      </c>
      <c r="I1266">
        <f>VLOOKUP(Table4[[#This Row],[Visitor]],'NHL Model'!$A$6:$B$38,2,FALSE)</f>
        <v>7.5388445740041043E-4</v>
      </c>
      <c r="J1266">
        <f>($B$1+Table4[[#This Row],[Home Differential]])-Table4[[#This Row],[Away Differential]]</f>
        <v>-0.66928068495030879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0.5423790540785085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-0.31218903714497998</v>
      </c>
      <c r="H1267" t="s">
        <v>17</v>
      </c>
      <c r="I1267">
        <f>VLOOKUP(Table4[[#This Row],[Visitor]],'NHL Model'!$A$6:$B$38,2,FALSE)</f>
        <v>-0.52712659907212012</v>
      </c>
      <c r="J1267">
        <f>($B$1+Table4[[#This Row],[Home Differential]])-Table4[[#This Row],[Away Differential]]</f>
        <v>0.25867671645532975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0.56774712268316041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-0.48612387559717724</v>
      </c>
      <c r="H1268" t="s">
        <v>28</v>
      </c>
      <c r="I1268">
        <f>VLOOKUP(Table4[[#This Row],[Visitor]],'NHL Model'!$A$6:$B$38,2,FALSE)</f>
        <v>-0.38525981166347251</v>
      </c>
      <c r="J1268">
        <f>($B$1+Table4[[#This Row],[Home Differential]])-Table4[[#This Row],[Away Differential]]</f>
        <v>-5.7124909405515123E-2</v>
      </c>
      <c r="K1268" t="str">
        <f>IF(Table4[[#This Row],[HomeIce Differential]]&gt;0,Table4[[#This Row],[Home]],Table4[[#This Row],[Visitor]])</f>
        <v>Columbus Blue Jackets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0.46970369871768902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-1.0273405477215618</v>
      </c>
      <c r="H1269" t="s">
        <v>34</v>
      </c>
      <c r="I1269">
        <f>VLOOKUP(Table4[[#This Row],[Visitor]],'NHL Model'!$A$6:$B$38,2,FALSE)</f>
        <v>-6.7671768126352963E-2</v>
      </c>
      <c r="J1269">
        <f>($B$1+Table4[[#This Row],[Home Differential]])-Table4[[#This Row],[Away Differential]]</f>
        <v>-0.91592962506701925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0.59753450761905536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0.13101659139829774</v>
      </c>
      <c r="H1270" t="s">
        <v>36</v>
      </c>
      <c r="I1270">
        <f>VLOOKUP(Table4[[#This Row],[Visitor]],'NHL Model'!$A$6:$B$38,2,FALSE)</f>
        <v>-0.35623783458898745</v>
      </c>
      <c r="J1270">
        <f>($B$1+Table4[[#This Row],[Home Differential]])-Table4[[#This Row],[Away Differential]]</f>
        <v>0.53099358051547485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0.59338120554307272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6.850792131463232E-2</v>
      </c>
      <c r="H1271" t="s">
        <v>22</v>
      </c>
      <c r="I1271">
        <f>VLOOKUP(Table4[[#This Row],[Visitor]],'NHL Model'!$A$6:$B$38,2,FALSE)</f>
        <v>0.79843701415173229</v>
      </c>
      <c r="J1271">
        <f>($B$1+Table4[[#This Row],[Home Differential]])-Table4[[#This Row],[Away Differential]]</f>
        <v>-0.6861899383089104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0.60622776971942893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-0.69519123816912842</v>
      </c>
      <c r="H1272" t="s">
        <v>16</v>
      </c>
      <c r="I1272">
        <f>VLOOKUP(Table4[[#This Row],[Visitor]],'NHL Model'!$A$6:$B$38,2,FALSE)</f>
        <v>-0.94586858045267985</v>
      </c>
      <c r="J1272">
        <f>($B$1+Table4[[#This Row],[Home Differential]])-Table4[[#This Row],[Away Differential]]</f>
        <v>0.29441649681174098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0.57158077297765764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-0.53773613438999557</v>
      </c>
      <c r="H1273" t="s">
        <v>38</v>
      </c>
      <c r="I1273">
        <f>VLOOKUP(Table4[[#This Row],[Visitor]],'NHL Model'!$A$6:$B$38,2,FALSE)</f>
        <v>-0.81685014566908176</v>
      </c>
      <c r="J1273">
        <f>($B$1+Table4[[#This Row],[Home Differential]])-Table4[[#This Row],[Away Differential]]</f>
        <v>0.3228531658072758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0.57463105038233386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-0.18941601188968307</v>
      </c>
      <c r="H1274" t="s">
        <v>11</v>
      </c>
      <c r="I1274">
        <f>VLOOKUP(Table4[[#This Row],[Visitor]],'NHL Model'!$A$6:$B$38,2,FALSE)</f>
        <v>-0.46392840252469486</v>
      </c>
      <c r="J1274">
        <f>($B$1+Table4[[#This Row],[Home Differential]])-Table4[[#This Row],[Away Differential]]</f>
        <v>0.31825154516320142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0.57413745461421783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-4.6200185433750804E-2</v>
      </c>
      <c r="H1275" t="s">
        <v>25</v>
      </c>
      <c r="I1275">
        <f>VLOOKUP(Table4[[#This Row],[Visitor]],'NHL Model'!$A$6:$B$38,2,FALSE)</f>
        <v>0.36021966242194059</v>
      </c>
      <c r="J1275">
        <f>($B$1+Table4[[#This Row],[Home Differential]])-Table4[[#This Row],[Away Differential]]</f>
        <v>-0.3626806933275018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0.53052328721076103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-0.25075515805082654</v>
      </c>
      <c r="H1276" t="s">
        <v>27</v>
      </c>
      <c r="I1276">
        <f>VLOOKUP(Table4[[#This Row],[Visitor]],'NHL Model'!$A$6:$B$38,2,FALSE)</f>
        <v>-0.13902937841722524</v>
      </c>
      <c r="J1276">
        <f>($B$1+Table4[[#This Row],[Home Differential]])-Table4[[#This Row],[Away Differential]]</f>
        <v>-6.7986625105411702E-2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0.50729262862720637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-1.1472178948952137E-2</v>
      </c>
      <c r="H1277" t="s">
        <v>38</v>
      </c>
      <c r="I1277">
        <f>VLOOKUP(Table4[[#This Row],[Visitor]],'NHL Model'!$A$6:$B$38,2,FALSE)</f>
        <v>-0.81685014566908176</v>
      </c>
      <c r="J1277">
        <f>($B$1+Table4[[#This Row],[Home Differential]])-Table4[[#This Row],[Away Differential]]</f>
        <v>0.84911712124831917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0.69188215671175635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-0.38525981166347251</v>
      </c>
      <c r="H1278" t="s">
        <v>21</v>
      </c>
      <c r="I1278">
        <f>VLOOKUP(Table4[[#This Row],[Visitor]],'NHL Model'!$A$6:$B$38,2,FALSE)</f>
        <v>-9.0944170863708096E-2</v>
      </c>
      <c r="J1278">
        <f>($B$1+Table4[[#This Row],[Home Differential]])-Table4[[#This Row],[Away Differential]]</f>
        <v>-0.25057648627157481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0.48687824633529897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-0.94586858045267985</v>
      </c>
      <c r="H1279" t="s">
        <v>55</v>
      </c>
      <c r="I1279">
        <f>VLOOKUP(Table4[[#This Row],[Visitor]],'NHL Model'!$A$6:$B$38,2,FALSE)</f>
        <v>-4.6200185433750804E-2</v>
      </c>
      <c r="J1279">
        <f>($B$1+Table4[[#This Row],[Home Differential]])-Table4[[#This Row],[Away Differential]]</f>
        <v>-0.85592924049073948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0.55181179492860188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7.5388445740041043E-4</v>
      </c>
      <c r="H1280" t="s">
        <v>36</v>
      </c>
      <c r="I1280">
        <f>VLOOKUP(Table4[[#This Row],[Visitor]],'NHL Model'!$A$6:$B$38,2,FALSE)</f>
        <v>-0.35623783458898745</v>
      </c>
      <c r="J1280">
        <f>($B$1+Table4[[#This Row],[Home Differential]])-Table4[[#This Row],[Away Differential]]</f>
        <v>0.40073087357457748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0.64032978503201976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0.13101659139829774</v>
      </c>
      <c r="H1281" t="s">
        <v>18</v>
      </c>
      <c r="I1281">
        <f>VLOOKUP(Table4[[#This Row],[Visitor]],'NHL Model'!$A$6:$B$38,2,FALSE)</f>
        <v>-0.48612387559717724</v>
      </c>
      <c r="J1281">
        <f>($B$1+Table4[[#This Row],[Home Differential]])-Table4[[#This Row],[Away Differential]]</f>
        <v>0.66087962152366453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0.55160183953930519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0.79843701415173229</v>
      </c>
      <c r="H1282" t="s">
        <v>14</v>
      </c>
      <c r="I1282">
        <f>VLOOKUP(Table4[[#This Row],[Visitor]],'NHL Model'!$A$6:$B$38,2,FALSE)</f>
        <v>6.850792131463232E-2</v>
      </c>
      <c r="J1282">
        <f>($B$1+Table4[[#This Row],[Home Differential]])-Table4[[#This Row],[Away Differential]]</f>
        <v>0.7736682473652895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0.59518313907883547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-9.5800647102357028E-2</v>
      </c>
      <c r="H1283" t="s">
        <v>23</v>
      </c>
      <c r="I1283">
        <f>VLOOKUP(Table4[[#This Row],[Visitor]],'NHL Model'!$A$6:$B$38,2,FALSE)</f>
        <v>-0.43117543965133126</v>
      </c>
      <c r="J1283">
        <f>($B$1+Table4[[#This Row],[Home Differential]])-Table4[[#This Row],[Away Differential]]</f>
        <v>0.37911394707716384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0.58066589890499021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-0.52712659907212012</v>
      </c>
      <c r="H1284" t="s">
        <v>12</v>
      </c>
      <c r="I1284">
        <f>VLOOKUP(Table4[[#This Row],[Visitor]],'NHL Model'!$A$6:$B$38,2,FALSE)</f>
        <v>1.5507956238651657</v>
      </c>
      <c r="J1284">
        <f>($B$1+Table4[[#This Row],[Home Differential]])-Table4[[#This Row],[Away Differential]]</f>
        <v>-2.0341830684090962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0.72982584891985591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-0.46392840252469486</v>
      </c>
      <c r="H1285" t="s">
        <v>15</v>
      </c>
      <c r="I1285">
        <f>VLOOKUP(Table4[[#This Row],[Visitor]],'NHL Model'!$A$6:$B$38,2,FALSE)</f>
        <v>-2.5710604859208615E-2</v>
      </c>
      <c r="J1285">
        <f>($B$1+Table4[[#This Row],[Home Differential]])-Table4[[#This Row],[Away Differential]]</f>
        <v>-0.39447864313729664</v>
      </c>
      <c r="K1285" t="str">
        <f>IF(Table4[[#This Row],[HomeIce Differential]]&gt;0,Table4[[#This Row],[Home]],Table4[[#This Row],[Visitor]])</f>
        <v>New York Rangers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0.60888624077051312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-1.0273405477215618</v>
      </c>
      <c r="H1286" t="s">
        <v>33</v>
      </c>
      <c r="I1286">
        <f>VLOOKUP(Table4[[#This Row],[Visitor]],'NHL Model'!$A$6:$B$38,2,FALSE)</f>
        <v>-0.53773613438999557</v>
      </c>
      <c r="J1286">
        <f>($B$1+Table4[[#This Row],[Home Differential]])-Table4[[#This Row],[Away Differential]]</f>
        <v>-0.44586525880337669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0.50782602085608564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-0.13902937841722524</v>
      </c>
      <c r="H1287" t="s">
        <v>25</v>
      </c>
      <c r="I1287">
        <f>VLOOKUP(Table4[[#This Row],[Visitor]],'NHL Model'!$A$6:$B$38,2,FALSE)</f>
        <v>0.36021966242194059</v>
      </c>
      <c r="J1287">
        <f>($B$1+Table4[[#This Row],[Home Differential]])-Table4[[#This Row],[Away Differential]]</f>
        <v>-0.45550988631097622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0.5551896718902164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-0.69519123816912842</v>
      </c>
      <c r="H1288" t="s">
        <v>13</v>
      </c>
      <c r="I1288">
        <f>VLOOKUP(Table4[[#This Row],[Visitor]],'NHL Model'!$A$6:$B$38,2,FALSE)</f>
        <v>-0.31218903714497998</v>
      </c>
      <c r="J1288">
        <f>($B$1+Table4[[#This Row],[Home Differential]])-Table4[[#This Row],[Away Differential]]</f>
        <v>-0.3392630464959589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0.56270705615582373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-1.2915976068889494</v>
      </c>
      <c r="H1289" t="s">
        <v>34</v>
      </c>
      <c r="I1289">
        <f>VLOOKUP(Table4[[#This Row],[Visitor]],'NHL Model'!$A$6:$B$38,2,FALSE)</f>
        <v>-6.7671768126352963E-2</v>
      </c>
      <c r="J1289">
        <f>($B$1+Table4[[#This Row],[Home Differential]])-Table4[[#This Row],[Away Differential]]</f>
        <v>-1.1801866842344069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0.62588020931608024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0.55584102906214949</v>
      </c>
      <c r="H1290" t="s">
        <v>26</v>
      </c>
      <c r="I1290">
        <f>VLOOKUP(Table4[[#This Row],[Visitor]],'NHL Model'!$A$6:$B$38,2,FALSE)</f>
        <v>-0.71226595502109791</v>
      </c>
      <c r="J1290">
        <f>($B$1+Table4[[#This Row],[Home Differential]])-Table4[[#This Row],[Away Differential]]</f>
        <v>1.3118461386114371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0.69473263177428612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-0.18941601188968307</v>
      </c>
      <c r="H1291" t="s">
        <v>39</v>
      </c>
      <c r="I1291">
        <f>VLOOKUP(Table4[[#This Row],[Visitor]],'NHL Model'!$A$6:$B$38,2,FALSE)</f>
        <v>0.57904383162035133</v>
      </c>
      <c r="J1291">
        <f>($B$1+Table4[[#This Row],[Home Differential]])-Table4[[#This Row],[Away Differential]]</f>
        <v>-0.72472068898184483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0.63022381395931215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-0.14635285954937219</v>
      </c>
      <c r="H1292" t="s">
        <v>40</v>
      </c>
      <c r="I1292">
        <f>VLOOKUP(Table4[[#This Row],[Visitor]],'NHL Model'!$A$6:$B$38,2,FALSE)</f>
        <v>-0.25075515805082654</v>
      </c>
      <c r="J1292">
        <f>($B$1+Table4[[#This Row],[Home Differential]])-Table4[[#This Row],[Away Differential]]</f>
        <v>0.14814145302964396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0.55231432833654703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-9.0944170863708096E-2</v>
      </c>
      <c r="H1293" t="s">
        <v>24</v>
      </c>
      <c r="I1293">
        <f>VLOOKUP(Table4[[#This Row],[Visitor]],'NHL Model'!$A$6:$B$38,2,FALSE)</f>
        <v>7.5388445740041043E-4</v>
      </c>
      <c r="J1293">
        <f>($B$1+Table4[[#This Row],[Home Differential]])-Table4[[#This Row],[Away Differential]]</f>
        <v>-4.795890079291891E-2</v>
      </c>
      <c r="K1293" t="str">
        <f>IF(Table4[[#This Row],[HomeIce Differential]]&gt;0,Table4[[#This Row],[Home]],Table4[[#This Row],[Visitor]])</f>
        <v>New Jersey Devils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0.43371577059913652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-0.38525981166347251</v>
      </c>
      <c r="H1294" t="s">
        <v>22</v>
      </c>
      <c r="I1294">
        <f>VLOOKUP(Table4[[#This Row],[Visitor]],'NHL Model'!$A$6:$B$38,2,FALSE)</f>
        <v>0.79843701415173229</v>
      </c>
      <c r="J1294">
        <f>($B$1+Table4[[#This Row],[Home Differential]])-Table4[[#This Row],[Away Differential]]</f>
        <v>-1.1399576712870152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0.65490145449916171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-0.94586858045267985</v>
      </c>
      <c r="H1295" t="s">
        <v>12</v>
      </c>
      <c r="I1295">
        <f>VLOOKUP(Table4[[#This Row],[Visitor]],'NHL Model'!$A$6:$B$38,2,FALSE)</f>
        <v>1.5507956238651657</v>
      </c>
      <c r="J1295">
        <f>($B$1+Table4[[#This Row],[Home Differential]])-Table4[[#This Row],[Away Differential]]</f>
        <v>-2.452925049789656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0.77725338465848992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-6.7671768126352963E-2</v>
      </c>
      <c r="H1296" t="s">
        <v>31</v>
      </c>
      <c r="I1296">
        <f>VLOOKUP(Table4[[#This Row],[Visitor]],'NHL Model'!$A$6:$B$38,2,FALSE)</f>
        <v>-1.1472178948952137E-2</v>
      </c>
      <c r="J1296">
        <f>($B$1+Table4[[#This Row],[Home Differential]])-Table4[[#This Row],[Away Differential]]</f>
        <v>-1.2460434649211228E-2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0.48210580722510543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0.13101659139829774</v>
      </c>
      <c r="H1297" t="s">
        <v>25</v>
      </c>
      <c r="I1297">
        <f>VLOOKUP(Table4[[#This Row],[Visitor]],'NHL Model'!$A$6:$B$38,2,FALSE)</f>
        <v>0.36021966242194059</v>
      </c>
      <c r="J1297">
        <f>($B$1+Table4[[#This Row],[Home Differential]])-Table4[[#This Row],[Away Differential]]</f>
        <v>-0.18546391649545324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0.55251707419067964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-0.13902937841722524</v>
      </c>
      <c r="H1298" t="s">
        <v>18</v>
      </c>
      <c r="I1298">
        <f>VLOOKUP(Table4[[#This Row],[Visitor]],'NHL Model'!$A$6:$B$38,2,FALSE)</f>
        <v>-0.48612387559717724</v>
      </c>
      <c r="J1298">
        <f>($B$1+Table4[[#This Row],[Home Differential]])-Table4[[#This Row],[Away Differential]]</f>
        <v>0.39083365170814161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0.54896527400498263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-1.2915976068889494</v>
      </c>
      <c r="H1299" t="s">
        <v>14</v>
      </c>
      <c r="I1299">
        <f>VLOOKUP(Table4[[#This Row],[Visitor]],'NHL Model'!$A$6:$B$38,2,FALSE)</f>
        <v>6.850792131463232E-2</v>
      </c>
      <c r="J1299">
        <f>($B$1+Table4[[#This Row],[Home Differential]])-Table4[[#This Row],[Away Differential]]</f>
        <v>-1.3163663736753921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0.65533969464843933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-4.6200185433750804E-2</v>
      </c>
      <c r="H1300" t="s">
        <v>40</v>
      </c>
      <c r="I1300">
        <f>VLOOKUP(Table4[[#This Row],[Visitor]],'NHL Model'!$A$6:$B$38,2,FALSE)</f>
        <v>-0.25075515805082654</v>
      </c>
      <c r="J1300">
        <f>($B$1+Table4[[#This Row],[Home Differential]])-Table4[[#This Row],[Away Differential]]</f>
        <v>0.24829412714526533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0.6035565045535749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-0.81685014566908176</v>
      </c>
      <c r="H1301" t="s">
        <v>13</v>
      </c>
      <c r="I1301">
        <f>VLOOKUP(Table4[[#This Row],[Visitor]],'NHL Model'!$A$6:$B$38,2,FALSE)</f>
        <v>-0.31218903714497998</v>
      </c>
      <c r="J1301">
        <f>($B$1+Table4[[#This Row],[Home Differential]])-Table4[[#This Row],[Away Differential]]</f>
        <v>-0.46092195399591224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0.57575687632579409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-0.43117543965133126</v>
      </c>
      <c r="H1302" t="s">
        <v>39</v>
      </c>
      <c r="I1302">
        <f>VLOOKUP(Table4[[#This Row],[Visitor]],'NHL Model'!$A$6:$B$38,2,FALSE)</f>
        <v>0.57904383162035133</v>
      </c>
      <c r="J1302">
        <f>($B$1+Table4[[#This Row],[Home Differential]])-Table4[[#This Row],[Away Differential]]</f>
        <v>-0.96648011674349299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0.64604298641058577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-9.5800647102357028E-2</v>
      </c>
      <c r="H1303" t="s">
        <v>33</v>
      </c>
      <c r="I1303">
        <f>VLOOKUP(Table4[[#This Row],[Visitor]],'NHL Model'!$A$6:$B$38,2,FALSE)</f>
        <v>-0.53773613438999557</v>
      </c>
      <c r="J1303">
        <f>($B$1+Table4[[#This Row],[Home Differential]])-Table4[[#This Row],[Away Differential]]</f>
        <v>0.48567464181582815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0.59209619967049065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-0.46392840252469486</v>
      </c>
      <c r="H1304" t="s">
        <v>26</v>
      </c>
      <c r="I1304">
        <f>VLOOKUP(Table4[[#This Row],[Visitor]],'NHL Model'!$A$6:$B$38,2,FALSE)</f>
        <v>-0.71226595502109791</v>
      </c>
      <c r="J1304">
        <f>($B$1+Table4[[#This Row],[Home Differential]])-Table4[[#This Row],[Away Differential]]</f>
        <v>0.29207670702459265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0.57132979393645733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-0.35623783458898745</v>
      </c>
      <c r="H1305" t="s">
        <v>19</v>
      </c>
      <c r="I1305">
        <f>VLOOKUP(Table4[[#This Row],[Visitor]],'NHL Model'!$A$6:$B$38,2,FALSE)</f>
        <v>-0.18941601188968307</v>
      </c>
      <c r="J1305">
        <f>($B$1+Table4[[#This Row],[Home Differential]])-Table4[[#This Row],[Away Differential]]</f>
        <v>-0.12308266817111477</v>
      </c>
      <c r="K1305" t="str">
        <f>IF(Table4[[#This Row],[HomeIce Differential]]&gt;0,Table4[[#This Row],[Home]],Table4[[#This Row],[Visitor]])</f>
        <v>Toronto Maple Leafs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0.47320254076483304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0.55584102906214949</v>
      </c>
      <c r="H1306" t="s">
        <v>15</v>
      </c>
      <c r="I1306">
        <f>VLOOKUP(Table4[[#This Row],[Visitor]],'NHL Model'!$A$6:$B$38,2,FALSE)</f>
        <v>-2.5710604859208615E-2</v>
      </c>
      <c r="J1306">
        <f>($B$1+Table4[[#This Row],[Home Differential]])-Table4[[#This Row],[Away Differential]]</f>
        <v>0.62529078844954766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0.51444063558167219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-0.14635285954937219</v>
      </c>
      <c r="H1307" t="s">
        <v>32</v>
      </c>
      <c r="I1307">
        <f>VLOOKUP(Table4[[#This Row],[Visitor]],'NHL Model'!$A$6:$B$38,2,FALSE)</f>
        <v>-0.69519123816912842</v>
      </c>
      <c r="J1307">
        <f>($B$1+Table4[[#This Row],[Home Differential]])-Table4[[#This Row],[Away Differential]]</f>
        <v>0.59257753314794581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0.60356320637145544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-0.94586858045267985</v>
      </c>
      <c r="H1308" t="s">
        <v>13</v>
      </c>
      <c r="I1308">
        <f>VLOOKUP(Table4[[#This Row],[Visitor]],'NHL Model'!$A$6:$B$38,2,FALSE)</f>
        <v>-0.31218903714497998</v>
      </c>
      <c r="J1308">
        <f>($B$1+Table4[[#This Row],[Home Differential]])-Table4[[#This Row],[Away Differential]]</f>
        <v>-0.58994038877951027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0.58959612087545976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1.5507956238651657</v>
      </c>
      <c r="H1309" t="s">
        <v>32</v>
      </c>
      <c r="I1309">
        <f>VLOOKUP(Table4[[#This Row],[Visitor]],'NHL Model'!$A$6:$B$38,2,FALSE)</f>
        <v>-0.69519123816912842</v>
      </c>
      <c r="J1309">
        <f>($B$1+Table4[[#This Row],[Home Differential]])-Table4[[#This Row],[Away Differential]]</f>
        <v>2.2897260165624838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0.89342988481634455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-0.52712659907212012</v>
      </c>
      <c r="H1310" t="s">
        <v>38</v>
      </c>
      <c r="I1310">
        <f>VLOOKUP(Table4[[#This Row],[Visitor]],'NHL Model'!$A$6:$B$38,2,FALSE)</f>
        <v>-0.81685014566908176</v>
      </c>
      <c r="J1310">
        <f>($B$1+Table4[[#This Row],[Home Differential]])-Table4[[#This Row],[Away Differential]]</f>
        <v>0.33346270112515125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0.57826456814735439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-1.0273405477215618</v>
      </c>
      <c r="H1311" t="s">
        <v>31</v>
      </c>
      <c r="I1311">
        <f>VLOOKUP(Table4[[#This Row],[Visitor]],'NHL Model'!$A$6:$B$38,2,FALSE)</f>
        <v>-1.1472178948952137E-2</v>
      </c>
      <c r="J1311">
        <f>($B$1+Table4[[#This Row],[Home Differential]])-Table4[[#This Row],[Away Differential]]</f>
        <v>-0.97212921424442011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0.58504528986395121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-4.6200185433750804E-2</v>
      </c>
      <c r="H1312" t="s">
        <v>35</v>
      </c>
      <c r="I1312">
        <f>VLOOKUP(Table4[[#This Row],[Visitor]],'NHL Model'!$A$6:$B$38,2,FALSE)</f>
        <v>-1.2915976068889494</v>
      </c>
      <c r="J1312">
        <f>($B$1+Table4[[#This Row],[Home Differential]])-Table4[[#This Row],[Away Differential]]</f>
        <v>1.2891365759833882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0.71871123302790219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-0.25075515805082654</v>
      </c>
      <c r="H1313" t="s">
        <v>33</v>
      </c>
      <c r="I1313">
        <f>VLOOKUP(Table4[[#This Row],[Visitor]],'NHL Model'!$A$6:$B$38,2,FALSE)</f>
        <v>-0.53773613438999557</v>
      </c>
      <c r="J1313">
        <f>($B$1+Table4[[#This Row],[Home Differential]])-Table4[[#This Row],[Away Differential]]</f>
        <v>0.33072013086735863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0.57797038460253081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9" operator="containsText" text="NO">
      <formula>NOT(ISERROR(SEARCH("NO",M2)))</formula>
    </cfRule>
    <cfRule type="containsText" dxfId="16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15" priority="3" operator="containsText" text="YES">
      <formula>NOT(ISERROR(SEARCH("YES",Q1)))</formula>
    </cfRule>
    <cfRule type="containsText" dxfId="14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K37" sqref="K37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27</v>
      </c>
      <c r="C2">
        <f>COUNTIF(NHL2025_26Results[Winning Team],Standings!A2)</f>
        <v>16</v>
      </c>
      <c r="D2">
        <f>COUNTIFS('NHL2025-26Results'!$H:$H,A2,'NHL2025-26Results'!$F:$F,"")</f>
        <v>10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33</v>
      </c>
      <c r="G2">
        <f>COUNTIFS('NHL2025-26Results'!$D:$D,A2,'NHL2025-26Results'!$G:$G,A2)</f>
        <v>9</v>
      </c>
      <c r="H2">
        <f>COUNTIFS('NHL2025-26Results'!$D:$D,A2,'NHL2025-26Results'!$H:$H,A2,'NHL2025-26Results'!$F:$F,"")</f>
        <v>4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7</v>
      </c>
      <c r="K2">
        <f>COUNTIFS('NHL2025-26Results'!$B:$B,A2,'NHL2025-26Results'!$H:$H,A2,'NHL2025-26Results'!$F:$F,"")</f>
        <v>6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0.69230769230769229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3.9166666666666665</v>
      </c>
      <c r="P2" s="15">
        <f>SUMIFS('NHL2025-26Results'!$C:$C,'NHL2025-26Results'!$B:$B,A2,'NHL2025-26Results'!$C:$C,"&gt;0")/COUNTIFS('NHL2025-26Results'!$B:$B,A2,'NHL2025-26Results'!$C:$C,"&gt;0")</f>
        <v>3.7692307692307692</v>
      </c>
      <c r="Q2" s="14">
        <f>SUMIFS('NHL2025-26Results'!$C:$C,'NHL2025-26Results'!$D:$D,A2,'NHL2025-26Results'!$C:$C,"&gt;0")/COUNTIFS('NHL2025-26Results'!$D:$D,A2,'NHL2025-26Results'!$C:$C,"&gt;0")</f>
        <v>3.1538461538461537</v>
      </c>
      <c r="R2" s="14">
        <f>SUMIFS('NHL2025-26Results'!$E:$E,'NHL2025-26Results'!$B:$B,A2,'NHL2025-26Results'!$E:$E,"&gt;0")/COUNTIFS('NHL2025-26Results'!$B:$B,A2,'NHL2025-26Results'!$E:$E,"&gt;0")</f>
        <v>3.5714285714285716</v>
      </c>
    </row>
    <row r="3" spans="1:18" x14ac:dyDescent="0.2">
      <c r="A3" s="4" t="s">
        <v>21</v>
      </c>
      <c r="B3">
        <f>SUM(Table1[[#This Row],[W]:[OTL]])</f>
        <v>29</v>
      </c>
      <c r="C3">
        <f>COUNTIF(NHL2025_26Results[Winning Team],Standings!A3)</f>
        <v>16</v>
      </c>
      <c r="D3">
        <f>COUNTIFS('NHL2025-26Results'!$H:$H,A3,'NHL2025-26Results'!$F:$F,"")</f>
        <v>13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32</v>
      </c>
      <c r="G3">
        <f>COUNTIFS('NHL2025-26Results'!$D:$D,A3,'NHL2025-26Results'!$G:$G,A3)</f>
        <v>10</v>
      </c>
      <c r="H3">
        <f>COUNTIFS('NHL2025-26Results'!$D:$D,A3,'NHL2025-26Results'!$H:$H,A3,'NHL2025-26Results'!$F:$F,"")</f>
        <v>5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6</v>
      </c>
      <c r="K3">
        <f>COUNTIFS('NHL2025-26Results'!$B:$B,A3,'NHL2025-26Results'!$H:$H,A3,'NHL2025-26Results'!$F:$F,"")</f>
        <v>8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0.66666666666666663</v>
      </c>
      <c r="N3" s="11">
        <f>Table1[[#This Row],[AwayWins]]/SUM(Table1[[#This Row],[AwayWins]:[AwayOTL]])</f>
        <v>0.42857142857142855</v>
      </c>
      <c r="O3" s="14">
        <f>SUMIFS('NHL2025-26Results'!$E:$E,'NHL2025-26Results'!$D:$D,A3,'NHL2025-26Results'!$E:$E,"&gt;0")/COUNTIFS('NHL2025-26Results'!$D:$D,A3,'NHL2025-26Results'!$E:$E,"&gt;0")</f>
        <v>3.4</v>
      </c>
      <c r="P3" s="14">
        <f>SUMIFS('NHL2025-26Results'!$C:$C,'NHL2025-26Results'!$B:$B,A3,'NHL2025-26Results'!$C:$C,"&gt;0")/COUNTIFS('NHL2025-26Results'!$B:$B,A3,'NHL2025-26Results'!$C:$C,"&gt;0")</f>
        <v>2.9285714285714284</v>
      </c>
      <c r="Q3" s="14">
        <f>SUMIFS('NHL2025-26Results'!$C:$C,'NHL2025-26Results'!$D:$D,A3,'NHL2025-26Results'!$C:$C,"&gt;0")/COUNTIFS('NHL2025-26Results'!$D:$D,A3,'NHL2025-26Results'!$C:$C,"&gt;0")</f>
        <v>3</v>
      </c>
      <c r="R3" s="14">
        <f>SUMIFS('NHL2025-26Results'!$E:$E,'NHL2025-26Results'!$B:$B,A3,'NHL2025-26Results'!$E:$E,"&gt;0")/COUNTIFS('NHL2025-26Results'!$B:$B,A3,'NHL2025-26Results'!$E:$E,"&gt;0")</f>
        <v>3.4285714285714284</v>
      </c>
    </row>
    <row r="4" spans="1:18" x14ac:dyDescent="0.2">
      <c r="A4" s="4" t="s">
        <v>23</v>
      </c>
      <c r="B4">
        <f>SUM(Table1[[#This Row],[W]:[OTL]])</f>
        <v>27</v>
      </c>
      <c r="C4">
        <f>COUNTIF(NHL2025_26Results[Winning Team],Standings!A4)</f>
        <v>11</v>
      </c>
      <c r="D4">
        <f>COUNTIFS('NHL2025-26Results'!$H:$H,A4,'NHL2025-26Results'!$F:$F,"")</f>
        <v>12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26</v>
      </c>
      <c r="G4">
        <f>COUNTIFS('NHL2025-26Results'!$D:$D,A4,'NHL2025-26Results'!$G:$G,A4)</f>
        <v>9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2</v>
      </c>
      <c r="K4">
        <f>COUNTIFS('NHL2025-26Results'!$B:$B,A4,'NHL2025-26Results'!$H:$H,A4,'NHL2025-26Results'!$F:$F,"")</f>
        <v>7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0.5625</v>
      </c>
      <c r="N4" s="11">
        <f>Table1[[#This Row],[AwayWins]]/SUM(Table1[[#This Row],[AwayWins]:[AwayOTL]])</f>
        <v>0.18181818181818182</v>
      </c>
      <c r="O4" s="14">
        <f>SUMIFS('NHL2025-26Results'!$E:$E,'NHL2025-26Results'!$D:$D,A4,'NHL2025-26Results'!$E:$E,"&gt;0")/COUNTIFS('NHL2025-26Results'!$D:$D,A4,'NHL2025-26Results'!$E:$E,"&gt;0")</f>
        <v>4.1538461538461542</v>
      </c>
      <c r="P4" s="14">
        <f>SUMIFS('NHL2025-26Results'!$C:$C,'NHL2025-26Results'!$B:$B,A4,'NHL2025-26Results'!$C:$C,"&gt;0")/COUNTIFS('NHL2025-26Results'!$B:$B,A4,'NHL2025-26Results'!$C:$C,"&gt;0")</f>
        <v>2.6363636363636362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4.2727272727272725</v>
      </c>
    </row>
    <row r="5" spans="1:18" x14ac:dyDescent="0.2">
      <c r="A5" s="4" t="s">
        <v>16</v>
      </c>
      <c r="B5">
        <f>SUM(Table1[[#This Row],[W]:[OTL]])</f>
        <v>29</v>
      </c>
      <c r="C5">
        <f>COUNTIF(NHL2025_26Results[Winning Team],Standings!A5)</f>
        <v>10</v>
      </c>
      <c r="D5">
        <f>COUNTIFS('NHL2025-26Results'!$H:$H,A5,'NHL2025-26Results'!$F:$F,"")</f>
        <v>15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24</v>
      </c>
      <c r="G5">
        <f>COUNTIFS('NHL2025-26Results'!$D:$D,A5,'NHL2025-26Results'!$G:$G,A5)</f>
        <v>5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5</v>
      </c>
      <c r="K5">
        <f>COUNTIFS('NHL2025-26Results'!$B:$B,A5,'NHL2025-26Results'!$H:$H,A5,'NHL2025-26Results'!$F:$F,"")</f>
        <v>11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0.45454545454545453</v>
      </c>
      <c r="N5" s="11">
        <f>Table1[[#This Row],[AwayWins]]/SUM(Table1[[#This Row],[AwayWins]:[AwayOTL]])</f>
        <v>0.27777777777777779</v>
      </c>
      <c r="O5" s="14">
        <f>SUMIFS('NHL2025-26Results'!$E:$E,'NHL2025-26Results'!$D:$D,A5,'NHL2025-26Results'!$E:$E,"&gt;0")/COUNTIFS('NHL2025-26Results'!$D:$D,A5,'NHL2025-26Results'!$E:$E,"&gt;0")</f>
        <v>2.8</v>
      </c>
      <c r="P5" s="14">
        <f>SUMIFS('NHL2025-26Results'!$C:$C,'NHL2025-26Results'!$B:$B,A5,'NHL2025-26Results'!$C:$C,"&gt;0")/COUNTIFS('NHL2025-26Results'!$B:$B,A5,'NHL2025-26Results'!$C:$C,"&gt;0")</f>
        <v>2.625</v>
      </c>
      <c r="Q5" s="14">
        <f>SUMIFS('NHL2025-26Results'!$C:$C,'NHL2025-26Results'!$D:$D,A5,'NHL2025-26Results'!$C:$C,"&gt;0")/COUNTIFS('NHL2025-26Results'!$D:$D,A5,'NHL2025-26Results'!$C:$C,"&gt;0")</f>
        <v>2.5</v>
      </c>
      <c r="R5" s="14">
        <f>SUMIFS('NHL2025-26Results'!$E:$E,'NHL2025-26Results'!$B:$B,A5,'NHL2025-26Results'!$E:$E,"&gt;0")/COUNTIFS('NHL2025-26Results'!$B:$B,A5,'NHL2025-26Results'!$E:$E,"&gt;0")</f>
        <v>3.5</v>
      </c>
    </row>
    <row r="6" spans="1:18" x14ac:dyDescent="0.2">
      <c r="A6" s="4" t="s">
        <v>25</v>
      </c>
      <c r="B6">
        <f>SUM(Table1[[#This Row],[W]:[OTL]])</f>
        <v>26</v>
      </c>
      <c r="C6">
        <f>COUNTIF(NHL2025_26Results[Winning Team],Standings!A6)</f>
        <v>16</v>
      </c>
      <c r="D6">
        <f>COUNTIFS('NHL2025-26Results'!$H:$H,A6,'NHL2025-26Results'!$F:$F,"")</f>
        <v>8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34</v>
      </c>
      <c r="G6">
        <f>COUNTIFS('NHL2025-26Results'!$D:$D,A6,'NHL2025-26Results'!$G:$G,A6)</f>
        <v>8</v>
      </c>
      <c r="H6">
        <f>COUNTIFS('NHL2025-26Results'!$D:$D,A6,'NHL2025-26Results'!$H:$H,A6,'NHL2025-26Results'!$F:$F,"")</f>
        <v>4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8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0.61538461538461542</v>
      </c>
      <c r="N6" s="11">
        <f>Table1[[#This Row],[AwayWins]]/SUM(Table1[[#This Row],[AwayWins]:[AwayOTL]])</f>
        <v>0.61538461538461542</v>
      </c>
      <c r="O6" s="14">
        <f>SUMIFS('NHL2025-26Results'!$E:$E,'NHL2025-26Results'!$D:$D,A6,'NHL2025-26Results'!$E:$E,"&gt;0")/COUNTIFS('NHL2025-26Results'!$D:$D,A6,'NHL2025-26Results'!$E:$E,"&gt;0")</f>
        <v>3.5384615384615383</v>
      </c>
      <c r="P6" s="14">
        <f>SUMIFS('NHL2025-26Results'!$C:$C,'NHL2025-26Results'!$B:$B,A6,'NHL2025-26Results'!$C:$C,"&gt;0")/COUNTIFS('NHL2025-26Results'!$B:$B,A6,'NHL2025-26Results'!$C:$C,"&gt;0")</f>
        <v>3.1538461538461537</v>
      </c>
      <c r="Q6" s="14">
        <f>SUMIFS('NHL2025-26Results'!$C:$C,'NHL2025-26Results'!$D:$D,A6,'NHL2025-26Results'!$C:$C,"&gt;0")/COUNTIFS('NHL2025-26Results'!$D:$D,A6,'NHL2025-26Results'!$C:$C,"&gt;0")</f>
        <v>3.4166666666666665</v>
      </c>
      <c r="R6" s="14">
        <f>SUMIFS('NHL2025-26Results'!$E:$E,'NHL2025-26Results'!$B:$B,A6,'NHL2025-26Results'!$E:$E,"&gt;0")/COUNTIFS('NHL2025-26Results'!$B:$B,A6,'NHL2025-26Results'!$E:$E,"&gt;0")</f>
        <v>2.8333333333333335</v>
      </c>
    </row>
    <row r="7" spans="1:18" x14ac:dyDescent="0.2">
      <c r="A7" s="4" t="s">
        <v>10</v>
      </c>
      <c r="B7">
        <f>SUM(Table1[[#This Row],[W]:[OTL]])</f>
        <v>27</v>
      </c>
      <c r="C7">
        <f>COUNTIF(NHL2025_26Results[Winning Team],Standings!A7)</f>
        <v>12</v>
      </c>
      <c r="D7">
        <f>COUNTIFS('NHL2025-26Results'!$H:$H,A7,'NHL2025-26Results'!$F:$F,"")</f>
        <v>9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30</v>
      </c>
      <c r="G7">
        <f>COUNTIFS('NHL2025-26Results'!$D:$D,A7,'NHL2025-26Results'!$G:$G,A7)</f>
        <v>6</v>
      </c>
      <c r="H7">
        <f>COUNTIFS('NHL2025-26Results'!$D:$D,A7,'NHL2025-26Results'!$H:$H,A7,'NHL2025-26Results'!$F:$F,"")</f>
        <v>5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6</v>
      </c>
      <c r="K7">
        <f>COUNTIFS('NHL2025-26Results'!$B:$B,A7,'NHL2025-26Results'!$H:$H,A7,'NHL2025-26Results'!$F:$F,"")</f>
        <v>4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0.42857142857142855</v>
      </c>
      <c r="N7" s="11">
        <f>Table1[[#This Row],[AwayWins]]/SUM(Table1[[#This Row],[AwayWins]:[AwayOTL]])</f>
        <v>0.46153846153846156</v>
      </c>
      <c r="O7" s="14">
        <f>SUMIFS('NHL2025-26Results'!$E:$E,'NHL2025-26Results'!$D:$D,A7,'NHL2025-26Results'!$E:$E,"&gt;0")/COUNTIFS('NHL2025-26Results'!$D:$D,A7,'NHL2025-26Results'!$E:$E,"&gt;0")</f>
        <v>3.1538461538461537</v>
      </c>
      <c r="P7" s="14">
        <f>SUMIFS('NHL2025-26Results'!$C:$C,'NHL2025-26Results'!$B:$B,A7,'NHL2025-26Results'!$C:$C,"&gt;0")/COUNTIFS('NHL2025-26Results'!$B:$B,A7,'NHL2025-26Results'!$C:$C,"&gt;0")</f>
        <v>3.3846153846153846</v>
      </c>
      <c r="Q7" s="14">
        <f>SUMIFS('NHL2025-26Results'!$C:$C,'NHL2025-26Results'!$D:$D,A7,'NHL2025-26Results'!$C:$C,"&gt;0")/COUNTIFS('NHL2025-26Results'!$D:$D,A7,'NHL2025-26Results'!$C:$C,"&gt;0")</f>
        <v>2.6428571428571428</v>
      </c>
      <c r="R7" s="14">
        <f>SUMIFS('NHL2025-26Results'!$E:$E,'NHL2025-26Results'!$B:$B,A7,'NHL2025-26Results'!$E:$E,"&gt;0")/COUNTIFS('NHL2025-26Results'!$B:$B,A7,'NHL2025-26Results'!$E:$E,"&gt;0")</f>
        <v>3.4166666666666665</v>
      </c>
    </row>
    <row r="8" spans="1:18" x14ac:dyDescent="0.2">
      <c r="A8" s="4" t="s">
        <v>12</v>
      </c>
      <c r="B8">
        <f>SUM(Table1[[#This Row],[W]:[OTL]])</f>
        <v>27</v>
      </c>
      <c r="C8">
        <f>COUNTIF(NHL2025_26Results[Winning Team],Standings!A8)</f>
        <v>19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6</v>
      </c>
      <c r="F8" s="3">
        <f>(Table1[[#This Row],[W]]*2)+Table1[[#This Row],[OTL]]</f>
        <v>44</v>
      </c>
      <c r="G8">
        <f>COUNTIFS('NHL2025-26Results'!$D:$D,A8,'NHL2025-26Results'!$G:$G,A8)</f>
        <v>11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8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4</v>
      </c>
      <c r="M8" s="11">
        <f>Table1[[#This Row],[HomeWins]]/SUM(Table1[[#This Row],[HomeWins]:[HomeOTL]])</f>
        <v>0.84615384615384615</v>
      </c>
      <c r="N8" s="11">
        <f>Table1[[#This Row],[AwayWins]]/SUM(Table1[[#This Row],[AwayWins]:[AwayOTL]])</f>
        <v>0.5714285714285714</v>
      </c>
      <c r="O8" s="14">
        <f>SUMIFS('NHL2025-26Results'!$E:$E,'NHL2025-26Results'!$D:$D,A8,'NHL2025-26Results'!$E:$E,"&gt;0")/COUNTIFS('NHL2025-26Results'!$D:$D,A8,'NHL2025-26Results'!$E:$E,"&gt;0")</f>
        <v>4.6923076923076925</v>
      </c>
      <c r="P8" s="14">
        <f>SUMIFS('NHL2025-26Results'!$C:$C,'NHL2025-26Results'!$B:$B,A8,'NHL2025-26Results'!$C:$C,"&gt;0")/COUNTIFS('NHL2025-26Results'!$B:$B,A8,'NHL2025-26Results'!$C:$C,"&gt;0")</f>
        <v>3.4285714285714284</v>
      </c>
      <c r="Q8" s="14">
        <f>SUMIFS('NHL2025-26Results'!$C:$C,'NHL2025-26Results'!$D:$D,A8,'NHL2025-26Results'!$C:$C,"&gt;0")/COUNTIFS('NHL2025-26Results'!$D:$D,A8,'NHL2025-26Results'!$C:$C,"&gt;0")</f>
        <v>2.4166666666666665</v>
      </c>
      <c r="R8" s="14">
        <f>SUMIFS('NHL2025-26Results'!$E:$E,'NHL2025-26Results'!$B:$B,A8,'NHL2025-26Results'!$E:$E,"&gt;0")/COUNTIFS('NHL2025-26Results'!$B:$B,A8,'NHL2025-26Results'!$E:$E,"&gt;0")</f>
        <v>2.75</v>
      </c>
    </row>
    <row r="9" spans="1:18" x14ac:dyDescent="0.2">
      <c r="A9" s="4" t="s">
        <v>28</v>
      </c>
      <c r="B9">
        <f>SUM(Table1[[#This Row],[W]:[OTL]])</f>
        <v>27</v>
      </c>
      <c r="C9">
        <f>COUNTIF(NHL2025_26Results[Winning Team],Standings!A9)</f>
        <v>13</v>
      </c>
      <c r="D9">
        <f>COUNTIFS('NHL2025-26Results'!$H:$H,A9,'NHL2025-26Results'!$F:$F,"")</f>
        <v>9</v>
      </c>
      <c r="E9">
        <f>COUNTIFS('NHL2025-26Results'!$F:$F,"OT",'NHL2025-26Results'!$H:$H,A9) + COUNTIFS('NHL2025-26Results'!$F:$F,"SO",'NHL2025-26Results'!$H:$H,A9)</f>
        <v>5</v>
      </c>
      <c r="F9" s="3">
        <f>(Table1[[#This Row],[W]]*2)+Table1[[#This Row],[OTL]]</f>
        <v>31</v>
      </c>
      <c r="G9">
        <f>COUNTIFS('NHL2025-26Results'!$D:$D,A9,'NHL2025-26Results'!$G:$G,A9)</f>
        <v>6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7</v>
      </c>
      <c r="K9">
        <f>COUNTIFS('NHL2025-26Results'!$B:$B,A9,'NHL2025-26Results'!$H:$H,A9,'NHL2025-26Results'!$F:$F,"")</f>
        <v>6</v>
      </c>
      <c r="L9">
        <f>COUNTIFS('NHL2025-26Results'!$B:$B,A9,'NHL2025-26Results'!$H:$H,A9,'NHL2025-26Results'!$F:$F,"OT") + COUNTIFS('NHL2025-26Results'!$B:$B,A9,'NHL2025-26Results'!$H:$H,A9,'NHL2025-26Results'!$F:$F,"SO")</f>
        <v>2</v>
      </c>
      <c r="M9" s="11">
        <f>Table1[[#This Row],[HomeWins]]/SUM(Table1[[#This Row],[HomeWins]:[HomeOTL]])</f>
        <v>0.5</v>
      </c>
      <c r="N9" s="11">
        <f>Table1[[#This Row],[AwayWins]]/SUM(Table1[[#This Row],[AwayWins]:[AwayOTL]])</f>
        <v>0.46666666666666667</v>
      </c>
      <c r="O9" s="14">
        <f>SUMIFS('NHL2025-26Results'!$E:$E,'NHL2025-26Results'!$D:$D,A9,'NHL2025-26Results'!$E:$E,"&gt;0")/COUNTIFS('NHL2025-26Results'!$D:$D,A9,'NHL2025-26Results'!$E:$E,"&gt;0")</f>
        <v>3</v>
      </c>
      <c r="P9" s="14">
        <f>SUMIFS('NHL2025-26Results'!$C:$C,'NHL2025-26Results'!$B:$B,A9,'NHL2025-26Results'!$C:$C,"&gt;0")/COUNTIFS('NHL2025-26Results'!$B:$B,A9,'NHL2025-26Results'!$C:$C,"&gt;0")</f>
        <v>3.2</v>
      </c>
      <c r="Q9" s="14">
        <f>SUMIFS('NHL2025-26Results'!$C:$C,'NHL2025-26Results'!$D:$D,A9,'NHL2025-26Results'!$C:$C,"&gt;0")/COUNTIFS('NHL2025-26Results'!$D:$D,A9,'NHL2025-26Results'!$C:$C,"&gt;0")</f>
        <v>3.25</v>
      </c>
      <c r="R9" s="14">
        <f>SUMIFS('NHL2025-26Results'!$E:$E,'NHL2025-26Results'!$B:$B,A9,'NHL2025-26Results'!$E:$E,"&gt;0")/COUNTIFS('NHL2025-26Results'!$B:$B,A9,'NHL2025-26Results'!$E:$E,"&gt;0")</f>
        <v>3.4</v>
      </c>
    </row>
    <row r="10" spans="1:18" x14ac:dyDescent="0.2">
      <c r="A10" s="4" t="s">
        <v>39</v>
      </c>
      <c r="B10">
        <f>SUM(Table1[[#This Row],[W]:[OTL]])</f>
        <v>28</v>
      </c>
      <c r="C10">
        <f>COUNTIF(NHL2025_26Results[Winning Team],Standings!A10)</f>
        <v>18</v>
      </c>
      <c r="D10">
        <f>COUNTIFS('NHL2025-26Results'!$H:$H,A10,'NHL2025-26Results'!$F:$F,"")</f>
        <v>5</v>
      </c>
      <c r="E10">
        <f>COUNTIFS('NHL2025-26Results'!$F:$F,"OT",'NHL2025-26Results'!$H:$H,A10) + COUNTIFS('NHL2025-26Results'!$F:$F,"SO",'NHL2025-26Results'!$H:$H,A10)</f>
        <v>5</v>
      </c>
      <c r="F10" s="3">
        <f>(Table1[[#This Row],[W]]*2)+Table1[[#This Row],[OTL]]</f>
        <v>41</v>
      </c>
      <c r="G10">
        <f>COUNTIFS('NHL2025-26Results'!$D:$D,A10,'NHL2025-26Results'!$G:$G,A10)</f>
        <v>8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10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4</v>
      </c>
      <c r="M10" s="11">
        <f>Table1[[#This Row],[HomeWins]]/SUM(Table1[[#This Row],[HomeWins]:[HomeOTL]])</f>
        <v>0.61538461538461542</v>
      </c>
      <c r="N10" s="11">
        <f>Table1[[#This Row],[AwayWins]]/SUM(Table1[[#This Row],[AwayWins]:[AwayOTL]])</f>
        <v>0.66666666666666663</v>
      </c>
      <c r="O10" s="14">
        <f>SUMIFS('NHL2025-26Results'!$E:$E,'NHL2025-26Results'!$D:$D,A10,'NHL2025-26Results'!$E:$E,"&gt;0")/COUNTIFS('NHL2025-26Results'!$D:$D,A10,'NHL2025-26Results'!$E:$E,"&gt;0")</f>
        <v>3.3076923076923075</v>
      </c>
      <c r="P10" s="14">
        <f>SUMIFS('NHL2025-26Results'!$C:$C,'NHL2025-26Results'!$B:$B,A10,'NHL2025-26Results'!$C:$C,"&gt;0")/COUNTIFS('NHL2025-26Results'!$B:$B,A10,'NHL2025-26Results'!$C:$C,"&gt;0")</f>
        <v>3.6666666666666665</v>
      </c>
      <c r="Q10" s="14">
        <f>SUMIFS('NHL2025-26Results'!$C:$C,'NHL2025-26Results'!$D:$D,A10,'NHL2025-26Results'!$C:$C,"&gt;0")/COUNTIFS('NHL2025-26Results'!$D:$D,A10,'NHL2025-26Results'!$C:$C,"&gt;0")</f>
        <v>3</v>
      </c>
      <c r="R10" s="14">
        <f>SUMIFS('NHL2025-26Results'!$E:$E,'NHL2025-26Results'!$B:$B,A10,'NHL2025-26Results'!$E:$E,"&gt;0")/COUNTIFS('NHL2025-26Results'!$B:$B,A10,'NHL2025-26Results'!$E:$E,"&gt;0")</f>
        <v>2.9230769230769229</v>
      </c>
    </row>
    <row r="11" spans="1:18" x14ac:dyDescent="0.2">
      <c r="A11" s="4" t="s">
        <v>26</v>
      </c>
      <c r="B11">
        <f>SUM(Table1[[#This Row],[W]:[OTL]])</f>
        <v>28</v>
      </c>
      <c r="C11">
        <f>COUNTIF(NHL2025_26Results[Winning Team],Standings!A11)</f>
        <v>14</v>
      </c>
      <c r="D11">
        <f>COUNTIFS('NHL2025-26Results'!$H:$H,A11,'NHL2025-26Results'!$F:$F,"")</f>
        <v>11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31</v>
      </c>
      <c r="G11">
        <f>COUNTIFS('NHL2025-26Results'!$D:$D,A11,'NHL2025-26Results'!$G:$G,A11)</f>
        <v>9</v>
      </c>
      <c r="H11">
        <f>COUNTIFS('NHL2025-26Results'!$D:$D,A11,'NHL2025-26Results'!$H:$H,A11,'NHL2025-26Results'!$F:$F,"")</f>
        <v>6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5</v>
      </c>
      <c r="K11">
        <f>COUNTIFS('NHL2025-26Results'!$B:$B,A11,'NHL2025-26Results'!$H:$H,A11,'NHL2025-26Results'!$F:$F,"")</f>
        <v>5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0.5625</v>
      </c>
      <c r="N11" s="11">
        <f>Table1[[#This Row],[AwayWins]]/SUM(Table1[[#This Row],[AwayWins]:[AwayOTL]])</f>
        <v>0.41666666666666669</v>
      </c>
      <c r="O11" s="14">
        <f>SUMIFS('NHL2025-26Results'!$E:$E,'NHL2025-26Results'!$D:$D,A11,'NHL2025-26Results'!$E:$E,"&gt;0")/COUNTIFS('NHL2025-26Results'!$D:$D,A11,'NHL2025-26Results'!$E:$E,"&gt;0")</f>
        <v>3.6</v>
      </c>
      <c r="P11" s="14">
        <f>SUMIFS('NHL2025-26Results'!$C:$C,'NHL2025-26Results'!$B:$B,A11,'NHL2025-26Results'!$C:$C,"&gt;0")/COUNTIFS('NHL2025-26Results'!$B:$B,A11,'NHL2025-26Results'!$C:$C,"&gt;0")</f>
        <v>3</v>
      </c>
      <c r="Q11" s="14">
        <f>SUMIFS('NHL2025-26Results'!$C:$C,'NHL2025-26Results'!$D:$D,A11,'NHL2025-26Results'!$C:$C,"&gt;0")/COUNTIFS('NHL2025-26Results'!$D:$D,A11,'NHL2025-26Results'!$C:$C,"&gt;0")</f>
        <v>3.6875</v>
      </c>
      <c r="R11" s="14">
        <f>SUMIFS('NHL2025-26Results'!$E:$E,'NHL2025-26Results'!$B:$B,A11,'NHL2025-26Results'!$E:$E,"&gt;0")/COUNTIFS('NHL2025-26Results'!$B:$B,A11,'NHL2025-26Results'!$E:$E,"&gt;0")</f>
        <v>3.3333333333333335</v>
      </c>
    </row>
    <row r="12" spans="1:18" x14ac:dyDescent="0.2">
      <c r="A12" s="4" t="s">
        <v>17</v>
      </c>
      <c r="B12">
        <f>SUM(Table1[[#This Row],[W]:[OTL]])</f>
        <v>28</v>
      </c>
      <c r="C12">
        <f>COUNTIF(NHL2025_26Results[Winning Team],Standings!A12)</f>
        <v>12</v>
      </c>
      <c r="D12">
        <f>COUNTIFS('NHL2025-26Results'!$H:$H,A12,'NHL2025-26Results'!$F:$F,"")</f>
        <v>11</v>
      </c>
      <c r="E12">
        <f>COUNTIFS('NHL2025-26Results'!$F:$F,"OT",'NHL2025-26Results'!$H:$H,A12) + COUNTIFS('NHL2025-26Results'!$F:$F,"SO",'NHL2025-26Results'!$H:$H,A12)</f>
        <v>5</v>
      </c>
      <c r="F12" s="3">
        <f>(Table1[[#This Row],[W]]*2)+Table1[[#This Row],[OTL]]</f>
        <v>29</v>
      </c>
      <c r="G12">
        <f>COUNTIFS('NHL2025-26Results'!$D:$D,A12,'NHL2025-26Results'!$G:$G,A12)</f>
        <v>6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6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0.54545454545454541</v>
      </c>
      <c r="N12" s="11">
        <f>Table1[[#This Row],[AwayWins]]/SUM(Table1[[#This Row],[AwayWins]:[AwayOTL]])</f>
        <v>0.35294117647058826</v>
      </c>
      <c r="O12" s="14">
        <f>SUMIFS('NHL2025-26Results'!$E:$E,'NHL2025-26Results'!$D:$D,A12,'NHL2025-26Results'!$E:$E,"&gt;0")/COUNTIFS('NHL2025-26Results'!$D:$D,A12,'NHL2025-26Results'!$E:$E,"&gt;0")</f>
        <v>4.2</v>
      </c>
      <c r="P12" s="14">
        <f>SUMIFS('NHL2025-26Results'!$C:$C,'NHL2025-26Results'!$B:$B,A12,'NHL2025-26Results'!$C:$C,"&gt;0")/COUNTIFS('NHL2025-26Results'!$B:$B,A12,'NHL2025-26Results'!$C:$C,"&gt;0")</f>
        <v>2.8235294117647061</v>
      </c>
      <c r="Q12" s="14">
        <f>SUMIFS('NHL2025-26Results'!$C:$C,'NHL2025-26Results'!$D:$D,A12,'NHL2025-26Results'!$C:$C,"&gt;0")/COUNTIFS('NHL2025-26Results'!$D:$D,A12,'NHL2025-26Results'!$C:$C,"&gt;0")</f>
        <v>4.0909090909090908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26</v>
      </c>
      <c r="C13">
        <f>COUNTIF(NHL2025_26Results[Winning Team],Standings!A13)</f>
        <v>12</v>
      </c>
      <c r="D13">
        <f>COUNTIFS('NHL2025-26Results'!$H:$H,A13,'NHL2025-26Results'!$F:$F,"")</f>
        <v>12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26</v>
      </c>
      <c r="G13">
        <f>COUNTIFS('NHL2025-26Results'!$D:$D,A13,'NHL2025-26Results'!$G:$G,A13)</f>
        <v>8</v>
      </c>
      <c r="H13">
        <f>COUNTIFS('NHL2025-26Results'!$D:$D,A13,'NHL2025-26Results'!$H:$H,A13,'NHL2025-26Results'!$F:$F,"")</f>
        <v>6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4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</v>
      </c>
      <c r="N13" s="11">
        <f>Table1[[#This Row],[AwayWins]]/SUM(Table1[[#This Row],[AwayWins]:[AwayOTL]])</f>
        <v>0.4</v>
      </c>
      <c r="O13" s="14">
        <f>SUMIFS('NHL2025-26Results'!$E:$E,'NHL2025-26Results'!$D:$D,A13,'NHL2025-26Results'!$E:$E,"&gt;0")/COUNTIFS('NHL2025-26Results'!$D:$D,A13,'NHL2025-26Results'!$E:$E,"&gt;0")</f>
        <v>3.0625</v>
      </c>
      <c r="P13" s="14">
        <f>SUMIFS('NHL2025-26Results'!$C:$C,'NHL2025-26Results'!$B:$B,A13,'NHL2025-26Results'!$C:$C,"&gt;0")/COUNTIFS('NHL2025-26Results'!$B:$B,A13,'NHL2025-26Results'!$C:$C,"&gt;0")</f>
        <v>3.1111111111111112</v>
      </c>
      <c r="Q13" s="14">
        <f>SUMIFS('NHL2025-26Results'!$C:$C,'NHL2025-26Results'!$D:$D,A13,'NHL2025-26Results'!$C:$C,"&gt;0")/COUNTIFS('NHL2025-26Results'!$D:$D,A13,'NHL2025-26Results'!$C:$C,"&gt;0")</f>
        <v>3.4285714285714284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27</v>
      </c>
      <c r="C14">
        <f>COUNTIF(NHL2025_26Results[Winning Team],Standings!A14)</f>
        <v>12</v>
      </c>
      <c r="D14">
        <f>COUNTIFS('NHL2025-26Results'!$H:$H,A14,'NHL2025-26Results'!$F:$F,"")</f>
        <v>8</v>
      </c>
      <c r="E14">
        <f>COUNTIFS('NHL2025-26Results'!$F:$F,"OT",'NHL2025-26Results'!$H:$H,A14) + COUNTIFS('NHL2025-26Results'!$F:$F,"SO",'NHL2025-26Results'!$H:$H,A14)</f>
        <v>7</v>
      </c>
      <c r="F14" s="3">
        <f>(Table1[[#This Row],[W]]*2)+Table1[[#This Row],[OTL]]</f>
        <v>31</v>
      </c>
      <c r="G14">
        <f>COUNTIFS('NHL2025-26Results'!$D:$D,A14,'NHL2025-26Results'!$G:$G,A14)</f>
        <v>3</v>
      </c>
      <c r="H14">
        <f>COUNTIFS('NHL2025-26Results'!$D:$D,A14,'NHL2025-26Results'!$H:$H,A14,'NHL2025-26Results'!$F:$F,"")</f>
        <v>6</v>
      </c>
      <c r="I14">
        <f>COUNTIFS('NHL2025-26Results'!$D:$D,A14,'NHL2025-26Results'!$H:$H,A14,'NHL2025-26Results'!$F:$F,"OT") + COUNTIFS('NHL2025-26Results'!$D:$D,A14,'NHL2025-26Results'!$H:$H,A14,'NHL2025-26Results'!$F:$F,"SO")</f>
        <v>3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4</v>
      </c>
      <c r="M14" s="11">
        <f>Table1[[#This Row],[HomeWins]]/SUM(Table1[[#This Row],[HomeWins]:[HomeOTL]])</f>
        <v>0.25</v>
      </c>
      <c r="N14" s="11">
        <f>Table1[[#This Row],[AwayWins]]/SUM(Table1[[#This Row],[AwayWins]:[AwayOTL]])</f>
        <v>0.6</v>
      </c>
      <c r="O14" s="14">
        <f>SUMIFS('NHL2025-26Results'!$E:$E,'NHL2025-26Results'!$D:$D,A14,'NHL2025-26Results'!$E:$E,"&gt;0")/COUNTIFS('NHL2025-26Results'!$D:$D,A14,'NHL2025-26Results'!$E:$E,"&gt;0")</f>
        <v>1.8333333333333333</v>
      </c>
      <c r="P14" s="14">
        <f>SUMIFS('NHL2025-26Results'!$C:$C,'NHL2025-26Results'!$B:$B,A14,'NHL2025-26Results'!$C:$C,"&gt;0")/COUNTIFS('NHL2025-26Results'!$B:$B,A14,'NHL2025-26Results'!$C:$C,"&gt;0")</f>
        <v>3.2</v>
      </c>
      <c r="Q14" s="14">
        <f>SUMIFS('NHL2025-26Results'!$C:$C,'NHL2025-26Results'!$D:$D,A14,'NHL2025-26Results'!$C:$C,"&gt;0")/COUNTIFS('NHL2025-26Results'!$D:$D,A14,'NHL2025-26Results'!$C:$C,"&gt;0")</f>
        <v>3.0909090909090908</v>
      </c>
      <c r="R14" s="14">
        <f>SUMIFS('NHL2025-26Results'!$E:$E,'NHL2025-26Results'!$B:$B,A14,'NHL2025-26Results'!$E:$E,"&gt;0")/COUNTIFS('NHL2025-26Results'!$B:$B,A14,'NHL2025-26Results'!$E:$E,"&gt;0")</f>
        <v>2.9285714285714284</v>
      </c>
    </row>
    <row r="15" spans="1:18" x14ac:dyDescent="0.2">
      <c r="A15" s="4" t="s">
        <v>34</v>
      </c>
      <c r="B15">
        <f>SUM(Table1[[#This Row],[W]:[OTL]])</f>
        <v>28</v>
      </c>
      <c r="C15">
        <f>COUNTIF(NHL2025_26Results[Winning Team],Standings!A15)</f>
        <v>15</v>
      </c>
      <c r="D15">
        <f>COUNTIFS('NHL2025-26Results'!$H:$H,A15,'NHL2025-26Results'!$F:$F,"")</f>
        <v>8</v>
      </c>
      <c r="E15">
        <f>COUNTIFS('NHL2025-26Results'!$F:$F,"OT",'NHL2025-26Results'!$H:$H,A15) + COUNTIFS('NHL2025-26Results'!$F:$F,"SO",'NHL2025-26Results'!$H:$H,A15)</f>
        <v>5</v>
      </c>
      <c r="F15" s="3">
        <f>(Table1[[#This Row],[W]]*2)+Table1[[#This Row],[OTL]]</f>
        <v>35</v>
      </c>
      <c r="G15">
        <f>COUNTIFS('NHL2025-26Results'!$D:$D,A15,'NHL2025-26Results'!$G:$G,A15)</f>
        <v>8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4</v>
      </c>
      <c r="J15">
        <f>COUNTIFS('NHL2025-26Results'!$B:$B,A15,'NHL2025-26Results'!$G:$G,A15)</f>
        <v>7</v>
      </c>
      <c r="K15">
        <f>COUNTIFS('NHL2025-26Results'!$B:$B,A15,'NHL2025-26Results'!$H:$H,A15,'NHL2025-26Results'!$F:$F,"")</f>
        <v>5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0.53333333333333333</v>
      </c>
      <c r="N15" s="11">
        <f>Table1[[#This Row],[AwayWins]]/SUM(Table1[[#This Row],[AwayWins]:[AwayOTL]])</f>
        <v>0.53846153846153844</v>
      </c>
      <c r="O15" s="14">
        <f>SUMIFS('NHL2025-26Results'!$E:$E,'NHL2025-26Results'!$D:$D,A15,'NHL2025-26Results'!$E:$E,"&gt;0")/COUNTIFS('NHL2025-26Results'!$D:$D,A15,'NHL2025-26Results'!$E:$E,"&gt;0")</f>
        <v>2.9333333333333331</v>
      </c>
      <c r="P15" s="14">
        <f>SUMIFS('NHL2025-26Results'!$C:$C,'NHL2025-26Results'!$B:$B,A15,'NHL2025-26Results'!$C:$C,"&gt;0")/COUNTIFS('NHL2025-26Results'!$B:$B,A15,'NHL2025-26Results'!$C:$C,"&gt;0")</f>
        <v>2.6923076923076925</v>
      </c>
      <c r="Q15" s="14">
        <f>SUMIFS('NHL2025-26Results'!$C:$C,'NHL2025-26Results'!$D:$D,A15,'NHL2025-26Results'!$C:$C,"&gt;0")/COUNTIFS('NHL2025-26Results'!$D:$D,A15,'NHL2025-26Results'!$C:$C,"&gt;0")</f>
        <v>3.5384615384615383</v>
      </c>
      <c r="R15" s="14">
        <f>SUMIFS('NHL2025-26Results'!$E:$E,'NHL2025-26Results'!$B:$B,A15,'NHL2025-26Results'!$E:$E,"&gt;0")/COUNTIFS('NHL2025-26Results'!$B:$B,A15,'NHL2025-26Results'!$E:$E,"&gt;0")</f>
        <v>3.3333333333333335</v>
      </c>
    </row>
    <row r="16" spans="1:18" x14ac:dyDescent="0.2">
      <c r="A16" s="4" t="s">
        <v>18</v>
      </c>
      <c r="B16">
        <f>SUM(Table1[[#This Row],[W]:[OTL]])</f>
        <v>26</v>
      </c>
      <c r="C16">
        <f>COUNTIF(NHL2025_26Results[Winning Team],Standings!A16)</f>
        <v>14</v>
      </c>
      <c r="D16">
        <f>COUNTIFS('NHL2025-26Results'!$H:$H,A16,'NHL2025-26Results'!$F:$F,"")</f>
        <v>9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31</v>
      </c>
      <c r="G16">
        <f>COUNTIFS('NHL2025-26Results'!$D:$D,A16,'NHL2025-26Results'!$G:$G,A16)</f>
        <v>7</v>
      </c>
      <c r="H16">
        <f>COUNTIFS('NHL2025-26Results'!$D:$D,A16,'NHL2025-26Results'!$H:$H,A16,'NHL2025-26Results'!$F:$F,"")</f>
        <v>6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7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0.58333333333333337</v>
      </c>
      <c r="O16" s="14">
        <f>SUMIFS('NHL2025-26Results'!$E:$E,'NHL2025-26Results'!$D:$D,A16,'NHL2025-26Results'!$E:$E,"&gt;0")/COUNTIFS('NHL2025-26Results'!$D:$D,A16,'NHL2025-26Results'!$E:$E,"&gt;0")</f>
        <v>3.5384615384615383</v>
      </c>
      <c r="P16" s="14">
        <f>SUMIFS('NHL2025-26Results'!$C:$C,'NHL2025-26Results'!$B:$B,A16,'NHL2025-26Results'!$C:$C,"&gt;0")/COUNTIFS('NHL2025-26Results'!$B:$B,A16,'NHL2025-26Results'!$C:$C,"&gt;0")</f>
        <v>3.4166666666666665</v>
      </c>
      <c r="Q16" s="14">
        <f>SUMIFS('NHL2025-26Results'!$C:$C,'NHL2025-26Results'!$D:$D,A16,'NHL2025-26Results'!$C:$C,"&gt;0")/COUNTIFS('NHL2025-26Results'!$D:$D,A16,'NHL2025-26Results'!$C:$C,"&gt;0")</f>
        <v>3.8571428571428572</v>
      </c>
      <c r="R16" s="14">
        <f>SUMIFS('NHL2025-26Results'!$E:$E,'NHL2025-26Results'!$B:$B,A16,'NHL2025-26Results'!$E:$E,"&gt;0")/COUNTIFS('NHL2025-26Results'!$B:$B,A16,'NHL2025-26Results'!$E:$E,"&gt;0")</f>
        <v>3.3333333333333335</v>
      </c>
    </row>
    <row r="17" spans="1:18" x14ac:dyDescent="0.2">
      <c r="A17" s="4" t="s">
        <v>29</v>
      </c>
      <c r="B17">
        <f>SUM(Table1[[#This Row],[W]:[OTL]])</f>
        <v>27</v>
      </c>
      <c r="C17">
        <f>COUNTIF(NHL2025_26Results[Winning Team],Standings!A17)</f>
        <v>10</v>
      </c>
      <c r="D17">
        <f>COUNTIFS('NHL2025-26Results'!$H:$H,A17,'NHL2025-26Results'!$F:$F,"")</f>
        <v>13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24</v>
      </c>
      <c r="G17">
        <f>COUNTIFS('NHL2025-26Results'!$D:$D,A17,'NHL2025-26Results'!$G:$G,A17)</f>
        <v>6</v>
      </c>
      <c r="H17">
        <f>COUNTIFS('NHL2025-26Results'!$D:$D,A17,'NHL2025-26Results'!$H:$H,A17,'NHL2025-26Results'!$F:$F,"")</f>
        <v>8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4</v>
      </c>
      <c r="K17">
        <f>COUNTIFS('NHL2025-26Results'!$B:$B,A17,'NHL2025-26Results'!$H:$H,A17,'NHL2025-26Results'!$F:$F,"")</f>
        <v>5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0.375</v>
      </c>
      <c r="N17" s="11">
        <f>Table1[[#This Row],[AwayWins]]/SUM(Table1[[#This Row],[AwayWins]:[AwayOTL]])</f>
        <v>0.36363636363636365</v>
      </c>
      <c r="O17" s="14">
        <f>SUMIFS('NHL2025-26Results'!$E:$E,'NHL2025-26Results'!$D:$D,A17,'NHL2025-26Results'!$E:$E,"&gt;0")/COUNTIFS('NHL2025-26Results'!$D:$D,A17,'NHL2025-26Results'!$E:$E,"&gt;0")</f>
        <v>2.8</v>
      </c>
      <c r="P17" s="14">
        <f>SUMIFS('NHL2025-26Results'!$C:$C,'NHL2025-26Results'!$B:$B,A17,'NHL2025-26Results'!$C:$C,"&gt;0")/COUNTIFS('NHL2025-26Results'!$B:$B,A17,'NHL2025-26Results'!$C:$C,"&gt;0")</f>
        <v>2.9</v>
      </c>
      <c r="Q17" s="14">
        <f>SUMIFS('NHL2025-26Results'!$C:$C,'NHL2025-26Results'!$D:$D,A17,'NHL2025-26Results'!$C:$C,"&gt;0")/COUNTIFS('NHL2025-26Results'!$D:$D,A17,'NHL2025-26Results'!$C:$C,"&gt;0")</f>
        <v>3.4375</v>
      </c>
      <c r="R17" s="14">
        <f>SUMIFS('NHL2025-26Results'!$E:$E,'NHL2025-26Results'!$B:$B,A17,'NHL2025-26Results'!$E:$E,"&gt;0")/COUNTIFS('NHL2025-26Results'!$B:$B,A17,'NHL2025-26Results'!$E:$E,"&gt;0")</f>
        <v>3.5454545454545454</v>
      </c>
    </row>
    <row r="18" spans="1:18" x14ac:dyDescent="0.2">
      <c r="A18" s="4" t="s">
        <v>24</v>
      </c>
      <c r="B18">
        <f>SUM(Table1[[#This Row],[W]:[OTL]])</f>
        <v>27</v>
      </c>
      <c r="C18">
        <f>COUNTIF(NHL2025_26Results[Winning Team],Standings!A18)</f>
        <v>16</v>
      </c>
      <c r="D18">
        <f>COUNTIFS('NHL2025-26Results'!$H:$H,A18,'NHL2025-26Results'!$F:$F,"")</f>
        <v>10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33</v>
      </c>
      <c r="G18">
        <f>COUNTIFS('NHL2025-26Results'!$D:$D,A18,'NHL2025-26Results'!$G:$G,A18)</f>
        <v>9</v>
      </c>
      <c r="H18">
        <f>COUNTIFS('NHL2025-26Results'!$D:$D,A18,'NHL2025-26Results'!$H:$H,A18,'NHL2025-26Results'!$F:$F,"")</f>
        <v>3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7</v>
      </c>
      <c r="K18">
        <f>COUNTIFS('NHL2025-26Results'!$B:$B,A18,'NHL2025-26Results'!$H:$H,A18,'NHL2025-26Results'!$F:$F,"")</f>
        <v>7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0.69230769230769229</v>
      </c>
      <c r="N18" s="11">
        <f>Table1[[#This Row],[AwayWins]]/SUM(Table1[[#This Row],[AwayWins]:[AwayOTL]])</f>
        <v>0.5</v>
      </c>
      <c r="O18" s="14">
        <f>SUMIFS('NHL2025-26Results'!$E:$E,'NHL2025-26Results'!$D:$D,A18,'NHL2025-26Results'!$E:$E,"&gt;0")/COUNTIFS('NHL2025-26Results'!$D:$D,A18,'NHL2025-26Results'!$E:$E,"&gt;0")</f>
        <v>3.3333333333333335</v>
      </c>
      <c r="P18" s="14">
        <f>SUMIFS('NHL2025-26Results'!$C:$C,'NHL2025-26Results'!$B:$B,A18,'NHL2025-26Results'!$C:$C,"&gt;0")/COUNTIFS('NHL2025-26Results'!$B:$B,A18,'NHL2025-26Results'!$C:$C,"&gt;0")</f>
        <v>3.3076923076923075</v>
      </c>
      <c r="Q18" s="14">
        <f>SUMIFS('NHL2025-26Results'!$C:$C,'NHL2025-26Results'!$D:$D,A18,'NHL2025-26Results'!$C:$C,"&gt;0")/COUNTIFS('NHL2025-26Results'!$D:$D,A18,'NHL2025-26Results'!$C:$C,"&gt;0")</f>
        <v>2.6153846153846154</v>
      </c>
      <c r="R18" s="14">
        <f>SUMIFS('NHL2025-26Results'!$E:$E,'NHL2025-26Results'!$B:$B,A18,'NHL2025-26Results'!$E:$E,"&gt;0")/COUNTIFS('NHL2025-26Results'!$B:$B,A18,'NHL2025-26Results'!$E:$E,"&gt;0")</f>
        <v>3.6923076923076925</v>
      </c>
    </row>
    <row r="19" spans="1:18" x14ac:dyDescent="0.2">
      <c r="A19" s="4" t="s">
        <v>30</v>
      </c>
      <c r="B19">
        <f>SUM(Table1[[#This Row],[W]:[OTL]])</f>
        <v>28</v>
      </c>
      <c r="C19">
        <f>COUNTIF(NHL2025_26Results[Winning Team],Standings!A19)</f>
        <v>15</v>
      </c>
      <c r="D19">
        <f>COUNTIFS('NHL2025-26Results'!$H:$H,A19,'NHL2025-26Results'!$F:$F,"")</f>
        <v>10</v>
      </c>
      <c r="E19">
        <f>COUNTIFS('NHL2025-26Results'!$F:$F,"OT",'NHL2025-26Results'!$H:$H,A19) + COUNTIFS('NHL2025-26Results'!$F:$F,"SO",'NHL2025-26Results'!$H:$H,A19)</f>
        <v>3</v>
      </c>
      <c r="F19" s="3">
        <f>(Table1[[#This Row],[W]]*2)+Table1[[#This Row],[OTL]]</f>
        <v>33</v>
      </c>
      <c r="G19">
        <f>COUNTIFS('NHL2025-26Results'!$D:$D,A19,'NHL2025-26Results'!$G:$G,A19)</f>
        <v>7</v>
      </c>
      <c r="H19">
        <f>COUNTIFS('NHL2025-26Results'!$D:$D,A19,'NHL2025-26Results'!$H:$H,A19,'NHL2025-26Results'!$F:$F,"")</f>
        <v>6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8</v>
      </c>
      <c r="K19">
        <f>COUNTIFS('NHL2025-26Results'!$B:$B,A19,'NHL2025-26Results'!$H:$H,A19,'NHL2025-26Results'!$F:$F,"")</f>
        <v>4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0.46666666666666667</v>
      </c>
      <c r="N19" s="11">
        <f>Table1[[#This Row],[AwayWins]]/SUM(Table1[[#This Row],[AwayWins]:[AwayOTL]])</f>
        <v>0.61538461538461542</v>
      </c>
      <c r="O19" s="14">
        <f>SUMIFS('NHL2025-26Results'!$E:$E,'NHL2025-26Results'!$D:$D,A19,'NHL2025-26Results'!$E:$E,"&gt;0")/COUNTIFS('NHL2025-26Results'!$D:$D,A19,'NHL2025-26Results'!$E:$E,"&gt;0")</f>
        <v>2.8</v>
      </c>
      <c r="P19" s="14">
        <f>SUMIFS('NHL2025-26Results'!$C:$C,'NHL2025-26Results'!$B:$B,A19,'NHL2025-26Results'!$C:$C,"&gt;0")/COUNTIFS('NHL2025-26Results'!$B:$B,A19,'NHL2025-26Results'!$C:$C,"&gt;0")</f>
        <v>3.2307692307692308</v>
      </c>
      <c r="Q19" s="14">
        <f>SUMIFS('NHL2025-26Results'!$C:$C,'NHL2025-26Results'!$D:$D,A19,'NHL2025-26Results'!$C:$C,"&gt;0")/COUNTIFS('NHL2025-26Results'!$D:$D,A19,'NHL2025-26Results'!$C:$C,"&gt;0")</f>
        <v>3.1428571428571428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29</v>
      </c>
      <c r="C20">
        <f>COUNTIF(NHL2025_26Results[Winning Team],Standings!A20)</f>
        <v>15</v>
      </c>
      <c r="D20">
        <f>COUNTIFS('NHL2025-26Results'!$H:$H,A20,'NHL2025-26Results'!$F:$F,"")</f>
        <v>12</v>
      </c>
      <c r="E20">
        <f>COUNTIFS('NHL2025-26Results'!$F:$F,"OT",'NHL2025-26Results'!$H:$H,A20) + COUNTIFS('NHL2025-26Results'!$F:$F,"SO",'NHL2025-26Results'!$H:$H,A20)</f>
        <v>2</v>
      </c>
      <c r="F20" s="3">
        <f>(Table1[[#This Row],[W]]*2)+Table1[[#This Row],[OTL]]</f>
        <v>32</v>
      </c>
      <c r="G20">
        <f>COUNTIFS('NHL2025-26Results'!$D:$D,A20,'NHL2025-26Results'!$G:$G,A20)</f>
        <v>3</v>
      </c>
      <c r="H20">
        <f>COUNTIFS('NHL2025-26Results'!$D:$D,A20,'NHL2025-26Results'!$H:$H,A20,'NHL2025-26Results'!$F:$F,"")</f>
        <v>8</v>
      </c>
      <c r="I20">
        <f>COUNTIFS('NHL2025-26Results'!$D:$D,A20,'NHL2025-26Results'!$H:$H,A20,'NHL2025-26Results'!$F:$F,"OT") + COUNTIFS('NHL2025-26Results'!$D:$D,A20,'NHL2025-26Results'!$H:$H,A20,'NHL2025-26Results'!$F:$F,"SO")</f>
        <v>1</v>
      </c>
      <c r="J20">
        <f>COUNTIFS('NHL2025-26Results'!$B:$B,A20,'NHL2025-26Results'!$G:$G,A20)</f>
        <v>12</v>
      </c>
      <c r="K20">
        <f>COUNTIFS('NHL2025-26Results'!$B:$B,A20,'NHL2025-26Results'!$H:$H,A20,'NHL2025-26Results'!$F:$F,"")</f>
        <v>4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0.25</v>
      </c>
      <c r="N20" s="11">
        <f>Table1[[#This Row],[AwayWins]]/SUM(Table1[[#This Row],[AwayWins]:[AwayOTL]])</f>
        <v>0.70588235294117652</v>
      </c>
      <c r="O20" s="14">
        <f>SUMIFS('NHL2025-26Results'!$E:$E,'NHL2025-26Results'!$D:$D,A20,'NHL2025-26Results'!$E:$E,"&gt;0")/COUNTIFS('NHL2025-26Results'!$D:$D,A20,'NHL2025-26Results'!$E:$E,"&gt;0")</f>
        <v>2.8571428571428572</v>
      </c>
      <c r="P20" s="14">
        <f>SUMIFS('NHL2025-26Results'!$C:$C,'NHL2025-26Results'!$B:$B,A20,'NHL2025-26Results'!$C:$C,"&gt;0")/COUNTIFS('NHL2025-26Results'!$B:$B,A20,'NHL2025-26Results'!$C:$C,"&gt;0")</f>
        <v>3.4705882352941178</v>
      </c>
      <c r="Q20" s="14">
        <f>SUMIFS('NHL2025-26Results'!$C:$C,'NHL2025-26Results'!$D:$D,A20,'NHL2025-26Results'!$C:$C,"&gt;0")/COUNTIFS('NHL2025-26Results'!$D:$D,A20,'NHL2025-26Results'!$C:$C,"&gt;0")</f>
        <v>3</v>
      </c>
      <c r="R20" s="14">
        <f>SUMIFS('NHL2025-26Results'!$E:$E,'NHL2025-26Results'!$B:$B,A20,'NHL2025-26Results'!$E:$E,"&gt;0")/COUNTIFS('NHL2025-26Results'!$B:$B,A20,'NHL2025-26Results'!$E:$E,"&gt;0")</f>
        <v>2.6</v>
      </c>
    </row>
    <row r="21" spans="1:18" x14ac:dyDescent="0.2">
      <c r="A21" s="4" t="s">
        <v>36</v>
      </c>
      <c r="B21">
        <f>SUM(Table1[[#This Row],[W]:[OTL]])</f>
        <v>27</v>
      </c>
      <c r="C21">
        <f>COUNTIF(NHL2025_26Results[Winning Team],Standings!A21)</f>
        <v>13</v>
      </c>
      <c r="D21">
        <f>COUNTIFS('NHL2025-26Results'!$H:$H,A21,'NHL2025-26Results'!$F:$F,"")</f>
        <v>10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30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4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7</v>
      </c>
      <c r="K21">
        <f>COUNTIFS('NHL2025-26Results'!$B:$B,A21,'NHL2025-26Results'!$H:$H,A21,'NHL2025-26Results'!$F:$F,"")</f>
        <v>6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</v>
      </c>
      <c r="N21" s="11">
        <f>Table1[[#This Row],[AwayWins]]/SUM(Table1[[#This Row],[AwayWins]:[AwayOTL]])</f>
        <v>0.46666666666666667</v>
      </c>
      <c r="O21" s="14">
        <f>SUMIFS('NHL2025-26Results'!$E:$E,'NHL2025-26Results'!$D:$D,A21,'NHL2025-26Results'!$E:$E,"&gt;0")/COUNTIFS('NHL2025-26Results'!$D:$D,A21,'NHL2025-26Results'!$E:$E,"&gt;0")</f>
        <v>3.3636363636363638</v>
      </c>
      <c r="P21" s="14">
        <f>SUMIFS('NHL2025-26Results'!$C:$C,'NHL2025-26Results'!$B:$B,A21,'NHL2025-26Results'!$C:$C,"&gt;0")/COUNTIFS('NHL2025-26Results'!$B:$B,A21,'NHL2025-26Results'!$C:$C,"&gt;0")</f>
        <v>3.2666666666666666</v>
      </c>
      <c r="Q21" s="14">
        <f>SUMIFS('NHL2025-26Results'!$C:$C,'NHL2025-26Results'!$D:$D,A21,'NHL2025-26Results'!$C:$C,"&gt;0")/COUNTIFS('NHL2025-26Results'!$D:$D,A21,'NHL2025-26Results'!$C:$C,"&gt;0")</f>
        <v>2.8333333333333335</v>
      </c>
      <c r="R21" s="14">
        <f>SUMIFS('NHL2025-26Results'!$E:$E,'NHL2025-26Results'!$B:$B,A21,'NHL2025-26Results'!$E:$E,"&gt;0")/COUNTIFS('NHL2025-26Results'!$B:$B,A21,'NHL2025-26Results'!$E:$E,"&gt;0")</f>
        <v>3.7333333333333334</v>
      </c>
    </row>
    <row r="22" spans="1:18" x14ac:dyDescent="0.2">
      <c r="A22" s="4" t="s">
        <v>27</v>
      </c>
      <c r="B22">
        <f>SUM(Table1[[#This Row],[W]:[OTL]])</f>
        <v>26</v>
      </c>
      <c r="C22">
        <f>COUNTIF(NHL2025_26Results[Winning Team],Standings!A22)</f>
        <v>15</v>
      </c>
      <c r="D22">
        <f>COUNTIFS('NHL2025-26Results'!$H:$H,A22,'NHL2025-26Results'!$F:$F,"")</f>
        <v>8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33</v>
      </c>
      <c r="G22">
        <f>COUNTIFS('NHL2025-26Results'!$D:$D,A22,'NHL2025-26Results'!$G:$G,A22)</f>
        <v>9</v>
      </c>
      <c r="H22">
        <f>COUNTIFS('NHL2025-26Results'!$D:$D,A22,'NHL2025-26Results'!$H:$H,A22,'NHL2025-26Results'!$F:$F,"")</f>
        <v>4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6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0.6</v>
      </c>
      <c r="N22" s="11">
        <f>Table1[[#This Row],[AwayWins]]/SUM(Table1[[#This Row],[AwayWins]:[AwayOTL]])</f>
        <v>0.54545454545454541</v>
      </c>
      <c r="O22" s="14">
        <f>SUMIFS('NHL2025-26Results'!$E:$E,'NHL2025-26Results'!$D:$D,A22,'NHL2025-26Results'!$E:$E,"&gt;0")/COUNTIFS('NHL2025-26Results'!$D:$D,A22,'NHL2025-26Results'!$E:$E,"&gt;0")</f>
        <v>3.0666666666666669</v>
      </c>
      <c r="P22" s="14">
        <f>SUMIFS('NHL2025-26Results'!$C:$C,'NHL2025-26Results'!$B:$B,A22,'NHL2025-26Results'!$C:$C,"&gt;0")/COUNTIFS('NHL2025-26Results'!$B:$B,A22,'NHL2025-26Results'!$C:$C,"&gt;0")</f>
        <v>3.3</v>
      </c>
      <c r="Q22" s="14">
        <f>SUMIFS('NHL2025-26Results'!$C:$C,'NHL2025-26Results'!$D:$D,A22,'NHL2025-26Results'!$C:$C,"&gt;0")/COUNTIFS('NHL2025-26Results'!$D:$D,A22,'NHL2025-26Results'!$C:$C,"&gt;0")</f>
        <v>2.6666666666666665</v>
      </c>
      <c r="R22" s="14">
        <f>SUMIFS('NHL2025-26Results'!$E:$E,'NHL2025-26Results'!$B:$B,A22,'NHL2025-26Results'!$E:$E,"&gt;0")/COUNTIFS('NHL2025-26Results'!$B:$B,A22,'NHL2025-26Results'!$E:$E,"&gt;0")</f>
        <v>3.0909090909090908</v>
      </c>
    </row>
    <row r="23" spans="1:18" x14ac:dyDescent="0.2">
      <c r="A23" s="4" t="s">
        <v>14</v>
      </c>
      <c r="B23">
        <f>SUM(Table1[[#This Row],[W]:[OTL]])</f>
        <v>26</v>
      </c>
      <c r="C23">
        <f>COUNTIF(NHL2025_26Results[Winning Team],Standings!A23)</f>
        <v>14</v>
      </c>
      <c r="D23">
        <f>COUNTIFS('NHL2025-26Results'!$H:$H,A23,'NHL2025-26Results'!$F:$F,"")</f>
        <v>7</v>
      </c>
      <c r="E23">
        <f>COUNTIFS('NHL2025-26Results'!$F:$F,"OT",'NHL2025-26Results'!$H:$H,A23) + COUNTIFS('NHL2025-26Results'!$F:$F,"SO",'NHL2025-26Results'!$H:$H,A23)</f>
        <v>5</v>
      </c>
      <c r="F23" s="3">
        <f>(Table1[[#This Row],[W]]*2)+Table1[[#This Row],[OTL]]</f>
        <v>33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4</v>
      </c>
      <c r="I23">
        <f>COUNTIFS('NHL2025-26Results'!$D:$D,A23,'NHL2025-26Results'!$H:$H,A23,'NHL2025-26Results'!$F:$F,"OT") + COUNTIFS('NHL2025-26Results'!$D:$D,A23,'NHL2025-26Results'!$H:$H,A23,'NHL2025-26Results'!$F:$F,"SO")</f>
        <v>2</v>
      </c>
      <c r="J23">
        <f>COUNTIFS('NHL2025-26Results'!$B:$B,A23,'NHL2025-26Results'!$G:$G,A23)</f>
        <v>8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3</v>
      </c>
      <c r="M23" s="11">
        <f>Table1[[#This Row],[HomeWins]]/SUM(Table1[[#This Row],[HomeWins]:[HomeOTL]])</f>
        <v>0.5</v>
      </c>
      <c r="N23" s="11">
        <f>Table1[[#This Row],[AwayWins]]/SUM(Table1[[#This Row],[AwayWins]:[AwayOTL]])</f>
        <v>0.5714285714285714</v>
      </c>
      <c r="O23" s="14">
        <f>SUMIFS('NHL2025-26Results'!$E:$E,'NHL2025-26Results'!$D:$D,A23,'NHL2025-26Results'!$E:$E,"&gt;0")/COUNTIFS('NHL2025-26Results'!$D:$D,A23,'NHL2025-26Results'!$E:$E,"&gt;0")</f>
        <v>3.5454545454545454</v>
      </c>
      <c r="P23" s="14">
        <f>SUMIFS('NHL2025-26Results'!$C:$C,'NHL2025-26Results'!$B:$B,A23,'NHL2025-26Results'!$C:$C,"&gt;0")/COUNTIFS('NHL2025-26Results'!$B:$B,A23,'NHL2025-26Results'!$C:$C,"&gt;0")</f>
        <v>3.1428571428571428</v>
      </c>
      <c r="Q23" s="14">
        <f>SUMIFS('NHL2025-26Results'!$C:$C,'NHL2025-26Results'!$D:$D,A23,'NHL2025-26Results'!$C:$C,"&gt;0")/COUNTIFS('NHL2025-26Results'!$D:$D,A23,'NHL2025-26Results'!$C:$C,"&gt;0")</f>
        <v>3.7272727272727271</v>
      </c>
      <c r="R23" s="14">
        <f>SUMIFS('NHL2025-26Results'!$E:$E,'NHL2025-26Results'!$B:$B,A23,'NHL2025-26Results'!$E:$E,"&gt;0")/COUNTIFS('NHL2025-26Results'!$B:$B,A23,'NHL2025-26Results'!$E:$E,"&gt;0")</f>
        <v>2.75</v>
      </c>
    </row>
    <row r="24" spans="1:18" x14ac:dyDescent="0.2">
      <c r="A24" s="4" t="s">
        <v>33</v>
      </c>
      <c r="B24">
        <f>SUM(Table1[[#This Row],[W]:[OTL]])</f>
        <v>28</v>
      </c>
      <c r="C24">
        <f>COUNTIF(NHL2025_26Results[Winning Team],Standings!A24)</f>
        <v>13</v>
      </c>
      <c r="D24">
        <f>COUNTIFS('NHL2025-26Results'!$H:$H,A24,'NHL2025-26Results'!$F:$F,"")</f>
        <v>12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29</v>
      </c>
      <c r="G24">
        <f>COUNTIFS('NHL2025-26Results'!$D:$D,A24,'NHL2025-26Results'!$G:$G,A24)</f>
        <v>9</v>
      </c>
      <c r="H24">
        <f>COUNTIFS('NHL2025-26Results'!$D:$D,A24,'NHL2025-26Results'!$H:$H,A24,'NHL2025-26Results'!$F:$F,"")</f>
        <v>5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4</v>
      </c>
      <c r="K24">
        <f>COUNTIFS('NHL2025-26Results'!$B:$B,A24,'NHL2025-26Results'!$H:$H,A24,'NHL2025-26Results'!$F:$F,"")</f>
        <v>7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0.52941176470588236</v>
      </c>
      <c r="N24" s="11">
        <f>Table1[[#This Row],[AwayWins]]/SUM(Table1[[#This Row],[AwayWins]:[AwayOTL]])</f>
        <v>0.36363636363636365</v>
      </c>
      <c r="O24" s="14">
        <f>SUMIFS('NHL2025-26Results'!$E:$E,'NHL2025-26Results'!$D:$D,A24,'NHL2025-26Results'!$E:$E,"&gt;0")/COUNTIFS('NHL2025-26Results'!$D:$D,A24,'NHL2025-26Results'!$E:$E,"&gt;0")</f>
        <v>3.125</v>
      </c>
      <c r="P24" s="14">
        <f>SUMIFS('NHL2025-26Results'!$C:$C,'NHL2025-26Results'!$B:$B,A24,'NHL2025-26Results'!$C:$C,"&gt;0")/COUNTIFS('NHL2025-26Results'!$B:$B,A24,'NHL2025-26Results'!$C:$C,"&gt;0")</f>
        <v>3.4444444444444446</v>
      </c>
      <c r="Q24" s="14">
        <f>SUMIFS('NHL2025-26Results'!$C:$C,'NHL2025-26Results'!$D:$D,A24,'NHL2025-26Results'!$C:$C,"&gt;0")/COUNTIFS('NHL2025-26Results'!$D:$D,A24,'NHL2025-26Results'!$C:$C,"&gt;0")</f>
        <v>3.1176470588235294</v>
      </c>
      <c r="R24" s="14">
        <f>SUMIFS('NHL2025-26Results'!$E:$E,'NHL2025-26Results'!$B:$B,A24,'NHL2025-26Results'!$E:$E,"&gt;0")/COUNTIFS('NHL2025-26Results'!$B:$B,A24,'NHL2025-26Results'!$E:$E,"&gt;0")</f>
        <v>3.7272727272727271</v>
      </c>
    </row>
    <row r="25" spans="1:18" x14ac:dyDescent="0.2">
      <c r="A25" s="4" t="s">
        <v>32</v>
      </c>
      <c r="B25">
        <f>SUM(Table1[[#This Row],[W]:[OTL]])</f>
        <v>25</v>
      </c>
      <c r="C25">
        <f>COUNTIF(NHL2025_26Results[Winning Team],Standings!A25)</f>
        <v>11</v>
      </c>
      <c r="D25">
        <f>COUNTIFS('NHL2025-26Results'!$H:$H,A25,'NHL2025-26Results'!$F:$F,"")</f>
        <v>8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28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3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5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0.5</v>
      </c>
      <c r="N25" s="11">
        <f>Table1[[#This Row],[AwayWins]]/SUM(Table1[[#This Row],[AwayWins]:[AwayOTL]])</f>
        <v>0.38461538461538464</v>
      </c>
      <c r="O25" s="14">
        <f>SUMIFS('NHL2025-26Results'!$E:$E,'NHL2025-26Results'!$D:$D,A25,'NHL2025-26Results'!$E:$E,"&gt;0")/COUNTIFS('NHL2025-26Results'!$D:$D,A25,'NHL2025-26Results'!$E:$E,"&gt;0")</f>
        <v>2.6363636363636362</v>
      </c>
      <c r="P25" s="14">
        <f>SUMIFS('NHL2025-26Results'!$C:$C,'NHL2025-26Results'!$B:$B,A25,'NHL2025-26Results'!$C:$C,"&gt;0")/COUNTIFS('NHL2025-26Results'!$B:$B,A25,'NHL2025-26Results'!$C:$C,"&gt;0")</f>
        <v>2.8333333333333335</v>
      </c>
      <c r="Q25" s="14">
        <f>SUMIFS('NHL2025-26Results'!$C:$C,'NHL2025-26Results'!$D:$D,A25,'NHL2025-26Results'!$C:$C,"&gt;0")/COUNTIFS('NHL2025-26Results'!$D:$D,A25,'NHL2025-26Results'!$C:$C,"&gt;0")</f>
        <v>2.5833333333333335</v>
      </c>
      <c r="R25" s="14">
        <f>SUMIFS('NHL2025-26Results'!$E:$E,'NHL2025-26Results'!$B:$B,A25,'NHL2025-26Results'!$E:$E,"&gt;0")/COUNTIFS('NHL2025-26Results'!$B:$B,A25,'NHL2025-26Results'!$E:$E,"&gt;0")</f>
        <v>3.6666666666666665</v>
      </c>
    </row>
    <row r="26" spans="1:18" x14ac:dyDescent="0.2">
      <c r="A26" s="4" t="s">
        <v>35</v>
      </c>
      <c r="B26">
        <f>SUM(Table1[[#This Row],[W]:[OTL]])</f>
        <v>28</v>
      </c>
      <c r="C26">
        <f>COUNTIF(NHL2025_26Results[Winning Team],Standings!A26)</f>
        <v>9</v>
      </c>
      <c r="D26">
        <f>COUNTIFS('NHL2025-26Results'!$H:$H,A26,'NHL2025-26Results'!$F:$F,"")</f>
        <v>12</v>
      </c>
      <c r="E26">
        <f>COUNTIFS('NHL2025-26Results'!$F:$F,"OT",'NHL2025-26Results'!$H:$H,A26) + COUNTIFS('NHL2025-26Results'!$F:$F,"SO",'NHL2025-26Results'!$H:$H,A26)</f>
        <v>7</v>
      </c>
      <c r="F26" s="3">
        <f>(Table1[[#This Row],[W]]*2)+Table1[[#This Row],[OTL]]</f>
        <v>25</v>
      </c>
      <c r="G26">
        <f>COUNTIFS('NHL2025-26Results'!$D:$D,A26,'NHL2025-26Results'!$G:$G,A26)</f>
        <v>5</v>
      </c>
      <c r="H26">
        <f>COUNTIFS('NHL2025-26Results'!$D:$D,A26,'NHL2025-26Results'!$H:$H,A26,'NHL2025-26Results'!$F:$F,"")</f>
        <v>6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4</v>
      </c>
      <c r="K26">
        <f>COUNTIFS('NHL2025-26Results'!$B:$B,A26,'NHL2025-26Results'!$H:$H,A26,'NHL2025-26Results'!$F:$F,"")</f>
        <v>6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0.33333333333333331</v>
      </c>
      <c r="N26" s="11">
        <f>Table1[[#This Row],[AwayWins]]/SUM(Table1[[#This Row],[AwayWins]:[AwayOTL]])</f>
        <v>0.30769230769230771</v>
      </c>
      <c r="O26" s="14">
        <f>SUMIFS('NHL2025-26Results'!$E:$E,'NHL2025-26Results'!$D:$D,A26,'NHL2025-26Results'!$E:$E,"&gt;0")/COUNTIFS('NHL2025-26Results'!$D:$D,A26,'NHL2025-26Results'!$E:$E,"&gt;0")</f>
        <v>2.6428571428571428</v>
      </c>
      <c r="P26" s="14">
        <f>SUMIFS('NHL2025-26Results'!$C:$C,'NHL2025-26Results'!$B:$B,A26,'NHL2025-26Results'!$C:$C,"&gt;0")/COUNTIFS('NHL2025-26Results'!$B:$B,A26,'NHL2025-26Results'!$C:$C,"&gt;0")</f>
        <v>2.6153846153846154</v>
      </c>
      <c r="Q26" s="14">
        <f>SUMIFS('NHL2025-26Results'!$C:$C,'NHL2025-26Results'!$D:$D,A26,'NHL2025-26Results'!$C:$C,"&gt;0")/COUNTIFS('NHL2025-26Results'!$D:$D,A26,'NHL2025-26Results'!$C:$C,"&gt;0")</f>
        <v>4.0714285714285712</v>
      </c>
      <c r="R26" s="14">
        <f>SUMIFS('NHL2025-26Results'!$E:$E,'NHL2025-26Results'!$B:$B,A26,'NHL2025-26Results'!$E:$E,"&gt;0")/COUNTIFS('NHL2025-26Results'!$B:$B,A26,'NHL2025-26Results'!$E:$E,"&gt;0")</f>
        <v>3.5833333333333335</v>
      </c>
    </row>
    <row r="27" spans="1:18" x14ac:dyDescent="0.2">
      <c r="A27" s="4" t="s">
        <v>37</v>
      </c>
      <c r="B27">
        <f>SUM(Table1[[#This Row],[W]:[OTL]])</f>
        <v>27</v>
      </c>
      <c r="C27">
        <f>COUNTIF(NHL2025_26Results[Winning Team],Standings!A27)</f>
        <v>16</v>
      </c>
      <c r="D27">
        <f>COUNTIFS('NHL2025-26Results'!$H:$H,A27,'NHL2025-26Results'!$F:$F,"")</f>
        <v>9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34</v>
      </c>
      <c r="G27">
        <f>COUNTIFS('NHL2025-26Results'!$D:$D,A27,'NHL2025-26Results'!$G:$G,A27)</f>
        <v>8</v>
      </c>
      <c r="H27">
        <f>COUNTIFS('NHL2025-26Results'!$D:$D,A27,'NHL2025-26Results'!$H:$H,A27,'NHL2025-26Results'!$F:$F,"")</f>
        <v>6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8</v>
      </c>
      <c r="K27">
        <f>COUNTIFS('NHL2025-26Results'!$B:$B,A27,'NHL2025-26Results'!$H:$H,A27,'NHL2025-26Results'!$F:$F,"")</f>
        <v>3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0.5714285714285714</v>
      </c>
      <c r="N27" s="11">
        <f>Table1[[#This Row],[AwayWins]]/SUM(Table1[[#This Row],[AwayWins]:[AwayOTL]])</f>
        <v>0.61538461538461542</v>
      </c>
      <c r="O27" s="14">
        <f>SUMIFS('NHL2025-26Results'!$E:$E,'NHL2025-26Results'!$D:$D,A27,'NHL2025-26Results'!$E:$E,"&gt;0")/COUNTIFS('NHL2025-26Results'!$D:$D,A27,'NHL2025-26Results'!$E:$E,"&gt;0")</f>
        <v>3.0714285714285716</v>
      </c>
      <c r="P27" s="14">
        <f>SUMIFS('NHL2025-26Results'!$C:$C,'NHL2025-26Results'!$B:$B,A27,'NHL2025-26Results'!$C:$C,"&gt;0")/COUNTIFS('NHL2025-26Results'!$B:$B,A27,'NHL2025-26Results'!$C:$C,"&gt;0")</f>
        <v>3.4615384615384617</v>
      </c>
      <c r="Q27" s="14">
        <f>SUMIFS('NHL2025-26Results'!$C:$C,'NHL2025-26Results'!$D:$D,A27,'NHL2025-26Results'!$C:$C,"&gt;0")/COUNTIFS('NHL2025-26Results'!$D:$D,A27,'NHL2025-26Results'!$C:$C,"&gt;0")</f>
        <v>3.0769230769230771</v>
      </c>
      <c r="R27" s="14">
        <f>SUMIFS('NHL2025-26Results'!$E:$E,'NHL2025-26Results'!$B:$B,A27,'NHL2025-26Results'!$E:$E,"&gt;0")/COUNTIFS('NHL2025-26Results'!$B:$B,A27,'NHL2025-26Results'!$E:$E,"&gt;0")</f>
        <v>2.3846153846153846</v>
      </c>
    </row>
    <row r="28" spans="1:18" x14ac:dyDescent="0.2">
      <c r="A28" s="4" t="s">
        <v>19</v>
      </c>
      <c r="B28">
        <f>SUM(Table1[[#This Row],[W]:[OTL]])</f>
        <v>27</v>
      </c>
      <c r="C28">
        <f>COUNTIF(NHL2025_26Results[Winning Team],Standings!A28)</f>
        <v>13</v>
      </c>
      <c r="D28">
        <f>COUNTIFS('NHL2025-26Results'!$H:$H,A28,'NHL2025-26Results'!$F:$F,"")</f>
        <v>11</v>
      </c>
      <c r="E28">
        <f>COUNTIFS('NHL2025-26Results'!$F:$F,"OT",'NHL2025-26Results'!$H:$H,A28) + COUNTIFS('NHL2025-26Results'!$F:$F,"SO",'NHL2025-26Results'!$H:$H,A28)</f>
        <v>3</v>
      </c>
      <c r="F28" s="3">
        <f>(Table1[[#This Row],[W]]*2)+Table1[[#This Row],[OTL]]</f>
        <v>29</v>
      </c>
      <c r="G28">
        <f>COUNTIFS('NHL2025-26Results'!$D:$D,A28,'NHL2025-26Results'!$G:$G,A28)</f>
        <v>8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3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7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0.53333333333333333</v>
      </c>
      <c r="N28" s="11">
        <f>Table1[[#This Row],[AwayWins]]/SUM(Table1[[#This Row],[AwayWins]:[AwayOTL]])</f>
        <v>0.41666666666666669</v>
      </c>
      <c r="O28" s="14">
        <f>SUMIFS('NHL2025-26Results'!$E:$E,'NHL2025-26Results'!$D:$D,A28,'NHL2025-26Results'!$E:$E,"&gt;0")/COUNTIFS('NHL2025-26Results'!$D:$D,A28,'NHL2025-26Results'!$E:$E,"&gt;0")</f>
        <v>3.5333333333333332</v>
      </c>
      <c r="P28" s="14">
        <f>SUMIFS('NHL2025-26Results'!$C:$C,'NHL2025-26Results'!$B:$B,A28,'NHL2025-26Results'!$C:$C,"&gt;0")/COUNTIFS('NHL2025-26Results'!$B:$B,A28,'NHL2025-26Results'!$C:$C,"&gt;0")</f>
        <v>3.4166666666666665</v>
      </c>
      <c r="Q28" s="14">
        <f>SUMIFS('NHL2025-26Results'!$C:$C,'NHL2025-26Results'!$D:$D,A28,'NHL2025-26Results'!$C:$C,"&gt;0")/COUNTIFS('NHL2025-26Results'!$D:$D,A28,'NHL2025-26Results'!$C:$C,"&gt;0")</f>
        <v>3.3333333333333335</v>
      </c>
      <c r="R28" s="14">
        <f>SUMIFS('NHL2025-26Results'!$E:$E,'NHL2025-26Results'!$B:$B,A28,'NHL2025-26Results'!$E:$E,"&gt;0")/COUNTIFS('NHL2025-26Results'!$B:$B,A28,'NHL2025-26Results'!$E:$E,"&gt;0")</f>
        <v>3.4166666666666665</v>
      </c>
    </row>
    <row r="29" spans="1:18" x14ac:dyDescent="0.2">
      <c r="A29" t="s">
        <v>55</v>
      </c>
      <c r="B29">
        <f>SUM(Table1[[#This Row],[W]:[OTL]])</f>
        <v>28</v>
      </c>
      <c r="C29">
        <f>COUNTIF(NHL2025_26Results[Winning Team],Standings!A29)</f>
        <v>13</v>
      </c>
      <c r="D29">
        <f>COUNTIFS('NHL2025-26Results'!$H:$H,A29,'NHL2025-26Results'!$F:$F,"")</f>
        <v>12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29</v>
      </c>
      <c r="G29">
        <f>COUNTIFS('NHL2025-26Results'!$D:$D,A29,'NHL2025-26Results'!$G:$G,A29)</f>
        <v>7</v>
      </c>
      <c r="H29">
        <f>COUNTIFS('NHL2025-26Results'!$D:$D,A29,'NHL2025-26Results'!$H:$H,A29,'NHL2025-26Results'!$F:$F,"")</f>
        <v>3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6</v>
      </c>
      <c r="K29">
        <f>COUNTIFS('NHL2025-26Results'!$B:$B,A29,'NHL2025-26Results'!$H:$H,A29,'NHL2025-26Results'!$F:$F,"")</f>
        <v>9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0.63636363636363635</v>
      </c>
      <c r="N29" s="11">
        <f>Table1[[#This Row],[AwayWins]]/SUM(Table1[[#This Row],[AwayWins]:[AwayOTL]])</f>
        <v>0.35294117647058826</v>
      </c>
      <c r="O29" s="14">
        <f>SUMIFS('NHL2025-26Results'!$E:$E,'NHL2025-26Results'!$D:$D,A29,'NHL2025-26Results'!$E:$E,"&gt;0")/COUNTIFS('NHL2025-26Results'!$D:$D,A29,'NHL2025-26Results'!$E:$E,"&gt;0")</f>
        <v>3.3636363636363638</v>
      </c>
      <c r="P29" s="14">
        <f>SUMIFS('NHL2025-26Results'!$C:$C,'NHL2025-26Results'!$B:$B,A29,'NHL2025-26Results'!$C:$C,"&gt;0")/COUNTIFS('NHL2025-26Results'!$B:$B,A29,'NHL2025-26Results'!$C:$C,"&gt;0")</f>
        <v>3.125</v>
      </c>
      <c r="Q29" s="14">
        <f>SUMIFS('NHL2025-26Results'!$C:$C,'NHL2025-26Results'!$D:$D,A29,'NHL2025-26Results'!$C:$C,"&gt;0")/COUNTIFS('NHL2025-26Results'!$D:$D,A29,'NHL2025-26Results'!$C:$C,"&gt;0")</f>
        <v>2.6363636363636362</v>
      </c>
      <c r="R29" s="14">
        <f>SUMIFS('NHL2025-26Results'!$E:$E,'NHL2025-26Results'!$B:$B,A29,'NHL2025-26Results'!$E:$E,"&gt;0")/COUNTIFS('NHL2025-26Results'!$B:$B,A29,'NHL2025-26Results'!$E:$E,"&gt;0")</f>
        <v>3.375</v>
      </c>
    </row>
    <row r="30" spans="1:18" x14ac:dyDescent="0.2">
      <c r="A30" s="4" t="s">
        <v>38</v>
      </c>
      <c r="B30">
        <f>SUM(Table1[[#This Row],[W]:[OTL]])</f>
        <v>27</v>
      </c>
      <c r="C30">
        <f>COUNTIF(NHL2025_26Results[Winning Team],Standings!A30)</f>
        <v>10</v>
      </c>
      <c r="D30">
        <f>COUNTIFS('NHL2025-26Results'!$H:$H,A30,'NHL2025-26Results'!$F:$F,"")</f>
        <v>14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23</v>
      </c>
      <c r="G30">
        <f>COUNTIFS('NHL2025-26Results'!$D:$D,A30,'NHL2025-26Results'!$G:$G,A30)</f>
        <v>3</v>
      </c>
      <c r="H30">
        <f>COUNTIFS('NHL2025-26Results'!$D:$D,A30,'NHL2025-26Results'!$H:$H,A30,'NHL2025-26Results'!$F:$F,"")</f>
        <v>7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7</v>
      </c>
      <c r="K30">
        <f>COUNTIFS('NHL2025-26Results'!$B:$B,A30,'NHL2025-26Results'!$H:$H,A30,'NHL2025-26Results'!$F:$F,"")</f>
        <v>7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0.27272727272727271</v>
      </c>
      <c r="N30" s="11">
        <f>Table1[[#This Row],[AwayWins]]/SUM(Table1[[#This Row],[AwayWins]:[AwayOTL]])</f>
        <v>0.4375</v>
      </c>
      <c r="O30" s="14">
        <f>SUMIFS('NHL2025-26Results'!$E:$E,'NHL2025-26Results'!$D:$D,A30,'NHL2025-26Results'!$E:$E,"&gt;0")/COUNTIFS('NHL2025-26Results'!$D:$D,A30,'NHL2025-26Results'!$E:$E,"&gt;0")</f>
        <v>3.1</v>
      </c>
      <c r="P30" s="14">
        <f>SUMIFS('NHL2025-26Results'!$C:$C,'NHL2025-26Results'!$B:$B,A30,'NHL2025-26Results'!$C:$C,"&gt;0")/COUNTIFS('NHL2025-26Results'!$B:$B,A30,'NHL2025-26Results'!$C:$C,"&gt;0")</f>
        <v>3.0625</v>
      </c>
      <c r="Q30" s="14">
        <f>SUMIFS('NHL2025-26Results'!$C:$C,'NHL2025-26Results'!$D:$D,A30,'NHL2025-26Results'!$C:$C,"&gt;0")/COUNTIFS('NHL2025-26Results'!$D:$D,A30,'NHL2025-26Results'!$C:$C,"&gt;0")</f>
        <v>3.8181818181818183</v>
      </c>
      <c r="R30" s="14">
        <f>SUMIFS('NHL2025-26Results'!$E:$E,'NHL2025-26Results'!$B:$B,A30,'NHL2025-26Results'!$E:$E,"&gt;0")/COUNTIFS('NHL2025-26Results'!$B:$B,A30,'NHL2025-26Results'!$E:$E,"&gt;0")</f>
        <v>3.5</v>
      </c>
    </row>
    <row r="31" spans="1:18" x14ac:dyDescent="0.2">
      <c r="A31" s="4" t="s">
        <v>20</v>
      </c>
      <c r="B31">
        <f>SUM(Table1[[#This Row],[W]:[OTL]])</f>
        <v>26</v>
      </c>
      <c r="C31">
        <f>COUNTIF(NHL2025_26Results[Winning Team],Standings!A31)</f>
        <v>12</v>
      </c>
      <c r="D31">
        <f>COUNTIFS('NHL2025-26Results'!$H:$H,A31,'NHL2025-26Results'!$F:$F,"")</f>
        <v>6</v>
      </c>
      <c r="E31">
        <f>COUNTIFS('NHL2025-26Results'!$F:$F,"OT",'NHL2025-26Results'!$H:$H,A31) + COUNTIFS('NHL2025-26Results'!$F:$F,"SO",'NHL2025-26Results'!$H:$H,A31)</f>
        <v>8</v>
      </c>
      <c r="F31" s="3">
        <f>(Table1[[#This Row],[W]]*2)+Table1[[#This Row],[OTL]]</f>
        <v>32</v>
      </c>
      <c r="G31">
        <f>COUNTIFS('NHL2025-26Results'!$D:$D,A31,'NHL2025-26Results'!$G:$G,A31)</f>
        <v>7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4</v>
      </c>
      <c r="J31">
        <f>COUNTIFS('NHL2025-26Results'!$B:$B,A31,'NHL2025-26Results'!$G:$G,A31)</f>
        <v>5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4</v>
      </c>
      <c r="M31" s="11">
        <f>Table1[[#This Row],[HomeWins]]/SUM(Table1[[#This Row],[HomeWins]:[HomeOTL]])</f>
        <v>0.46666666666666667</v>
      </c>
      <c r="N31" s="11">
        <f>Table1[[#This Row],[AwayWins]]/SUM(Table1[[#This Row],[AwayWins]:[AwayOTL]])</f>
        <v>0.45454545454545453</v>
      </c>
      <c r="O31" s="14">
        <f>SUMIFS('NHL2025-26Results'!$E:$E,'NHL2025-26Results'!$D:$D,A31,'NHL2025-26Results'!$E:$E,"&gt;0")/COUNTIFS('NHL2025-26Results'!$D:$D,A31,'NHL2025-26Results'!$E:$E,"&gt;0")</f>
        <v>3.3333333333333335</v>
      </c>
      <c r="P31" s="14">
        <f>SUMIFS('NHL2025-26Results'!$C:$C,'NHL2025-26Results'!$B:$B,A31,'NHL2025-26Results'!$C:$C,"&gt;0")/COUNTIFS('NHL2025-26Results'!$B:$B,A31,'NHL2025-26Results'!$C:$C,"&gt;0")</f>
        <v>3</v>
      </c>
      <c r="Q31" s="14">
        <f>SUMIFS('NHL2025-26Results'!$C:$C,'NHL2025-26Results'!$D:$D,A31,'NHL2025-26Results'!$C:$C,"&gt;0")/COUNTIFS('NHL2025-26Results'!$D:$D,A31,'NHL2025-26Results'!$C:$C,"&gt;0")</f>
        <v>3.5714285714285716</v>
      </c>
      <c r="R31" s="14">
        <f>SUMIFS('NHL2025-26Results'!$E:$E,'NHL2025-26Results'!$B:$B,A31,'NHL2025-26Results'!$E:$E,"&gt;0")/COUNTIFS('NHL2025-26Results'!$B:$B,A31,'NHL2025-26Results'!$E:$E,"&gt;0")</f>
        <v>2.6363636363636362</v>
      </c>
    </row>
    <row r="32" spans="1:18" x14ac:dyDescent="0.2">
      <c r="A32" s="4" t="s">
        <v>22</v>
      </c>
      <c r="B32">
        <f>SUM(Table1[[#This Row],[W]:[OTL]])</f>
        <v>28</v>
      </c>
      <c r="C32">
        <f>COUNTIF(NHL2025_26Results[Winning Team],Standings!A32)</f>
        <v>17</v>
      </c>
      <c r="D32">
        <f>COUNTIFS('NHL2025-26Results'!$H:$H,A32,'NHL2025-26Results'!$F:$F,"")</f>
        <v>9</v>
      </c>
      <c r="E32">
        <f>COUNTIFS('NHL2025-26Results'!$F:$F,"OT",'NHL2025-26Results'!$H:$H,A32) + COUNTIFS('NHL2025-26Results'!$F:$F,"SO",'NHL2025-26Results'!$H:$H,A32)</f>
        <v>2</v>
      </c>
      <c r="F32" s="3">
        <f>(Table1[[#This Row],[W]]*2)+Table1[[#This Row],[OTL]]</f>
        <v>36</v>
      </c>
      <c r="G32">
        <f>COUNTIFS('NHL2025-26Results'!$D:$D,A32,'NHL2025-26Results'!$G:$G,A32)</f>
        <v>9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8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1</v>
      </c>
      <c r="M32" s="11">
        <f>Table1[[#This Row],[HomeWins]]/SUM(Table1[[#This Row],[HomeWins]:[HomeOTL]])</f>
        <v>0.6</v>
      </c>
      <c r="N32" s="11">
        <f>Table1[[#This Row],[AwayWins]]/SUM(Table1[[#This Row],[AwayWins]:[AwayOTL]])</f>
        <v>0.61538461538461542</v>
      </c>
      <c r="O32" s="14">
        <f>SUMIFS('NHL2025-26Results'!$E:$E,'NHL2025-26Results'!$D:$D,A32,'NHL2025-26Results'!$E:$E,"&gt;0")/COUNTIFS('NHL2025-26Results'!$D:$D,A32,'NHL2025-26Results'!$E:$E,"&gt;0")</f>
        <v>3.4</v>
      </c>
      <c r="P32" s="14">
        <f>SUMIFS('NHL2025-26Results'!$C:$C,'NHL2025-26Results'!$B:$B,A32,'NHL2025-26Results'!$C:$C,"&gt;0")/COUNTIFS('NHL2025-26Results'!$B:$B,A32,'NHL2025-26Results'!$C:$C,"&gt;0")</f>
        <v>3.9166666666666665</v>
      </c>
      <c r="Q32" s="14">
        <f>SUMIFS('NHL2025-26Results'!$C:$C,'NHL2025-26Results'!$D:$D,A32,'NHL2025-26Results'!$C:$C,"&gt;0")/COUNTIFS('NHL2025-26Results'!$D:$D,A32,'NHL2025-26Results'!$C:$C,"&gt;0")</f>
        <v>2.7333333333333334</v>
      </c>
      <c r="R32" s="14">
        <f>SUMIFS('NHL2025-26Results'!$E:$E,'NHL2025-26Results'!$B:$B,A32,'NHL2025-26Results'!$E:$E,"&gt;0")/COUNTIFS('NHL2025-26Results'!$B:$B,A32,'NHL2025-26Results'!$E:$E,"&gt;0")</f>
        <v>2.5</v>
      </c>
    </row>
    <row r="33" spans="1:18" x14ac:dyDescent="0.2">
      <c r="A33" s="4" t="s">
        <v>40</v>
      </c>
      <c r="B33">
        <f>SUM(Table1[[#This Row],[W]:[OTL]])</f>
        <v>26</v>
      </c>
      <c r="C33">
        <f>COUNTIF(NHL2025_26Results[Winning Team],Standings!A33)</f>
        <v>13</v>
      </c>
      <c r="D33">
        <f>COUNTIFS('NHL2025-26Results'!$H:$H,A33,'NHL2025-26Results'!$F:$F,"")</f>
        <v>12</v>
      </c>
      <c r="E33">
        <f>COUNTIFS('NHL2025-26Results'!$F:$F,"OT",'NHL2025-26Results'!$H:$H,A33) + COUNTIFS('NHL2025-26Results'!$F:$F,"SO",'NHL2025-26Results'!$H:$H,A33)</f>
        <v>1</v>
      </c>
      <c r="F33" s="3">
        <f>(Table1[[#This Row],[W]]*2)+Table1[[#This Row],[OTL]]</f>
        <v>27</v>
      </c>
      <c r="G33">
        <f>COUNTIFS('NHL2025-26Results'!$D:$D,A33,'NHL2025-26Results'!$G:$G,A33)</f>
        <v>6</v>
      </c>
      <c r="H33">
        <f>COUNTIFS('NHL2025-26Results'!$D:$D,A33,'NHL2025-26Results'!$H:$H,A33,'NHL2025-26Results'!$F:$F,"")</f>
        <v>5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7</v>
      </c>
      <c r="L33">
        <f>COUNTIFS('NHL2025-26Results'!$B:$B,A33,'NHL2025-26Results'!$H:$H,A33,'NHL2025-26Results'!$F:$F,"OT") + COUNTIFS('NHL2025-26Results'!$B:$B,A33,'NHL2025-26Results'!$H:$H,A33,'NHL2025-26Results'!$F:$F,"SO")</f>
        <v>1</v>
      </c>
      <c r="M33" s="11">
        <f>Table1[[#This Row],[HomeWins]]/SUM(Table1[[#This Row],[HomeWins]:[HomeOTL]])</f>
        <v>0.54545454545454541</v>
      </c>
      <c r="N33" s="11">
        <f>Table1[[#This Row],[AwayWins]]/SUM(Table1[[#This Row],[AwayWins]:[AwayOTL]])</f>
        <v>0.46666666666666667</v>
      </c>
      <c r="O33" s="14">
        <f>SUMIFS('NHL2025-26Results'!$E:$E,'NHL2025-26Results'!$D:$D,A33,'NHL2025-26Results'!$E:$E,"&gt;0")/COUNTIFS('NHL2025-26Results'!$D:$D,A33,'NHL2025-26Results'!$E:$E,"&gt;0")</f>
        <v>4.1111111111111107</v>
      </c>
      <c r="P33" s="14">
        <f>SUMIFS('NHL2025-26Results'!$C:$C,'NHL2025-26Results'!$B:$B,A33,'NHL2025-26Results'!$C:$C,"&gt;0")/COUNTIFS('NHL2025-26Results'!$B:$B,A33,'NHL2025-26Results'!$C:$C,"&gt;0")</f>
        <v>3</v>
      </c>
      <c r="Q33" s="14">
        <f>SUMIFS('NHL2025-26Results'!$C:$C,'NHL2025-26Results'!$D:$D,A33,'NHL2025-26Results'!$C:$C,"&gt;0")/COUNTIFS('NHL2025-26Results'!$D:$D,A33,'NHL2025-26Results'!$C:$C,"&gt;0")</f>
        <v>2.8181818181818183</v>
      </c>
      <c r="R33" s="14">
        <f>SUMIFS('NHL2025-26Results'!$E:$E,'NHL2025-26Results'!$B:$B,A33,'NHL2025-26Results'!$E:$E,"&gt;0")/COUNTIFS('NHL2025-26Results'!$B:$B,A33,'NHL2025-26Results'!$E:$E,"&gt;0")</f>
        <v>3.1333333333333333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16"/>
  <sheetViews>
    <sheetView tabSelected="1" topLeftCell="D1" zoomScale="83" workbookViewId="0">
      <selection activeCell="G10" sqref="G10"/>
    </sheetView>
  </sheetViews>
  <sheetFormatPr baseColWidth="10" defaultRowHeight="16" x14ac:dyDescent="0.2"/>
  <cols>
    <col min="1" max="1" width="13.5" bestFit="1" customWidth="1"/>
    <col min="2" max="2" width="13.6640625" bestFit="1" customWidth="1"/>
    <col min="3" max="3" width="19.83203125" bestFit="1" customWidth="1"/>
    <col min="4" max="4" width="18.33203125" bestFit="1" customWidth="1"/>
    <col min="5" max="5" width="18" bestFit="1" customWidth="1"/>
    <col min="6" max="6" width="17.5" bestFit="1" customWidth="1"/>
    <col min="7" max="7" width="17" bestFit="1" customWidth="1"/>
    <col min="8" max="8" width="16.6640625" bestFit="1" customWidth="1"/>
    <col min="9" max="9" width="9" bestFit="1" customWidth="1"/>
    <col min="10" max="11" width="19.83203125" bestFit="1" customWidth="1"/>
    <col min="12" max="12" width="19.1640625" bestFit="1" customWidth="1"/>
    <col min="13" max="13" width="16.83203125" bestFit="1" customWidth="1"/>
    <col min="14" max="14" width="19.83203125" bestFit="1" customWidth="1"/>
    <col min="15" max="15" width="20.6640625" bestFit="1" customWidth="1"/>
    <col min="16" max="16" width="20.1640625" bestFit="1" customWidth="1"/>
    <col min="17" max="17" width="12" bestFit="1" customWidth="1"/>
    <col min="18" max="18" width="13.1640625" bestFit="1" customWidth="1"/>
    <col min="19" max="19" width="15.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0.875</v>
      </c>
      <c r="C6" s="19" t="s">
        <v>17</v>
      </c>
      <c r="D6" s="19" t="s">
        <v>32</v>
      </c>
      <c r="E6" s="19" t="s">
        <v>17</v>
      </c>
      <c r="F6">
        <v>4</v>
      </c>
      <c r="G6">
        <v>3</v>
      </c>
      <c r="H6">
        <v>0.56730000000000003</v>
      </c>
      <c r="I6" s="19" t="s">
        <v>248</v>
      </c>
      <c r="J6" s="19" t="s">
        <v>32</v>
      </c>
      <c r="K6">
        <v>3</v>
      </c>
      <c r="L6">
        <v>2</v>
      </c>
      <c r="M6">
        <v>-0.14000000000000001</v>
      </c>
      <c r="N6" s="19" t="s">
        <v>17</v>
      </c>
      <c r="O6" s="19" t="s">
        <v>290</v>
      </c>
      <c r="P6" s="19" t="s">
        <v>289</v>
      </c>
      <c r="Q6" s="19" t="s">
        <v>285</v>
      </c>
      <c r="R6" s="19" t="s">
        <v>248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11</v>
      </c>
      <c r="D7" s="19" t="s">
        <v>29</v>
      </c>
      <c r="E7" s="19" t="s">
        <v>11</v>
      </c>
      <c r="F7">
        <v>5</v>
      </c>
      <c r="G7">
        <v>4</v>
      </c>
      <c r="H7">
        <v>0.54590000000000005</v>
      </c>
      <c r="I7" s="19" t="s">
        <v>249</v>
      </c>
      <c r="J7" s="19" t="s">
        <v>11</v>
      </c>
      <c r="K7">
        <v>3</v>
      </c>
      <c r="L7">
        <v>2</v>
      </c>
      <c r="M7">
        <v>0.71</v>
      </c>
      <c r="N7" s="19" t="s">
        <v>29</v>
      </c>
      <c r="O7" s="19" t="s">
        <v>287</v>
      </c>
      <c r="P7" s="19" t="s">
        <v>284</v>
      </c>
      <c r="Q7" s="19" t="s">
        <v>287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3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0.79166666666666663</v>
      </c>
      <c r="C11" s="19" t="s">
        <v>37</v>
      </c>
      <c r="D11" s="19" t="s">
        <v>14</v>
      </c>
      <c r="E11" s="19" t="s">
        <v>37</v>
      </c>
      <c r="F11">
        <v>3</v>
      </c>
      <c r="G11">
        <v>2</v>
      </c>
      <c r="H11">
        <v>0.73029999999999995</v>
      </c>
      <c r="I11" s="19" t="s">
        <v>249</v>
      </c>
      <c r="J11" s="19" t="s">
        <v>37</v>
      </c>
      <c r="K11">
        <v>3</v>
      </c>
      <c r="L11">
        <v>2</v>
      </c>
      <c r="M11">
        <v>0.63</v>
      </c>
      <c r="N11" s="19" t="s">
        <v>14</v>
      </c>
      <c r="O11" s="19" t="s">
        <v>291</v>
      </c>
      <c r="P11" s="19" t="s">
        <v>289</v>
      </c>
      <c r="Q11" s="19" t="s">
        <v>285</v>
      </c>
      <c r="R11" s="19" t="s">
        <v>249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0.91666666666666663</v>
      </c>
      <c r="C12" s="19" t="s">
        <v>31</v>
      </c>
      <c r="D12" s="19" t="s">
        <v>22</v>
      </c>
      <c r="E12" s="19" t="s">
        <v>22</v>
      </c>
      <c r="F12">
        <v>4</v>
      </c>
      <c r="G12">
        <v>5</v>
      </c>
      <c r="H12">
        <v>0.6381</v>
      </c>
      <c r="I12" s="19" t="s">
        <v>249</v>
      </c>
      <c r="J12" s="19" t="s">
        <v>22</v>
      </c>
      <c r="K12">
        <v>3</v>
      </c>
      <c r="L12">
        <v>2</v>
      </c>
      <c r="M12">
        <v>-0.77</v>
      </c>
      <c r="N12" s="19" t="s">
        <v>60</v>
      </c>
      <c r="O12" s="19" t="s">
        <v>60</v>
      </c>
      <c r="P12" s="19" t="s">
        <v>60</v>
      </c>
      <c r="Q12" s="19" t="s">
        <v>60</v>
      </c>
      <c r="R12" s="19" t="s">
        <v>60</v>
      </c>
      <c r="S12" s="19" t="s">
        <v>60</v>
      </c>
      <c r="T12" s="19" t="s">
        <v>281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60</v>
      </c>
      <c r="O13" s="19" t="s">
        <v>60</v>
      </c>
      <c r="P13" s="19" t="s">
        <v>60</v>
      </c>
      <c r="Q13" s="19" t="s">
        <v>60</v>
      </c>
      <c r="R13" s="19" t="s">
        <v>60</v>
      </c>
      <c r="S13" s="19" t="s">
        <v>60</v>
      </c>
      <c r="T13" s="19" t="s">
        <v>281</v>
      </c>
    </row>
    <row r="14" spans="1:20" x14ac:dyDescent="0.2">
      <c r="A14" s="1">
        <v>45996</v>
      </c>
      <c r="B14" s="2">
        <v>0.79166666666666663</v>
      </c>
      <c r="C14" s="19" t="s">
        <v>24</v>
      </c>
      <c r="D14" s="19" t="s">
        <v>20</v>
      </c>
      <c r="E14" s="19" t="s">
        <v>24</v>
      </c>
      <c r="F14">
        <v>4</v>
      </c>
      <c r="G14">
        <v>3</v>
      </c>
      <c r="H14">
        <v>0.74829999999999997</v>
      </c>
      <c r="I14" s="19" t="s">
        <v>248</v>
      </c>
      <c r="J14" s="19" t="s">
        <v>24</v>
      </c>
      <c r="K14">
        <v>3</v>
      </c>
      <c r="L14">
        <v>2</v>
      </c>
      <c r="M14">
        <v>0.19</v>
      </c>
      <c r="N14" s="19" t="s">
        <v>60</v>
      </c>
      <c r="O14" s="19" t="s">
        <v>60</v>
      </c>
      <c r="P14" s="19" t="s">
        <v>60</v>
      </c>
      <c r="Q14" s="19" t="s">
        <v>60</v>
      </c>
      <c r="R14" s="19" t="s">
        <v>60</v>
      </c>
      <c r="S14" s="19" t="s">
        <v>60</v>
      </c>
      <c r="T14" s="19" t="s">
        <v>281</v>
      </c>
    </row>
    <row r="15" spans="1:20" x14ac:dyDescent="0.2">
      <c r="A15" s="1">
        <v>45996</v>
      </c>
      <c r="B15" s="2">
        <v>0.875</v>
      </c>
      <c r="C15" s="19" t="s">
        <v>38</v>
      </c>
      <c r="D15" s="19" t="s">
        <v>55</v>
      </c>
      <c r="E15" s="19" t="s">
        <v>55</v>
      </c>
      <c r="F15">
        <v>3</v>
      </c>
      <c r="G15">
        <v>4</v>
      </c>
      <c r="H15">
        <v>0.6179</v>
      </c>
      <c r="I15" s="19" t="s">
        <v>249</v>
      </c>
      <c r="J15" s="19" t="s">
        <v>55</v>
      </c>
      <c r="K15">
        <v>3</v>
      </c>
      <c r="L15">
        <v>2</v>
      </c>
      <c r="M15">
        <v>-0.73</v>
      </c>
      <c r="N15" s="19" t="s">
        <v>60</v>
      </c>
      <c r="O15" s="19" t="s">
        <v>60</v>
      </c>
      <c r="P15" s="19" t="s">
        <v>60</v>
      </c>
      <c r="Q15" s="19" t="s">
        <v>60</v>
      </c>
      <c r="R15" s="19" t="s">
        <v>60</v>
      </c>
      <c r="S15" s="19" t="s">
        <v>60</v>
      </c>
      <c r="T15" s="19" t="s">
        <v>281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60</v>
      </c>
      <c r="O16" s="19" t="s">
        <v>60</v>
      </c>
      <c r="P16" s="19" t="s">
        <v>60</v>
      </c>
      <c r="Q16" s="19" t="s">
        <v>60</v>
      </c>
      <c r="R16" s="19" t="s">
        <v>60</v>
      </c>
      <c r="S16" s="19" t="s">
        <v>60</v>
      </c>
      <c r="T16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NHL2025-26Results</vt:lpstr>
      <vt:lpstr>NHL Model</vt:lpstr>
      <vt:lpstr>NHL HomeIce Model</vt:lpstr>
      <vt:lpstr>Standings</vt:lpstr>
      <vt:lpstr>ML Prediction Model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2025-12-06T01:44:50Z</dcterms:modified>
</cp:coreProperties>
</file>