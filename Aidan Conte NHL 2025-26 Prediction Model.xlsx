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075" documentId="14_{BC0C37BD-5950-BD49-823D-87212FE79B51}" xr6:coauthVersionLast="47" xr6:coauthVersionMax="47" xr10:uidLastSave="{9A7D669B-E37B-374E-82A9-B3A16008E87D}"/>
  <bookViews>
    <workbookView xWindow="0" yWindow="680" windowWidth="29400" windowHeight="17040" activeTab="2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1" r:id="rId5"/>
    <sheet name="Sheet2" sheetId="9" r:id="rId6"/>
  </sheets>
  <definedNames>
    <definedName name="ExternalData_1" localSheetId="0" hidden="1">'NHL2025-26Results'!$A$1:$J$1313</definedName>
    <definedName name="ExternalData_3" localSheetId="4" hidden="1">'ML Prediction Model'!$A$1:$AA$101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6" r:id="rId7"/>
    <pivotCache cacheId="7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82" i="1" l="1"/>
  <c r="H382" i="1"/>
  <c r="I382" i="1"/>
  <c r="J382" i="1" s="1"/>
  <c r="G383" i="1"/>
  <c r="H383" i="1" s="1"/>
  <c r="I383" i="1"/>
  <c r="G384" i="1"/>
  <c r="H384" i="1"/>
  <c r="I384" i="1"/>
  <c r="J384" i="1" s="1"/>
  <c r="G385" i="1"/>
  <c r="H385" i="1" s="1"/>
  <c r="I385" i="1"/>
  <c r="G386" i="1"/>
  <c r="H386" i="1"/>
  <c r="I386" i="1"/>
  <c r="J386" i="1" s="1"/>
  <c r="G387" i="1"/>
  <c r="H387" i="1" s="1"/>
  <c r="I387" i="1"/>
  <c r="G388" i="1"/>
  <c r="H388" i="1"/>
  <c r="I388" i="1"/>
  <c r="J388" i="1" s="1"/>
  <c r="G389" i="1"/>
  <c r="H389" i="1" s="1"/>
  <c r="I389" i="1"/>
  <c r="G390" i="1"/>
  <c r="H390" i="1"/>
  <c r="I390" i="1"/>
  <c r="J390" i="1" s="1"/>
  <c r="G391" i="1"/>
  <c r="H391" i="1" s="1"/>
  <c r="I391" i="1"/>
  <c r="G392" i="1"/>
  <c r="H392" i="1"/>
  <c r="I392" i="1"/>
  <c r="J392" i="1" s="1"/>
  <c r="G393" i="1"/>
  <c r="H393" i="1" s="1"/>
  <c r="I393" i="1"/>
  <c r="G394" i="1"/>
  <c r="H394" i="1"/>
  <c r="I394" i="1"/>
  <c r="J394" i="1" s="1"/>
  <c r="G395" i="1"/>
  <c r="H395" i="1" s="1"/>
  <c r="I395" i="1"/>
  <c r="G396" i="1"/>
  <c r="H396" i="1"/>
  <c r="I396" i="1"/>
  <c r="J396" i="1" s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V3" i="4"/>
  <c r="V4" i="4"/>
  <c r="E373" i="1"/>
  <c r="E372" i="1"/>
  <c r="E371" i="1"/>
  <c r="E370" i="1"/>
  <c r="H370" i="1" s="1"/>
  <c r="E369" i="1"/>
  <c r="E368" i="1"/>
  <c r="E367" i="1"/>
  <c r="E366" i="1"/>
  <c r="E365" i="1"/>
  <c r="E364" i="1"/>
  <c r="G366" i="1"/>
  <c r="H366" i="1" s="1"/>
  <c r="I366" i="1"/>
  <c r="G367" i="1"/>
  <c r="I367" i="1"/>
  <c r="G368" i="1"/>
  <c r="I368" i="1"/>
  <c r="G369" i="1"/>
  <c r="I369" i="1"/>
  <c r="G370" i="1"/>
  <c r="I370" i="1"/>
  <c r="G371" i="1"/>
  <c r="H371" i="1" s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H377" i="1" s="1"/>
  <c r="I377" i="1"/>
  <c r="G378" i="1"/>
  <c r="H378" i="1"/>
  <c r="I378" i="1"/>
  <c r="J378" i="1" s="1"/>
  <c r="G379" i="1"/>
  <c r="I379" i="1"/>
  <c r="G380" i="1"/>
  <c r="I380" i="1"/>
  <c r="G381" i="1"/>
  <c r="I381" i="1"/>
  <c r="E381" i="1"/>
  <c r="E374" i="1"/>
  <c r="E375" i="1"/>
  <c r="E376" i="1"/>
  <c r="H376" i="1" s="1"/>
  <c r="E377" i="1"/>
  <c r="E378" i="1"/>
  <c r="E379" i="1"/>
  <c r="E380" i="1"/>
  <c r="H380" i="1" s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J391" i="1" l="1"/>
  <c r="J395" i="1"/>
  <c r="J383" i="1"/>
  <c r="J387" i="1"/>
  <c r="J393" i="1"/>
  <c r="J389" i="1"/>
  <c r="J385" i="1"/>
  <c r="H365" i="1"/>
  <c r="H372" i="1"/>
  <c r="H368" i="1"/>
  <c r="J368" i="1" s="1"/>
  <c r="H375" i="1"/>
  <c r="H369" i="1"/>
  <c r="H381" i="1"/>
  <c r="J381" i="1" s="1"/>
  <c r="J370" i="1"/>
  <c r="H367" i="1"/>
  <c r="J367" i="1" s="1"/>
  <c r="H361" i="1"/>
  <c r="J361" i="1" s="1"/>
  <c r="J380" i="1"/>
  <c r="J372" i="1"/>
  <c r="H374" i="1"/>
  <c r="J374" i="1" s="1"/>
  <c r="H379" i="1"/>
  <c r="J379" i="1" s="1"/>
  <c r="V5" i="4"/>
  <c r="V6" i="4" s="1"/>
  <c r="J376" i="1"/>
  <c r="J375" i="1"/>
  <c r="J377" i="1"/>
  <c r="J373" i="1"/>
  <c r="J366" i="1"/>
  <c r="J371" i="1"/>
  <c r="J369" i="1"/>
  <c r="H362" i="1"/>
  <c r="J362" i="1" s="1"/>
  <c r="H360" i="1"/>
  <c r="J360" i="1" s="1"/>
  <c r="H364" i="1"/>
  <c r="J364" i="1" s="1"/>
  <c r="H363" i="1"/>
  <c r="J363" i="1" s="1"/>
  <c r="J365" i="1"/>
  <c r="H359" i="1"/>
  <c r="J359" i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H346" i="1" s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58" i="1" l="1"/>
  <c r="H342" i="1"/>
  <c r="H349" i="1"/>
  <c r="J349" i="1" s="1"/>
  <c r="H357" i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7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H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H333" i="1" s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H314" i="1" s="1"/>
  <c r="E313" i="1"/>
  <c r="E312" i="1"/>
  <c r="V8" i="4"/>
  <c r="E310" i="1"/>
  <c r="E309" i="1"/>
  <c r="E308" i="1"/>
  <c r="E307" i="1"/>
  <c r="G307" i="1"/>
  <c r="H307" i="1" s="1"/>
  <c r="I307" i="1"/>
  <c r="G308" i="1"/>
  <c r="I308" i="1"/>
  <c r="G309" i="1"/>
  <c r="I309" i="1"/>
  <c r="G310" i="1"/>
  <c r="I310" i="1"/>
  <c r="G311" i="1"/>
  <c r="I311" i="1"/>
  <c r="I312" i="1"/>
  <c r="E311" i="1"/>
  <c r="H334" i="1" l="1"/>
  <c r="H340" i="1"/>
  <c r="H329" i="1"/>
  <c r="J329" i="1" s="1"/>
  <c r="H335" i="1"/>
  <c r="J335" i="1" s="1"/>
  <c r="H315" i="1"/>
  <c r="J315" i="1" s="1"/>
  <c r="J339" i="1"/>
  <c r="H336" i="1"/>
  <c r="J336" i="1" s="1"/>
  <c r="H332" i="1"/>
  <c r="J332" i="1" s="1"/>
  <c r="H331" i="1"/>
  <c r="H338" i="1"/>
  <c r="J338" i="1" s="1"/>
  <c r="H323" i="1"/>
  <c r="J323" i="1" s="1"/>
  <c r="J340" i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J331" i="1"/>
  <c r="J334" i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J314" i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4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H277" i="1" s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81" i="1" l="1"/>
  <c r="H275" i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5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H253" i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J253" i="1"/>
  <c r="J239" i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H130" i="1"/>
  <c r="H124" i="1"/>
  <c r="H123" i="1"/>
  <c r="H116" i="1"/>
  <c r="H115" i="1"/>
  <c r="H111" i="1"/>
  <c r="H101" i="1"/>
  <c r="H97" i="1"/>
  <c r="H68" i="1"/>
  <c r="H94" i="1"/>
  <c r="H83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F4" i="5" l="1"/>
  <c r="H223" i="1"/>
  <c r="H85" i="1"/>
  <c r="H92" i="1"/>
  <c r="H127" i="1"/>
  <c r="J127" i="1" s="1"/>
  <c r="H119" i="1"/>
  <c r="J119" i="1" s="1"/>
  <c r="J332" i="4"/>
  <c r="H89" i="1"/>
  <c r="J89" i="1" s="1"/>
  <c r="H82" i="1"/>
  <c r="J82" i="1" s="1"/>
  <c r="H109" i="1"/>
  <c r="H87" i="1"/>
  <c r="H121" i="1"/>
  <c r="H78" i="1"/>
  <c r="H102" i="1"/>
  <c r="J102" i="1" s="1"/>
  <c r="H110" i="1"/>
  <c r="H118" i="1"/>
  <c r="H125" i="1"/>
  <c r="H117" i="1"/>
  <c r="H105" i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H113" i="1"/>
  <c r="J113" i="1" s="1"/>
  <c r="H126" i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B2" i="5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L341" i="4" s="1"/>
  <c r="H150" i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B4" i="5"/>
  <c r="B3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J117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223" i="1"/>
  <c r="J85" i="1"/>
  <c r="J123" i="1"/>
  <c r="J125" i="1"/>
  <c r="J126" i="1"/>
  <c r="J109" i="1"/>
  <c r="J166" i="1"/>
  <c r="J87" i="1"/>
  <c r="J96" i="1"/>
  <c r="J111" i="1"/>
  <c r="J95" i="1"/>
  <c r="J78" i="1"/>
  <c r="J92" i="1"/>
  <c r="J91" i="1"/>
  <c r="J88" i="1"/>
  <c r="J121" i="1"/>
  <c r="J130" i="1"/>
  <c r="J105" i="1"/>
  <c r="J150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427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N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N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N604" i="4" s="1"/>
  <c r="L274" i="4"/>
  <c r="N274" i="4" s="1"/>
  <c r="K983" i="4"/>
  <c r="M983" i="4" s="1"/>
  <c r="K329" i="4"/>
  <c r="M329" i="4" s="1"/>
  <c r="K529" i="4"/>
  <c r="M529" i="4" s="1"/>
  <c r="K60" i="4"/>
  <c r="M60" i="4" s="1"/>
  <c r="N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N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N849" i="4" s="1"/>
  <c r="L1044" i="4"/>
  <c r="N1044" i="4" s="1"/>
  <c r="L441" i="4"/>
  <c r="N441" i="4" s="1"/>
  <c r="L1282" i="4"/>
  <c r="N1282" i="4" s="1"/>
  <c r="K913" i="4"/>
  <c r="M913" i="4" s="1"/>
  <c r="N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N150" i="4" s="1"/>
  <c r="L831" i="4"/>
  <c r="N831" i="4" s="1"/>
  <c r="K214" i="4"/>
  <c r="M214" i="4" s="1"/>
  <c r="L81" i="4"/>
  <c r="N81" i="4" s="1"/>
  <c r="K461" i="4"/>
  <c r="M461" i="4" s="1"/>
  <c r="N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N1220" i="4" s="1"/>
  <c r="K1214" i="4"/>
  <c r="M1214" i="4" s="1"/>
  <c r="N1214" i="4" s="1"/>
  <c r="K191" i="4"/>
  <c r="M191" i="4" s="1"/>
  <c r="K357" i="4"/>
  <c r="M357" i="4" s="1"/>
  <c r="N357" i="4" s="1"/>
  <c r="K1068" i="4"/>
  <c r="M1068" i="4" s="1"/>
  <c r="N1068" i="4" s="1"/>
  <c r="L1308" i="4"/>
  <c r="N1308" i="4" s="1"/>
  <c r="K446" i="4"/>
  <c r="M446" i="4" s="1"/>
  <c r="N446" i="4" s="1"/>
  <c r="K198" i="4"/>
  <c r="M198" i="4" s="1"/>
  <c r="K485" i="4"/>
  <c r="M485" i="4" s="1"/>
  <c r="N485" i="4" s="1"/>
  <c r="L1156" i="4"/>
  <c r="N1156" i="4" s="1"/>
  <c r="L173" i="4"/>
  <c r="N173" i="4" s="1"/>
  <c r="K1066" i="4"/>
  <c r="M1066" i="4" s="1"/>
  <c r="N1066" i="4" s="1"/>
  <c r="K265" i="4"/>
  <c r="M265" i="4" s="1"/>
  <c r="K854" i="4"/>
  <c r="M854" i="4" s="1"/>
  <c r="N854" i="4" s="1"/>
  <c r="L1249" i="4"/>
  <c r="N1249" i="4" s="1"/>
  <c r="K273" i="4"/>
  <c r="M273" i="4" s="1"/>
  <c r="N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N478" i="4" s="1"/>
  <c r="K190" i="4"/>
  <c r="M190" i="4" s="1"/>
  <c r="K345" i="4"/>
  <c r="M345" i="4" s="1"/>
  <c r="N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N82" i="4" s="1"/>
  <c r="K458" i="4"/>
  <c r="M458" i="4" s="1"/>
  <c r="N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N503" i="4" s="1"/>
  <c r="K1093" i="4"/>
  <c r="M1093" i="4" s="1"/>
  <c r="N1093" i="4" s="1"/>
  <c r="K587" i="4"/>
  <c r="M587" i="4" s="1"/>
  <c r="N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N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N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N521" i="4" s="1"/>
  <c r="L942" i="4"/>
  <c r="N942" i="4" s="1"/>
  <c r="K183" i="4"/>
  <c r="M183" i="4" s="1"/>
  <c r="N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N482" i="4" s="1"/>
  <c r="K1259" i="4"/>
  <c r="M1259" i="4" s="1"/>
  <c r="N1259" i="4" s="1"/>
  <c r="K1119" i="4"/>
  <c r="M1119" i="4" s="1"/>
  <c r="N1119" i="4" s="1"/>
  <c r="K1131" i="4"/>
  <c r="M1131" i="4" s="1"/>
  <c r="N1131" i="4" s="1"/>
  <c r="K1166" i="4"/>
  <c r="M1166" i="4" s="1"/>
  <c r="N1166" i="4" s="1"/>
  <c r="L1088" i="4"/>
  <c r="N1088" i="4" s="1"/>
  <c r="K1128" i="4"/>
  <c r="M1128" i="4" s="1"/>
  <c r="K394" i="4"/>
  <c r="M394" i="4" s="1"/>
  <c r="N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N1247" i="4" s="1"/>
  <c r="K618" i="4"/>
  <c r="M618" i="4" s="1"/>
  <c r="N618" i="4" s="1"/>
  <c r="K1086" i="4"/>
  <c r="M1086" i="4" s="1"/>
  <c r="N1086" i="4" s="1"/>
  <c r="K1057" i="4"/>
  <c r="M1057" i="4" s="1"/>
  <c r="N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N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N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N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N351" i="4" s="1"/>
  <c r="L938" i="4"/>
  <c r="N938" i="4" s="1"/>
  <c r="L450" i="4"/>
  <c r="N450" i="4" s="1"/>
  <c r="L921" i="4"/>
  <c r="N921" i="4" s="1"/>
  <c r="L1306" i="4"/>
  <c r="N1306" i="4" s="1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N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N106" i="4" s="1"/>
  <c r="L739" i="4"/>
  <c r="N739" i="4" s="1"/>
  <c r="K398" i="4"/>
  <c r="M398" i="4" s="1"/>
  <c r="N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N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N949" i="4" s="1"/>
  <c r="K353" i="4"/>
  <c r="M353" i="4" s="1"/>
  <c r="N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N298" i="4" s="1"/>
  <c r="K1269" i="4"/>
  <c r="M1269" i="4" s="1"/>
  <c r="N1269" i="4" s="1"/>
  <c r="K1022" i="4"/>
  <c r="M1022" i="4" s="1"/>
  <c r="N1022" i="4" s="1"/>
  <c r="K534" i="4"/>
  <c r="M534" i="4" s="1"/>
  <c r="N534" i="4" s="1"/>
  <c r="K437" i="4"/>
  <c r="M437" i="4" s="1"/>
  <c r="N437" i="4" s="1"/>
  <c r="K17" i="4"/>
  <c r="M17" i="4" s="1"/>
  <c r="K33" i="4"/>
  <c r="M33" i="4" s="1"/>
  <c r="L570" i="4"/>
  <c r="N570" i="4" s="1"/>
  <c r="K1182" i="4"/>
  <c r="M1182" i="4" s="1"/>
  <c r="K1149" i="4"/>
  <c r="M1149" i="4" s="1"/>
  <c r="N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N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N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N40" i="4" s="1"/>
  <c r="L469" i="4"/>
  <c r="N469" i="4" s="1"/>
  <c r="K47" i="4"/>
  <c r="M47" i="4" s="1"/>
  <c r="N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N396" i="4" s="1"/>
  <c r="K420" i="4"/>
  <c r="M420" i="4" s="1"/>
  <c r="N420" i="4" s="1"/>
  <c r="L366" i="4"/>
  <c r="N366" i="4" s="1"/>
  <c r="K439" i="4"/>
  <c r="M439" i="4" s="1"/>
  <c r="N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N83" i="4" s="1"/>
  <c r="K812" i="4"/>
  <c r="M812" i="4" s="1"/>
  <c r="N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N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N838" i="4" s="1"/>
  <c r="K729" i="4"/>
  <c r="M729" i="4" s="1"/>
  <c r="N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N137" i="4" s="1"/>
  <c r="K430" i="4"/>
  <c r="M430" i="4" s="1"/>
  <c r="N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N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N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N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N382" i="4" s="1"/>
  <c r="L787" i="4"/>
  <c r="N787" i="4" s="1"/>
  <c r="K406" i="4"/>
  <c r="M406" i="4" s="1"/>
  <c r="N406" i="4" s="1"/>
  <c r="K569" i="4"/>
  <c r="M569" i="4" s="1"/>
  <c r="N569" i="4" s="1"/>
  <c r="K1289" i="4"/>
  <c r="M1289" i="4" s="1"/>
  <c r="N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N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N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N287" i="4" s="1"/>
  <c r="L4" i="4"/>
  <c r="N4" i="4" s="1"/>
  <c r="K507" i="4"/>
  <c r="M507" i="4" s="1"/>
  <c r="N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N109" i="4" s="1"/>
  <c r="K539" i="4"/>
  <c r="M539" i="4" s="1"/>
  <c r="N539" i="4" s="1"/>
  <c r="L267" i="4"/>
  <c r="N267" i="4" s="1"/>
  <c r="K715" i="4"/>
  <c r="M715" i="4" s="1"/>
  <c r="N715" i="4" s="1"/>
  <c r="L275" i="4"/>
  <c r="N275" i="4" s="1"/>
  <c r="K453" i="4"/>
  <c r="M453" i="4" s="1"/>
  <c r="N453" i="4" s="1"/>
  <c r="K360" i="4"/>
  <c r="M360" i="4" s="1"/>
  <c r="N360" i="4" s="1"/>
  <c r="K128" i="4"/>
  <c r="M128" i="4" s="1"/>
  <c r="N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N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N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N483" i="4" s="1"/>
  <c r="L846" i="4"/>
  <c r="K846" i="4"/>
  <c r="M846" i="4" s="1"/>
  <c r="L560" i="4"/>
  <c r="K560" i="4"/>
  <c r="M560" i="4" s="1"/>
  <c r="K1258" i="4"/>
  <c r="M1258" i="4" s="1"/>
  <c r="N1258" i="4" s="1"/>
  <c r="L112" i="4"/>
  <c r="N112" i="4" s="1"/>
  <c r="K39" i="4"/>
  <c r="M39" i="4" s="1"/>
  <c r="K32" i="4"/>
  <c r="M32" i="4" s="1"/>
  <c r="K427" i="4"/>
  <c r="M427" i="4" s="1"/>
  <c r="N427" i="4" s="1"/>
  <c r="K741" i="4"/>
  <c r="M741" i="4" s="1"/>
  <c r="N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N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N352" i="4" s="1"/>
  <c r="K699" i="4"/>
  <c r="M699" i="4" s="1"/>
  <c r="N699" i="4" s="1"/>
  <c r="K443" i="4"/>
  <c r="M443" i="4" s="1"/>
  <c r="N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N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N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N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L477" i="4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N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N627" i="4" s="1"/>
  <c r="K419" i="4"/>
  <c r="M419" i="4" s="1"/>
  <c r="N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N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N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N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N376" i="4" s="1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N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N736" i="4" s="1"/>
  <c r="L672" i="4"/>
  <c r="K672" i="4"/>
  <c r="M672" i="4" s="1"/>
  <c r="N672" i="4" s="1"/>
  <c r="K440" i="4"/>
  <c r="M440" i="4" s="1"/>
  <c r="L440" i="4"/>
  <c r="L160" i="4"/>
  <c r="K160" i="4"/>
  <c r="M160" i="4" s="1"/>
  <c r="L509" i="4"/>
  <c r="K509" i="4"/>
  <c r="M509" i="4" s="1"/>
  <c r="N509" i="4" s="1"/>
  <c r="L410" i="4"/>
  <c r="K410" i="4"/>
  <c r="M410" i="4" s="1"/>
  <c r="N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N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N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N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N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N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N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385" i="4" l="1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3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<sst xmlns="http://schemas.openxmlformats.org/spreadsheetml/2006/main" count="13977" uniqueCount="479">
  <si>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</si>
  <si>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</si>
  <si>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</si>
  <si>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</si>
  <si>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</si>
  <si>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</si>
  <si>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</si>
  <si>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</si>
  <si>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</si>
  <si>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</si>
  <si>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</si>
  <si>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</si>
  <si>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</si>
  <si>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</si>
  <si>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</si>
  <si>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</si>
  <si>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</si>
  <si>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</si>
  <si>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</si>
  <si>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</si>
  <si>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</si>
  <si>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</si>
  <si>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</si>
  <si>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</si>
  <si>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</si>
  <si>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</si>
  <si>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</si>
  <si>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</si>
  <si>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</si>
  <si>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</si>
  <si>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</si>
  <si>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</si>
  <si>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</si>
  <si>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</si>
  <si>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</si>
  <si>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</si>
  <si>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</si>
  <si>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</si>
  <si>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</si>
  <si>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</si>
  <si>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</si>
  <si>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</si>
  <si>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</si>
  <si>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</si>
  <si>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</si>
  <si>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</si>
  <si>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</si>
  <si>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</si>
  <si>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</si>
  <si>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</si>
  <si>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</si>
  <si>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</si>
  <si>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</si>
  <si>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</si>
  <si>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</si>
  <si>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</si>
  <si>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</si>
  <si>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</si>
  <si>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</si>
  <si>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</si>
  <si>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</si>
  <si>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</si>
  <si>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</si>
  <si>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</si>
  <si>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</si>
  <si>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</si>
  <si>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</si>
  <si>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</si>
  <si>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</si>
  <si>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</si>
  <si>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</si>
  <si>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</si>
  <si>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</si>
  <si>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</si>
  <si>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</si>
  <si>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</si>
  <si>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</si>
  <si>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</si>
  <si>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</si>
  <si>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</si>
  <si>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</si>
  <si>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</si>
  <si>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</si>
  <si>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</si>
  <si>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</si>
  <si>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</si>
  <si>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</si>
  <si>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</si>
  <si>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</si>
  <si>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</si>
  <si>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</si>
  <si>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</si>
  <si>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</si>
  <si>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</si>
  <si>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</si>
  <si>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</si>
  <si>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</si>
  <si>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</si>
  <si>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</si>
  <si>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</si>
  <si>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</si>
  <si>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</si>
  <si>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</si>
  <si>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</si>
  <si>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</si>
  <si>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</si>
  <si>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</si>
  <si>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</si>
  <si>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</si>
  <si>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</si>
  <si>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</si>
  <si>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</si>
  <si>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</si>
  <si>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</si>
  <si>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</si>
  <si>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</si>
  <si>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</si>
  <si>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</si>
  <si>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</si>
  <si>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</si>
  <si>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</si>
  <si>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</si>
  <si>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</si>
  <si>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</si>
  <si>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</si>
  <si>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</si>
  <si>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</si>
  <si>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</si>
  <si>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</si>
  <si>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</si>
  <si>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</si>
  <si>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</si>
  <si>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</si>
  <si>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</si>
  <si>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</si>
  <si>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</si>
  <si>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</si>
  <si>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</si>
  <si>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</si>
  <si>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</si>
  <si>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</si>
  <si>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</si>
  <si>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</si>
  <si>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</si>
  <si>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</si>
  <si>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</si>
  <si>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</si>
  <si>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</si>
  <si>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</si>
  <si>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</si>
  <si>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</si>
  <si>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</si>
  <si>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</si>
  <si>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</si>
  <si>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</si>
  <si>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</si>
  <si>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</si>
  <si>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</si>
  <si>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</si>
  <si>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</si>
  <si>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</si>
  <si>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</si>
  <si>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</si>
  <si>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</si>
  <si>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</si>
  <si>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</si>
  <si>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</si>
  <si>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</si>
  <si>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</si>
  <si>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</si>
  <si>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</si>
  <si>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</si>
  <si>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</si>
  <si>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</si>
  <si>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</si>
  <si>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</si>
  <si>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</si>
  <si>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</si>
  <si>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</si>
  <si>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</si>
  <si>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</si>
  <si>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</si>
  <si>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</si>
  <si>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</si>
  <si>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</si>
  <si>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</si>
  <si>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</si>
  <si>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</si>
  <si>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</si>
  <si>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</si>
  <si>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</si>
  <si>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</si>
  <si>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</si>
  <si>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</si>
  <si>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</si>
  <si>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</si>
  <si>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</si>
  <si>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</si>
  <si>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</si>
  <si>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</si>
  <si>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</si>
  <si>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</si>
  <si>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</si>
  <si>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</si>
  <si>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</si>
  <si>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</si>
  <si>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</si>
  <si>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</si>
  <si>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</si>
  <si>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</si>
  <si>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</si>
  <si>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</si>
  <si>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</si>
  <si>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</si>
  <si>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</si>
  <si>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</si>
  <si>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</si>
  <si>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</si>
  <si>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</si>
  <si>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</si>
  <si>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</si>
  <si>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</si>
  <si>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</si>
  <si>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</si>
  <si>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</si>
  <si>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</si>
  <si>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</si>
  <si>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</si>
  <si>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</si>
  <si>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</si>
  <si>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</si>
  <si>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</si>
  <si>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</si>
  <si>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</si>
  <si>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</si>
  <si>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</si>
  <si>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</si>
  <si>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</si>
  <si>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</si>
  <si>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</si>
  <si>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</si>
  <si>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</si>
  <si>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</si>
  <si>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</si>
  <si>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</si>
  <si>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</si>
  <si>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</si>
  <si>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</si>
  <si>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</si>
  <si>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</si>
  <si>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</si>
  <si>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</si>
  <si>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</si>
  <si>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</si>
  <si>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</si>
  <si>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</si>
  <si>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</si>
  <si>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</si>
  <si>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</si>
  <si>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</si>
  <si>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</si>
  <si>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</si>
  <si>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</si>
  <si>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</si>
  <si>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excel_confidence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</si>
  <si>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</si>
  <si>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</si>
  <si>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</si>
  <si>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</si>
  <si>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</si>
  <si>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</si>
  <si>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</si>
  <si>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</si>
  <si>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matchup</t>
  </si>
  <si>
    <t>ml_winner</t>
  </si>
  <si>
    <t>ml_away_score</t>
  </si>
  <si>
    <t>ml_home_score</t>
  </si>
  <si>
    <t>ml_ot</t>
  </si>
  <si>
    <t>ml_ot_prob</t>
  </si>
  <si>
    <t>ml_result</t>
  </si>
  <si>
    <t>excel_winner</t>
  </si>
  <si>
    <t>excel_away_score</t>
  </si>
  <si>
    <t>excel_home_score</t>
  </si>
  <si>
    <t>excel_ot</t>
  </si>
  <si>
    <t>excel_homeice</t>
  </si>
  <si>
    <t>actual_ot</t>
  </si>
  <si>
    <t>game_status</t>
  </si>
  <si>
    <t>recorded_at</t>
  </si>
  <si>
    <t>updated_at</t>
  </si>
  <si>
    <t>10:00:00 PM</t>
  </si>
  <si>
    <t>Utah Mammoth @ Anaheim Ducks</t>
  </si>
  <si>
    <t>✓ Won by Anaheim Ducks</t>
  </si>
  <si>
    <t>COMPLETED</t>
  </si>
  <si>
    <t>7:00:00 PM</t>
  </si>
  <si>
    <t>Carolina Hurricanes @ Boston Bruins</t>
  </si>
  <si>
    <t>Edmonton Oilers @ Buffalo Sabres</t>
  </si>
  <si>
    <t>✓ Won by Buffalo Sabres</t>
  </si>
  <si>
    <t>7:30:00 PM</t>
  </si>
  <si>
    <t>Montreal Canadiens @ Columbus Blue Jackets</t>
  </si>
  <si>
    <t>Vancouver Canucks @ Florida Panthers</t>
  </si>
  <si>
    <t>Los Angeles Kings @ Washington Capitals</t>
  </si>
  <si>
    <t>8:30:00 PM</t>
  </si>
  <si>
    <t>Calgary Flames @ Chicago Blackhawks</t>
  </si>
  <si>
    <t>✓ Won by Chicago Blackhawks</t>
  </si>
  <si>
    <t>8:00:00 PM</t>
  </si>
  <si>
    <t>New York Islanders @ Dallas Stars</t>
  </si>
  <si>
    <t>Seattle Kraken @ Detroit Red Wings</t>
  </si>
  <si>
    <t>✓ Won by Detroit Red Wings</t>
  </si>
  <si>
    <t>Utah Mammoth @ San Jose Sharks</t>
  </si>
  <si>
    <t>✓ Won by San Jose Sharks</t>
  </si>
  <si>
    <t>New Jersey Devils @ Tampa Bay Lightning</t>
  </si>
  <si>
    <t>St. Louis Blues @ Toronto Maple Leafs</t>
  </si>
  <si>
    <t>✓ Won by Toronto Maple Leafs</t>
  </si>
  <si>
    <t>New York Rangers @ Vegas Golden Knights</t>
  </si>
  <si>
    <t>Columbus Blue Jackets @ Winnipeg Jets</t>
  </si>
  <si>
    <t>✓ Won by Winnipeg Jets</t>
  </si>
  <si>
    <t>Boston Bruins @ Anaheim Ducks</t>
  </si>
  <si>
    <t>Calgary Flames @ Buffalo Sabres</t>
  </si>
  <si>
    <t>9:30:00 PM</t>
  </si>
  <si>
    <t>Carolina Hurricanes @ Minnesota Wild</t>
  </si>
  <si>
    <t>Edmonton Oilers @ Washington Capitals</t>
  </si>
  <si>
    <t>✓ Won by Washington Capitals</t>
  </si>
  <si>
    <t>22:00:00</t>
  </si>
  <si>
    <t>Ottawa Senators @ Anaheim Ducks</t>
  </si>
  <si>
    <t>20:00:00</t>
  </si>
  <si>
    <t>Seattle Kraken @ Chicago Blackhawks</t>
  </si>
  <si>
    <t>21:00:00</t>
  </si>
  <si>
    <t>New York Rangers @ Colorado Avalanche</t>
  </si>
  <si>
    <t>19:00:00</t>
  </si>
  <si>
    <t>New York Islanders @ Detroit Red Wings</t>
  </si>
  <si>
    <t>New Jersey Devils @ Florida Panthers</t>
  </si>
  <si>
    <t>Washington Capitals @ Montreal Canadiens</t>
  </si>
  <si>
    <t>St. Louis Blues @ Philadelphia Flyers</t>
  </si>
  <si>
    <t>Los Angeles Kings @ San Jose Sharks</t>
  </si>
  <si>
    <t>19:30:00</t>
  </si>
  <si>
    <t>Edmonton Oilers @ Tampa Bay Lightning</t>
  </si>
  <si>
    <t>Columbus Blue Jackets @ Toronto Maple Leafs</t>
  </si>
  <si>
    <t>Vegas Golden Knights @ Utah Mammoth</t>
  </si>
  <si>
    <t>Dallas Stars @ Vancouver Canucks</t>
  </si>
  <si>
    <t>Chicago Blackhawks @ Buffalo Sabres</t>
  </si>
  <si>
    <t>22:30:00</t>
  </si>
  <si>
    <t>Boston Bruins @ Los Angeles Kings</t>
  </si>
  <si>
    <t>Minnesota Wild @ Pittsburgh Penguins</t>
  </si>
  <si>
    <t>✓ Won by Minnesota Wild</t>
  </si>
  <si>
    <t>Carolina Hurricanes @ Winnipeg Jets</t>
  </si>
  <si>
    <t>Vegas Golden Knights @ Anaheim Ducks</t>
  </si>
  <si>
    <t>Dallas Stars @ Calgary Flames</t>
  </si>
  <si>
    <t>13:00:00</t>
  </si>
  <si>
    <t>Columbus Blue Jackets @ Detroit Red Wings</t>
  </si>
  <si>
    <t>Edmonton Oilers @ Florida Panthers</t>
  </si>
  <si>
    <t>Toronto Maple Leafs @ Montreal Canadiens</t>
  </si>
  <si>
    <t>Colorado Avalanche @ Nashville Predators</t>
  </si>
  <si>
    <t>15:30:00</t>
  </si>
  <si>
    <t>St. Louis Blues @ New York Islanders</t>
  </si>
  <si>
    <t>New Jersey Devils @ Philadelphia Flyers</t>
  </si>
  <si>
    <t>Seattle Kraken @ Pittsburgh Penguins</t>
  </si>
  <si>
    <t>Ottawa Senators @ San Jose Sharks</t>
  </si>
  <si>
    <t>New York Rangers @ Utah Mammoth</t>
  </si>
  <si>
    <t>Tampa Bay Lightning @ Washington Capitals</t>
  </si>
  <si>
    <t>2025-11-23 11:29:50</t>
  </si>
  <si>
    <t>✓ Won by Montreal Canadiens</t>
  </si>
  <si>
    <t>✓ Won by Colorado Avalanche</t>
  </si>
  <si>
    <t>✓ Won by Utah Mammoth</t>
  </si>
  <si>
    <t>Carolina Hurricanes @ Buffalo Sabres</t>
  </si>
  <si>
    <t>Colorado Avalanche @ Chicago Blackhawks</t>
  </si>
  <si>
    <t>17:00:00</t>
  </si>
  <si>
    <t>Seattle Kraken @ New York Islanders</t>
  </si>
  <si>
    <t>Boston Bruins @ San Jose Sharks</t>
  </si>
  <si>
    <t>Calgary Flames @ Vancouver Canucks</t>
  </si>
  <si>
    <t>16:00:00</t>
  </si>
  <si>
    <t>Minnesota Wild @ Winnipeg Jets</t>
  </si>
  <si>
    <t>2025-11-24 11:01:13</t>
  </si>
  <si>
    <t>✓ Won by Calgary Flames</t>
  </si>
  <si>
    <t>Ottawa Senators @ Los Angeles Kings</t>
  </si>
  <si>
    <t>Detroit Red Wings @ New Jersey Devils</t>
  </si>
  <si>
    <t>Florida Panthers @ Nashville Predators</t>
  </si>
  <si>
    <t>St. Louis Blues @ New York Rangers</t>
  </si>
  <si>
    <t>Philadelphia Flyers @ Tampa Bay Lightning</t>
  </si>
  <si>
    <t>Columbus Blue Jackets @ Washington Capitals</t>
  </si>
  <si>
    <t>False</t>
  </si>
  <si>
    <t>2025-11-24 11:23:07</t>
  </si>
  <si>
    <t>✗ Lost (predicted Boston Bruins, actual Carolina Hurricanes)</t>
  </si>
  <si>
    <t>✗ Lost (predicted Montreal Canadiens, actual Columbus Blue Jackets)</t>
  </si>
  <si>
    <t>✗ Lost (predicted Vancouver Canucks, actual Florida Panthers)</t>
  </si>
  <si>
    <t>✗ Lost (predicted Los Angeles Kings, actual Washington Capitals)</t>
  </si>
  <si>
    <t>✗ Lost (predicted Dallas Stars, actual New York Islanders)</t>
  </si>
  <si>
    <t>✗ Lost (predicted New Jersey Devils, actual Tampa Bay Lightning)</t>
  </si>
  <si>
    <t>✗ Lost (predicted New York Rangers, actual Vegas Golden Knights)</t>
  </si>
  <si>
    <t>✗ Lost (predicted Buffalo Sabres, actual Calgary Flames)</t>
  </si>
  <si>
    <t>✗ Lost (predicted Carolina Hurricanes, actual Minnesota Wild)</t>
  </si>
  <si>
    <t>✗ Lost (predicted Anaheim Ducks, actual Ottawa Senators)</t>
  </si>
  <si>
    <t>✗ Lost (predicted Chicago Blackhawks, actual Seattle Kraken)</t>
  </si>
  <si>
    <t>✗ Lost (predicted Detroit Red Wings, actual New York Islanders)</t>
  </si>
  <si>
    <t>✓ Won by Florida Panthers</t>
  </si>
  <si>
    <t>✗ Lost (predicted Montreal Canadiens, actual Washington Capitals)</t>
  </si>
  <si>
    <t>✓ Won by Philadelphia Flyers</t>
  </si>
  <si>
    <t>✗ Lost (predicted Los Angeles Kings, actual San Jose Sharks)</t>
  </si>
  <si>
    <t>✓ Won by Tampa Bay Lightning</t>
  </si>
  <si>
    <t>✗ Lost (predicted Toronto Maple Leafs, actual Columbus Blue Jackets)</t>
  </si>
  <si>
    <t>✗ Lost (predicted Utah Mammoth, actual Vegas Golden Knights)</t>
  </si>
  <si>
    <t>✓ Won by Dallas Stars</t>
  </si>
  <si>
    <t>✗ Lost (predicted Chicago Blackhawks, actual Buffalo Sabres)</t>
  </si>
  <si>
    <t>✗ Lost (predicted Los Angeles Kings, actual Boston Bruins)</t>
  </si>
  <si>
    <t>✗ Lost (predicted Winnipeg Jets, actual Carolina Hurricanes)</t>
  </si>
  <si>
    <t>✗ Lost (predicted Dallas Stars, actual Calgary Flames)</t>
  </si>
  <si>
    <t>✗ Lost (predicted Florida Panthers, actual Edmonton Oilers)</t>
  </si>
  <si>
    <t>✗ Lost (predicted New York Islanders, actual St. Louis Blues)</t>
  </si>
  <si>
    <t>✗ Lost (predicted New Jersey Devils, actual Philadelphia Flyers)</t>
  </si>
  <si>
    <t>✗ Lost (predicted Pittsburgh Penguins, actual Seattle Kraken)</t>
  </si>
  <si>
    <t>✗ Lost (predicted San Jose Sharks, actual Ottawa Senators)</t>
  </si>
  <si>
    <t>✗ Lost (predicted Washington Capitals, actual Tampa Bay Lightning)</t>
  </si>
  <si>
    <t>✗ Lost (predicted Carolina Hurricanes, actual Buffalo Sabres)</t>
  </si>
  <si>
    <t>✗ Lost (predicted Seattle Kraken, actual New York Islanders)</t>
  </si>
  <si>
    <t>✗ Lost (predicted Winnipeg Jets, actual Minnesota Wild)</t>
  </si>
  <si>
    <t>✗ Lost (predicted Ottawa Senators, actual nan)</t>
  </si>
  <si>
    <t>✗ Lost (predicted New Jersey Devils, actual nan)</t>
  </si>
  <si>
    <t>✗ Lost (predicted Florida Panthers, actual nan)</t>
  </si>
  <si>
    <t>✗ Lost (predicted New York Rangers, actual nan)</t>
  </si>
  <si>
    <t>✗ Lost (predicted Tampa Bay Lightning, actual nan)</t>
  </si>
  <si>
    <t>✗ Lost (predicted Utah Mammoth, actual nan)</t>
  </si>
  <si>
    <t>✗ Lost (predicted Washington Capitals, actual nan)</t>
  </si>
  <si>
    <t>PENDING</t>
  </si>
  <si>
    <t>Vancouver Canucks @ Anaheim Ducks</t>
  </si>
  <si>
    <t>New York Rangers @ Carolina Hurricanes</t>
  </si>
  <si>
    <t>Toronto Maple Leafs @ Columbus Blue Jackets</t>
  </si>
  <si>
    <t>20:30:00</t>
  </si>
  <si>
    <t>Minnesota Wild @ Chicago Blackhawks</t>
  </si>
  <si>
    <t>San Jose Sharks @ Colorado Avalanche</t>
  </si>
  <si>
    <t>Nashville Predators @ Detroit Red Wings</t>
  </si>
  <si>
    <t>Philadelphia Flyers @ Florida Panthers</t>
  </si>
  <si>
    <t>St. Louis Blues @ New Jersey Devils</t>
  </si>
  <si>
    <t>Boston Bruins @ New York Islanders</t>
  </si>
  <si>
    <t>Buffalo Sabres @ Pittsburgh Penguins</t>
  </si>
  <si>
    <t>Dallas Stars @ Seattle Kraken</t>
  </si>
  <si>
    <t>Calgary Flames @ Tampa Bay Lightning</t>
  </si>
  <si>
    <t>21:30:00</t>
  </si>
  <si>
    <t>Montreal Canadiens @ Utah Mammoth</t>
  </si>
  <si>
    <t>Ottawa Senators @ Vegas Golden Knights</t>
  </si>
  <si>
    <t>Winnipeg Jets @ Washington Capitals</t>
  </si>
  <si>
    <t>2025-11-26 15:57:41</t>
  </si>
  <si>
    <t>Los Angeles Kings @ Anaheim Ducks</t>
  </si>
  <si>
    <t>2025-11-28 12:06:59</t>
  </si>
  <si>
    <t>New York Rangers @ Boston Bruins</t>
  </si>
  <si>
    <t>New Jersey Devils @ Buffalo Sabres</t>
  </si>
  <si>
    <t>Winnipeg Jets @ Carolina Hurricanes</t>
  </si>
  <si>
    <t>Pittsburgh Penguins @ Columbus Blue Jackets</t>
  </si>
  <si>
    <t>Nashville Predators @ Chicago Blackhawks</t>
  </si>
  <si>
    <t>Utah Mammoth @ Dallas Stars</t>
  </si>
  <si>
    <t>12:00:00</t>
  </si>
  <si>
    <t>Tampa Bay Lightning @ Detroit Red Wings</t>
  </si>
  <si>
    <t>Calgary Flames @ Florida Panthers</t>
  </si>
  <si>
    <t>Colorado Avalanche @ Minnesota Wild</t>
  </si>
  <si>
    <t>Philadelphia Flyers @ New York Islanders</t>
  </si>
  <si>
    <t>Vancouver Canucks @ San Jose Sharks</t>
  </si>
  <si>
    <t>Ottawa Senators @ St. Louis Blues</t>
  </si>
  <si>
    <t>Montreal Canadiens @ Vegas Golden Knights</t>
  </si>
  <si>
    <t>Toronto Maple Leafs @ Washington Capitals</t>
  </si>
  <si>
    <t>2025-11-29 12:05:06</t>
  </si>
  <si>
    <t>✗ Predicted Boston Bruins, was New York Rangers</t>
  </si>
  <si>
    <t>✓ Won by New Jersey Devils</t>
  </si>
  <si>
    <t>✓ Won by Carolina Hurricanes</t>
  </si>
  <si>
    <t>✓ Won by Pittsburgh Penguins</t>
  </si>
  <si>
    <t>✗ Predicted Chicago Blackhawks, was Nashville Predators</t>
  </si>
  <si>
    <t>✗ Predicted Florida Panthers, was Calgary Flames</t>
  </si>
  <si>
    <t>✗ Predicted Colorado Avalanche, was Minnesota Wild</t>
  </si>
  <si>
    <t>✗ Predicted Ottawa Senators, was St. Louis Blues</t>
  </si>
  <si>
    <t>Detroit Red Wings @ Boston Bruins</t>
  </si>
  <si>
    <t>15:00:00</t>
  </si>
  <si>
    <t>Montreal Canadiens @ Colorado Avalanche</t>
  </si>
  <si>
    <t>Vancouver Canucks @ Los Angeles Kings</t>
  </si>
  <si>
    <t>Buffalo Sabres @ Minnesota Wild</t>
  </si>
  <si>
    <t>Philadelphia Flyers @ New Jersey Devils</t>
  </si>
  <si>
    <t>Winnipeg Jets @ Nashville Predators</t>
  </si>
  <si>
    <t>14:00:00</t>
  </si>
  <si>
    <t>Tampa Bay Lightning @ New York Rangers</t>
  </si>
  <si>
    <t>Toronto Maple Leafs @ Pittsburgh Penguins</t>
  </si>
  <si>
    <t>Edmonton Oilers @ Seattle Kraken</t>
  </si>
  <si>
    <t>Utah Mammoth @ St. Louis Blues</t>
  </si>
  <si>
    <t>San Jose Sharks @ Vegas Golden Knights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</si>
</sst>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1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%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0.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0.392827083335" createdVersion="8" refreshedVersion="8" minRefreshableVersion="3" recordCount="32" xr:uid="{08FE906C-B966-1C47-96E4-36DEA2271602}">
  <cacheSource type="worksheet">
    <worksheetSource name="Table1"/>
  </cacheSource>
  <cacheFields count="14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13" maxValue="16"/>
    </cacheField>
    <cacheField name="W" numFmtId="0">
      <sharedItems containsSemiMixedTypes="0" containsString="0" containsNumber="1" containsInteger="1" minValue="4" maxValue="10"/>
    </cacheField>
    <cacheField name="L" numFmtId="0">
      <sharedItems containsSemiMixedTypes="0" containsString="0" containsNumber="1" containsInteger="1" minValue="1" maxValue="10"/>
    </cacheField>
    <cacheField name="OTL" numFmtId="0">
      <sharedItems containsSemiMixedTypes="0" containsString="0" containsNumber="1" containsInteger="1" minValue="0" maxValue="5"/>
    </cacheField>
    <cacheField name="PTS" numFmtId="0">
      <sharedItems containsSemiMixedTypes="0" containsString="0" containsNumber="1" containsInteger="1" minValue="10" maxValue="21"/>
    </cacheField>
    <cacheField name="HomeWins" numFmtId="0">
      <sharedItems containsSemiMixedTypes="0" containsString="0" containsNumber="1" containsInteger="1" minValue="0" maxValue="7"/>
    </cacheField>
    <cacheField name="HomeLoss" numFmtId="0">
      <sharedItems containsSemiMixedTypes="0" containsString="0" containsNumber="1" containsInteger="1" minValue="0" maxValue="5"/>
    </cacheField>
    <cacheField name="HomeOTL" numFmtId="0">
      <sharedItems containsSemiMixedTypes="0" containsString="0" containsNumber="1" containsInteger="1" minValue="0" maxValue="3"/>
    </cacheField>
    <cacheField name="AwayWins" numFmtId="0">
      <sharedItems containsSemiMixedTypes="0" containsString="0" containsNumber="1" containsInteger="1" minValue="0" maxValue="7"/>
    </cacheField>
    <cacheField name="AwayLoss" numFmtId="0">
      <sharedItems containsSemiMixedTypes="0" containsString="0" containsNumber="1" containsInteger="1" minValue="1" maxValue="6"/>
    </cacheField>
    <cacheField name="AwayOTL" numFmtId="0">
      <sharedItems containsSemiMixedTypes="0" containsString="0" containsNumber="1" containsInteger="1" minValue="0" maxValue="3"/>
    </cacheField>
    <cacheField name="HomeWin%" numFmtId="9">
      <sharedItems containsSemiMixedTypes="0" containsString="0" containsNumber="1" minValue="0" maxValue="1"/>
    </cacheField>
    <cacheField name="AwayWin%" numFmtId="9">
      <sharedItems containsSemiMixedTypes="0" containsString="0" containsNumber="1" minValue="0" maxValue="0.77777777777777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8.574677430559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1.6211574240381006" maxValue="1.54750135914897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13"/>
    <n v="9"/>
    <n v="3"/>
    <n v="1"/>
    <n v="19"/>
    <n v="4"/>
    <n v="1"/>
    <n v="0"/>
    <n v="5"/>
    <n v="2"/>
    <n v="1"/>
    <n v="0.8"/>
    <n v="0.625"/>
  </r>
  <r>
    <x v="1"/>
    <n v="16"/>
    <n v="9"/>
    <n v="7"/>
    <n v="0"/>
    <n v="18"/>
    <n v="7"/>
    <n v="3"/>
    <n v="0"/>
    <n v="2"/>
    <n v="4"/>
    <n v="0"/>
    <n v="0.7"/>
    <n v="0.33333333333333331"/>
  </r>
  <r>
    <x v="2"/>
    <n v="14"/>
    <n v="5"/>
    <n v="5"/>
    <n v="4"/>
    <n v="14"/>
    <n v="5"/>
    <n v="3"/>
    <n v="2"/>
    <n v="0"/>
    <n v="2"/>
    <n v="2"/>
    <n v="0.5"/>
    <n v="0"/>
  </r>
  <r>
    <x v="3"/>
    <n v="16"/>
    <n v="4"/>
    <n v="10"/>
    <n v="2"/>
    <n v="10"/>
    <n v="2"/>
    <n v="4"/>
    <n v="1"/>
    <n v="2"/>
    <n v="6"/>
    <n v="1"/>
    <n v="0.2857142857142857"/>
    <n v="0.22222222222222221"/>
  </r>
  <r>
    <x v="4"/>
    <n v="13"/>
    <n v="9"/>
    <n v="4"/>
    <n v="0"/>
    <n v="18"/>
    <n v="4"/>
    <n v="1"/>
    <n v="0"/>
    <n v="5"/>
    <n v="3"/>
    <n v="0"/>
    <n v="0.8"/>
    <n v="0.625"/>
  </r>
  <r>
    <x v="5"/>
    <n v="15"/>
    <n v="7"/>
    <n v="5"/>
    <n v="3"/>
    <n v="17"/>
    <n v="3"/>
    <n v="2"/>
    <n v="1"/>
    <n v="4"/>
    <n v="3"/>
    <n v="2"/>
    <n v="0.5"/>
    <n v="0.44444444444444442"/>
  </r>
  <r>
    <x v="6"/>
    <n v="14"/>
    <n v="8"/>
    <n v="1"/>
    <n v="5"/>
    <n v="21"/>
    <n v="4"/>
    <n v="0"/>
    <n v="2"/>
    <n v="4"/>
    <n v="1"/>
    <n v="3"/>
    <n v="0.66666666666666663"/>
    <n v="0.5"/>
  </r>
  <r>
    <x v="7"/>
    <n v="13"/>
    <n v="7"/>
    <n v="6"/>
    <n v="0"/>
    <n v="14"/>
    <n v="3"/>
    <n v="3"/>
    <n v="0"/>
    <n v="4"/>
    <n v="3"/>
    <n v="0"/>
    <n v="0.5"/>
    <n v="0.5714285714285714"/>
  </r>
  <r>
    <x v="8"/>
    <n v="14"/>
    <n v="7"/>
    <n v="4"/>
    <n v="3"/>
    <n v="17"/>
    <n v="4"/>
    <n v="3"/>
    <n v="1"/>
    <n v="3"/>
    <n v="1"/>
    <n v="2"/>
    <n v="0.5"/>
    <n v="0.5"/>
  </r>
  <r>
    <x v="9"/>
    <n v="15"/>
    <n v="9"/>
    <n v="6"/>
    <n v="0"/>
    <n v="18"/>
    <n v="5"/>
    <n v="2"/>
    <n v="0"/>
    <n v="4"/>
    <n v="4"/>
    <n v="0"/>
    <n v="0.7142857142857143"/>
    <n v="0.5"/>
  </r>
  <r>
    <x v="10"/>
    <n v="15"/>
    <n v="6"/>
    <n v="5"/>
    <n v="4"/>
    <n v="16"/>
    <n v="4"/>
    <n v="0"/>
    <n v="2"/>
    <n v="2"/>
    <n v="5"/>
    <n v="2"/>
    <n v="0.66666666666666663"/>
    <n v="0.22222222222222221"/>
  </r>
  <r>
    <x v="11"/>
    <n v="14"/>
    <n v="7"/>
    <n v="6"/>
    <n v="1"/>
    <n v="15"/>
    <n v="5"/>
    <n v="1"/>
    <n v="1"/>
    <n v="2"/>
    <n v="5"/>
    <n v="0"/>
    <n v="0.7142857142857143"/>
    <n v="0.2857142857142857"/>
  </r>
  <r>
    <x v="12"/>
    <n v="15"/>
    <n v="6"/>
    <n v="5"/>
    <n v="4"/>
    <n v="16"/>
    <n v="1"/>
    <n v="4"/>
    <n v="2"/>
    <n v="5"/>
    <n v="1"/>
    <n v="2"/>
    <n v="0.14285714285714285"/>
    <n v="0.625"/>
  </r>
  <r>
    <x v="13"/>
    <n v="16"/>
    <n v="6"/>
    <n v="7"/>
    <n v="3"/>
    <n v="15"/>
    <n v="3"/>
    <n v="3"/>
    <n v="2"/>
    <n v="3"/>
    <n v="4"/>
    <n v="1"/>
    <n v="0.375"/>
    <n v="0.375"/>
  </r>
  <r>
    <x v="14"/>
    <n v="14"/>
    <n v="9"/>
    <n v="3"/>
    <n v="2"/>
    <n v="20"/>
    <n v="4"/>
    <n v="1"/>
    <n v="1"/>
    <n v="5"/>
    <n v="2"/>
    <n v="1"/>
    <n v="0.66666666666666663"/>
    <n v="0.625"/>
  </r>
  <r>
    <x v="15"/>
    <n v="16"/>
    <n v="5"/>
    <n v="7"/>
    <n v="4"/>
    <n v="14"/>
    <n v="4"/>
    <n v="4"/>
    <n v="2"/>
    <n v="1"/>
    <n v="3"/>
    <n v="2"/>
    <n v="0.4"/>
    <n v="0.16666666666666666"/>
  </r>
  <r>
    <x v="16"/>
    <n v="14"/>
    <n v="10"/>
    <n v="4"/>
    <n v="0"/>
    <n v="20"/>
    <n v="6"/>
    <n v="0"/>
    <n v="0"/>
    <n v="4"/>
    <n v="4"/>
    <n v="0"/>
    <n v="1"/>
    <n v="0.5"/>
  </r>
  <r>
    <x v="17"/>
    <n v="14"/>
    <n v="6"/>
    <n v="6"/>
    <n v="2"/>
    <n v="14"/>
    <n v="4"/>
    <n v="3"/>
    <n v="1"/>
    <n v="2"/>
    <n v="3"/>
    <n v="1"/>
    <n v="0.5"/>
    <n v="0.33333333333333331"/>
  </r>
  <r>
    <x v="18"/>
    <n v="15"/>
    <n v="7"/>
    <n v="6"/>
    <n v="2"/>
    <n v="16"/>
    <n v="0"/>
    <n v="5"/>
    <n v="1"/>
    <n v="7"/>
    <n v="1"/>
    <n v="1"/>
    <n v="0"/>
    <n v="0.77777777777777779"/>
  </r>
  <r>
    <x v="19"/>
    <n v="14"/>
    <n v="6"/>
    <n v="5"/>
    <n v="3"/>
    <n v="15"/>
    <n v="4"/>
    <n v="2"/>
    <n v="1"/>
    <n v="2"/>
    <n v="3"/>
    <n v="2"/>
    <n v="0.5714285714285714"/>
    <n v="0.2857142857142857"/>
  </r>
  <r>
    <x v="20"/>
    <n v="14"/>
    <n v="8"/>
    <n v="5"/>
    <n v="1"/>
    <n v="17"/>
    <n v="6"/>
    <n v="3"/>
    <n v="0"/>
    <n v="2"/>
    <n v="2"/>
    <n v="1"/>
    <n v="0.66666666666666663"/>
    <n v="0.4"/>
  </r>
  <r>
    <x v="21"/>
    <n v="15"/>
    <n v="9"/>
    <n v="4"/>
    <n v="2"/>
    <n v="20"/>
    <n v="4"/>
    <n v="1"/>
    <n v="1"/>
    <n v="5"/>
    <n v="3"/>
    <n v="1"/>
    <n v="0.66666666666666663"/>
    <n v="0.55555555555555558"/>
  </r>
  <r>
    <x v="22"/>
    <n v="15"/>
    <n v="6"/>
    <n v="6"/>
    <n v="3"/>
    <n v="15"/>
    <n v="3"/>
    <n v="3"/>
    <n v="3"/>
    <n v="3"/>
    <n v="3"/>
    <n v="0"/>
    <n v="0.33333333333333331"/>
    <n v="0.5"/>
  </r>
  <r>
    <x v="23"/>
    <n v="13"/>
    <n v="6"/>
    <n v="3"/>
    <n v="4"/>
    <n v="16"/>
    <n v="4"/>
    <n v="1"/>
    <n v="2"/>
    <n v="2"/>
    <n v="2"/>
    <n v="2"/>
    <n v="0.5714285714285714"/>
    <n v="0.33333333333333331"/>
  </r>
  <r>
    <x v="24"/>
    <n v="15"/>
    <n v="5"/>
    <n v="8"/>
    <n v="2"/>
    <n v="12"/>
    <n v="2"/>
    <n v="4"/>
    <n v="2"/>
    <n v="3"/>
    <n v="4"/>
    <n v="0"/>
    <n v="0.25"/>
    <n v="0.42857142857142855"/>
  </r>
  <r>
    <x v="25"/>
    <n v="14"/>
    <n v="7"/>
    <n v="5"/>
    <n v="2"/>
    <n v="16"/>
    <n v="3"/>
    <n v="3"/>
    <n v="0"/>
    <n v="4"/>
    <n v="2"/>
    <n v="2"/>
    <n v="0.5"/>
    <n v="0.5"/>
  </r>
  <r>
    <x v="26"/>
    <n v="14"/>
    <n v="8"/>
    <n v="5"/>
    <n v="1"/>
    <n v="17"/>
    <n v="7"/>
    <n v="2"/>
    <n v="1"/>
    <n v="1"/>
    <n v="3"/>
    <n v="0"/>
    <n v="0.7"/>
    <n v="0.25"/>
  </r>
  <r>
    <x v="27"/>
    <n v="14"/>
    <n v="9"/>
    <n v="5"/>
    <n v="0"/>
    <n v="18"/>
    <n v="4"/>
    <n v="1"/>
    <n v="0"/>
    <n v="5"/>
    <n v="4"/>
    <n v="0"/>
    <n v="0.8"/>
    <n v="0.55555555555555558"/>
  </r>
  <r>
    <x v="28"/>
    <n v="15"/>
    <n v="7"/>
    <n v="8"/>
    <n v="0"/>
    <n v="14"/>
    <n v="2"/>
    <n v="4"/>
    <n v="0"/>
    <n v="5"/>
    <n v="4"/>
    <n v="0"/>
    <n v="0.33333333333333331"/>
    <n v="0.55555555555555558"/>
  </r>
  <r>
    <x v="29"/>
    <n v="13"/>
    <n v="7"/>
    <n v="3"/>
    <n v="3"/>
    <n v="17"/>
    <n v="4"/>
    <n v="2"/>
    <n v="1"/>
    <n v="3"/>
    <n v="1"/>
    <n v="2"/>
    <n v="0.5714285714285714"/>
    <n v="0.5"/>
  </r>
  <r>
    <x v="30"/>
    <n v="14"/>
    <n v="7"/>
    <n v="6"/>
    <n v="1"/>
    <n v="15"/>
    <n v="4"/>
    <n v="4"/>
    <n v="0"/>
    <n v="3"/>
    <n v="2"/>
    <n v="1"/>
    <n v="0.5"/>
    <n v="0.5"/>
  </r>
  <r>
    <x v="31"/>
    <n v="14"/>
    <n v="9"/>
    <n v="5"/>
    <n v="0"/>
    <n v="18"/>
    <n v="5"/>
    <n v="3"/>
    <n v="0"/>
    <n v="4"/>
    <n v="2"/>
    <n v="0"/>
    <n v="0.625"/>
    <n v="0.6666666666666666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51775546328552802"/>
  </r>
  <r>
    <x v="1"/>
    <n v="4.029141914856392E-2"/>
  </r>
  <r>
    <x v="2"/>
    <n v="-0.8683412362501769"/>
  </r>
  <r>
    <x v="3"/>
    <n v="-1.3903684122795328"/>
  </r>
  <r>
    <x v="4"/>
    <n v="0.67193921242367816"/>
  </r>
  <r>
    <x v="5"/>
    <n v="0.30570968833820172"/>
  </r>
  <r>
    <x v="6"/>
    <n v="1.5475013591489768"/>
  </r>
  <r>
    <x v="7"/>
    <n v="-0.40822279081308277"/>
  </r>
  <r>
    <x v="8"/>
    <n v="0.19809534061227302"/>
  </r>
  <r>
    <x v="9"/>
    <n v="-0.513643833119658"/>
  </r>
  <r>
    <x v="10"/>
    <n v="-0.61980804137564283"/>
  </r>
  <r>
    <x v="11"/>
    <n v="-0.28105923893144158"/>
  </r>
  <r>
    <x v="12"/>
    <n v="-7.5459708298993802E-2"/>
  </r>
  <r>
    <x v="13"/>
    <n v="-0.53650300840565446"/>
  </r>
  <r>
    <x v="14"/>
    <n v="-0.52437726201848234"/>
  </r>
  <r>
    <x v="15"/>
    <n v="-1.3516250707060606"/>
  </r>
  <r>
    <x v="16"/>
    <n v="0.559441163373953"/>
  </r>
  <r>
    <x v="17"/>
    <n v="-6.4729560818359025E-2"/>
  </r>
  <r>
    <x v="18"/>
    <n v="-0.30719665303039001"/>
  </r>
  <r>
    <x v="19"/>
    <n v="-0.40651947573390851"/>
  </r>
  <r>
    <x v="20"/>
    <n v="-0.51358590497437617"/>
  </r>
  <r>
    <x v="21"/>
    <n v="0.26289091192875702"/>
  </r>
  <r>
    <x v="22"/>
    <n v="-0.39418177254008485"/>
  </r>
  <r>
    <x v="23"/>
    <n v="-0.361361309178443"/>
  </r>
  <r>
    <x v="24"/>
    <n v="-1.6211574240381006"/>
  </r>
  <r>
    <x v="25"/>
    <n v="-0.11309445867623392"/>
  </r>
  <r>
    <x v="26"/>
    <n v="-0.635565543477981"/>
  </r>
  <r>
    <x v="27"/>
    <n v="-0.12212311954851815"/>
  </r>
  <r>
    <x v="28"/>
    <n v="-0.6902088310934803"/>
  </r>
  <r>
    <x v="29"/>
    <n v="-6.3745791019188943E-4"/>
  </r>
  <r>
    <x v="30"/>
    <n v="-6.1308839486784707E-2"/>
  </r>
  <r>
    <x v="31"/>
    <n v="0.1051052583697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4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E74AA801-A9EA-E94D-9F3C-64027CACC214}" autoFormatId="16" applyNumberFormats="0" applyBorderFormats="0" applyFontFormats="0" applyPatternFormats="0" applyAlignmentFormats="0" applyWidthHeightFormats="0">
  <queryTableRefresh nextId="28">
    <queryTableFields count="27">
      <queryTableField id="1" name="game_date" tableColumnId="1"/>
      <queryTableField id="2" name="game_time" tableColumnId="2"/>
      <queryTableField id="3" name="away_team" tableColumnId="3"/>
      <queryTableField id="4" name="home_team" tableColumnId="4"/>
      <queryTableField id="5" name="matchup" tableColumnId="5"/>
      <queryTableField id="6" name="ml_winner" tableColumnId="6"/>
      <queryTableField id="7" name="ml_away_score" tableColumnId="7"/>
      <queryTableField id="8" name="ml_home_score" tableColumnId="8"/>
      <queryTableField id="9" name="ml_confidence" tableColumnId="9"/>
      <queryTableField id="10" name="ml_ot" tableColumnId="10"/>
      <queryTableField id="11" name="ml_ot_prob" tableColumnId="11"/>
      <queryTableField id="12" name="ml_correct" tableColumnId="12"/>
      <queryTableField id="13" name="ml_result" tableColumnId="13"/>
      <queryTableField id="14" name="excel_winner" tableColumnId="14"/>
      <queryTableField id="15" name="excel_away_score" tableColumnId="15"/>
      <queryTableField id="16" name="excel_home_score" tableColumnId="16"/>
      <queryTableField id="17" name="excel_confidence" tableColumnId="17"/>
      <queryTableField id="18" name="excel_ot" tableColumnId="18"/>
      <queryTableField id="19" name="excel_homeice" tableColumnId="19"/>
      <queryTableField id="20" name="excel_correct" tableColumnId="20"/>
      <queryTableField id="21" name="actual_winner" tableColumnId="21"/>
      <queryTableField id="22" name="actual_away_score" tableColumnId="22"/>
      <queryTableField id="23" name="actual_home_score" tableColumnId="23"/>
      <queryTableField id="24" name="actual_ot" tableColumnId="24"/>
      <queryTableField id="25" name="game_status" tableColumnId="25"/>
      <queryTableField id="26" name="recorded_at" tableColumnId="26"/>
      <queryTableField id="27" name="updated_at" tableColumnId="2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80"/>
    <tableColumn id="3" xr3:uid="{2C87C5E2-BA51-8A42-89C8-535F9675CB8F}" uniqueName="3" name="Visitor" queryTableFieldId="3" dataDxfId="79"/>
    <tableColumn id="4" xr3:uid="{CE6ABB56-546F-BB46-9A09-2A1A92669C31}" uniqueName="4" name="G" queryTableFieldId="4" dataDxfId="78"/>
    <tableColumn id="5" xr3:uid="{C1234731-C200-EA4C-B756-2CA67776A39C}" uniqueName="5" name="Home" queryTableFieldId="5" dataDxfId="77"/>
    <tableColumn id="6" xr3:uid="{339325E9-BBA1-9A48-8657-C4AC5A969A45}" uniqueName="6" name="G_1" queryTableFieldId="6" dataDxfId="76"/>
    <tableColumn id="11" xr3:uid="{D5C53254-CDEF-7A46-97BA-0F3F94C9C0F8}" uniqueName="11" name="Column1" queryTableFieldId="11" dataDxfId="75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74"/>
    <tableColumn id="10" xr3:uid="{D8B4237A-01AB-6648-9F38-4F24C83C2F02}" uniqueName="10" name="Losing_G" queryTableFieldId="10" dataDxfId="7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72" headerRowBorderDxfId="71" tableBorderDxfId="70">
  <autoFilter ref="D6:J1318" xr:uid="{082AB263-30A0-9143-A4CB-E8E85CF645DA}"/>
  <tableColumns count="7">
    <tableColumn id="1" xr3:uid="{A2DA1977-C625-F248-8922-D45BEAE345E6}" name="Visitor" dataDxfId="69"/>
    <tableColumn id="2" xr3:uid="{7F142366-1AE0-5D45-A506-465FBF578C3A}" name="G" dataDxfId="68"/>
    <tableColumn id="3" xr3:uid="{F73B07A5-94FF-C843-900F-F37684899EAA}" name="Home" dataDxfId="67"/>
    <tableColumn id="4" xr3:uid="{7D6FADB5-28D9-9449-ADC0-599788BF0B16}" name="G_1" dataDxfId="66"/>
    <tableColumn id="5" xr3:uid="{98CF2B62-3F88-D44B-AF59-BE4BB5C0604E}" name="HomeMargin" dataDxfId="65">
      <calculatedColumnFormula>Table3[[#This Row],[G_1]]-Table3[[#This Row],[G]]</calculatedColumnFormula>
    </tableColumn>
    <tableColumn id="6" xr3:uid="{FD0EC919-55F2-CA43-8B92-CA3E6283FCFD}" name="HomeForecast" dataDxfId="64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63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62" dataDxfId="61">
  <autoFilter ref="D1:R1313" xr:uid="{B940C27F-1AFD-1A45-A69A-42FED3D3591C}"/>
  <tableColumns count="15">
    <tableColumn id="1" xr3:uid="{27200A7D-FC6F-7D47-A38B-8116F873A9D8}" name="Date" dataDxfId="60"/>
    <tableColumn id="2" xr3:uid="{E6247AA5-111B-9544-9F6D-FFC524512888}" name="Time" dataDxfId="59"/>
    <tableColumn id="3" xr3:uid="{EDCD8AB3-2C72-284E-B537-7168C3C8687B}" name="Home" dataDxfId="58"/>
    <tableColumn id="4" xr3:uid="{EC6C1412-AAC2-6646-BF48-0D4526947D52}" name="Home Differential" dataDxfId="57">
      <calculatedColumnFormula>VLOOKUP(Table4[[#This Row],[Home]],'NHL Model'!$A$6:$B$38,2,FALSE)</calculatedColumnFormula>
    </tableColumn>
    <tableColumn id="5" xr3:uid="{67F5F1C4-5CC9-B648-BE7C-7E4EF3A85290}" name="Visitor" dataDxfId="56"/>
    <tableColumn id="6" xr3:uid="{84F489BE-33B4-0E4D-959D-E87A85C1D38D}" name="Away Differential" dataDxfId="55">
      <calculatedColumnFormula>VLOOKUP(Table4[[#This Row],[Visitor]],'NHL Model'!$A$6:$B$38,2,FALSE)</calculatedColumnFormula>
    </tableColumn>
    <tableColumn id="7" xr3:uid="{A6F9ABE3-1844-E54D-9016-325B538D2969}" name="HomeIce Differential" dataDxfId="54">
      <calculatedColumnFormula>($B$1+Table4[[#This Row],[Home Differential]])-Table4[[#This Row],[Away Differential]]</calculatedColumnFormula>
    </tableColumn>
    <tableColumn id="8" xr3:uid="{8FFD520F-0CF9-9D4A-93B6-B45373384612}" name="Predicted Winner" dataDxfId="53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52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51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50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9"/>
    <tableColumn id="13" xr3:uid="{F50D85A3-D772-F247-BFBE-86E765FD0BF6}" name="Locked Correct" dataDxfId="48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7">
  <autoFilter ref="A1:R33" xr:uid="{1B34B514-E1CC-0949-A7DD-8D37387465DD}"/>
  <tableColumns count="18">
    <tableColumn id="1" xr3:uid="{C9F77F0F-7B0D-CC44-9D34-395D1E3FA55B}" name="Team" dataDxfId="46"/>
    <tableColumn id="2" xr3:uid="{4080CFDD-7980-DD4D-A4DE-25DB03E50B7C}" name="GP" dataDxfId="45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44">
      <calculatedColumnFormula>COUNTIFS('NHL2025-26Results'!$H:$H,A2,'NHL2025-26Results'!$F:$F,"")</calculatedColumnFormula>
    </tableColumn>
    <tableColumn id="5" xr3:uid="{5EA2DCC3-F71A-5A40-B3F3-8F2F8CB0A7CE}" name="OTL" dataDxfId="43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42">
      <calculatedColumnFormula>(Table1[[#This Row],[W]]*2)+Table1[[#This Row],[OTL]]</calculatedColumnFormula>
    </tableColumn>
    <tableColumn id="7" xr3:uid="{40EA95E8-9958-E040-A5BE-EC17EEDC1CBD}" name="HomeWins" dataDxfId="41">
      <calculatedColumnFormula>COUNTIFS('NHL2025-26Results'!$D:$D,A2,'NHL2025-26Results'!$G:$G,A2)</calculatedColumnFormula>
    </tableColumn>
    <tableColumn id="9" xr3:uid="{F3FA5C24-502A-6446-A4B9-25DB670D2CB7}" name="HomeLoss" dataDxfId="40">
      <calculatedColumnFormula>COUNTIFS('NHL2025-26Results'!$D:$D,A2,'NHL2025-26Results'!$H:$H,A2,'NHL2025-26Results'!$F:$F,"")</calculatedColumnFormula>
    </tableColumn>
    <tableColumn id="8" xr3:uid="{999F1273-113E-7F4B-990E-AC7B23C4A496}" name="HomeOTL" dataDxfId="39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8">
      <calculatedColumnFormula>COUNTIFS('NHL2025-26Results'!$B:$B,A2,'NHL2025-26Results'!$G:$G,A2)</calculatedColumnFormula>
    </tableColumn>
    <tableColumn id="10" xr3:uid="{1A63BDD0-5CF0-0C48-B684-3675FC716427}" name="AwayLoss" dataDxfId="37">
      <calculatedColumnFormula>COUNTIFS('NHL2025-26Results'!$B:$B,A2,'NHL2025-26Results'!$H:$H,A2,'NHL2025-26Results'!$F:$F,"")</calculatedColumnFormula>
    </tableColumn>
    <tableColumn id="12" xr3:uid="{59628040-0BA7-5042-BB5A-1E9D40ABC469}" name="AwayOTL" dataDxfId="36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35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34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33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32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2332789-251B-774B-AB2B-8BB4F3AFC4B8}" name="nhl_predictions_daily_migrated" displayName="nhl_predictions_daily_migrated" ref="A1:AA101" tableType="queryTable" totalsRowShown="0">
  <autoFilter ref="A1:AA101" xr:uid="{F2332789-251B-774B-AB2B-8BB4F3AFC4B8}"/>
  <tableColumns count="27">
    <tableColumn id="1" xr3:uid="{A82D8364-7061-A147-9648-1020427F222D}" uniqueName="1" name="game_date" queryTableFieldId="1" dataDxfId="31"/>
    <tableColumn id="2" xr3:uid="{2F0B0F85-AE68-C84D-ABF4-9C9BD4BCDE1A}" uniqueName="2" name="game_time" queryTableFieldId="2" dataDxfId="30"/>
    <tableColumn id="3" xr3:uid="{E190D701-E48A-4849-B026-83F6843A3F7C}" uniqueName="3" name="away_team" queryTableFieldId="3" dataDxfId="29"/>
    <tableColumn id="4" xr3:uid="{D8A87A5E-45E9-434D-B896-A1AC29AE2193}" uniqueName="4" name="home_team" queryTableFieldId="4" dataDxfId="28"/>
    <tableColumn id="5" xr3:uid="{F866A432-CB2E-1344-BB8E-B02DE09CEE39}" uniqueName="5" name="matchup" queryTableFieldId="5" dataDxfId="27"/>
    <tableColumn id="6" xr3:uid="{321205EB-FCDC-FF42-A5BC-028328229DA9}" uniqueName="6" name="ml_winner" queryTableFieldId="6" dataDxfId="26"/>
    <tableColumn id="7" xr3:uid="{1146F8DC-3374-2845-B506-3428513D1030}" uniqueName="7" name="ml_away_score" queryTableFieldId="7" dataDxfId="25"/>
    <tableColumn id="8" xr3:uid="{04F6AA09-904F-E441-9223-5D3EABA2C9DE}" uniqueName="8" name="ml_home_score" queryTableFieldId="8" dataDxfId="24"/>
    <tableColumn id="9" xr3:uid="{A52E9546-F206-504B-B50C-DE483A5979F1}" uniqueName="9" name="ml_confidence" queryTableFieldId="9" dataDxfId="23" dataCellStyle="Percent"/>
    <tableColumn id="10" xr3:uid="{B0863A61-8896-F94A-9BD1-877DA74E944C}" uniqueName="10" name="ml_ot" queryTableFieldId="10" dataDxfId="22"/>
    <tableColumn id="11" xr3:uid="{0CEF2C0B-AEAC-D24C-B808-9E65DA36D85B}" uniqueName="11" name="ml_ot_prob" queryTableFieldId="11" dataDxfId="21"/>
    <tableColumn id="12" xr3:uid="{953F4783-1A2A-2049-B662-B96EC4C98B47}" uniqueName="12" name="ml_correct" queryTableFieldId="12" dataDxfId="20"/>
    <tableColumn id="13" xr3:uid="{01F9271B-BF28-974D-9DD2-7B2DE98B6F67}" uniqueName="13" name="ml_result" queryTableFieldId="13" dataDxfId="19"/>
    <tableColumn id="14" xr3:uid="{53D10B71-CBA8-8D4A-96BA-CDF21FB393EA}" uniqueName="14" name="excel_winner" queryTableFieldId="14" dataDxfId="18"/>
    <tableColumn id="15" xr3:uid="{BFE057F3-C344-6344-BBC6-D1E83F6B5653}" uniqueName="15" name="excel_away_score" queryTableFieldId="15" dataDxfId="17"/>
    <tableColumn id="16" xr3:uid="{95A37C51-0AFC-4B48-BDBD-9F547D067C1A}" uniqueName="16" name="excel_home_score" queryTableFieldId="16" dataDxfId="16"/>
    <tableColumn id="17" xr3:uid="{21361EAA-D669-0647-AB36-316C9A355B06}" uniqueName="17" name="excel_confidence" queryTableFieldId="17" dataDxfId="15" dataCellStyle="Percent"/>
    <tableColumn id="18" xr3:uid="{C0D4B874-D9A3-F047-9F50-E1FD6B0B1717}" uniqueName="18" name="excel_ot" queryTableFieldId="18" dataDxfId="14"/>
    <tableColumn id="19" xr3:uid="{B5C6CD51-366A-5E4F-9D9D-FCD85DB91334}" uniqueName="19" name="excel_homeice" queryTableFieldId="19" dataDxfId="13"/>
    <tableColumn id="20" xr3:uid="{8A0C0F6C-7907-0B40-9DDC-02333190C939}" uniqueName="20" name="excel_correct" queryTableFieldId="20" dataDxfId="12"/>
    <tableColumn id="21" xr3:uid="{4F720508-4E4B-1843-AE1F-4E2016CC6849}" uniqueName="21" name="actual_winner" queryTableFieldId="21" dataDxfId="11"/>
    <tableColumn id="22" xr3:uid="{DF1197C5-5856-EF4D-BC04-6C080F1AD21B}" uniqueName="22" name="actual_away_score" queryTableFieldId="22" dataDxfId="10"/>
    <tableColumn id="23" xr3:uid="{521AC888-C59A-E842-8AF4-8F313E19B6CE}" uniqueName="23" name="actual_home_score" queryTableFieldId="23" dataDxfId="9"/>
    <tableColumn id="24" xr3:uid="{BBF8FDF8-3558-D043-9E29-97FCC0E90C92}" uniqueName="24" name="actual_ot" queryTableFieldId="24" dataDxfId="8"/>
    <tableColumn id="25" xr3:uid="{B3C51976-5727-A24B-9842-AC69798A596C}" uniqueName="25" name="game_status" queryTableFieldId="25" dataDxfId="7"/>
    <tableColumn id="26" xr3:uid="{C7B8AFAB-46A9-D04C-A7AF-56BEE52383BA}" uniqueName="26" name="recorded_at" queryTableFieldId="26" dataDxfId="6"/>
    <tableColumn id="27" xr3:uid="{0C0062D0-5688-D346-83F6-DF5908F6B02E}" uniqueName="27" name="updated_at" queryTableFieldId="27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374" workbookViewId="0">
      <selection activeCell="G392" sqref="G392:H1313"/>
    </sheetView>
  </sheetViews>
  <sheetFormatPr baseColWidth="10" defaultColWidth="10.83203125" defaultRowHeight="16" x14ac:dyDescent="0.2"/>
  <cols>
    <col min="1" max="1" width="10.5" bestFit="1" customWidth="1"/>
    <col min="2" max="2" width="19.83203125" bestFit="1" customWidth="1"/>
    <col min="3" max="3" width="5" bestFit="1" customWidth="1"/>
    <col min="4" max="4" width="19.83203125" bestFit="1" customWidth="1"/>
    <col min="5" max="5" width="6.83203125" bestFit="1" customWidth="1"/>
    <col min="6" max="6" width="11.1640625" bestFit="1" customWidth="1"/>
    <col min="7" max="8" width="19.83203125" bestFit="1" customWidth="1"/>
    <col min="9" max="9" width="12.5" bestFit="1" customWidth="1"/>
    <col min="10" max="10" width="11.332031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D392" t="s">
        <v>21</v>
      </c>
      <c r="F392" t="s">
        <v>60</v>
      </c>
    </row>
    <row r="393" spans="1:10" x14ac:dyDescent="0.2">
      <c r="A393" s="1" t="s">
        <v>227</v>
      </c>
      <c r="B393" t="s">
        <v>18</v>
      </c>
      <c r="D393" t="s">
        <v>12</v>
      </c>
      <c r="F393" t="s">
        <v>60</v>
      </c>
    </row>
    <row r="394" spans="1:10" x14ac:dyDescent="0.2">
      <c r="A394" s="1" t="s">
        <v>227</v>
      </c>
      <c r="B394" t="s">
        <v>38</v>
      </c>
      <c r="D394" t="s">
        <v>13</v>
      </c>
      <c r="F394" t="s">
        <v>60</v>
      </c>
    </row>
    <row r="395" spans="1:10" x14ac:dyDescent="0.2">
      <c r="A395" s="1" t="s">
        <v>227</v>
      </c>
      <c r="B395" t="s">
        <v>23</v>
      </c>
      <c r="D395" t="s">
        <v>34</v>
      </c>
      <c r="F395" t="s">
        <v>60</v>
      </c>
    </row>
    <row r="396" spans="1:10" x14ac:dyDescent="0.2">
      <c r="A396" s="1" t="s">
        <v>227</v>
      </c>
      <c r="B396" t="s">
        <v>27</v>
      </c>
      <c r="D396" t="s">
        <v>24</v>
      </c>
      <c r="F396" t="s">
        <v>60</v>
      </c>
    </row>
    <row r="397" spans="1:10" x14ac:dyDescent="0.2">
      <c r="A397" s="1" t="s">
        <v>227</v>
      </c>
      <c r="B397" t="s">
        <v>40</v>
      </c>
      <c r="D397" t="s">
        <v>29</v>
      </c>
      <c r="F397" t="s">
        <v>60</v>
      </c>
    </row>
    <row r="398" spans="1:10" x14ac:dyDescent="0.2">
      <c r="A398" s="1" t="s">
        <v>227</v>
      </c>
      <c r="B398" t="s">
        <v>37</v>
      </c>
      <c r="D398" t="s">
        <v>15</v>
      </c>
      <c r="F398" t="s">
        <v>60</v>
      </c>
    </row>
    <row r="399" spans="1:10" x14ac:dyDescent="0.2">
      <c r="A399" s="1" t="s">
        <v>227</v>
      </c>
      <c r="B399" t="s">
        <v>19</v>
      </c>
      <c r="D399" t="s">
        <v>14</v>
      </c>
      <c r="F399" t="s">
        <v>60</v>
      </c>
    </row>
    <row r="400" spans="1:10" x14ac:dyDescent="0.2">
      <c r="A400" s="1" t="s">
        <v>227</v>
      </c>
      <c r="B400" t="s">
        <v>17</v>
      </c>
      <c r="D400" t="s">
        <v>32</v>
      </c>
      <c r="F400" t="s">
        <v>60</v>
      </c>
    </row>
    <row r="401" spans="1:6" x14ac:dyDescent="0.2">
      <c r="A401" s="1" t="s">
        <v>227</v>
      </c>
      <c r="B401" t="s">
        <v>55</v>
      </c>
      <c r="D401" t="s">
        <v>35</v>
      </c>
      <c r="F401" t="s">
        <v>60</v>
      </c>
    </row>
    <row r="402" spans="1:6" x14ac:dyDescent="0.2">
      <c r="A402" s="1" t="s">
        <v>227</v>
      </c>
      <c r="B402" t="s">
        <v>33</v>
      </c>
      <c r="D402" t="s">
        <v>20</v>
      </c>
      <c r="F402" t="s">
        <v>60</v>
      </c>
    </row>
    <row r="403" spans="1:6" x14ac:dyDescent="0.2">
      <c r="A403" s="1" t="s">
        <v>228</v>
      </c>
      <c r="B403" t="s">
        <v>16</v>
      </c>
      <c r="D403" t="s">
        <v>25</v>
      </c>
      <c r="F403" t="s">
        <v>60</v>
      </c>
    </row>
    <row r="404" spans="1:6" x14ac:dyDescent="0.2">
      <c r="A404" s="1" t="s">
        <v>228</v>
      </c>
      <c r="B404" t="s">
        <v>31</v>
      </c>
      <c r="D404" t="s">
        <v>10</v>
      </c>
      <c r="F404" t="s">
        <v>60</v>
      </c>
    </row>
    <row r="405" spans="1:6" x14ac:dyDescent="0.2">
      <c r="A405" s="1" t="s">
        <v>228</v>
      </c>
      <c r="B405" t="s">
        <v>36</v>
      </c>
      <c r="D405" t="s">
        <v>39</v>
      </c>
      <c r="F405" t="s">
        <v>60</v>
      </c>
    </row>
    <row r="406" spans="1:6" x14ac:dyDescent="0.2">
      <c r="A406" s="1" t="s">
        <v>228</v>
      </c>
      <c r="B406" t="s">
        <v>22</v>
      </c>
      <c r="D406" t="s">
        <v>30</v>
      </c>
      <c r="F406" t="s">
        <v>60</v>
      </c>
    </row>
    <row r="407" spans="1:6" x14ac:dyDescent="0.2">
      <c r="A407" s="1" t="s">
        <v>229</v>
      </c>
      <c r="B407" t="s">
        <v>40</v>
      </c>
      <c r="D407" t="s">
        <v>23</v>
      </c>
      <c r="F407" t="s">
        <v>60</v>
      </c>
    </row>
    <row r="408" spans="1:6" x14ac:dyDescent="0.2">
      <c r="A408" s="1" t="s">
        <v>229</v>
      </c>
      <c r="B408" t="s">
        <v>28</v>
      </c>
      <c r="D408" t="s">
        <v>24</v>
      </c>
      <c r="F408" t="s">
        <v>60</v>
      </c>
    </row>
    <row r="409" spans="1:6" x14ac:dyDescent="0.2">
      <c r="A409" s="1" t="s">
        <v>229</v>
      </c>
      <c r="B409" t="s">
        <v>14</v>
      </c>
      <c r="D409" t="s">
        <v>27</v>
      </c>
      <c r="F409" t="s">
        <v>60</v>
      </c>
    </row>
    <row r="410" spans="1:6" x14ac:dyDescent="0.2">
      <c r="A410" s="1" t="s">
        <v>229</v>
      </c>
      <c r="B410" t="s">
        <v>55</v>
      </c>
      <c r="D410" t="s">
        <v>33</v>
      </c>
      <c r="F410" t="s">
        <v>60</v>
      </c>
    </row>
    <row r="411" spans="1:6" x14ac:dyDescent="0.2">
      <c r="A411" s="1" t="s">
        <v>229</v>
      </c>
      <c r="B411" t="s">
        <v>31</v>
      </c>
      <c r="D411" t="s">
        <v>35</v>
      </c>
      <c r="F411" t="s">
        <v>60</v>
      </c>
    </row>
    <row r="412" spans="1:6" x14ac:dyDescent="0.2">
      <c r="A412" s="1" t="s">
        <v>230</v>
      </c>
      <c r="B412" t="s">
        <v>38</v>
      </c>
      <c r="D412" t="s">
        <v>12</v>
      </c>
      <c r="F412" t="s">
        <v>60</v>
      </c>
    </row>
    <row r="413" spans="1:6" x14ac:dyDescent="0.2">
      <c r="A413" s="1" t="s">
        <v>230</v>
      </c>
      <c r="B413" t="s">
        <v>21</v>
      </c>
      <c r="D413" t="s">
        <v>26</v>
      </c>
      <c r="F413" t="s">
        <v>60</v>
      </c>
    </row>
    <row r="414" spans="1:6" x14ac:dyDescent="0.2">
      <c r="A414" s="1" t="s">
        <v>230</v>
      </c>
      <c r="B414" t="s">
        <v>34</v>
      </c>
      <c r="D414" t="s">
        <v>17</v>
      </c>
      <c r="F414" t="s">
        <v>60</v>
      </c>
    </row>
    <row r="415" spans="1:6" x14ac:dyDescent="0.2">
      <c r="A415" s="1" t="s">
        <v>230</v>
      </c>
      <c r="B415" t="s">
        <v>19</v>
      </c>
      <c r="D415" t="s">
        <v>11</v>
      </c>
      <c r="F415" t="s">
        <v>60</v>
      </c>
    </row>
    <row r="416" spans="1:6" x14ac:dyDescent="0.2">
      <c r="A416" s="1" t="s">
        <v>230</v>
      </c>
      <c r="B416" t="s">
        <v>22</v>
      </c>
      <c r="D416" t="s">
        <v>13</v>
      </c>
      <c r="F416" t="s">
        <v>60</v>
      </c>
    </row>
    <row r="417" spans="1:6" x14ac:dyDescent="0.2">
      <c r="A417" s="1" t="s">
        <v>230</v>
      </c>
      <c r="B417" t="s">
        <v>36</v>
      </c>
      <c r="D417" t="s">
        <v>18</v>
      </c>
      <c r="F417" t="s">
        <v>60</v>
      </c>
    </row>
    <row r="418" spans="1:6" x14ac:dyDescent="0.2">
      <c r="A418" s="1" t="s">
        <v>230</v>
      </c>
      <c r="B418" t="s">
        <v>16</v>
      </c>
      <c r="D418" t="s">
        <v>29</v>
      </c>
      <c r="F418" t="s">
        <v>60</v>
      </c>
    </row>
    <row r="419" spans="1:6" x14ac:dyDescent="0.2">
      <c r="A419" s="1" t="s">
        <v>230</v>
      </c>
      <c r="B419" t="s">
        <v>37</v>
      </c>
      <c r="D419" t="s">
        <v>30</v>
      </c>
      <c r="F419" t="s">
        <v>60</v>
      </c>
    </row>
    <row r="420" spans="1:6" x14ac:dyDescent="0.2">
      <c r="A420" s="1" t="s">
        <v>230</v>
      </c>
      <c r="B420" t="s">
        <v>39</v>
      </c>
      <c r="D420" t="s">
        <v>15</v>
      </c>
      <c r="F420" t="s">
        <v>60</v>
      </c>
    </row>
    <row r="421" spans="1:6" x14ac:dyDescent="0.2">
      <c r="A421" s="1" t="s">
        <v>230</v>
      </c>
      <c r="B421" t="s">
        <v>10</v>
      </c>
      <c r="D421" t="s">
        <v>20</v>
      </c>
      <c r="F421" t="s">
        <v>60</v>
      </c>
    </row>
    <row r="422" spans="1:6" x14ac:dyDescent="0.2">
      <c r="A422" s="1" t="s">
        <v>231</v>
      </c>
      <c r="B422" t="s">
        <v>55</v>
      </c>
      <c r="D422" t="s">
        <v>31</v>
      </c>
      <c r="F422" t="s">
        <v>60</v>
      </c>
    </row>
    <row r="423" spans="1:6" x14ac:dyDescent="0.2">
      <c r="A423" s="1" t="s">
        <v>231</v>
      </c>
      <c r="B423" t="s">
        <v>40</v>
      </c>
      <c r="D423" t="s">
        <v>18</v>
      </c>
      <c r="F423" t="s">
        <v>60</v>
      </c>
    </row>
    <row r="424" spans="1:6" x14ac:dyDescent="0.2">
      <c r="A424" s="1" t="s">
        <v>231</v>
      </c>
      <c r="B424" t="s">
        <v>39</v>
      </c>
      <c r="D424" t="s">
        <v>24</v>
      </c>
      <c r="F424" t="s">
        <v>60</v>
      </c>
    </row>
    <row r="425" spans="1:6" x14ac:dyDescent="0.2">
      <c r="A425" s="1" t="s">
        <v>231</v>
      </c>
      <c r="B425" t="s">
        <v>23</v>
      </c>
      <c r="D425" t="s">
        <v>27</v>
      </c>
      <c r="F425" t="s">
        <v>60</v>
      </c>
    </row>
    <row r="426" spans="1:6" x14ac:dyDescent="0.2">
      <c r="A426" s="1" t="s">
        <v>231</v>
      </c>
      <c r="B426" t="s">
        <v>22</v>
      </c>
      <c r="D426" t="s">
        <v>33</v>
      </c>
      <c r="F426" t="s">
        <v>60</v>
      </c>
    </row>
    <row r="427" spans="1:6" x14ac:dyDescent="0.2">
      <c r="A427" s="1" t="s">
        <v>232</v>
      </c>
      <c r="B427" t="s">
        <v>35</v>
      </c>
      <c r="D427" t="s">
        <v>21</v>
      </c>
      <c r="F427" t="s">
        <v>60</v>
      </c>
    </row>
    <row r="428" spans="1:6" x14ac:dyDescent="0.2">
      <c r="A428" s="1" t="s">
        <v>232</v>
      </c>
      <c r="B428" t="s">
        <v>19</v>
      </c>
      <c r="D428" t="s">
        <v>25</v>
      </c>
      <c r="F428" t="s">
        <v>60</v>
      </c>
    </row>
    <row r="429" spans="1:6" x14ac:dyDescent="0.2">
      <c r="A429" s="1" t="s">
        <v>232</v>
      </c>
      <c r="B429" t="s">
        <v>26</v>
      </c>
      <c r="D429" t="s">
        <v>28</v>
      </c>
      <c r="F429" t="s">
        <v>60</v>
      </c>
    </row>
    <row r="430" spans="1:6" x14ac:dyDescent="0.2">
      <c r="A430" s="1" t="s">
        <v>232</v>
      </c>
      <c r="B430" t="s">
        <v>34</v>
      </c>
      <c r="D430" t="s">
        <v>16</v>
      </c>
      <c r="F430" t="s">
        <v>60</v>
      </c>
    </row>
    <row r="431" spans="1:6" x14ac:dyDescent="0.2">
      <c r="A431" s="1" t="s">
        <v>232</v>
      </c>
      <c r="B431" t="s">
        <v>32</v>
      </c>
      <c r="D431" t="s">
        <v>17</v>
      </c>
      <c r="F431" t="s">
        <v>60</v>
      </c>
    </row>
    <row r="432" spans="1:6" x14ac:dyDescent="0.2">
      <c r="A432" s="1" t="s">
        <v>232</v>
      </c>
      <c r="B432" t="s">
        <v>29</v>
      </c>
      <c r="D432" t="s">
        <v>11</v>
      </c>
      <c r="F432" t="s">
        <v>60</v>
      </c>
    </row>
    <row r="433" spans="1:6" x14ac:dyDescent="0.2">
      <c r="A433" s="1" t="s">
        <v>232</v>
      </c>
      <c r="B433" t="s">
        <v>10</v>
      </c>
      <c r="D433" t="s">
        <v>13</v>
      </c>
      <c r="F433" t="s">
        <v>60</v>
      </c>
    </row>
    <row r="434" spans="1:6" x14ac:dyDescent="0.2">
      <c r="A434" s="1" t="s">
        <v>232</v>
      </c>
      <c r="B434" t="s">
        <v>12</v>
      </c>
      <c r="D434" t="s">
        <v>30</v>
      </c>
      <c r="F434" t="s">
        <v>60</v>
      </c>
    </row>
    <row r="435" spans="1:6" x14ac:dyDescent="0.2">
      <c r="A435" s="1" t="s">
        <v>232</v>
      </c>
      <c r="B435" t="s">
        <v>15</v>
      </c>
      <c r="D435" t="s">
        <v>36</v>
      </c>
      <c r="F435" t="s">
        <v>60</v>
      </c>
    </row>
    <row r="436" spans="1:6" x14ac:dyDescent="0.2">
      <c r="A436" s="1" t="s">
        <v>232</v>
      </c>
      <c r="B436" t="s">
        <v>14</v>
      </c>
      <c r="D436" t="s">
        <v>37</v>
      </c>
      <c r="F436" t="s">
        <v>60</v>
      </c>
    </row>
    <row r="437" spans="1:6" x14ac:dyDescent="0.2">
      <c r="A437" s="1" t="s">
        <v>233</v>
      </c>
      <c r="B437" t="s">
        <v>22</v>
      </c>
      <c r="D437" t="s">
        <v>31</v>
      </c>
      <c r="F437" t="s">
        <v>60</v>
      </c>
    </row>
    <row r="438" spans="1:6" x14ac:dyDescent="0.2">
      <c r="A438" s="1" t="s">
        <v>233</v>
      </c>
      <c r="B438" t="s">
        <v>33</v>
      </c>
      <c r="D438" t="s">
        <v>39</v>
      </c>
      <c r="F438" t="s">
        <v>60</v>
      </c>
    </row>
    <row r="439" spans="1:6" x14ac:dyDescent="0.2">
      <c r="A439" s="1" t="s">
        <v>233</v>
      </c>
      <c r="B439" t="s">
        <v>20</v>
      </c>
      <c r="D439" t="s">
        <v>24</v>
      </c>
      <c r="F439" t="s">
        <v>60</v>
      </c>
    </row>
    <row r="440" spans="1:6" x14ac:dyDescent="0.2">
      <c r="A440" s="1" t="s">
        <v>233</v>
      </c>
      <c r="B440" t="s">
        <v>55</v>
      </c>
      <c r="D440" t="s">
        <v>38</v>
      </c>
      <c r="F440" t="s">
        <v>60</v>
      </c>
    </row>
    <row r="441" spans="1:6" x14ac:dyDescent="0.2">
      <c r="A441" s="1" t="s">
        <v>233</v>
      </c>
      <c r="B441" t="s">
        <v>23</v>
      </c>
      <c r="D441" t="s">
        <v>40</v>
      </c>
      <c r="F441" t="s">
        <v>60</v>
      </c>
    </row>
    <row r="442" spans="1:6" x14ac:dyDescent="0.2">
      <c r="A442" s="1" t="s">
        <v>234</v>
      </c>
      <c r="B442" t="s">
        <v>24</v>
      </c>
      <c r="D442" t="s">
        <v>21</v>
      </c>
      <c r="F442" t="s">
        <v>60</v>
      </c>
    </row>
    <row r="443" spans="1:6" x14ac:dyDescent="0.2">
      <c r="A443" s="1" t="s">
        <v>234</v>
      </c>
      <c r="B443" t="s">
        <v>29</v>
      </c>
      <c r="D443" t="s">
        <v>25</v>
      </c>
      <c r="F443" t="s">
        <v>60</v>
      </c>
    </row>
    <row r="444" spans="1:6" x14ac:dyDescent="0.2">
      <c r="A444" s="1" t="s">
        <v>234</v>
      </c>
      <c r="B444" t="s">
        <v>55</v>
      </c>
      <c r="D444" t="s">
        <v>16</v>
      </c>
      <c r="F444" t="s">
        <v>60</v>
      </c>
    </row>
    <row r="445" spans="1:6" x14ac:dyDescent="0.2">
      <c r="A445" s="1" t="s">
        <v>234</v>
      </c>
      <c r="B445" t="s">
        <v>40</v>
      </c>
      <c r="D445" t="s">
        <v>17</v>
      </c>
      <c r="F445" t="s">
        <v>60</v>
      </c>
    </row>
    <row r="446" spans="1:6" x14ac:dyDescent="0.2">
      <c r="A446" s="1" t="s">
        <v>234</v>
      </c>
      <c r="B446" t="s">
        <v>28</v>
      </c>
      <c r="D446" t="s">
        <v>11</v>
      </c>
      <c r="F446" t="s">
        <v>60</v>
      </c>
    </row>
    <row r="447" spans="1:6" x14ac:dyDescent="0.2">
      <c r="A447" s="1" t="s">
        <v>234</v>
      </c>
      <c r="B447" t="s">
        <v>10</v>
      </c>
      <c r="D447" t="s">
        <v>13</v>
      </c>
      <c r="F447" t="s">
        <v>60</v>
      </c>
    </row>
    <row r="448" spans="1:6" x14ac:dyDescent="0.2">
      <c r="A448" s="1" t="s">
        <v>234</v>
      </c>
      <c r="B448" t="s">
        <v>12</v>
      </c>
      <c r="D448" t="s">
        <v>15</v>
      </c>
      <c r="F448" t="s">
        <v>60</v>
      </c>
    </row>
    <row r="449" spans="1:6" x14ac:dyDescent="0.2">
      <c r="A449" s="1" t="s">
        <v>234</v>
      </c>
      <c r="B449" t="s">
        <v>35</v>
      </c>
      <c r="D449" t="s">
        <v>36</v>
      </c>
      <c r="F449" t="s">
        <v>60</v>
      </c>
    </row>
    <row r="450" spans="1:6" x14ac:dyDescent="0.2">
      <c r="A450" s="1" t="s">
        <v>234</v>
      </c>
      <c r="B450" t="s">
        <v>26</v>
      </c>
      <c r="D450" t="s">
        <v>32</v>
      </c>
      <c r="F450" t="s">
        <v>60</v>
      </c>
    </row>
    <row r="451" spans="1:6" x14ac:dyDescent="0.2">
      <c r="A451" s="1" t="s">
        <v>234</v>
      </c>
      <c r="B451" t="s">
        <v>30</v>
      </c>
      <c r="D451" t="s">
        <v>37</v>
      </c>
      <c r="F451" t="s">
        <v>60</v>
      </c>
    </row>
    <row r="452" spans="1:6" x14ac:dyDescent="0.2">
      <c r="A452" s="1" t="s">
        <v>234</v>
      </c>
      <c r="B452" t="s">
        <v>18</v>
      </c>
      <c r="D452" t="s">
        <v>19</v>
      </c>
      <c r="F452" t="s">
        <v>60</v>
      </c>
    </row>
    <row r="453" spans="1:6" x14ac:dyDescent="0.2">
      <c r="A453" s="1" t="s">
        <v>234</v>
      </c>
      <c r="B453" t="s">
        <v>34</v>
      </c>
      <c r="D453" t="s">
        <v>38</v>
      </c>
      <c r="F453" t="s">
        <v>60</v>
      </c>
    </row>
    <row r="454" spans="1:6" x14ac:dyDescent="0.2">
      <c r="A454" s="1" t="s">
        <v>235</v>
      </c>
      <c r="B454" t="s">
        <v>10</v>
      </c>
      <c r="D454" t="s">
        <v>31</v>
      </c>
      <c r="F454" t="s">
        <v>60</v>
      </c>
    </row>
    <row r="455" spans="1:6" x14ac:dyDescent="0.2">
      <c r="A455" s="1" t="s">
        <v>235</v>
      </c>
      <c r="B455" t="s">
        <v>33</v>
      </c>
      <c r="D455" t="s">
        <v>25</v>
      </c>
      <c r="F455" t="s">
        <v>60</v>
      </c>
    </row>
    <row r="456" spans="1:6" x14ac:dyDescent="0.2">
      <c r="A456" s="1" t="s">
        <v>235</v>
      </c>
      <c r="B456" t="s">
        <v>14</v>
      </c>
      <c r="D456" t="s">
        <v>39</v>
      </c>
      <c r="F456" t="s">
        <v>60</v>
      </c>
    </row>
    <row r="457" spans="1:6" x14ac:dyDescent="0.2">
      <c r="A457" s="1" t="s">
        <v>235</v>
      </c>
      <c r="B457" t="s">
        <v>30</v>
      </c>
      <c r="D457" t="s">
        <v>11</v>
      </c>
      <c r="F457" t="s">
        <v>60</v>
      </c>
    </row>
    <row r="458" spans="1:6" x14ac:dyDescent="0.2">
      <c r="A458" s="1" t="s">
        <v>235</v>
      </c>
      <c r="B458" t="s">
        <v>35</v>
      </c>
      <c r="D458" t="s">
        <v>18</v>
      </c>
      <c r="F458" t="s">
        <v>60</v>
      </c>
    </row>
    <row r="459" spans="1:6" x14ac:dyDescent="0.2">
      <c r="A459" s="1" t="s">
        <v>235</v>
      </c>
      <c r="B459" t="s">
        <v>20</v>
      </c>
      <c r="D459" t="s">
        <v>15</v>
      </c>
      <c r="F459" t="s">
        <v>60</v>
      </c>
    </row>
    <row r="460" spans="1:6" x14ac:dyDescent="0.2">
      <c r="A460" s="1" t="s">
        <v>235</v>
      </c>
      <c r="B460" t="s">
        <v>12</v>
      </c>
      <c r="D460" t="s">
        <v>27</v>
      </c>
      <c r="F460" t="s">
        <v>60</v>
      </c>
    </row>
    <row r="461" spans="1:6" x14ac:dyDescent="0.2">
      <c r="A461" s="1" t="s">
        <v>235</v>
      </c>
      <c r="B461" t="s">
        <v>28</v>
      </c>
      <c r="D461" t="s">
        <v>22</v>
      </c>
      <c r="F461" t="s">
        <v>60</v>
      </c>
    </row>
    <row r="462" spans="1:6" x14ac:dyDescent="0.2">
      <c r="A462" s="1" t="s">
        <v>236</v>
      </c>
      <c r="B462" t="s">
        <v>23</v>
      </c>
      <c r="D462" t="s">
        <v>16</v>
      </c>
      <c r="F462" t="s">
        <v>60</v>
      </c>
    </row>
    <row r="463" spans="1:6" x14ac:dyDescent="0.2">
      <c r="A463" s="1" t="s">
        <v>236</v>
      </c>
      <c r="B463" t="s">
        <v>34</v>
      </c>
      <c r="D463" t="s">
        <v>32</v>
      </c>
      <c r="F463" t="s">
        <v>60</v>
      </c>
    </row>
    <row r="464" spans="1:6" x14ac:dyDescent="0.2">
      <c r="A464" s="1" t="s">
        <v>236</v>
      </c>
      <c r="B464" t="s">
        <v>37</v>
      </c>
      <c r="D464" t="s">
        <v>19</v>
      </c>
      <c r="F464" t="s">
        <v>60</v>
      </c>
    </row>
    <row r="465" spans="1:6" x14ac:dyDescent="0.2">
      <c r="A465" s="1" t="s">
        <v>236</v>
      </c>
      <c r="B465" t="s">
        <v>13</v>
      </c>
      <c r="D465" t="s">
        <v>55</v>
      </c>
      <c r="F465" t="s">
        <v>60</v>
      </c>
    </row>
    <row r="466" spans="1:6" x14ac:dyDescent="0.2">
      <c r="A466" s="1" t="s">
        <v>236</v>
      </c>
      <c r="B466" t="s">
        <v>26</v>
      </c>
      <c r="D466" t="s">
        <v>38</v>
      </c>
      <c r="F466" t="s">
        <v>60</v>
      </c>
    </row>
    <row r="467" spans="1:6" x14ac:dyDescent="0.2">
      <c r="A467" s="1" t="s">
        <v>237</v>
      </c>
      <c r="B467" t="s">
        <v>28</v>
      </c>
      <c r="D467" t="s">
        <v>25</v>
      </c>
      <c r="F467" t="s">
        <v>60</v>
      </c>
    </row>
    <row r="468" spans="1:6" x14ac:dyDescent="0.2">
      <c r="A468" s="1" t="s">
        <v>237</v>
      </c>
      <c r="B468" t="s">
        <v>23</v>
      </c>
      <c r="D468" t="s">
        <v>17</v>
      </c>
      <c r="F468" t="s">
        <v>60</v>
      </c>
    </row>
    <row r="469" spans="1:6" x14ac:dyDescent="0.2">
      <c r="A469" s="1" t="s">
        <v>237</v>
      </c>
      <c r="B469" t="s">
        <v>37</v>
      </c>
      <c r="D469" t="s">
        <v>18</v>
      </c>
      <c r="F469" t="s">
        <v>60</v>
      </c>
    </row>
    <row r="470" spans="1:6" x14ac:dyDescent="0.2">
      <c r="A470" s="1" t="s">
        <v>237</v>
      </c>
      <c r="B470" t="s">
        <v>12</v>
      </c>
      <c r="D470" t="s">
        <v>29</v>
      </c>
      <c r="F470" t="s">
        <v>60</v>
      </c>
    </row>
    <row r="471" spans="1:6" x14ac:dyDescent="0.2">
      <c r="A471" s="1" t="s">
        <v>237</v>
      </c>
      <c r="B471" t="s">
        <v>20</v>
      </c>
      <c r="D471" t="s">
        <v>30</v>
      </c>
      <c r="F471" t="s">
        <v>60</v>
      </c>
    </row>
    <row r="472" spans="1:6" x14ac:dyDescent="0.2">
      <c r="A472" s="1" t="s">
        <v>237</v>
      </c>
      <c r="B472" t="s">
        <v>24</v>
      </c>
      <c r="D472" t="s">
        <v>36</v>
      </c>
      <c r="F472" t="s">
        <v>60</v>
      </c>
    </row>
    <row r="473" spans="1:6" x14ac:dyDescent="0.2">
      <c r="A473" s="1" t="s">
        <v>237</v>
      </c>
      <c r="B473" t="s">
        <v>33</v>
      </c>
      <c r="D473" t="s">
        <v>27</v>
      </c>
      <c r="F473" t="s">
        <v>60</v>
      </c>
    </row>
    <row r="474" spans="1:6" x14ac:dyDescent="0.2">
      <c r="A474" s="1" t="s">
        <v>237</v>
      </c>
      <c r="B474" t="s">
        <v>31</v>
      </c>
      <c r="D474" t="s">
        <v>14</v>
      </c>
      <c r="F474" t="s">
        <v>60</v>
      </c>
    </row>
    <row r="475" spans="1:6" x14ac:dyDescent="0.2">
      <c r="A475" s="1" t="s">
        <v>237</v>
      </c>
      <c r="B475" t="s">
        <v>21</v>
      </c>
      <c r="D475" t="s">
        <v>35</v>
      </c>
      <c r="F475" t="s">
        <v>60</v>
      </c>
    </row>
    <row r="476" spans="1:6" x14ac:dyDescent="0.2">
      <c r="A476" s="1" t="s">
        <v>237</v>
      </c>
      <c r="B476" t="s">
        <v>39</v>
      </c>
      <c r="D476" t="s">
        <v>40</v>
      </c>
      <c r="F476" t="s">
        <v>60</v>
      </c>
    </row>
    <row r="477" spans="1:6" x14ac:dyDescent="0.2">
      <c r="A477" s="1" t="s">
        <v>238</v>
      </c>
      <c r="B477" t="s">
        <v>26</v>
      </c>
      <c r="D477" t="s">
        <v>16</v>
      </c>
      <c r="F477" t="s">
        <v>60</v>
      </c>
    </row>
    <row r="478" spans="1:6" x14ac:dyDescent="0.2">
      <c r="A478" s="1" t="s">
        <v>238</v>
      </c>
      <c r="B478" t="s">
        <v>15</v>
      </c>
      <c r="D478" t="s">
        <v>10</v>
      </c>
      <c r="F478" t="s">
        <v>60</v>
      </c>
    </row>
    <row r="479" spans="1:6" x14ac:dyDescent="0.2">
      <c r="A479" s="1" t="s">
        <v>238</v>
      </c>
      <c r="B479" t="s">
        <v>13</v>
      </c>
      <c r="D479" t="s">
        <v>32</v>
      </c>
      <c r="F479" t="s">
        <v>60</v>
      </c>
    </row>
    <row r="480" spans="1:6" x14ac:dyDescent="0.2">
      <c r="A480" s="1" t="s">
        <v>238</v>
      </c>
      <c r="B480" t="s">
        <v>11</v>
      </c>
      <c r="D480" t="s">
        <v>55</v>
      </c>
      <c r="F480" t="s">
        <v>60</v>
      </c>
    </row>
    <row r="481" spans="1:6" x14ac:dyDescent="0.2">
      <c r="A481" s="1" t="s">
        <v>239</v>
      </c>
      <c r="B481" t="s">
        <v>36</v>
      </c>
      <c r="D481" t="s">
        <v>28</v>
      </c>
      <c r="F481" t="s">
        <v>60</v>
      </c>
    </row>
    <row r="482" spans="1:6" x14ac:dyDescent="0.2">
      <c r="A482" s="1" t="s">
        <v>239</v>
      </c>
      <c r="B482" t="s">
        <v>11</v>
      </c>
      <c r="D482" t="s">
        <v>12</v>
      </c>
      <c r="F482" t="s">
        <v>60</v>
      </c>
    </row>
    <row r="483" spans="1:6" x14ac:dyDescent="0.2">
      <c r="A483" s="1" t="s">
        <v>239</v>
      </c>
      <c r="B483" t="s">
        <v>26</v>
      </c>
      <c r="D483" t="s">
        <v>17</v>
      </c>
      <c r="F483" t="s">
        <v>60</v>
      </c>
    </row>
    <row r="484" spans="1:6" x14ac:dyDescent="0.2">
      <c r="A484" s="1" t="s">
        <v>239</v>
      </c>
      <c r="B484" t="s">
        <v>39</v>
      </c>
      <c r="D484" t="s">
        <v>34</v>
      </c>
      <c r="F484" t="s">
        <v>60</v>
      </c>
    </row>
    <row r="485" spans="1:6" x14ac:dyDescent="0.2">
      <c r="A485" s="1" t="s">
        <v>239</v>
      </c>
      <c r="B485" t="s">
        <v>37</v>
      </c>
      <c r="D485" t="s">
        <v>24</v>
      </c>
      <c r="F485" t="s">
        <v>60</v>
      </c>
    </row>
    <row r="486" spans="1:6" x14ac:dyDescent="0.2">
      <c r="A486" s="1" t="s">
        <v>239</v>
      </c>
      <c r="B486" t="s">
        <v>35</v>
      </c>
      <c r="D486" t="s">
        <v>29</v>
      </c>
      <c r="F486" t="s">
        <v>60</v>
      </c>
    </row>
    <row r="487" spans="1:6" x14ac:dyDescent="0.2">
      <c r="A487" s="1" t="s">
        <v>239</v>
      </c>
      <c r="B487" t="s">
        <v>31</v>
      </c>
      <c r="D487" t="s">
        <v>30</v>
      </c>
      <c r="F487" t="s">
        <v>60</v>
      </c>
    </row>
    <row r="488" spans="1:6" x14ac:dyDescent="0.2">
      <c r="A488" s="1" t="s">
        <v>239</v>
      </c>
      <c r="B488" t="s">
        <v>20</v>
      </c>
      <c r="D488" t="s">
        <v>27</v>
      </c>
      <c r="F488" t="s">
        <v>60</v>
      </c>
    </row>
    <row r="489" spans="1:6" x14ac:dyDescent="0.2">
      <c r="A489" s="1" t="s">
        <v>239</v>
      </c>
      <c r="B489" t="s">
        <v>18</v>
      </c>
      <c r="D489" t="s">
        <v>14</v>
      </c>
      <c r="F489" t="s">
        <v>60</v>
      </c>
    </row>
    <row r="490" spans="1:6" x14ac:dyDescent="0.2">
      <c r="A490" s="1" t="s">
        <v>239</v>
      </c>
      <c r="B490" t="s">
        <v>33</v>
      </c>
      <c r="D490" t="s">
        <v>19</v>
      </c>
      <c r="F490" t="s">
        <v>60</v>
      </c>
    </row>
    <row r="491" spans="1:6" x14ac:dyDescent="0.2">
      <c r="A491" s="1" t="s">
        <v>239</v>
      </c>
      <c r="B491" t="s">
        <v>23</v>
      </c>
      <c r="D491" t="s">
        <v>38</v>
      </c>
      <c r="F491" t="s">
        <v>60</v>
      </c>
    </row>
    <row r="492" spans="1:6" x14ac:dyDescent="0.2">
      <c r="A492" s="1" t="s">
        <v>239</v>
      </c>
      <c r="B492" t="s">
        <v>21</v>
      </c>
      <c r="D492" t="s">
        <v>40</v>
      </c>
      <c r="F492" t="s">
        <v>60</v>
      </c>
    </row>
    <row r="493" spans="1:6" x14ac:dyDescent="0.2">
      <c r="A493" s="1" t="s">
        <v>239</v>
      </c>
      <c r="B493" t="s">
        <v>25</v>
      </c>
      <c r="D493" t="s">
        <v>22</v>
      </c>
      <c r="F493" t="s">
        <v>60</v>
      </c>
    </row>
    <row r="494" spans="1:6" x14ac:dyDescent="0.2">
      <c r="A494" s="1" t="s">
        <v>240</v>
      </c>
      <c r="B494" t="s">
        <v>10</v>
      </c>
      <c r="D494" t="s">
        <v>35</v>
      </c>
      <c r="F494" t="s">
        <v>60</v>
      </c>
    </row>
    <row r="495" spans="1:6" x14ac:dyDescent="0.2">
      <c r="A495" s="1" t="s">
        <v>240</v>
      </c>
      <c r="B495" t="s">
        <v>32</v>
      </c>
      <c r="D495" t="s">
        <v>55</v>
      </c>
      <c r="F495" t="s">
        <v>60</v>
      </c>
    </row>
    <row r="496" spans="1:6" x14ac:dyDescent="0.2">
      <c r="A496" s="1" t="s">
        <v>63</v>
      </c>
      <c r="B496" t="s">
        <v>20</v>
      </c>
      <c r="D496" t="s">
        <v>28</v>
      </c>
      <c r="F496" t="s">
        <v>60</v>
      </c>
    </row>
    <row r="497" spans="1:6" x14ac:dyDescent="0.2">
      <c r="A497" s="1" t="s">
        <v>63</v>
      </c>
      <c r="B497" t="s">
        <v>26</v>
      </c>
      <c r="D497" t="s">
        <v>10</v>
      </c>
      <c r="F497" t="s">
        <v>60</v>
      </c>
    </row>
    <row r="498" spans="1:6" x14ac:dyDescent="0.2">
      <c r="A498" s="1" t="s">
        <v>63</v>
      </c>
      <c r="B498" t="s">
        <v>29</v>
      </c>
      <c r="D498" t="s">
        <v>12</v>
      </c>
      <c r="F498" t="s">
        <v>60</v>
      </c>
    </row>
    <row r="499" spans="1:6" x14ac:dyDescent="0.2">
      <c r="A499" s="1" t="s">
        <v>63</v>
      </c>
      <c r="B499" t="s">
        <v>11</v>
      </c>
      <c r="D499" t="s">
        <v>39</v>
      </c>
      <c r="F499" t="s">
        <v>60</v>
      </c>
    </row>
    <row r="500" spans="1:6" x14ac:dyDescent="0.2">
      <c r="A500" s="1" t="s">
        <v>63</v>
      </c>
      <c r="B500" t="s">
        <v>16</v>
      </c>
      <c r="D500" t="s">
        <v>13</v>
      </c>
      <c r="F500" t="s">
        <v>60</v>
      </c>
    </row>
    <row r="501" spans="1:6" x14ac:dyDescent="0.2">
      <c r="A501" s="1" t="s">
        <v>63</v>
      </c>
      <c r="B501" t="s">
        <v>36</v>
      </c>
      <c r="D501" t="s">
        <v>34</v>
      </c>
      <c r="F501" t="s">
        <v>60</v>
      </c>
    </row>
    <row r="502" spans="1:6" x14ac:dyDescent="0.2">
      <c r="A502" t="s">
        <v>63</v>
      </c>
      <c r="B502" t="s">
        <v>31</v>
      </c>
      <c r="D502" t="s">
        <v>24</v>
      </c>
      <c r="F502" t="s">
        <v>60</v>
      </c>
    </row>
    <row r="503" spans="1:6" x14ac:dyDescent="0.2">
      <c r="A503" t="s">
        <v>63</v>
      </c>
      <c r="B503" t="s">
        <v>37</v>
      </c>
      <c r="D503" t="s">
        <v>30</v>
      </c>
      <c r="F503" t="s">
        <v>60</v>
      </c>
    </row>
    <row r="504" spans="1:6" x14ac:dyDescent="0.2">
      <c r="A504" t="s">
        <v>63</v>
      </c>
      <c r="B504" t="s">
        <v>18</v>
      </c>
      <c r="D504" t="s">
        <v>15</v>
      </c>
      <c r="F504" t="s">
        <v>60</v>
      </c>
    </row>
    <row r="505" spans="1:6" x14ac:dyDescent="0.2">
      <c r="A505" t="s">
        <v>63</v>
      </c>
      <c r="B505" t="s">
        <v>25</v>
      </c>
      <c r="D505" t="s">
        <v>27</v>
      </c>
      <c r="F505" t="s">
        <v>60</v>
      </c>
    </row>
    <row r="506" spans="1:6" x14ac:dyDescent="0.2">
      <c r="A506" t="s">
        <v>63</v>
      </c>
      <c r="B506" t="s">
        <v>33</v>
      </c>
      <c r="D506" t="s">
        <v>14</v>
      </c>
      <c r="F506" t="s">
        <v>60</v>
      </c>
    </row>
    <row r="507" spans="1:6" x14ac:dyDescent="0.2">
      <c r="A507" t="s">
        <v>63</v>
      </c>
      <c r="B507" t="s">
        <v>17</v>
      </c>
      <c r="D507" t="s">
        <v>19</v>
      </c>
      <c r="F507" t="s">
        <v>60</v>
      </c>
    </row>
    <row r="508" spans="1:6" x14ac:dyDescent="0.2">
      <c r="A508" t="s">
        <v>63</v>
      </c>
      <c r="B508" t="s">
        <v>22</v>
      </c>
      <c r="D508" t="s">
        <v>40</v>
      </c>
      <c r="F508" t="s">
        <v>60</v>
      </c>
    </row>
    <row r="509" spans="1:6" x14ac:dyDescent="0.2">
      <c r="A509" t="s">
        <v>64</v>
      </c>
      <c r="B509" t="s">
        <v>27</v>
      </c>
      <c r="D509" t="s">
        <v>25</v>
      </c>
      <c r="F509" t="s">
        <v>60</v>
      </c>
    </row>
    <row r="510" spans="1:6" x14ac:dyDescent="0.2">
      <c r="A510" t="s">
        <v>64</v>
      </c>
      <c r="B510" t="s">
        <v>21</v>
      </c>
      <c r="D510" t="s">
        <v>34</v>
      </c>
      <c r="F510" t="s">
        <v>60</v>
      </c>
    </row>
    <row r="511" spans="1:6" x14ac:dyDescent="0.2">
      <c r="A511" t="s">
        <v>64</v>
      </c>
      <c r="B511" t="s">
        <v>17</v>
      </c>
      <c r="D511" t="s">
        <v>18</v>
      </c>
      <c r="F511" t="s">
        <v>60</v>
      </c>
    </row>
    <row r="512" spans="1:6" x14ac:dyDescent="0.2">
      <c r="A512" t="s">
        <v>64</v>
      </c>
      <c r="B512" t="s">
        <v>38</v>
      </c>
      <c r="D512" t="s">
        <v>24</v>
      </c>
      <c r="F512" t="s">
        <v>60</v>
      </c>
    </row>
    <row r="513" spans="1:6" x14ac:dyDescent="0.2">
      <c r="A513" t="s">
        <v>64</v>
      </c>
      <c r="B513" t="s">
        <v>55</v>
      </c>
      <c r="D513" t="s">
        <v>14</v>
      </c>
      <c r="F513" t="s">
        <v>60</v>
      </c>
    </row>
    <row r="514" spans="1:6" x14ac:dyDescent="0.2">
      <c r="A514" t="s">
        <v>64</v>
      </c>
      <c r="B514" t="s">
        <v>23</v>
      </c>
      <c r="D514" t="s">
        <v>32</v>
      </c>
      <c r="F514" t="s">
        <v>60</v>
      </c>
    </row>
    <row r="515" spans="1:6" x14ac:dyDescent="0.2">
      <c r="A515" t="s">
        <v>65</v>
      </c>
      <c r="B515" t="s">
        <v>13</v>
      </c>
      <c r="D515" t="s">
        <v>39</v>
      </c>
      <c r="F515" t="s">
        <v>60</v>
      </c>
    </row>
    <row r="516" spans="1:6" x14ac:dyDescent="0.2">
      <c r="A516" t="s">
        <v>65</v>
      </c>
      <c r="B516" t="s">
        <v>31</v>
      </c>
      <c r="D516" t="s">
        <v>15</v>
      </c>
      <c r="F516" t="s">
        <v>60</v>
      </c>
    </row>
    <row r="517" spans="1:6" x14ac:dyDescent="0.2">
      <c r="A517" t="s">
        <v>65</v>
      </c>
      <c r="B517" t="s">
        <v>29</v>
      </c>
      <c r="D517" t="s">
        <v>35</v>
      </c>
      <c r="F517" t="s">
        <v>60</v>
      </c>
    </row>
    <row r="518" spans="1:6" x14ac:dyDescent="0.2">
      <c r="A518" t="s">
        <v>65</v>
      </c>
      <c r="B518" t="s">
        <v>11</v>
      </c>
      <c r="D518" t="s">
        <v>37</v>
      </c>
      <c r="F518" t="s">
        <v>60</v>
      </c>
    </row>
    <row r="519" spans="1:6" x14ac:dyDescent="0.2">
      <c r="A519" t="s">
        <v>65</v>
      </c>
      <c r="B519" t="s">
        <v>36</v>
      </c>
      <c r="D519" t="s">
        <v>40</v>
      </c>
      <c r="F519" t="s">
        <v>60</v>
      </c>
    </row>
    <row r="520" spans="1:6" x14ac:dyDescent="0.2">
      <c r="A520" t="s">
        <v>66</v>
      </c>
      <c r="B520" t="s">
        <v>55</v>
      </c>
      <c r="D520" t="s">
        <v>21</v>
      </c>
      <c r="F520" t="s">
        <v>60</v>
      </c>
    </row>
    <row r="521" spans="1:6" x14ac:dyDescent="0.2">
      <c r="A521" t="s">
        <v>66</v>
      </c>
      <c r="B521" t="s">
        <v>31</v>
      </c>
      <c r="D521" t="s">
        <v>28</v>
      </c>
      <c r="F521" t="s">
        <v>60</v>
      </c>
    </row>
    <row r="522" spans="1:6" x14ac:dyDescent="0.2">
      <c r="A522" t="s">
        <v>66</v>
      </c>
      <c r="B522" t="s">
        <v>30</v>
      </c>
      <c r="D522" t="s">
        <v>26</v>
      </c>
      <c r="F522" t="s">
        <v>60</v>
      </c>
    </row>
    <row r="523" spans="1:6" x14ac:dyDescent="0.2">
      <c r="A523" t="s">
        <v>66</v>
      </c>
      <c r="B523" t="s">
        <v>22</v>
      </c>
      <c r="D523" t="s">
        <v>34</v>
      </c>
      <c r="F523" t="s">
        <v>60</v>
      </c>
    </row>
    <row r="524" spans="1:6" x14ac:dyDescent="0.2">
      <c r="A524" t="s">
        <v>66</v>
      </c>
      <c r="B524" t="s">
        <v>27</v>
      </c>
      <c r="D524" t="s">
        <v>18</v>
      </c>
      <c r="F524" t="s">
        <v>60</v>
      </c>
    </row>
    <row r="525" spans="1:6" x14ac:dyDescent="0.2">
      <c r="A525" t="s">
        <v>66</v>
      </c>
      <c r="B525" t="s">
        <v>38</v>
      </c>
      <c r="D525" t="s">
        <v>15</v>
      </c>
      <c r="F525" t="s">
        <v>60</v>
      </c>
    </row>
    <row r="526" spans="1:6" x14ac:dyDescent="0.2">
      <c r="A526" t="s">
        <v>66</v>
      </c>
      <c r="B526" t="s">
        <v>17</v>
      </c>
      <c r="D526" t="s">
        <v>14</v>
      </c>
      <c r="F526" t="s">
        <v>60</v>
      </c>
    </row>
    <row r="527" spans="1:6" x14ac:dyDescent="0.2">
      <c r="A527" t="s">
        <v>66</v>
      </c>
      <c r="B527" t="s">
        <v>12</v>
      </c>
      <c r="D527" t="s">
        <v>32</v>
      </c>
      <c r="F527" t="s">
        <v>60</v>
      </c>
    </row>
    <row r="528" spans="1:6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8.3423666939022728E-2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2060.1652099989788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5.8616755922628279E-2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-5.2236248000047447E-2</v>
      </c>
      <c r="J7">
        <f>(Table3[[#This Row],[HomeMargin]]-Table3[[#This Row],[HomeForecast]])^2</f>
        <v>1.1072011216052171</v>
      </c>
    </row>
    <row r="8" spans="1:10" x14ac:dyDescent="0.2">
      <c r="A8" s="4" t="s">
        <v>21</v>
      </c>
      <c r="B8">
        <v>-0.41554817552415113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-1.7583418176586008</v>
      </c>
      <c r="J8">
        <f>(Table3[[#This Row],[HomeMargin]]-Table3[[#This Row],[HomeForecast]])^2</f>
        <v>1.5417150417753474</v>
      </c>
    </row>
    <row r="9" spans="1:10" x14ac:dyDescent="0.2">
      <c r="A9" s="4" t="s">
        <v>23</v>
      </c>
      <c r="B9">
        <v>-0.90742746858300449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-7.8957705368731285E-2</v>
      </c>
      <c r="J9">
        <f>(Table3[[#This Row],[HomeMargin]]-Table3[[#This Row],[HomeForecast]])^2</f>
        <v>8.5324880870247064</v>
      </c>
    </row>
    <row r="10" spans="1:10" x14ac:dyDescent="0.2">
      <c r="A10" s="4" t="s">
        <v>16</v>
      </c>
      <c r="B10">
        <v>-1.2612222633157453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0.18685157902681748</v>
      </c>
      <c r="J10">
        <f>(Table3[[#This Row],[HomeMargin]]-Table3[[#This Row],[HomeForecast]])^2</f>
        <v>1.40861667063845</v>
      </c>
    </row>
    <row r="11" spans="1:10" x14ac:dyDescent="0.2">
      <c r="A11" s="4" t="s">
        <v>25</v>
      </c>
      <c r="B11">
        <v>0.25962865313068506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-0.31354687593345432</v>
      </c>
      <c r="J11">
        <f>(Table3[[#This Row],[HomeMargin]]-Table3[[#This Row],[HomeForecast]])^2</f>
        <v>10.979592899008354</v>
      </c>
    </row>
    <row r="12" spans="1:10" x14ac:dyDescent="0.2">
      <c r="A12" s="4" t="s">
        <v>10</v>
      </c>
      <c r="B12">
        <v>-0.43769530535874146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0.16360032230921751</v>
      </c>
      <c r="J12">
        <f>(Table3[[#This Row],[HomeMargin]]-Table3[[#This Row],[HomeForecast]])^2</f>
        <v>1.3539657100781148</v>
      </c>
    </row>
    <row r="13" spans="1:10" x14ac:dyDescent="0.2">
      <c r="A13" s="4" t="s">
        <v>12</v>
      </c>
      <c r="B13">
        <v>1.339787395621115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0.65501842838021229</v>
      </c>
      <c r="J13">
        <f>(Table3[[#This Row],[HomeMargin]]-Table3[[#This Row],[HomeForecast]])^2</f>
        <v>7.0491228550385321</v>
      </c>
    </row>
    <row r="14" spans="1:10" x14ac:dyDescent="0.2">
      <c r="A14" s="4" t="s">
        <v>28</v>
      </c>
      <c r="B14">
        <v>-0.9065542839469537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0.10557079677361303</v>
      </c>
      <c r="J14">
        <f>(Table3[[#This Row],[HomeMargin]]-Table3[[#This Row],[HomeForecast]])^2</f>
        <v>0.80000359958418943</v>
      </c>
    </row>
    <row r="15" spans="1:10" x14ac:dyDescent="0.2">
      <c r="A15" s="4" t="s">
        <v>39</v>
      </c>
      <c r="B15">
        <v>0.10032544630879472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-0.43309867290146215</v>
      </c>
      <c r="J15">
        <f>(Table3[[#This Row],[HomeMargin]]-Table3[[#This Row],[HomeForecast]])^2</f>
        <v>12.72278507725731</v>
      </c>
    </row>
    <row r="16" spans="1:10" x14ac:dyDescent="0.2">
      <c r="A16" s="4" t="s">
        <v>26</v>
      </c>
      <c r="B16">
        <v>-1.0708320987334559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0.34073798842155828</v>
      </c>
      <c r="J16">
        <f>(Table3[[#This Row],[HomeMargin]]-Table3[[#This Row],[HomeForecast]])^2</f>
        <v>7.0716744462242209</v>
      </c>
    </row>
    <row r="17" spans="1:10" x14ac:dyDescent="0.2">
      <c r="A17" s="4" t="s">
        <v>17</v>
      </c>
      <c r="B17">
        <v>-1.1577943512279505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1.828430500841931</v>
      </c>
      <c r="J17">
        <f>(Table3[[#This Row],[HomeMargin]]-Table3[[#This Row],[HomeForecast]])^2</f>
        <v>0.68629709472521272</v>
      </c>
    </row>
    <row r="18" spans="1:10" x14ac:dyDescent="0.2">
      <c r="A18" s="4" t="s">
        <v>11</v>
      </c>
      <c r="B18">
        <v>-0.57335522029781161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-0.32970463075667822</v>
      </c>
      <c r="J18">
        <f>(Table3[[#This Row],[HomeMargin]]-Table3[[#This Row],[HomeForecast]])^2</f>
        <v>13.47106809748897</v>
      </c>
    </row>
    <row r="19" spans="1:10" x14ac:dyDescent="0.2">
      <c r="A19" s="4" t="s">
        <v>13</v>
      </c>
      <c r="B19">
        <v>-0.50197808897650842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-2.325477723697339E-2</v>
      </c>
      <c r="J19">
        <f>(Table3[[#This Row],[HomeMargin]]-Table3[[#This Row],[HomeForecast]])^2</f>
        <v>1.0470503391382879</v>
      </c>
    </row>
    <row r="20" spans="1:10" x14ac:dyDescent="0.2">
      <c r="A20" s="4" t="s">
        <v>34</v>
      </c>
      <c r="B20">
        <v>-0.15603426337582751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-0.48827358777423024</v>
      </c>
      <c r="J20">
        <f>(Table3[[#This Row],[HomeMargin]]-Table3[[#This Row],[HomeForecast]])^2</f>
        <v>2.214958272066379</v>
      </c>
    </row>
    <row r="21" spans="1:10" x14ac:dyDescent="0.2">
      <c r="A21" s="4" t="s">
        <v>18</v>
      </c>
      <c r="B21">
        <v>-0.65770380103775494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0.16230049520577644</v>
      </c>
      <c r="J21">
        <f>(Table3[[#This Row],[HomeMargin]]-Table3[[#This Row],[HomeForecast]])^2</f>
        <v>0.70174046033248727</v>
      </c>
    </row>
    <row r="22" spans="1:10" x14ac:dyDescent="0.2">
      <c r="A22" s="4" t="s">
        <v>29</v>
      </c>
      <c r="B22">
        <v>-1.4782515386602066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-0.62263574434102431</v>
      </c>
      <c r="J22">
        <f>(Table3[[#This Row],[HomeMargin]]-Table3[[#This Row],[HomeForecast]])^2</f>
        <v>6.8782182474951981</v>
      </c>
    </row>
    <row r="23" spans="1:10" x14ac:dyDescent="0.2">
      <c r="A23" s="4" t="s">
        <v>24</v>
      </c>
      <c r="B23">
        <v>2.3143316481494557E-3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-0.15682320841690173</v>
      </c>
      <c r="J23">
        <f>(Table3[[#This Row],[HomeMargin]]-Table3[[#This Row],[HomeForecast]])^2</f>
        <v>0.7109471018643676</v>
      </c>
    </row>
    <row r="24" spans="1:10" x14ac:dyDescent="0.2">
      <c r="A24" s="4" t="s">
        <v>30</v>
      </c>
      <c r="B24">
        <v>-0.30740058470151932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-1.3504997210535115</v>
      </c>
      <c r="J24">
        <f>(Table3[[#This Row],[HomeMargin]]-Table3[[#This Row],[HomeForecast]])^2</f>
        <v>13.318852286030499</v>
      </c>
    </row>
    <row r="25" spans="1:10" x14ac:dyDescent="0.2">
      <c r="A25" s="4" t="s">
        <v>15</v>
      </c>
      <c r="B25">
        <v>-0.39090512874251965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0.8591796580762231</v>
      </c>
      <c r="J25">
        <f>(Table3[[#This Row],[HomeMargin]]-Table3[[#This Row],[HomeForecast]])^2</f>
        <v>3.4565490010044213</v>
      </c>
    </row>
    <row r="26" spans="1:10" x14ac:dyDescent="0.2">
      <c r="A26" s="4" t="s">
        <v>36</v>
      </c>
      <c r="B26">
        <v>-0.53959086519270005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0.21289132152766155</v>
      </c>
      <c r="J26">
        <f>(Table3[[#This Row],[HomeMargin]]-Table3[[#This Row],[HomeForecast]])^2</f>
        <v>14.342192142560503</v>
      </c>
    </row>
    <row r="27" spans="1:10" x14ac:dyDescent="0.2">
      <c r="A27" s="4" t="s">
        <v>27</v>
      </c>
      <c r="B27">
        <v>-0.46667677612181552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-0.38682419146487257</v>
      </c>
      <c r="J27">
        <f>(Table3[[#This Row],[HomeMargin]]-Table3[[#This Row],[HomeForecast]])^2</f>
        <v>0.37598457217270725</v>
      </c>
    </row>
    <row r="28" spans="1:10" x14ac:dyDescent="0.2">
      <c r="A28" s="4" t="s">
        <v>14</v>
      </c>
      <c r="B28">
        <v>-0.22852375643476561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0.57530295999787606</v>
      </c>
      <c r="J28">
        <f>(Table3[[#This Row],[HomeMargin]]-Table3[[#This Row],[HomeForecast]])^2</f>
        <v>2.0297616557908134</v>
      </c>
    </row>
    <row r="29" spans="1:10" x14ac:dyDescent="0.2">
      <c r="A29" s="4" t="s">
        <v>33</v>
      </c>
      <c r="B29">
        <v>-0.6620483089622381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0.80972909619152333</v>
      </c>
      <c r="J29">
        <f>(Table3[[#This Row],[HomeMargin]]-Table3[[#This Row],[HomeForecast]])^2</f>
        <v>3.620301683609458E-2</v>
      </c>
    </row>
    <row r="30" spans="1:10" x14ac:dyDescent="0.2">
      <c r="A30" s="4" t="s">
        <v>32</v>
      </c>
      <c r="B30">
        <v>-0.64744265535741874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0.41215905499163918</v>
      </c>
      <c r="J30">
        <f>(Table3[[#This Row],[HomeMargin]]-Table3[[#This Row],[HomeForecast]])^2</f>
        <v>5.8185113065781575</v>
      </c>
    </row>
    <row r="31" spans="1:10" x14ac:dyDescent="0.2">
      <c r="A31" s="4" t="s">
        <v>35</v>
      </c>
      <c r="B31">
        <v>-1.5899576513683618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0.30343216261803618</v>
      </c>
      <c r="J31">
        <f>(Table3[[#This Row],[HomeMargin]]-Table3[[#This Row],[HomeForecast]])^2</f>
        <v>1.698935402547131</v>
      </c>
    </row>
    <row r="32" spans="1:10" x14ac:dyDescent="0.2">
      <c r="A32" s="4" t="s">
        <v>37</v>
      </c>
      <c r="B32">
        <v>0.23616512594450029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1.3228856162513429</v>
      </c>
      <c r="J32">
        <f>(Table3[[#This Row],[HomeMargin]]-Table3[[#This Row],[HomeForecast]])^2</f>
        <v>5.3957975861873804</v>
      </c>
    </row>
    <row r="33" spans="1:10" x14ac:dyDescent="0.2">
      <c r="A33" s="4" t="s">
        <v>19</v>
      </c>
      <c r="B33">
        <v>-1.054674343910232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6.7265912115798798E-2</v>
      </c>
      <c r="J33">
        <f>(Table3[[#This Row],[HomeMargin]]-Table3[[#This Row],[HomeForecast]])^2</f>
        <v>8.600929230237977</v>
      </c>
    </row>
    <row r="34" spans="1:10" x14ac:dyDescent="0.2">
      <c r="A34" t="s">
        <v>55</v>
      </c>
      <c r="B34">
        <v>-0.40521943828179341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5.7383924438178635E-2</v>
      </c>
      <c r="J34">
        <f>(Table3[[#This Row],[HomeMargin]]-Table3[[#This Row],[HomeForecast]])^2</f>
        <v>3.7737572170312119</v>
      </c>
    </row>
    <row r="35" spans="1:10" x14ac:dyDescent="0.2">
      <c r="A35" s="4" t="s">
        <v>38</v>
      </c>
      <c r="B35">
        <v>-1.1317546087271064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4.9659311833911146E-2</v>
      </c>
      <c r="J35">
        <f>(Table3[[#This Row],[HomeMargin]]-Table3[[#This Row],[HomeForecast]])^2</f>
        <v>15.605191552580527</v>
      </c>
    </row>
    <row r="36" spans="1:10" x14ac:dyDescent="0.2">
      <c r="A36" s="4" t="s">
        <v>20</v>
      </c>
      <c r="B36">
        <v>-0.42180143360631367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0.83394368751014891</v>
      </c>
      <c r="J36">
        <f>(Table3[[#This Row],[HomeMargin]]-Table3[[#This Row],[HomeForecast]])^2</f>
        <v>14.699124198998918</v>
      </c>
    </row>
    <row r="37" spans="1:10" x14ac:dyDescent="0.2">
      <c r="A37" s="4" t="s">
        <v>22</v>
      </c>
      <c r="B37">
        <v>0.15604658591703846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-0.98960843343939053</v>
      </c>
      <c r="J37">
        <f>(Table3[[#This Row],[HomeMargin]]-Table3[[#This Row],[HomeForecast]])^2</f>
        <v>1.0798465558357686E-4</v>
      </c>
    </row>
    <row r="38" spans="1:10" x14ac:dyDescent="0.2">
      <c r="A38" s="4" t="s">
        <v>40</v>
      </c>
      <c r="B38">
        <v>-0.36992241209510063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-0.38002350367953508</v>
      </c>
      <c r="J38">
        <f>(Table3[[#This Row],[HomeMargin]]-Table3[[#This Row],[HomeForecast]])^2</f>
        <v>2.6243238486307296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0.24580503924677677</v>
      </c>
      <c r="J39">
        <f>(Table3[[#This Row],[HomeMargin]]-Table3[[#This Row],[HomeForecast]])^2</f>
        <v>27.518470509786884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-0.14221755481208237</v>
      </c>
      <c r="J40">
        <f>(Table3[[#This Row],[HomeMargin]]-Table3[[#This Row],[HomeForecast]])^2</f>
        <v>1.3046609425208924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-0.63724139794584367</v>
      </c>
      <c r="J41">
        <f>(Table3[[#This Row],[HomeMargin]]-Table3[[#This Row],[HomeForecast]])^2</f>
        <v>0.13159380336428575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0.31727446123537356</v>
      </c>
      <c r="J42">
        <f>(Table3[[#This Row],[HomeMargin]]-Table3[[#This Row],[HomeForecast]])^2</f>
        <v>5.3697609286936911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0.21547934382043055</v>
      </c>
      <c r="J43">
        <f>(Table3[[#This Row],[HomeMargin]]-Table3[[#This Row],[HomeForecast]])^2</f>
        <v>0.61547265997242218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-0.46352804772053535</v>
      </c>
      <c r="J44">
        <f>(Table3[[#This Row],[HomeMargin]]-Table3[[#This Row],[HomeForecast]])^2</f>
        <v>0.28780215558254019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-0.56828963452962866</v>
      </c>
      <c r="J45">
        <f>(Table3[[#This Row],[HomeMargin]]-Table3[[#This Row],[HomeForecast]])^2</f>
        <v>0.18637383965456158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-2.1637911972650969</v>
      </c>
      <c r="J46">
        <f>(Table3[[#This Row],[HomeMargin]]-Table3[[#This Row],[HomeForecast]])^2</f>
        <v>2.6827556301533901E-2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-0.82544494865608042</v>
      </c>
      <c r="J47">
        <f>(Table3[[#This Row],[HomeMargin]]-Table3[[#This Row],[HomeForecast]])^2</f>
        <v>3.04694659496784E-2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5.094779986207465E-2</v>
      </c>
      <c r="J48">
        <f>(Table3[[#This Row],[HomeMargin]]-Table3[[#This Row],[HomeForecast]])^2</f>
        <v>3.7988044788624875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0.42936749253970363</v>
      </c>
      <c r="J49">
        <f>(Table3[[#This Row],[HomeMargin]]-Table3[[#This Row],[HomeForecast]])^2</f>
        <v>0.32562145857042518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0.14594549433260404</v>
      </c>
      <c r="J50">
        <f>(Table3[[#This Row],[HomeMargin]]-Table3[[#This Row],[HomeForecast]])^2</f>
        <v>9.896973053311612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1.0220843404065292</v>
      </c>
      <c r="J51">
        <f>(Table3[[#This Row],[HomeMargin]]-Table3[[#This Row],[HomeForecast]])^2</f>
        <v>16.177162441343423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0.19010211111501885</v>
      </c>
      <c r="J52">
        <f>(Table3[[#This Row],[HomeMargin]]-Table3[[#This Row],[HomeForecast]])^2</f>
        <v>7.8955261459602735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9.9581421762246602E-2</v>
      </c>
      <c r="J53">
        <f>(Table3[[#This Row],[HomeMargin]]-Table3[[#This Row],[HomeForecast]])^2</f>
        <v>1.2090793030846836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0.54162670958027803</v>
      </c>
      <c r="J54">
        <f>(Table3[[#This Row],[HomeMargin]]-Table3[[#This Row],[HomeForecast]])^2</f>
        <v>12.543119750012426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0.37056417929641661</v>
      </c>
      <c r="J55">
        <f>(Table3[[#This Row],[HomeMargin]]-Table3[[#This Row],[HomeForecast]])^2</f>
        <v>0.39618945238479358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-0.75599716277040896</v>
      </c>
      <c r="J56">
        <f>(Table3[[#This Row],[HomeMargin]]-Table3[[#This Row],[HomeForecast]])^2</f>
        <v>1.5475430590352723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0.33978337662364499</v>
      </c>
      <c r="J57">
        <f>(Table3[[#This Row],[HomeMargin]]-Table3[[#This Row],[HomeForecast]])^2</f>
        <v>7.0767524832878967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7.3162521258686497E-2</v>
      </c>
      <c r="J58">
        <f>(Table3[[#This Row],[HomeMargin]]-Table3[[#This Row],[HomeForecast]])^2</f>
        <v>0.85902771199955474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0.8503128894244536</v>
      </c>
      <c r="J59">
        <f>(Table3[[#This Row],[HomeMargin]]-Table3[[#This Row],[HomeForecast]])^2</f>
        <v>8.1242835676191785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-0.83825329515390046</v>
      </c>
      <c r="J60">
        <f>(Table3[[#This Row],[HomeMargin]]-Table3[[#This Row],[HomeForecast]])^2</f>
        <v>9.9966422256051697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0.50700086168899738</v>
      </c>
      <c r="J61">
        <f>(Table3[[#This Row],[HomeMargin]]-Table3[[#This Row],[HomeForecast]])^2</f>
        <v>6.2150447036194025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3.3051269115609017E-3</v>
      </c>
      <c r="J62">
        <f>(Table3[[#This Row],[HomeMargin]]-Table3[[#This Row],[HomeForecast]])^2</f>
        <v>0.9934006700407797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-0.28441293645128174</v>
      </c>
      <c r="J63">
        <f>(Table3[[#This Row],[HomeMargin]]-Table3[[#This Row],[HomeForecast]])^2</f>
        <v>18.356194210031092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-0.41405321149662155</v>
      </c>
      <c r="J64">
        <f>(Table3[[#This Row],[HomeMargin]]-Table3[[#This Row],[HomeForecast]])^2</f>
        <v>11.655759330930396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-1.0688386790705975</v>
      </c>
      <c r="J65">
        <f>(Table3[[#This Row],[HomeMargin]]-Table3[[#This Row],[HomeForecast]])^2</f>
        <v>15.454029331171405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0.93942649197297456</v>
      </c>
      <c r="J66">
        <f>(Table3[[#This Row],[HomeMargin]]-Table3[[#This Row],[HomeForecast]])^2</f>
        <v>1.1248161659287512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-0.11758823026903406</v>
      </c>
      <c r="J67">
        <f>(Table3[[#This Row],[HomeMargin]]-Table3[[#This Row],[HomeForecast]])^2</f>
        <v>8.3082976102835993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-2.1629180126290461</v>
      </c>
      <c r="J68">
        <f>(Table3[[#This Row],[HomeMargin]]-Table3[[#This Row],[HomeForecast]])^2</f>
        <v>0.70070625358090577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1.3155037219749239</v>
      </c>
      <c r="J69">
        <f>(Table3[[#This Row],[HomeMargin]]-Table3[[#This Row],[HomeForecast]])^2</f>
        <v>10.992564930429573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-0.19003066560272011</v>
      </c>
      <c r="J70">
        <f>(Table3[[#This Row],[HomeMargin]]-Table3[[#This Row],[HomeForecast]])^2</f>
        <v>3.2759889914585321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0.9039714045614744</v>
      </c>
      <c r="J71">
        <f>(Table3[[#This Row],[HomeMargin]]-Table3[[#This Row],[HomeForecast]])^2</f>
        <v>9.2214911418960193E-3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0.65909321888498384</v>
      </c>
      <c r="J72">
        <f>(Table3[[#This Row],[HomeMargin]]-Table3[[#This Row],[HomeForecast]])^2</f>
        <v>1.7980309956402338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0.93381743346545387</v>
      </c>
      <c r="J73">
        <f>(Table3[[#This Row],[HomeMargin]]-Table3[[#This Row],[HomeForecast]])^2</f>
        <v>1.1367452651821919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0.19127545710374139</v>
      </c>
      <c r="J74">
        <f>(Table3[[#This Row],[HomeMargin]]-Table3[[#This Row],[HomeForecast]])^2</f>
        <v>0.65403538628276248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-1.3330697087692134E-2</v>
      </c>
      <c r="J75">
        <f>(Table3[[#This Row],[HomeMargin]]-Table3[[#This Row],[HomeForecast]])^2</f>
        <v>8.9201935249586892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-0.58034554822868967</v>
      </c>
      <c r="J76">
        <f>(Table3[[#This Row],[HomeMargin]]-Table3[[#This Row],[HomeForecast]])^2</f>
        <v>2.4974920518062378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7.7170408856860218E-2</v>
      </c>
      <c r="J77">
        <f>(Table3[[#This Row],[HomeMargin]]-Table3[[#This Row],[HomeForecast]])^2</f>
        <v>0.85161445428941451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0.77748297030738767</v>
      </c>
      <c r="J78">
        <f>(Table3[[#This Row],[HomeMargin]]-Table3[[#This Row],[HomeForecast]])^2</f>
        <v>3.1594457097327742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-1.2235735577389335</v>
      </c>
      <c r="J79">
        <f>(Table3[[#This Row],[HomeMargin]]-Table3[[#This Row],[HomeForecast]])^2</f>
        <v>4.9442793666757776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0.34025253761946739</v>
      </c>
      <c r="J80">
        <f>(Table3[[#This Row],[HomeMargin]]-Table3[[#This Row],[HomeForecast]])^2</f>
        <v>7.0742565636396817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0.3955045162318887</v>
      </c>
      <c r="J81">
        <f>(Table3[[#This Row],[HomeMargin]]-Table3[[#This Row],[HomeForecast]])^2</f>
        <v>12.99238769250471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-0.25064858134617019</v>
      </c>
      <c r="J82">
        <f>(Table3[[#This Row],[HomeMargin]]-Table3[[#This Row],[HomeForecast]])^2</f>
        <v>10.566716199407869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-1.0592957429524312</v>
      </c>
      <c r="J83">
        <f>(Table3[[#This Row],[HomeMargin]]-Table3[[#This Row],[HomeForecast]])^2</f>
        <v>4.2406989569420057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1.8387592380842888</v>
      </c>
      <c r="J84">
        <f>(Table3[[#This Row],[HomeMargin]]-Table3[[#This Row],[HomeForecast]])^2</f>
        <v>1.3484801071345816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-0.67818307516817078</v>
      </c>
      <c r="J85">
        <f>(Table3[[#This Row],[HomeMargin]]-Table3[[#This Row],[HomeForecast]])^2</f>
        <v>0.10356613310821522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-0.18337500535621259</v>
      </c>
      <c r="J86">
        <f>(Table3[[#This Row],[HomeMargin]]-Table3[[#This Row],[HomeForecast]])^2</f>
        <v>0.66687638187696574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1.2435323498151227</v>
      </c>
      <c r="J87">
        <f>(Table3[[#This Row],[HomeMargin]]-Table3[[#This Row],[HomeForecast]])^2</f>
        <v>0.57224330577622984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-0.14876661355215803</v>
      </c>
      <c r="J88">
        <f>(Table3[[#This Row],[HomeMargin]]-Table3[[#This Row],[HomeForecast]])^2</f>
        <v>0.72459827820346101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-0.22721884580696525</v>
      </c>
      <c r="J89">
        <f>(Table3[[#This Row],[HomeMargin]]-Table3[[#This Row],[HomeForecast]])^2</f>
        <v>1.5060660955037799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-0.35010088558844976</v>
      </c>
      <c r="J90">
        <f>(Table3[[#This Row],[HomeMargin]]-Table3[[#This Row],[HomeForecast]])^2</f>
        <v>7.0219653165591174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-1.6068594307381339</v>
      </c>
      <c r="J91">
        <f>(Table3[[#This Row],[HomeMargin]]-Table3[[#This Row],[HomeForecast]])^2</f>
        <v>13.009434953104616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-0.32380802161379052</v>
      </c>
      <c r="J92">
        <f>(Table3[[#This Row],[HomeMargin]]-Table3[[#This Row],[HomeForecast]])^2</f>
        <v>0.45723559163385596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0.92284449664845436</v>
      </c>
      <c r="J93">
        <f>(Table3[[#This Row],[HomeMargin]]-Table3[[#This Row],[HomeForecast]])^2</f>
        <v>16.623196998509794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1.1917527935041288</v>
      </c>
      <c r="J94">
        <f>(Table3[[#This Row],[HomeMargin]]-Table3[[#This Row],[HomeForecast]])^2</f>
        <v>3.2697579598001218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-0.41288839434234703</v>
      </c>
      <c r="J95">
        <f>(Table3[[#This Row],[HomeMargin]]-Table3[[#This Row],[HomeForecast]])^2</f>
        <v>1.9962536148672951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0.17038591943351733</v>
      </c>
      <c r="J96">
        <f>(Table3[[#This Row],[HomeMargin]]-Table3[[#This Row],[HomeForecast]])^2</f>
        <v>3.3474876838071359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9.3752404181380422E-2</v>
      </c>
      <c r="J97">
        <f>(Table3[[#This Row],[HomeMargin]]-Table3[[#This Row],[HomeForecast]])^2</f>
        <v>0.8212847049270281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1.3712248615831677</v>
      </c>
      <c r="J98">
        <f>(Table3[[#This Row],[HomeMargin]]-Table3[[#This Row],[HomeForecast]])^2</f>
        <v>5.622707344190113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-0.807876184281622</v>
      </c>
      <c r="J99">
        <f>(Table3[[#This Row],[HomeMargin]]-Table3[[#This Row],[HomeForecast]])^2</f>
        <v>3.6911560566189272E-2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0.33314733448427225</v>
      </c>
      <c r="J100">
        <f>(Table3[[#This Row],[HomeMargin]]-Table3[[#This Row],[HomeForecast]])^2</f>
        <v>2.7783978085368868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-0.15144719842766938</v>
      </c>
      <c r="J101">
        <f>(Table3[[#This Row],[HomeMargin]]-Table3[[#This Row],[HomeForecast]])^2</f>
        <v>3.4171474602009129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0.26418954617462598</v>
      </c>
      <c r="J102">
        <f>(Table3[[#This Row],[HomeMargin]]-Table3[[#This Row],[HomeForecast]])^2</f>
        <v>7.4846588392601987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-0.59800641979797597</v>
      </c>
      <c r="J103">
        <f>(Table3[[#This Row],[HomeMargin]]-Table3[[#This Row],[HomeForecast]])^2</f>
        <v>12.945650196907447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0.24123071171268318</v>
      </c>
      <c r="J104">
        <f>(Table3[[#This Row],[HomeMargin]]-Table3[[#This Row],[HomeForecast]])^2</f>
        <v>1.5406536796987742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1.0903033971947711</v>
      </c>
      <c r="J105">
        <f>(Table3[[#This Row],[HomeMargin]]-Table3[[#This Row],[HomeForecast]])^2</f>
        <v>25.911188675492625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-1.4534446276438122</v>
      </c>
      <c r="J106">
        <f>(Table3[[#This Row],[HomeMargin]]-Table3[[#This Row],[HomeForecast]])^2</f>
        <v>2.3918335197637868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0.43807139119974148</v>
      </c>
      <c r="J107">
        <f>(Table3[[#This Row],[HomeMargin]]-Table3[[#This Row],[HomeForecast]])^2</f>
        <v>0.31576376138819395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0.70162715297427314</v>
      </c>
      <c r="J108">
        <f>(Table3[[#This Row],[HomeMargin]]-Table3[[#This Row],[HomeForecast]])^2</f>
        <v>2.8955349677393301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0.9866545192313636</v>
      </c>
      <c r="J109">
        <f>(Table3[[#This Row],[HomeMargin]]-Table3[[#This Row],[HomeForecast]])^2</f>
        <v>9.0802509864687657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-1.0045558954528306</v>
      </c>
      <c r="J110">
        <f>(Table3[[#This Row],[HomeMargin]]-Table3[[#This Row],[HomeForecast]])^2</f>
        <v>2.0756183377122886E-5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-0.97356500861935868</v>
      </c>
      <c r="J111">
        <f>(Table3[[#This Row],[HomeMargin]]-Table3[[#This Row],[HomeForecast]])^2</f>
        <v>4.1064387742918598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-1.6615831669638856</v>
      </c>
      <c r="J112">
        <f>(Table3[[#This Row],[HomeMargin]]-Table3[[#This Row],[HomeForecast]])^2</f>
        <v>7.084024954665507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0.8869129082134799</v>
      </c>
      <c r="J113">
        <f>(Table3[[#This Row],[HomeMargin]]-Table3[[#This Row],[HomeForecast]])^2</f>
        <v>4.4651370574748119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0.24682829708947407</v>
      </c>
      <c r="J114">
        <f>(Table3[[#This Row],[HomeMargin]]-Table3[[#This Row],[HomeForecast]])^2</f>
        <v>3.0736110198861928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-0.52009479533896763</v>
      </c>
      <c r="J115">
        <f>(Table3[[#This Row],[HomeMargin]]-Table3[[#This Row],[HomeForecast]])^2</f>
        <v>0.23030900546074737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0.2417722619629997</v>
      </c>
      <c r="J116">
        <f>(Table3[[#This Row],[HomeMargin]]-Table3[[#This Row],[HomeForecast]])^2</f>
        <v>7.6078202548767067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-0.3907412645077567</v>
      </c>
      <c r="J117">
        <f>(Table3[[#This Row],[HomeMargin]]-Table3[[#This Row],[HomeForecast]])^2</f>
        <v>2.5897136777580934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1.1635824094294527</v>
      </c>
      <c r="J118">
        <f>(Table3[[#This Row],[HomeMargin]]-Table3[[#This Row],[HomeForecast]])^2</f>
        <v>4.6810888423925565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0.68572720222432593</v>
      </c>
      <c r="J119">
        <f>(Table3[[#This Row],[HomeMargin]]-Table3[[#This Row],[HomeForecast]])^2</f>
        <v>2.8416762003190534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-0.41666688325117285</v>
      </c>
      <c r="J120">
        <f>(Table3[[#This Row],[HomeMargin]]-Table3[[#This Row],[HomeForecast]])^2</f>
        <v>2.0069450581005923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-0.26140779692402327</v>
      </c>
      <c r="J121">
        <f>(Table3[[#This Row],[HomeMargin]]-Table3[[#This Row],[HomeForecast]])^2</f>
        <v>3.0227028485965781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-0.26307326299407752</v>
      </c>
      <c r="J122">
        <f>(Table3[[#This Row],[HomeMargin]]-Table3[[#This Row],[HomeForecast]])^2</f>
        <v>1.595354067690506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0.84685518097095924</v>
      </c>
      <c r="J123">
        <f>(Table3[[#This Row],[HomeMargin]]-Table3[[#This Row],[HomeForecast]])^2</f>
        <v>17.248611887827767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0.35456684715874121</v>
      </c>
      <c r="J124">
        <f>(Table3[[#This Row],[HomeMargin]]-Table3[[#This Row],[HomeForecast]])^2</f>
        <v>1.8348513434215723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1.0509577868138165E-2</v>
      </c>
      <c r="J125">
        <f>(Table3[[#This Row],[HomeMargin]]-Table3[[#This Row],[HomeForecast]])^2</f>
        <v>0.97909129549069029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-1.1013145461475458</v>
      </c>
      <c r="J126">
        <f>(Table3[[#This Row],[HomeMargin]]-Table3[[#This Row],[HomeForecast]])^2</f>
        <v>3.6050064526709003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0.7572840982422645</v>
      </c>
      <c r="J127">
        <f>(Table3[[#This Row],[HomeMargin]]-Table3[[#This Row],[HomeForecast]])^2</f>
        <v>3.0880474019351283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0.36094391020134087</v>
      </c>
      <c r="J128">
        <f>(Table3[[#This Row],[HomeMargin]]-Table3[[#This Row],[HomeForecast]])^2</f>
        <v>11.295943967519477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0.23067054226625017</v>
      </c>
      <c r="J129">
        <f>(Table3[[#This Row],[HomeMargin]]-Table3[[#This Row],[HomeForecast]])^2</f>
        <v>3.1305267300044055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-0.97917720292496946</v>
      </c>
      <c r="J130">
        <f>(Table3[[#This Row],[HomeMargin]]-Table3[[#This Row],[HomeForecast]])^2</f>
        <v>9.1253703713282128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0.74778630754941022</v>
      </c>
      <c r="J131">
        <f>(Table3[[#This Row],[HomeMargin]]-Table3[[#This Row],[HomeForecast]])^2</f>
        <v>1.5680391315607403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0.9747235181596674</v>
      </c>
      <c r="J132">
        <f>(Table3[[#This Row],[HomeMargin]]-Table3[[#This Row],[HomeForecast]])^2</f>
        <v>1.0511918642148899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-1.6719119042062434</v>
      </c>
      <c r="J133">
        <f>(Table3[[#This Row],[HomeMargin]]-Table3[[#This Row],[HomeForecast]])^2</f>
        <v>7.1391132238390336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-7.5879539882867608E-2</v>
      </c>
      <c r="J134">
        <f>(Table3[[#This Row],[HomeMargin]]-Table3[[#This Row],[HomeForecast]])^2</f>
        <v>1.1575167843385707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0.6025492195739286</v>
      </c>
      <c r="J135">
        <f>(Table3[[#This Row],[HomeMargin]]-Table3[[#This Row],[HomeForecast]])^2</f>
        <v>1.9528686837134361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-6.8130119752475238E-2</v>
      </c>
      <c r="J136">
        <f>(Table3[[#This Row],[HomeMargin]]-Table3[[#This Row],[HomeForecast]])^2</f>
        <v>9.4134224317323376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0.33260884184498862</v>
      </c>
      <c r="J137">
        <f>(Table3[[#This Row],[HomeMargin]]-Table3[[#This Row],[HomeForecast]])^2</f>
        <v>18.771499376433376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-0.89284978274467552</v>
      </c>
      <c r="J138">
        <f>(Table3[[#This Row],[HomeMargin]]-Table3[[#This Row],[HomeForecast]])^2</f>
        <v>3.5828803000365652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-7.5852524481273442E-2</v>
      </c>
      <c r="J139">
        <f>(Table3[[#This Row],[HomeMargin]]-Table3[[#This Row],[HomeForecast]])^2</f>
        <v>1.1574586544327288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0.76145419445121076</v>
      </c>
      <c r="J140">
        <f>(Table3[[#This Row],[HomeMargin]]-Table3[[#This Row],[HomeForecast]])^2</f>
        <v>3.1027208791497638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0.59377536280955445</v>
      </c>
      <c r="J141">
        <f>(Table3[[#This Row],[HomeMargin]]-Table3[[#This Row],[HomeForecast]])^2</f>
        <v>0.16501845586050912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0.26097203696089477</v>
      </c>
      <c r="J142">
        <f>(Table3[[#This Row],[HomeMargin]]-Table3[[#This Row],[HomeForecast]])^2</f>
        <v>0.54616233015372906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-6.3823208388204766E-2</v>
      </c>
      <c r="J143">
        <f>(Table3[[#This Row],[HomeMargin]]-Table3[[#This Row],[HomeForecast]])^2</f>
        <v>1.1317198187053734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-0.39062714075032878</v>
      </c>
      <c r="J144">
        <f>(Table3[[#This Row],[HomeMargin]]-Table3[[#This Row],[HomeForecast]])^2</f>
        <v>0.37133528159011958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0.77906111804876121</v>
      </c>
      <c r="J145">
        <f>(Table3[[#This Row],[HomeMargin]]-Table3[[#This Row],[HomeForecast]])^2</f>
        <v>45.955669642240522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-0.78689346763420298</v>
      </c>
      <c r="J146">
        <f>(Table3[[#This Row],[HomeMargin]]-Table3[[#This Row],[HomeForecast]])^2</f>
        <v>22.914349070479002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0.14770645055678966</v>
      </c>
      <c r="J147">
        <f>(Table3[[#This Row],[HomeMargin]]-Table3[[#This Row],[HomeForecast]])^2</f>
        <v>4.6126429977632437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0.58943771252543331</v>
      </c>
      <c r="J148">
        <f>(Table3[[#This Row],[HomeMargin]]-Table3[[#This Row],[HomeForecast]])^2</f>
        <v>2.5263122419980819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-1.2540493970339428</v>
      </c>
      <c r="J149">
        <f>(Table3[[#This Row],[HomeMargin]]-Table3[[#This Row],[HomeForecast]])^2</f>
        <v>5.0807386842690807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-1.4951533180299788</v>
      </c>
      <c r="J150">
        <f>(Table3[[#This Row],[HomeMargin]]-Table3[[#This Row],[HomeForecast]])^2</f>
        <v>0.24517680835609729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0.74139022648983666</v>
      </c>
      <c r="J151">
        <f>(Table3[[#This Row],[HomeMargin]]-Table3[[#This Row],[HomeForecast]])^2</f>
        <v>6.6879014954977986E-2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0.10946340943986677</v>
      </c>
      <c r="J152">
        <f>(Table3[[#This Row],[HomeMargin]]-Table3[[#This Row],[HomeForecast]])^2</f>
        <v>0.79305541912646638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0.11872069312571554</v>
      </c>
      <c r="J153">
        <f>(Table3[[#This Row],[HomeMargin]]-Table3[[#This Row],[HomeForecast]])^2</f>
        <v>1.2515359892276816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-4.0619022729526222E-2</v>
      </c>
      <c r="J154">
        <f>(Table3[[#This Row],[HomeMargin]]-Table3[[#This Row],[HomeForecast]])^2</f>
        <v>25.407840132302763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1.4448575618726189</v>
      </c>
      <c r="J155">
        <f>(Table3[[#This Row],[HomeMargin]]-Table3[[#This Row],[HomeForecast]])^2</f>
        <v>2.4184680028647754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-2.4723923883609111E-2</v>
      </c>
      <c r="J156">
        <f>(Table3[[#This Row],[HomeMargin]]-Table3[[#This Row],[HomeForecast]])^2</f>
        <v>9.1489548157138572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8.2550482302971906E-2</v>
      </c>
      <c r="J157">
        <f>(Table3[[#This Row],[HomeMargin]]-Table3[[#This Row],[HomeForecast]])^2</f>
        <v>1.1719155467343971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0.76485375367602138</v>
      </c>
      <c r="J158">
        <f>(Table3[[#This Row],[HomeMargin]]-Table3[[#This Row],[HomeForecast]])^2</f>
        <v>14.17412378656843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0.18531922677298129</v>
      </c>
      <c r="J159">
        <f>(Table3[[#This Row],[HomeMargin]]-Table3[[#This Row],[HomeForecast]])^2</f>
        <v>14.551789401627884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1.4208967309119882</v>
      </c>
      <c r="J160">
        <f>(Table3[[#This Row],[HomeMargin]]-Table3[[#This Row],[HomeForecast]])^2</f>
        <v>6.651773672620469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2.7702527330778992E-2</v>
      </c>
      <c r="J161">
        <f>(Table3[[#This Row],[HomeMargin]]-Table3[[#This Row],[HomeForecast]])^2</f>
        <v>0.94536237535895473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-0.66915124600713438</v>
      </c>
      <c r="J162">
        <f>(Table3[[#This Row],[HomeMargin]]-Table3[[#This Row],[HomeForecast]])^2</f>
        <v>13.462670866075708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-0.54854830928141718</v>
      </c>
      <c r="J163">
        <f>(Table3[[#This Row],[HomeMargin]]-Table3[[#This Row],[HomeForecast]])^2</f>
        <v>0.20380862905266695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0.29731181565829584</v>
      </c>
      <c r="J164">
        <f>(Table3[[#This Row],[HomeMargin]]-Table3[[#This Row],[HomeForecast]])^2</f>
        <v>1.6830179470466242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-1.6309929976656843</v>
      </c>
      <c r="J165">
        <f>(Table3[[#This Row],[HomeMargin]]-Table3[[#This Row],[HomeForecast]])^2</f>
        <v>1.874180172440389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-0.15472935274802715</v>
      </c>
      <c r="J166">
        <f>(Table3[[#This Row],[HomeMargin]]-Table3[[#This Row],[HomeForecast]])^2</f>
        <v>1.3333998780978777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9.3684812619358904E-2</v>
      </c>
      <c r="J167">
        <f>(Table3[[#This Row],[HomeMargin]]-Table3[[#This Row],[HomeForecast]])^2</f>
        <v>1.1961464693542425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-7.6646553046706978E-2</v>
      </c>
      <c r="J168">
        <f>(Table3[[#This Row],[HomeMargin]]-Table3[[#This Row],[HomeForecast]])^2</f>
        <v>0.85258158800052775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-0.4357018856958832</v>
      </c>
      <c r="J169">
        <f>(Table3[[#This Row],[HomeMargin]]-Table3[[#This Row],[HomeForecast]])^2</f>
        <v>6.5756248190236493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0.28997158634453601</v>
      </c>
      <c r="J170">
        <f>(Table3[[#This Row],[HomeMargin]]-Table3[[#This Row],[HomeForecast]])^2</f>
        <v>0.50414034819809472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-0.65742581304556413</v>
      </c>
      <c r="J171">
        <f>(Table3[[#This Row],[HomeMargin]]-Table3[[#This Row],[HomeForecast]])^2</f>
        <v>1.8025054474763644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0.23154372690230096</v>
      </c>
      <c r="J172">
        <f>(Table3[[#This Row],[HomeMargin]]-Table3[[#This Row],[HomeForecast]])^2</f>
        <v>7.6643501360540025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0.57530295999787606</v>
      </c>
      <c r="J173">
        <f>(Table3[[#This Row],[HomeMargin]]-Table3[[#This Row],[HomeForecast]])^2</f>
        <v>0.18036757578656565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0.65045290477122708</v>
      </c>
      <c r="J174">
        <f>(Table3[[#This Row],[HomeMargin]]-Table3[[#This Row],[HomeForecast]])^2</f>
        <v>11.219465743155508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-0.6834655555464082</v>
      </c>
      <c r="J175">
        <f>(Table3[[#This Row],[HomeMargin]]-Table3[[#This Row],[HomeForecast]])^2</f>
        <v>0.10019405452554399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0.65227767669597014</v>
      </c>
      <c r="J176">
        <f>(Table3[[#This Row],[HomeMargin]]-Table3[[#This Row],[HomeForecast]])^2</f>
        <v>2.7300215209078327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0.15591315999796082</v>
      </c>
      <c r="J177">
        <f>(Table3[[#This Row],[HomeMargin]]-Table3[[#This Row],[HomeForecast]])^2</f>
        <v>9.9597878734483132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0.80505506506206792</v>
      </c>
      <c r="J178">
        <f>(Table3[[#This Row],[HomeMargin]]-Table3[[#This Row],[HomeForecast]])^2</f>
        <v>3.8003527657954575E-2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1.094998429477414</v>
      </c>
      <c r="J179">
        <f>(Table3[[#This Row],[HomeMargin]]-Table3[[#This Row],[HomeForecast]])^2</f>
        <v>3.6290309836935193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-0.58093897367136482</v>
      </c>
      <c r="J180">
        <f>(Table3[[#This Row],[HomeMargin]]-Table3[[#This Row],[HomeForecast]])^2</f>
        <v>12.823123933158525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-0.37477937570223263</v>
      </c>
      <c r="J181">
        <f>(Table3[[#This Row],[HomeMargin]]-Table3[[#This Row],[HomeForecast]])^2</f>
        <v>0.39090082904728995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0.21926334657472832</v>
      </c>
      <c r="J182">
        <f>(Table3[[#This Row],[HomeMargin]]-Table3[[#This Row],[HomeForecast]])^2</f>
        <v>0.60954972200169277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0.15119656020266359</v>
      </c>
      <c r="J183">
        <f>(Table3[[#This Row],[HomeMargin]]-Table3[[#This Row],[HomeForecast]])^2</f>
        <v>8.1156810386011369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1.2128725215951068</v>
      </c>
      <c r="J184">
        <f>(Table3[[#This Row],[HomeMargin]]-Table3[[#This Row],[HomeForecast]])^2</f>
        <v>3.193824624069832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-1.678165162288406</v>
      </c>
      <c r="J185">
        <f>(Table3[[#This Row],[HomeMargin]]-Table3[[#This Row],[HomeForecast]])^2</f>
        <v>0.10357766276484807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0.54687083755758048</v>
      </c>
      <c r="J186">
        <f>(Table3[[#This Row],[HomeMargin]]-Table3[[#This Row],[HomeForecast]])^2</f>
        <v>6.4865510632012509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-0.59175316171581349</v>
      </c>
      <c r="J187">
        <f>(Table3[[#This Row],[HomeMargin]]-Table3[[#This Row],[HomeForecast]])^2</f>
        <v>2.5336781278322884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-0.98005038756102025</v>
      </c>
      <c r="J188">
        <f>(Table3[[#This Row],[HomeMargin]]-Table3[[#This Row],[HomeForecast]])^2</f>
        <v>3.9205995372805464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0.76682703436043076</v>
      </c>
      <c r="J189">
        <f>(Table3[[#This Row],[HomeMargin]]-Table3[[#This Row],[HomeForecast]])^2</f>
        <v>5.436963190515174E-2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-0.63667537893018633</v>
      </c>
      <c r="J190">
        <f>(Table3[[#This Row],[HomeMargin]]-Table3[[#This Row],[HomeForecast]])^2</f>
        <v>2.6787062959962689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-0.5902569996675836</v>
      </c>
      <c r="J191">
        <f>(Table3[[#This Row],[HomeMargin]]-Table3[[#This Row],[HomeForecast]])^2</f>
        <v>2.5289173249917445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-0.4208687536856352</v>
      </c>
      <c r="J192">
        <f>(Table3[[#This Row],[HomeMargin]]-Table3[[#This Row],[HomeForecast]])^2</f>
        <v>6.6519179857150883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1.0591440122903015</v>
      </c>
      <c r="J193">
        <f>(Table3[[#This Row],[HomeMargin]]-Table3[[#This Row],[HomeForecast]])^2</f>
        <v>3.766921965028589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-3.4689268906032189E-2</v>
      </c>
      <c r="J194">
        <f>(Table3[[#This Row],[HomeMargin]]-Table3[[#This Row],[HomeForecast]])^2</f>
        <v>1.0705818831892997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-0.13360560840543867</v>
      </c>
      <c r="J195">
        <f>(Table3[[#This Row],[HomeMargin]]-Table3[[#This Row],[HomeForecast]])^2</f>
        <v>4.5522728922191424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0.6714212347274392</v>
      </c>
      <c r="J196">
        <f>(Table3[[#This Row],[HomeMargin]]-Table3[[#This Row],[HomeForecast]])^2</f>
        <v>13.479333882807556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-0.17311385967587639</v>
      </c>
      <c r="J197">
        <f>(Table3[[#This Row],[HomeMargin]]-Table3[[#This Row],[HomeForecast]])^2</f>
        <v>0.68374068906012631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-1.9184120376443303</v>
      </c>
      <c r="J198">
        <f>(Table3[[#This Row],[HomeMargin]]-Table3[[#This Row],[HomeForecast]])^2</f>
        <v>8.5171288214673329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-5.7974988721312265E-2</v>
      </c>
      <c r="J199">
        <f>(Table3[[#This Row],[HomeMargin]]-Table3[[#This Row],[HomeForecast]])^2</f>
        <v>9.3512110316451089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0.13972609121350155</v>
      </c>
      <c r="J200">
        <f>(Table3[[#This Row],[HomeMargin]]-Table3[[#This Row],[HomeForecast]])^2</f>
        <v>8.1811668332847933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0.68257736618445708</v>
      </c>
      <c r="J201">
        <f>(Table3[[#This Row],[HomeMargin]]-Table3[[#This Row],[HomeForecast]])^2</f>
        <v>0.10075712845839625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0.87796915413295251</v>
      </c>
      <c r="J202">
        <f>(Table3[[#This Row],[HomeMargin]]-Table3[[#This Row],[HomeForecast]])^2</f>
        <v>3.5267681438748366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0.49220745671024047</v>
      </c>
      <c r="J203">
        <f>(Table3[[#This Row],[HomeMargin]]-Table3[[#This Row],[HomeForecast]])^2</f>
        <v>2.2266830938616438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-0.55796089728727094</v>
      </c>
      <c r="J204">
        <f>(Table3[[#This Row],[HomeMargin]]-Table3[[#This Row],[HomeForecast]])^2</f>
        <v>2.0794767737525328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-0.26307326299407752</v>
      </c>
      <c r="J205">
        <f>(Table3[[#This Row],[HomeMargin]]-Table3[[#This Row],[HomeForecast]])^2</f>
        <v>0.54306101571419607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-0.12632368305965458</v>
      </c>
      <c r="J206">
        <f>(Table3[[#This Row],[HomeMargin]]-Table3[[#This Row],[HomeForecast]])^2</f>
        <v>4.5212524051403733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-0.34873963320138857</v>
      </c>
      <c r="J207">
        <f>(Table3[[#This Row],[HomeMargin]]-Table3[[#This Row],[HomeForecast]])^2</f>
        <v>1.8190985981682162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-0.74272692053644362</v>
      </c>
      <c r="J208">
        <f>(Table3[[#This Row],[HomeMargin]]-Table3[[#This Row],[HomeForecast]])^2</f>
        <v>3.0370971195624361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0.71539564315946258</v>
      </c>
      <c r="J209">
        <f>(Table3[[#This Row],[HomeMargin]]-Table3[[#This Row],[HomeForecast]])^2</f>
        <v>10.78862578097584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-0.41878436336218838</v>
      </c>
      <c r="J210">
        <f>(Table3[[#This Row],[HomeMargin]]-Table3[[#This Row],[HomeForecast]])^2</f>
        <v>0.33781161627229667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1.1870459366156374</v>
      </c>
      <c r="J211">
        <f>(Table3[[#This Row],[HomeMargin]]-Table3[[#This Row],[HomeForecast]])^2</f>
        <v>3.4986182404421043E-2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1.341543464475768</v>
      </c>
      <c r="J212">
        <f>(Table3[[#This Row],[HomeMargin]]-Table3[[#This Row],[HomeForecast]])^2</f>
        <v>0.1166519381261102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-4.863200994238509E-2</v>
      </c>
      <c r="J213">
        <f>(Table3[[#This Row],[HomeMargin]]-Table3[[#This Row],[HomeForecast]])^2</f>
        <v>9.2941571320453473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1.405640942223402</v>
      </c>
      <c r="J214">
        <f>(Table3[[#This Row],[HomeMargin]]-Table3[[#This Row],[HomeForecast]])^2</f>
        <v>0.16454457400788933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-0.10760335797691672</v>
      </c>
      <c r="J215">
        <f>(Table3[[#This Row],[HomeMargin]]-Table3[[#This Row],[HomeForecast]])^2</f>
        <v>0.79637176669407517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0.19157125776165454</v>
      </c>
      <c r="J216">
        <f>(Table3[[#This Row],[HomeMargin]]-Table3[[#This Row],[HomeForecast]])^2</f>
        <v>1.4198420623236916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-0.56711011493418195</v>
      </c>
      <c r="J217">
        <f>(Table3[[#This Row],[HomeMargin]]-Table3[[#This Row],[HomeForecast]])^2</f>
        <v>5.9189531928555708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0.73245433206616495</v>
      </c>
      <c r="J218">
        <f>(Table3[[#This Row],[HomeMargin]]-Table3[[#This Row],[HomeForecast]])^2</f>
        <v>7.1580684430161939E-2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-0.27124431242976887</v>
      </c>
      <c r="J219">
        <f>(Table3[[#This Row],[HomeMargin]]-Table3[[#This Row],[HomeForecast]])^2</f>
        <v>18.243527976463646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9.8029320543842058E-2</v>
      </c>
      <c r="J220">
        <f>(Table3[[#This Row],[HomeMargin]]-Table3[[#This Row],[HomeForecast]])^2</f>
        <v>25.989902953124712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-0.56603123868941585</v>
      </c>
      <c r="J221">
        <f>(Table3[[#This Row],[HomeMargin]]-Table3[[#This Row],[HomeForecast]])^2</f>
        <v>6.5845163179299382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-0.61063563642934227</v>
      </c>
      <c r="J222">
        <f>(Table3[[#This Row],[HomeMargin]]-Table3[[#This Row],[HomeForecast]])^2</f>
        <v>5.7090620619014141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1.829427904224423</v>
      </c>
      <c r="J223">
        <f>(Table3[[#This Row],[HomeMargin]]-Table3[[#This Row],[HomeForecast]])^2</f>
        <v>10.052527414510733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0.20746635660757162</v>
      </c>
      <c r="J224">
        <f>(Table3[[#This Row],[HomeMargin]]-Table3[[#This Row],[HomeForecast]])^2</f>
        <v>0.62810957590887684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0.76595384972437996</v>
      </c>
      <c r="J225">
        <f>(Table3[[#This Row],[HomeMargin]]-Table3[[#This Row],[HomeForecast]])^2</f>
        <v>14.182408398253877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0.49908658344553525</v>
      </c>
      <c r="J226">
        <f>(Table3[[#This Row],[HomeMargin]]-Table3[[#This Row],[HomeForecast]])^2</f>
        <v>0.25091425088426672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0.12513235732518918</v>
      </c>
      <c r="J227">
        <f>(Table3[[#This Row],[HomeMargin]]-Table3[[#This Row],[HomeForecast]])^2</f>
        <v>4.5161875361505155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0.15480079826032589</v>
      </c>
      <c r="J228">
        <f>(Table3[[#This Row],[HomeMargin]]-Table3[[#This Row],[HomeForecast]])^2</f>
        <v>9.9527680767039914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0.74344179962492718</v>
      </c>
      <c r="J229">
        <f>(Table3[[#This Row],[HomeMargin]]-Table3[[#This Row],[HomeForecast]])^2</f>
        <v>6.5822110179696011E-2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-0.92815109559936837</v>
      </c>
      <c r="J230">
        <f>(Table3[[#This Row],[HomeMargin]]-Table3[[#This Row],[HomeForecast]])^2</f>
        <v>1.1488600738648345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-0.30114667541278134</v>
      </c>
      <c r="J231">
        <f>(Table3[[#This Row],[HomeMargin]]-Table3[[#This Row],[HomeForecast]])^2</f>
        <v>5.2952760217632964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-0.57454289261179126</v>
      </c>
      <c r="J232">
        <f>(Table3[[#This Row],[HomeMargin]]-Table3[[#This Row],[HomeForecast]])^2</f>
        <v>5.8828421797799768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-0.74010329101798111</v>
      </c>
      <c r="J233">
        <f>(Table3[[#This Row],[HomeMargin]]-Table3[[#This Row],[HomeForecast]])^2</f>
        <v>10.626926553231797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-0.59650330305191357</v>
      </c>
      <c r="J234">
        <f>(Table3[[#This Row],[HomeMargin]]-Table3[[#This Row],[HomeForecast]])^2</f>
        <v>5.7767963722403612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-6.7942654386669077E-2</v>
      </c>
      <c r="J235">
        <f>(Table3[[#This Row],[HomeMargin]]-Table3[[#This Row],[HomeForecast]])^2</f>
        <v>8.5969602779650902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-0.20870222992811477</v>
      </c>
      <c r="J236">
        <f>(Table3[[#This Row],[HomeMargin]]-Table3[[#This Row],[HomeForecast]])^2</f>
        <v>1.4609610806331972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1.2504797886527124</v>
      </c>
      <c r="J237">
        <f>(Table3[[#This Row],[HomeMargin]]-Table3[[#This Row],[HomeForecast]])^2</f>
        <v>3.0608209699126578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-2.4141580799100426</v>
      </c>
      <c r="J238">
        <f>(Table3[[#This Row],[HomeMargin]]-Table3[[#This Row],[HomeForecast]])^2</f>
        <v>31.20162995623426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-0.16906069581693883</v>
      </c>
      <c r="J239">
        <f>(Table3[[#This Row],[HomeMargin]]-Table3[[#This Row],[HomeForecast]])^2</f>
        <v>17.381067085405622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0.31426175502193776</v>
      </c>
      <c r="J240">
        <f>(Table3[[#This Row],[HomeMargin]]-Table3[[#This Row],[HomeForecast]])^2</f>
        <v>0.4702369406255929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-1.4951533180299788</v>
      </c>
      <c r="J241">
        <f>(Table3[[#This Row],[HomeMargin]]-Table3[[#This Row],[HomeForecast]])^2</f>
        <v>0.24517680835609729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-8.0877101977572252E-5</v>
      </c>
      <c r="J242">
        <f>(Table3[[#This Row],[HomeMargin]]-Table3[[#This Row],[HomeForecast]])^2</f>
        <v>24.999191235521334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0.15633775600990729</v>
      </c>
      <c r="J243">
        <f>(Table3[[#This Row],[HomeMargin]]-Table3[[#This Row],[HomeForecast]])^2</f>
        <v>1.3371170059740278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-5.2694217254037889E-3</v>
      </c>
      <c r="J244">
        <f>(Table3[[#This Row],[HomeMargin]]-Table3[[#This Row],[HomeForecast]])^2</f>
        <v>4.0211054537069346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-0.85909132907192032</v>
      </c>
      <c r="J245">
        <f>(Table3[[#This Row],[HomeMargin]]-Table3[[#This Row],[HomeForecast]])^2</f>
        <v>1.985525354271785E-2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0.16354220696648458</v>
      </c>
      <c r="J246">
        <f>(Table3[[#This Row],[HomeMargin]]-Table3[[#This Row],[HomeForecast]])^2</f>
        <v>0.69966163952649929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-0.55570250144705813</v>
      </c>
      <c r="J247">
        <f>(Table3[[#This Row],[HomeMargin]]-Table3[[#This Row],[HomeForecast]])^2</f>
        <v>2.0859952643262849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-0.14177665784113003</v>
      </c>
      <c r="J248">
        <f>(Table3[[#This Row],[HomeMargin]]-Table3[[#This Row],[HomeForecast]])^2</f>
        <v>1.3036539363908612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-0.39699452258991919</v>
      </c>
      <c r="J249">
        <f>(Table3[[#This Row],[HomeMargin]]-Table3[[#This Row],[HomeForecast]])^2</f>
        <v>0.36361560578655949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0.51196283495675166</v>
      </c>
      <c r="J250">
        <f>(Table3[[#This Row],[HomeMargin]]-Table3[[#This Row],[HomeForecast]])^2</f>
        <v>6.1903289346364438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0.83119176860523614</v>
      </c>
      <c r="J251">
        <f>(Table3[[#This Row],[HomeMargin]]-Table3[[#This Row],[HomeForecast]])^2</f>
        <v>2.8496218986628141E-2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-0.5497131264356917</v>
      </c>
      <c r="J252">
        <f>(Table3[[#This Row],[HomeMargin]]-Table3[[#This Row],[HomeForecast]])^2</f>
        <v>11.904479509890168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1.1886116668789404</v>
      </c>
      <c r="J253">
        <f>(Table3[[#This Row],[HomeMargin]]-Table3[[#This Row],[HomeForecast]])^2</f>
        <v>0.65835102712497162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-5.0947759971883944E-2</v>
      </c>
      <c r="J254">
        <f>(Table3[[#This Row],[HomeMargin]]-Table3[[#This Row],[HomeForecast]])^2</f>
        <v>4.2063867141336884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0.35687799948076554</v>
      </c>
      <c r="J255">
        <f>(Table3[[#This Row],[HomeMargin]]-Table3[[#This Row],[HomeForecast]])^2</f>
        <v>1.8411179054749245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-1.2308793301018943</v>
      </c>
      <c r="J256">
        <f>(Table3[[#This Row],[HomeMargin]]-Table3[[#This Row],[HomeForecast]])^2</f>
        <v>5.3305265068299482E-2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-2.3881183374091988</v>
      </c>
      <c r="J257">
        <f>(Table3[[#This Row],[HomeMargin]]-Table3[[#This Row],[HomeForecast]])^2</f>
        <v>1.9268725186516782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-0.16781640034197409</v>
      </c>
      <c r="J258">
        <f>(Table3[[#This Row],[HomeMargin]]-Table3[[#This Row],[HomeForecast]])^2</f>
        <v>1.3637951449076857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0.3931385832886915</v>
      </c>
      <c r="J259">
        <f>(Table3[[#This Row],[HomeMargin]]-Table3[[#This Row],[HomeForecast]])^2</f>
        <v>1.9408351122476226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1.1707700768567098</v>
      </c>
      <c r="J260">
        <f>(Table3[[#This Row],[HomeMargin]]-Table3[[#This Row],[HomeForecast]])^2</f>
        <v>3.3460821117228075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0.23497745363052069</v>
      </c>
      <c r="J261">
        <f>(Table3[[#This Row],[HomeMargin]]-Table3[[#This Row],[HomeForecast]])^2</f>
        <v>1.5251693109757249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0.72254983532510353</v>
      </c>
      <c r="J262">
        <f>(Table3[[#This Row],[HomeMargin]]-Table3[[#This Row],[HomeForecast]])^2</f>
        <v>1.6318789232279198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0.1870057341526693</v>
      </c>
      <c r="J263">
        <f>(Table3[[#This Row],[HomeMargin]]-Table3[[#This Row],[HomeForecast]])^2</f>
        <v>10.157005549521996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1.3645943066375095</v>
      </c>
      <c r="J264">
        <f>(Table3[[#This Row],[HomeMargin]]-Table3[[#This Row],[HomeForecast]])^2</f>
        <v>2.6745517818824482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0.58943771252543331</v>
      </c>
      <c r="J265">
        <f>(Table3[[#This Row],[HomeMargin]]-Table3[[#This Row],[HomeForecast]])^2</f>
        <v>2.5263122419980819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-7.2302045122223824E-2</v>
      </c>
      <c r="J266">
        <f>(Table3[[#This Row],[HomeMargin]]-Table3[[#This Row],[HomeForecast]])^2</f>
        <v>15.426811224751065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-0.55649264456247205</v>
      </c>
      <c r="J267">
        <f>(Table3[[#This Row],[HomeMargin]]-Table3[[#This Row],[HomeForecast]])^2</f>
        <v>0.19669877432718974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0.34253529552855766</v>
      </c>
      <c r="J268">
        <f>(Table3[[#This Row],[HomeMargin]]-Table3[[#This Row],[HomeForecast]])^2</f>
        <v>1.8024010197399516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-0.24531172111359378</v>
      </c>
      <c r="J269">
        <f>(Table3[[#This Row],[HomeMargin]]-Table3[[#This Row],[HomeForecast]])^2</f>
        <v>1.5508012827429012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-0.67840852969298315</v>
      </c>
      <c r="J270">
        <f>(Table3[[#This Row],[HomeMargin]]-Table3[[#This Row],[HomeForecast]])^2</f>
        <v>1.7466040143882626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-0.35658597006786824</v>
      </c>
      <c r="J271">
        <f>(Table3[[#This Row],[HomeMargin]]-Table3[[#This Row],[HomeForecast]])^2</f>
        <v>0.41398161391350624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0.77454124204515773</v>
      </c>
      <c r="J272">
        <f>(Table3[[#This Row],[HomeMargin]]-Table3[[#This Row],[HomeForecast]])^2</f>
        <v>3.1489966197191714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0.71049392162604263</v>
      </c>
      <c r="J273">
        <f>(Table3[[#This Row],[HomeMargin]]-Table3[[#This Row],[HomeForecast]])^2</f>
        <v>22.188752985675894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0.58563169724023378</v>
      </c>
      <c r="J274">
        <f>(Table3[[#This Row],[HomeMargin]]-Table3[[#This Row],[HomeForecast]])^2</f>
        <v>5.829174301371074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0.33466373422001949</v>
      </c>
      <c r="J275">
        <f>(Table3[[#This Row],[HomeMargin]]-Table3[[#This Row],[HomeForecast]])^2</f>
        <v>0.44267234656204885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-0.51575028741448448</v>
      </c>
      <c r="J276">
        <f>(Table3[[#This Row],[HomeMargin]]-Table3[[#This Row],[HomeForecast]])^2</f>
        <v>6.3289995086260609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2.3306385311431423</v>
      </c>
      <c r="J277">
        <f>(Table3[[#This Row],[HomeMargin]]-Table3[[#This Row],[HomeForecast]])^2</f>
        <v>0.44804477599021003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-1.0460251877170614</v>
      </c>
      <c r="J278">
        <f>(Table3[[#This Row],[HomeMargin]]-Table3[[#This Row],[HomeForecast]])^2</f>
        <v>16.370319819640883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-0.64597813927582737</v>
      </c>
      <c r="J279">
        <f>(Table3[[#This Row],[HomeMargin]]-Table3[[#This Row],[HomeForecast]])^2</f>
        <v>13.293156592077224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-0.67460558040752694</v>
      </c>
      <c r="J280">
        <f>(Table3[[#This Row],[HomeMargin]]-Table3[[#This Row],[HomeForecast]])^2</f>
        <v>40.0106145634116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-4.0619022729526222E-2</v>
      </c>
      <c r="J281">
        <f>(Table3[[#This Row],[HomeMargin]]-Table3[[#This Row],[HomeForecast]])^2</f>
        <v>4.1641259959256063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-0.19409657632329541</v>
      </c>
      <c r="J282">
        <f>(Table3[[#This Row],[HomeMargin]]-Table3[[#This Row],[HomeForecast]])^2</f>
        <v>4.8140597862336065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-0.46927258799470084</v>
      </c>
      <c r="J283">
        <f>(Table3[[#This Row],[HomeMargin]]-Table3[[#This Row],[HomeForecast]])^2</f>
        <v>0.28167158585384255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-3.0977181965771594E-2</v>
      </c>
      <c r="J284">
        <f>(Table3[[#This Row],[HomeMargin]]-Table3[[#This Row],[HomeForecast]])^2</f>
        <v>0.93900522187099733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1.4748069287968142</v>
      </c>
      <c r="J285">
        <f>(Table3[[#This Row],[HomeMargin]]-Table3[[#This Row],[HomeForecast]])^2</f>
        <v>0.22544161963346299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-1.1663041152864184</v>
      </c>
      <c r="J286">
        <f>(Table3[[#This Row],[HomeMargin]]-Table3[[#This Row],[HomeForecast]])^2</f>
        <v>4.6928735199068718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-1.0398572083075235</v>
      </c>
      <c r="J287">
        <f>(Table3[[#This Row],[HomeMargin]]-Table3[[#This Row],[HomeForecast]])^2</f>
        <v>1.5885970540693191E-3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-1.439518664125139E-2</v>
      </c>
      <c r="J288">
        <f>(Table3[[#This Row],[HomeMargin]]-Table3[[#This Row],[HomeForecast]])^2</f>
        <v>0.97141684811593365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1.5008466712976583</v>
      </c>
      <c r="J289">
        <f>(Table3[[#This Row],[HomeMargin]]-Table3[[#This Row],[HomeForecast]])^2</f>
        <v>6.2542340733405783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-0.43222548826541135</v>
      </c>
      <c r="J290">
        <f>(Table3[[#This Row],[HomeMargin]]-Table3[[#This Row],[HomeForecast]])^2</f>
        <v>0.32236789617545059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-0.807876184281622</v>
      </c>
      <c r="J291">
        <f>(Table3[[#This Row],[HomeMargin]]-Table3[[#This Row],[HomeForecast]])^2</f>
        <v>3.6911560566189272E-2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0.7004027054905132</v>
      </c>
      <c r="J292">
        <f>(Table3[[#This Row],[HomeMargin]]-Table3[[#This Row],[HomeForecast]])^2</f>
        <v>8.9758538877404176E-2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0.65042588936963297</v>
      </c>
      <c r="J293">
        <f>(Table3[[#This Row],[HomeMargin]]-Table3[[#This Row],[HomeForecast]])^2</f>
        <v>11.219646722605216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-7.9980963211428668E-2</v>
      </c>
      <c r="J294">
        <f>(Table3[[#This Row],[HomeMargin]]-Table3[[#This Row],[HomeForecast]])^2</f>
        <v>0.84643502805337056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-0.72609667930328925</v>
      </c>
      <c r="J295">
        <f>(Table3[[#This Row],[HomeMargin]]-Table3[[#This Row],[HomeForecast]])^2</f>
        <v>1.6228296704821066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-0.13122735235943306</v>
      </c>
      <c r="J296">
        <f>(Table3[[#This Row],[HomeMargin]]-Table3[[#This Row],[HomeForecast]])^2</f>
        <v>4.5421300274449994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-0.15873195857458111</v>
      </c>
      <c r="J297">
        <f>(Table3[[#This Row],[HomeMargin]]-Table3[[#This Row],[HomeForecast]])^2</f>
        <v>0.7077319175237603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4.5810890722831066E-2</v>
      </c>
      <c r="J298">
        <f>(Table3[[#This Row],[HomeMargin]]-Table3[[#This Row],[HomeForecast]])^2</f>
        <v>1.0937204191544811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9.8029320543842058E-2</v>
      </c>
      <c r="J299">
        <f>(Table3[[#This Row],[HomeMargin]]-Table3[[#This Row],[HomeForecast]])^2</f>
        <v>8.4214338244232358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-1.0847325508230254</v>
      </c>
      <c r="J300">
        <f>(Table3[[#This Row],[HomeMargin]]-Table3[[#This Row],[HomeForecast]])^2</f>
        <v>3.6682494018768748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0.23715592120791174</v>
      </c>
      <c r="J301">
        <f>(Table3[[#This Row],[HomeMargin]]-Table3[[#This Row],[HomeForecast]])^2</f>
        <v>1.5305547733797966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1.7306116472616571</v>
      </c>
      <c r="J302">
        <f>(Table3[[#This Row],[HomeMargin]]-Table3[[#This Row],[HomeForecast]])^2</f>
        <v>1.6113467900677638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0.34919083716950888</v>
      </c>
      <c r="J303">
        <f>(Table3[[#This Row],[HomeMargin]]-Table3[[#This Row],[HomeForecast]])^2</f>
        <v>0.42355256642412464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0.76335063692995897</v>
      </c>
      <c r="J304">
        <f>(Table3[[#This Row],[HomeMargin]]-Table3[[#This Row],[HomeForecast]])^2</f>
        <v>3.1094054687612918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1.3331514491644638</v>
      </c>
      <c r="J305">
        <f>(Table3[[#This Row],[HomeMargin]]-Table3[[#This Row],[HomeForecast]])^2</f>
        <v>7.1120811930935997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1.4513434016106295</v>
      </c>
      <c r="J306">
        <f>(Table3[[#This Row],[HomeMargin]]-Table3[[#This Row],[HomeForecast]])^2</f>
        <v>29.717144882283751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0.54725986114344438</v>
      </c>
      <c r="J307">
        <f>(Table3[[#This Row],[HomeMargin]]-Table3[[#This Row],[HomeForecast]])^2</f>
        <v>0.20497363333185326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-0.59175316171581349</v>
      </c>
      <c r="J308">
        <f>(Table3[[#This Row],[HomeMargin]]-Table3[[#This Row],[HomeForecast]])^2</f>
        <v>1.9831591575374081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0.3337905495839687</v>
      </c>
      <c r="J309">
        <f>(Table3[[#This Row],[HomeMargin]]-Table3[[#This Row],[HomeForecast]])^2</f>
        <v>13.441091734319819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-0.16542681597017606</v>
      </c>
      <c r="J310">
        <f>(Table3[[#This Row],[HomeMargin]]-Table3[[#This Row],[HomeForecast]])^2</f>
        <v>1.3582196633823824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0.64182305536831752</v>
      </c>
      <c r="J311">
        <f>(Table3[[#This Row],[HomeMargin]]-Table3[[#This Row],[HomeForecast]])^2</f>
        <v>5.5609985021924171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0.74144834183256958</v>
      </c>
      <c r="J312">
        <f>(Table3[[#This Row],[HomeMargin]]-Table3[[#This Row],[HomeForecast]])^2</f>
        <v>6.6848959941127786E-2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0.90695062489602651</v>
      </c>
      <c r="J313">
        <f>(Table3[[#This Row],[HomeMargin]]-Table3[[#This Row],[HomeForecast]])^2</f>
        <v>4.3808556866231338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0.49114969794933677</v>
      </c>
      <c r="J314">
        <f>(Table3[[#This Row],[HomeMargin]]-Table3[[#This Row],[HomeForecast]])^2</f>
        <v>2.2235274216943983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-0.33996577643701442</v>
      </c>
      <c r="J315">
        <f>(Table3[[#This Row],[HomeMargin]]-Table3[[#This Row],[HomeForecast]])^2</f>
        <v>5.4754398348964806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-0.17340520374142199</v>
      </c>
      <c r="J316">
        <f>(Table3[[#This Row],[HomeMargin]]-Table3[[#This Row],[HomeForecast]])^2</f>
        <v>1.3768797721674479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0.31727446123537356</v>
      </c>
      <c r="J317">
        <f>(Table3[[#This Row],[HomeMargin]]-Table3[[#This Row],[HomeForecast]])^2</f>
        <v>13.562467393869207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0.6187069743971525</v>
      </c>
      <c r="J318">
        <f>(Table3[[#This Row],[HomeMargin]]-Table3[[#This Row],[HomeForecast]])^2</f>
        <v>0.14538437137337373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5.2527362075228734E-2</v>
      </c>
      <c r="J319">
        <f>(Table3[[#This Row],[HomeMargin]]-Table3[[#This Row],[HomeForecast]])^2</f>
        <v>0.8977043996161248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0.62005553879087583</v>
      </c>
      <c r="J320">
        <f>(Table3[[#This Row],[HomeMargin]]-Table3[[#This Row],[HomeForecast]])^2</f>
        <v>5.6641356384399888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0.5575885983858021</v>
      </c>
      <c r="J321">
        <f>(Table3[[#This Row],[HomeMargin]]-Table3[[#This Row],[HomeForecast]])^2</f>
        <v>0.19572784827823911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0.43721846167176348</v>
      </c>
      <c r="J322">
        <f>(Table3[[#This Row],[HomeMargin]]-Table3[[#This Row],[HomeForecast]])^2</f>
        <v>19.688907676600731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-0.33223924956748985</v>
      </c>
      <c r="J323">
        <f>(Table3[[#This Row],[HomeMargin]]-Table3[[#This Row],[HomeForecast]])^2</f>
        <v>1.7748614180881481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1.3972646040840118</v>
      </c>
      <c r="J324">
        <f>(Table3[[#This Row],[HomeMargin]]-Table3[[#This Row],[HomeForecast]])^2</f>
        <v>2.5687607493219797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0.68163128805435103</v>
      </c>
      <c r="J325">
        <f>(Table3[[#This Row],[HomeMargin]]-Table3[[#This Row],[HomeForecast]])^2</f>
        <v>2.8278837889633355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0.29317101693769998</v>
      </c>
      <c r="J326">
        <f>(Table3[[#This Row],[HomeMargin]]-Table3[[#This Row],[HomeForecast]])^2</f>
        <v>1.6722912790476852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1.8141161913026573</v>
      </c>
      <c r="J327">
        <f>(Table3[[#This Row],[HomeMargin]]-Table3[[#This Row],[HomeForecast]])^2</f>
        <v>1.4063204077305156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-0.68000784709291384</v>
      </c>
      <c r="J328">
        <f>(Table3[[#This Row],[HomeMargin]]-Table3[[#This Row],[HomeForecast]])^2</f>
        <v>18.662332201178803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-0.49224588500693839</v>
      </c>
      <c r="J329">
        <f>(Table3[[#This Row],[HomeMargin]]-Table3[[#This Row],[HomeForecast]])^2</f>
        <v>2.2267977813201409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-0.7303267200157707</v>
      </c>
      <c r="J330">
        <f>(Table3[[#This Row],[HomeMargin]]-Table3[[#This Row],[HomeForecast]])^2</f>
        <v>10.690763357842828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1.2067045421855691</v>
      </c>
      <c r="J331">
        <f>(Table3[[#This Row],[HomeMargin]]-Table3[[#This Row],[HomeForecast]])^2</f>
        <v>4.2726767760145716E-2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-7.6646553046706978E-2</v>
      </c>
      <c r="J332">
        <f>(Table3[[#This Row],[HomeMargin]]-Table3[[#This Row],[HomeForecast]])^2</f>
        <v>1.1591678001873553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1.4773831441114735</v>
      </c>
      <c r="J333">
        <f>(Table3[[#This Row],[HomeMargin]]-Table3[[#This Row],[HomeForecast]])^2</f>
        <v>0.22789466628175592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-6.4696393024255561E-2</v>
      </c>
      <c r="J334">
        <f>(Table3[[#This Row],[HomeMargin]]-Table3[[#This Row],[HomeForecast]])^2</f>
        <v>0.87479283722183787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0.10000566226354296</v>
      </c>
      <c r="J335">
        <f>(Table3[[#This Row],[HomeMargin]]-Table3[[#This Row],[HomeForecast]])^2</f>
        <v>9.6100351060660287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-1.1486563880968785</v>
      </c>
      <c r="J336">
        <f>(Table3[[#This Row],[HomeMargin]]-Table3[[#This Row],[HomeForecast]])^2</f>
        <v>0.72478594552825271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-0.38630849628524033</v>
      </c>
      <c r="J337">
        <f>(Table3[[#This Row],[HomeMargin]]-Table3[[#This Row],[HomeForecast]])^2</f>
        <v>40.784936209725046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-3.0062465133345873E-3</v>
      </c>
      <c r="J338">
        <f>(Table3[[#This Row],[HomeMargin]]-Table3[[#This Row],[HomeForecast]])^2</f>
        <v>0.99399654449142971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1.0934173880084636E-2</v>
      </c>
      <c r="J339">
        <f>(Table3[[#This Row],[HomeMargin]]-Table3[[#This Row],[HomeForecast]])^2</f>
        <v>25.109461294959281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-0.54612739828676293</v>
      </c>
      <c r="J340">
        <f>(Table3[[#This Row],[HomeMargin]]-Table3[[#This Row],[HomeForecast]])^2</f>
        <v>0.20600033858594272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0.5638418564679647</v>
      </c>
      <c r="J341">
        <f>(Table3[[#This Row],[HomeMargin]]-Table3[[#This Row],[HomeForecast]])^2</f>
        <v>0.19023392616931151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-1.2781240426855174</v>
      </c>
      <c r="J342">
        <f>(Table3[[#This Row],[HomeMargin]]-Table3[[#This Row],[HomeForecast]])^2</f>
        <v>5.1898491538618048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-8.0854147847479463E-2</v>
      </c>
      <c r="J343">
        <f>(Table3[[#This Row],[HomeMargin]]-Table3[[#This Row],[HomeForecast]])^2</f>
        <v>1.1682456889191013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0.66786279786916158</v>
      </c>
      <c r="J344">
        <f>(Table3[[#This Row],[HomeMargin]]-Table3[[#This Row],[HomeForecast]])^2</f>
        <v>13.453217503992592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0.48039420981149972</v>
      </c>
      <c r="J345">
        <f>(Table3[[#This Row],[HomeMargin]]-Table3[[#This Row],[HomeForecast]])^2</f>
        <v>6.3484133379514169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-2.7346152673422992</v>
      </c>
      <c r="J346">
        <f>(Table3[[#This Row],[HomeMargin]]-Table3[[#This Row],[HomeForecast]])^2</f>
        <v>7.0429056327799319E-2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1.3659807336058651</v>
      </c>
      <c r="J347">
        <f>(Table3[[#This Row],[HomeMargin]]-Table3[[#This Row],[HomeForecast]])^2</f>
        <v>5.5978648317941486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-0.38556744083094224</v>
      </c>
      <c r="J348">
        <f>(Table3[[#This Row],[HomeMargin]]-Table3[[#This Row],[HomeForecast]])^2</f>
        <v>11.462066896414576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0.5023425658616758</v>
      </c>
      <c r="J349">
        <f>(Table3[[#This Row],[HomeMargin]]-Table3[[#This Row],[HomeForecast]])^2</f>
        <v>2.2570331851998438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-3.9033776830515343E-2</v>
      </c>
      <c r="J350">
        <f>(Table3[[#This Row],[HomeMargin]]-Table3[[#This Row],[HomeForecast]])^2</f>
        <v>0.92345608207262375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6.9109357399748939E-2</v>
      </c>
      <c r="J351">
        <f>(Table3[[#This Row],[HomeMargin]]-Table3[[#This Row],[HomeForecast]])^2</f>
        <v>0.86655738848070829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3.3051269115609017E-3</v>
      </c>
      <c r="J352">
        <f>(Table3[[#This Row],[HomeMargin]]-Table3[[#This Row],[HomeForecast]])^2</f>
        <v>4.0132314315101452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-1.083632454774667</v>
      </c>
      <c r="J353">
        <f>(Table3[[#This Row],[HomeMargin]]-Table3[[#This Row],[HomeForecast]])^2</f>
        <v>16.676054025688977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-1.6940590340408339</v>
      </c>
      <c r="J354">
        <f>(Table3[[#This Row],[HomeMargin]]-Table3[[#This Row],[HomeForecast]])^2</f>
        <v>0.48171794273369545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0.42346573759492212</v>
      </c>
      <c r="J355">
        <f>(Table3[[#This Row],[HomeMargin]]-Table3[[#This Row],[HomeForecast]])^2</f>
        <v>0.33239175572696722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-0.16307646649906427</v>
      </c>
      <c r="J356">
        <f>(Table3[[#This Row],[HomeMargin]]-Table3[[#This Row],[HomeForecast]])^2</f>
        <v>4.6788997999220783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0.21289132152766155</v>
      </c>
      <c r="J357">
        <f>(Table3[[#This Row],[HomeMargin]]-Table3[[#This Row],[HomeForecast]])^2</f>
        <v>10.322670643947761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-0.13046448178025036</v>
      </c>
      <c r="J358">
        <f>(Table3[[#This Row],[HomeMargin]]-Table3[[#This Row],[HomeForecast]])^2</f>
        <v>8.2342340903246871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0.12103644315521433</v>
      </c>
      <c r="J359">
        <f>(Table3[[#This Row],[HomeMargin]]-Table3[[#This Row],[HomeForecast]])^2</f>
        <v>0.77257693426123675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1.1565700973206281</v>
      </c>
      <c r="J360">
        <f>(Table3[[#This Row],[HomeMargin]]-Table3[[#This Row],[HomeForecast]])^2</f>
        <v>2.4514195374990954E-2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-0.82147265142337234</v>
      </c>
      <c r="J361">
        <f>(Table3[[#This Row],[HomeMargin]]-Table3[[#This Row],[HomeForecast]])^2</f>
        <v>17.460090802802824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1.2824761895648649</v>
      </c>
      <c r="J362">
        <f>(Table3[[#This Row],[HomeMargin]]-Table3[[#This Row],[HomeForecast]])^2</f>
        <v>7.9792797671085464E-2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0.78626556900533862</v>
      </c>
      <c r="J363">
        <f>(Table3[[#This Row],[HomeMargin]]-Table3[[#This Row],[HomeForecast]])^2</f>
        <v>4.9006201309712569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0.10000566226354296</v>
      </c>
      <c r="J364">
        <f>(Table3[[#This Row],[HomeMargin]]-Table3[[#This Row],[HomeForecast]])^2</f>
        <v>15.209955834376427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1.1460245368030149</v>
      </c>
      <c r="J365">
        <f>(Table3[[#This Row],[HomeMargin]]-Table3[[#This Row],[HomeForecast]])^2</f>
        <v>8.145175944530445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-1.1746961305977226</v>
      </c>
      <c r="J366">
        <f>(Table3[[#This Row],[HomeMargin]]-Table3[[#This Row],[HomeForecast]])^2</f>
        <v>14.632949693264035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1.2737950315887574</v>
      </c>
      <c r="J367">
        <f>(Table3[[#This Row],[HomeMargin]]-Table3[[#This Row],[HomeForecast]])^2</f>
        <v>5.1701438456777176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0.73395744881222735</v>
      </c>
      <c r="J368">
        <f>(Table3[[#This Row],[HomeMargin]]-Table3[[#This Row],[HomeForecast]])^2</f>
        <v>7.4745233319158642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0.23154372690230096</v>
      </c>
      <c r="J369">
        <f>(Table3[[#This Row],[HomeMargin]]-Table3[[#This Row],[HomeForecast]])^2</f>
        <v>1.5166999512724091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-0.19823737504389125</v>
      </c>
      <c r="J370">
        <f>(Table3[[#This Row],[HomeMargin]]-Table3[[#This Row],[HomeForecast]])^2</f>
        <v>0.6428233067765099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2.0852593715223757</v>
      </c>
      <c r="J371">
        <f>(Table3[[#This Row],[HomeMargin]]-Table3[[#This Row],[HomeForecast]])^2</f>
        <v>15.325194188253384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0.49084310686577348</v>
      </c>
      <c r="J372">
        <f>(Table3[[#This Row],[HomeMargin]]-Table3[[#This Row],[HomeForecast]])^2</f>
        <v>12.185985596752285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-2.325477723697339E-2</v>
      </c>
      <c r="J373">
        <f>(Table3[[#This Row],[HomeMargin]]-Table3[[#This Row],[HomeForecast]])^2</f>
        <v>3.9075216757164477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1.675695649955534</v>
      </c>
      <c r="J374">
        <f>(Table3[[#This Row],[HomeMargin]]-Table3[[#This Row],[HomeForecast]])^2</f>
        <v>0.45656461136883153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0.19157125776165454</v>
      </c>
      <c r="J375">
        <f>(Table3[[#This Row],[HomeMargin]]-Table3[[#This Row],[HomeForecast]])^2</f>
        <v>4.8029845778469999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0.76232737908726156</v>
      </c>
      <c r="J376">
        <f>(Table3[[#This Row],[HomeMargin]]-Table3[[#This Row],[HomeForecast]])^2</f>
        <v>1.5318335165570072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-0.66434443472719074</v>
      </c>
      <c r="J377">
        <f>(Table3[[#This Row],[HomeMargin]]-Table3[[#This Row],[HomeForecast]])^2</f>
        <v>0.11266465849860913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1.5808110561992683</v>
      </c>
      <c r="J378">
        <f>(Table3[[#This Row],[HomeMargin]]-Table3[[#This Row],[HomeForecast]])^2</f>
        <v>5.8524751458077011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0.33590802969498423</v>
      </c>
      <c r="J379">
        <f>(Table3[[#This Row],[HomeMargin]]-Table3[[#This Row],[HomeForecast]])^2</f>
        <v>1.7846502638035346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0.20121309852540914</v>
      </c>
      <c r="J380">
        <f>(Table3[[#This Row],[HomeMargin]]-Table3[[#This Row],[HomeForecast]])^2</f>
        <v>1.4429129080690146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0.60939266495116184</v>
      </c>
      <c r="J381">
        <f>(Table3[[#This Row],[HomeMargin]]-Table3[[#This Row],[HomeForecast]])^2</f>
        <v>0.15257409019395532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0.64401851183815939</v>
      </c>
      <c r="J382">
        <f>(Table3[[#This Row],[HomeMargin]]-Table3[[#This Row],[HomeForecast]])^2</f>
        <v>0.12672281991391868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5.8780620157391217E-2</v>
      </c>
      <c r="J383">
        <f>(Table3[[#This Row],[HomeMargin]]-Table3[[#This Row],[HomeForecast]])^2</f>
        <v>16.473700122565216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-0.82631813329213122</v>
      </c>
      <c r="J384">
        <f>(Table3[[#This Row],[HomeMargin]]-Table3[[#This Row],[HomeForecast]])^2</f>
        <v>17.419620324486075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0.71297473216480833</v>
      </c>
      <c r="J385">
        <f>(Table3[[#This Row],[HomeMargin]]-Table3[[#This Row],[HomeForecast]])^2</f>
        <v>10.804535111387013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-0.59460686057316536</v>
      </c>
      <c r="J386">
        <f>(Table3[[#This Row],[HomeMargin]]-Table3[[#This Row],[HomeForecast]])^2</f>
        <v>0.16434359749434499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1.1239799002404878</v>
      </c>
      <c r="J387">
        <f>(Table3[[#This Row],[HomeMargin]]-Table3[[#This Row],[HomeForecast]])^2</f>
        <v>4.5112906166255922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0.58896855152961081</v>
      </c>
      <c r="J388">
        <f>(Table3[[#This Row],[HomeMargin]]-Table3[[#This Row],[HomeForecast]])^2</f>
        <v>0.1689468516316662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-1.2235735577389335</v>
      </c>
      <c r="J389">
        <f>(Table3[[#This Row],[HomeMargin]]-Table3[[#This Row],[HomeForecast]])^2</f>
        <v>3.15569090476431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0.77129070995695637</v>
      </c>
      <c r="J390">
        <f>(Table3[[#This Row],[HomeMargin]]-Table3[[#This Row],[HomeForecast]])^2</f>
        <v>7.6800521990937316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-1.4123979920579197</v>
      </c>
      <c r="J391">
        <f>(Table3[[#This Row],[HomeMargin]]-Table3[[#This Row],[HomeForecast]])^2</f>
        <v>5.8196640720850832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0.24269985835931893</v>
      </c>
      <c r="J392">
        <f>(Table3[[#This Row],[HomeMargin]]-Table3[[#This Row],[HomeForecast]])^2</f>
        <v>1.5443029379662714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0.55312996670389103</v>
      </c>
      <c r="J393">
        <f>(Table3[[#This Row],[HomeMargin]]-Table3[[#This Row],[HomeForecast]])^2</f>
        <v>0.19969282665806554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-0.966943119236639</v>
      </c>
      <c r="J394">
        <f>(Table3[[#This Row],[HomeMargin]]-Table3[[#This Row],[HomeForecast]])^2</f>
        <v>3.8688652343123588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0.31932603437046403</v>
      </c>
      <c r="J395">
        <f>(Table3[[#This Row],[HomeMargin]]-Table3[[#This Row],[HomeForecast]])^2</f>
        <v>11.017925322449551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1.2941445967662932</v>
      </c>
      <c r="J396">
        <f>(Table3[[#This Row],[HomeMargin]]-Table3[[#This Row],[HomeForecast]])^2</f>
        <v>0.49823185027421879</v>
      </c>
    </row>
    <row r="397" spans="4:10" x14ac:dyDescent="0.2">
      <c r="D397" t="s">
        <v>26</v>
      </c>
      <c r="F397" t="s">
        <v>21</v>
      </c>
    </row>
    <row r="398" spans="4:10" x14ac:dyDescent="0.2">
      <c r="D398" t="s">
        <v>18</v>
      </c>
      <c r="F398" t="s">
        <v>12</v>
      </c>
    </row>
    <row r="399" spans="4:10" x14ac:dyDescent="0.2">
      <c r="D399" t="s">
        <v>38</v>
      </c>
      <c r="F399" t="s">
        <v>13</v>
      </c>
    </row>
    <row r="400" spans="4:10" x14ac:dyDescent="0.2">
      <c r="D400" t="s">
        <v>23</v>
      </c>
      <c r="F400" t="s">
        <v>34</v>
      </c>
    </row>
    <row r="401" spans="4:6" x14ac:dyDescent="0.2">
      <c r="D401" t="s">
        <v>27</v>
      </c>
      <c r="F401" t="s">
        <v>24</v>
      </c>
    </row>
    <row r="402" spans="4:6" x14ac:dyDescent="0.2">
      <c r="D402" t="s">
        <v>40</v>
      </c>
      <c r="F402" t="s">
        <v>29</v>
      </c>
    </row>
    <row r="403" spans="4:6" x14ac:dyDescent="0.2">
      <c r="D403" t="s">
        <v>37</v>
      </c>
      <c r="F403" t="s">
        <v>15</v>
      </c>
    </row>
    <row r="404" spans="4:6" x14ac:dyDescent="0.2">
      <c r="D404" t="s">
        <v>19</v>
      </c>
      <c r="F404" t="s">
        <v>14</v>
      </c>
    </row>
    <row r="405" spans="4:6" x14ac:dyDescent="0.2">
      <c r="D405" t="s">
        <v>17</v>
      </c>
      <c r="F405" t="s">
        <v>32</v>
      </c>
    </row>
    <row r="406" spans="4:6" x14ac:dyDescent="0.2">
      <c r="D406" t="s">
        <v>55</v>
      </c>
      <c r="F406" t="s">
        <v>35</v>
      </c>
    </row>
    <row r="407" spans="4:6" x14ac:dyDescent="0.2">
      <c r="D407" t="s">
        <v>33</v>
      </c>
      <c r="F407" t="s">
        <v>20</v>
      </c>
    </row>
    <row r="408" spans="4:6" x14ac:dyDescent="0.2">
      <c r="D408" t="s">
        <v>16</v>
      </c>
      <c r="F408" t="s">
        <v>25</v>
      </c>
    </row>
    <row r="409" spans="4:6" x14ac:dyDescent="0.2">
      <c r="D409" t="s">
        <v>31</v>
      </c>
      <c r="F409" t="s">
        <v>10</v>
      </c>
    </row>
    <row r="410" spans="4:6" x14ac:dyDescent="0.2">
      <c r="D410" t="s">
        <v>36</v>
      </c>
      <c r="F410" t="s">
        <v>39</v>
      </c>
    </row>
    <row r="411" spans="4:6" x14ac:dyDescent="0.2">
      <c r="D411" t="s">
        <v>22</v>
      </c>
      <c r="F411" t="s">
        <v>30</v>
      </c>
    </row>
    <row r="412" spans="4:6" x14ac:dyDescent="0.2">
      <c r="D412" t="s">
        <v>40</v>
      </c>
      <c r="F412" t="s">
        <v>23</v>
      </c>
    </row>
    <row r="413" spans="4:6" x14ac:dyDescent="0.2">
      <c r="D413" t="s">
        <v>28</v>
      </c>
      <c r="F413" t="s">
        <v>24</v>
      </c>
    </row>
    <row r="414" spans="4:6" x14ac:dyDescent="0.2">
      <c r="D414" t="s">
        <v>14</v>
      </c>
      <c r="F414" t="s">
        <v>27</v>
      </c>
    </row>
    <row r="415" spans="4:6" x14ac:dyDescent="0.2">
      <c r="D415" t="s">
        <v>55</v>
      </c>
      <c r="F415" t="s">
        <v>33</v>
      </c>
    </row>
    <row r="416" spans="4:6" x14ac:dyDescent="0.2">
      <c r="D416" t="s">
        <v>31</v>
      </c>
      <c r="F416" t="s">
        <v>35</v>
      </c>
    </row>
    <row r="417" spans="4:6" x14ac:dyDescent="0.2">
      <c r="D417" t="s">
        <v>38</v>
      </c>
      <c r="F417" t="s">
        <v>12</v>
      </c>
    </row>
    <row r="418" spans="4:6" x14ac:dyDescent="0.2">
      <c r="D418" t="s">
        <v>21</v>
      </c>
      <c r="F418" t="s">
        <v>26</v>
      </c>
    </row>
    <row r="419" spans="4:6" x14ac:dyDescent="0.2">
      <c r="D419" t="s">
        <v>34</v>
      </c>
      <c r="F419" t="s">
        <v>17</v>
      </c>
    </row>
    <row r="420" spans="4:6" x14ac:dyDescent="0.2">
      <c r="D420" t="s">
        <v>19</v>
      </c>
      <c r="F420" t="s">
        <v>11</v>
      </c>
    </row>
    <row r="421" spans="4:6" x14ac:dyDescent="0.2">
      <c r="D421" t="s">
        <v>22</v>
      </c>
      <c r="F421" t="s">
        <v>13</v>
      </c>
    </row>
    <row r="422" spans="4:6" x14ac:dyDescent="0.2">
      <c r="D422" t="s">
        <v>36</v>
      </c>
      <c r="F422" t="s">
        <v>18</v>
      </c>
    </row>
    <row r="423" spans="4:6" x14ac:dyDescent="0.2">
      <c r="D423" t="s">
        <v>16</v>
      </c>
      <c r="F423" t="s">
        <v>29</v>
      </c>
    </row>
    <row r="424" spans="4:6" x14ac:dyDescent="0.2">
      <c r="D424" t="s">
        <v>37</v>
      </c>
      <c r="F424" t="s">
        <v>30</v>
      </c>
    </row>
    <row r="425" spans="4:6" x14ac:dyDescent="0.2">
      <c r="D425" t="s">
        <v>39</v>
      </c>
      <c r="F425" t="s">
        <v>15</v>
      </c>
    </row>
    <row r="426" spans="4:6" x14ac:dyDescent="0.2">
      <c r="D426" t="s">
        <v>10</v>
      </c>
      <c r="F426" t="s">
        <v>20</v>
      </c>
    </row>
    <row r="427" spans="4:6" x14ac:dyDescent="0.2">
      <c r="D427" t="s">
        <v>55</v>
      </c>
      <c r="F427" t="s">
        <v>31</v>
      </c>
    </row>
    <row r="428" spans="4:6" x14ac:dyDescent="0.2">
      <c r="D428" t="s">
        <v>40</v>
      </c>
      <c r="F428" t="s">
        <v>18</v>
      </c>
    </row>
    <row r="429" spans="4:6" x14ac:dyDescent="0.2">
      <c r="D429" t="s">
        <v>39</v>
      </c>
      <c r="F429" t="s">
        <v>24</v>
      </c>
    </row>
    <row r="430" spans="4:6" x14ac:dyDescent="0.2">
      <c r="D430" t="s">
        <v>23</v>
      </c>
      <c r="F430" t="s">
        <v>27</v>
      </c>
    </row>
    <row r="431" spans="4:6" x14ac:dyDescent="0.2">
      <c r="D431" t="s">
        <v>22</v>
      </c>
      <c r="F431" t="s">
        <v>33</v>
      </c>
    </row>
    <row r="432" spans="4:6" x14ac:dyDescent="0.2">
      <c r="D432" t="s">
        <v>35</v>
      </c>
      <c r="F432" t="s">
        <v>21</v>
      </c>
    </row>
    <row r="433" spans="4:6" x14ac:dyDescent="0.2">
      <c r="D433" t="s">
        <v>19</v>
      </c>
      <c r="F433" t="s">
        <v>25</v>
      </c>
    </row>
    <row r="434" spans="4:6" x14ac:dyDescent="0.2">
      <c r="D434" t="s">
        <v>26</v>
      </c>
      <c r="F434" t="s">
        <v>28</v>
      </c>
    </row>
    <row r="435" spans="4:6" x14ac:dyDescent="0.2">
      <c r="D435" t="s">
        <v>34</v>
      </c>
      <c r="F435" t="s">
        <v>16</v>
      </c>
    </row>
    <row r="436" spans="4:6" x14ac:dyDescent="0.2">
      <c r="D436" t="s">
        <v>32</v>
      </c>
      <c r="F436" t="s">
        <v>17</v>
      </c>
    </row>
    <row r="437" spans="4:6" x14ac:dyDescent="0.2">
      <c r="D437" t="s">
        <v>29</v>
      </c>
      <c r="F437" t="s">
        <v>11</v>
      </c>
    </row>
    <row r="438" spans="4:6" x14ac:dyDescent="0.2">
      <c r="D438" t="s">
        <v>10</v>
      </c>
      <c r="F438" t="s">
        <v>13</v>
      </c>
    </row>
    <row r="439" spans="4:6" x14ac:dyDescent="0.2">
      <c r="D439" t="s">
        <v>12</v>
      </c>
      <c r="F439" t="s">
        <v>30</v>
      </c>
    </row>
    <row r="440" spans="4:6" x14ac:dyDescent="0.2">
      <c r="D440" t="s">
        <v>15</v>
      </c>
      <c r="F440" t="s">
        <v>36</v>
      </c>
    </row>
    <row r="441" spans="4:6" x14ac:dyDescent="0.2">
      <c r="D441" t="s">
        <v>14</v>
      </c>
      <c r="F441" t="s">
        <v>37</v>
      </c>
    </row>
    <row r="442" spans="4:6" x14ac:dyDescent="0.2">
      <c r="D442" t="s">
        <v>22</v>
      </c>
      <c r="F442" t="s">
        <v>31</v>
      </c>
    </row>
    <row r="443" spans="4:6" x14ac:dyDescent="0.2">
      <c r="D443" t="s">
        <v>33</v>
      </c>
      <c r="F443" t="s">
        <v>39</v>
      </c>
    </row>
    <row r="444" spans="4:6" x14ac:dyDescent="0.2">
      <c r="D444" t="s">
        <v>20</v>
      </c>
      <c r="F444" t="s">
        <v>24</v>
      </c>
    </row>
    <row r="445" spans="4:6" x14ac:dyDescent="0.2">
      <c r="D445" t="s">
        <v>55</v>
      </c>
      <c r="F445" t="s">
        <v>38</v>
      </c>
    </row>
    <row r="446" spans="4:6" x14ac:dyDescent="0.2">
      <c r="D446" t="s">
        <v>23</v>
      </c>
      <c r="F446" t="s">
        <v>40</v>
      </c>
    </row>
    <row r="447" spans="4:6" x14ac:dyDescent="0.2">
      <c r="D447" t="s">
        <v>24</v>
      </c>
      <c r="F447" t="s">
        <v>21</v>
      </c>
    </row>
    <row r="448" spans="4:6" x14ac:dyDescent="0.2">
      <c r="D448" t="s">
        <v>29</v>
      </c>
      <c r="F448" t="s">
        <v>25</v>
      </c>
    </row>
    <row r="449" spans="4:6" x14ac:dyDescent="0.2">
      <c r="D449" t="s">
        <v>55</v>
      </c>
      <c r="F449" t="s">
        <v>16</v>
      </c>
    </row>
    <row r="450" spans="4:6" x14ac:dyDescent="0.2">
      <c r="D450" t="s">
        <v>40</v>
      </c>
      <c r="F450" t="s">
        <v>17</v>
      </c>
    </row>
    <row r="451" spans="4:6" x14ac:dyDescent="0.2">
      <c r="D451" t="s">
        <v>28</v>
      </c>
      <c r="F451" t="s">
        <v>11</v>
      </c>
    </row>
    <row r="452" spans="4:6" x14ac:dyDescent="0.2">
      <c r="D452" t="s">
        <v>10</v>
      </c>
      <c r="F452" t="s">
        <v>13</v>
      </c>
    </row>
    <row r="453" spans="4:6" x14ac:dyDescent="0.2">
      <c r="D453" t="s">
        <v>12</v>
      </c>
      <c r="F453" t="s">
        <v>15</v>
      </c>
    </row>
    <row r="454" spans="4:6" x14ac:dyDescent="0.2">
      <c r="D454" t="s">
        <v>35</v>
      </c>
      <c r="F454" t="s">
        <v>36</v>
      </c>
    </row>
    <row r="455" spans="4:6" x14ac:dyDescent="0.2">
      <c r="D455" t="s">
        <v>26</v>
      </c>
      <c r="F455" t="s">
        <v>32</v>
      </c>
    </row>
    <row r="456" spans="4:6" x14ac:dyDescent="0.2">
      <c r="D456" t="s">
        <v>30</v>
      </c>
      <c r="F456" t="s">
        <v>37</v>
      </c>
    </row>
    <row r="457" spans="4:6" x14ac:dyDescent="0.2">
      <c r="D457" t="s">
        <v>18</v>
      </c>
      <c r="F457" t="s">
        <v>19</v>
      </c>
    </row>
    <row r="458" spans="4:6" x14ac:dyDescent="0.2">
      <c r="D458" t="s">
        <v>34</v>
      </c>
      <c r="F458" t="s">
        <v>38</v>
      </c>
    </row>
    <row r="459" spans="4:6" x14ac:dyDescent="0.2">
      <c r="D459" t="s">
        <v>10</v>
      </c>
      <c r="F459" t="s">
        <v>31</v>
      </c>
    </row>
    <row r="460" spans="4:6" x14ac:dyDescent="0.2">
      <c r="D460" t="s">
        <v>33</v>
      </c>
      <c r="F460" t="s">
        <v>25</v>
      </c>
    </row>
    <row r="461" spans="4:6" x14ac:dyDescent="0.2">
      <c r="D461" t="s">
        <v>14</v>
      </c>
      <c r="F461" t="s">
        <v>39</v>
      </c>
    </row>
    <row r="462" spans="4:6" x14ac:dyDescent="0.2">
      <c r="D462" t="s">
        <v>30</v>
      </c>
      <c r="F462" t="s">
        <v>11</v>
      </c>
    </row>
    <row r="463" spans="4:6" x14ac:dyDescent="0.2">
      <c r="D463" t="s">
        <v>35</v>
      </c>
      <c r="F463" t="s">
        <v>18</v>
      </c>
    </row>
    <row r="464" spans="4:6" x14ac:dyDescent="0.2">
      <c r="D464" t="s">
        <v>20</v>
      </c>
      <c r="F464" t="s">
        <v>15</v>
      </c>
    </row>
    <row r="465" spans="4:6" x14ac:dyDescent="0.2">
      <c r="D465" t="s">
        <v>12</v>
      </c>
      <c r="F465" t="s">
        <v>27</v>
      </c>
    </row>
    <row r="466" spans="4:6" x14ac:dyDescent="0.2">
      <c r="D466" t="s">
        <v>28</v>
      </c>
      <c r="F466" t="s">
        <v>22</v>
      </c>
    </row>
    <row r="467" spans="4:6" x14ac:dyDescent="0.2">
      <c r="D467" t="s">
        <v>23</v>
      </c>
      <c r="F467" t="s">
        <v>16</v>
      </c>
    </row>
    <row r="468" spans="4:6" x14ac:dyDescent="0.2">
      <c r="D468" t="s">
        <v>34</v>
      </c>
      <c r="F468" t="s">
        <v>32</v>
      </c>
    </row>
    <row r="469" spans="4:6" x14ac:dyDescent="0.2">
      <c r="D469" t="s">
        <v>37</v>
      </c>
      <c r="F469" t="s">
        <v>19</v>
      </c>
    </row>
    <row r="470" spans="4:6" x14ac:dyDescent="0.2">
      <c r="D470" t="s">
        <v>13</v>
      </c>
      <c r="F470" t="s">
        <v>55</v>
      </c>
    </row>
    <row r="471" spans="4:6" x14ac:dyDescent="0.2">
      <c r="D471" t="s">
        <v>26</v>
      </c>
      <c r="F471" t="s">
        <v>38</v>
      </c>
    </row>
    <row r="472" spans="4:6" x14ac:dyDescent="0.2">
      <c r="D472" t="s">
        <v>28</v>
      </c>
      <c r="F472" t="s">
        <v>25</v>
      </c>
    </row>
    <row r="473" spans="4:6" x14ac:dyDescent="0.2">
      <c r="D473" t="s">
        <v>23</v>
      </c>
      <c r="F473" t="s">
        <v>17</v>
      </c>
    </row>
    <row r="474" spans="4:6" x14ac:dyDescent="0.2">
      <c r="D474" t="s">
        <v>37</v>
      </c>
      <c r="F474" t="s">
        <v>18</v>
      </c>
    </row>
    <row r="475" spans="4:6" x14ac:dyDescent="0.2">
      <c r="D475" t="s">
        <v>12</v>
      </c>
      <c r="F475" t="s">
        <v>29</v>
      </c>
    </row>
    <row r="476" spans="4:6" x14ac:dyDescent="0.2">
      <c r="D476" t="s">
        <v>20</v>
      </c>
      <c r="F476" t="s">
        <v>30</v>
      </c>
    </row>
    <row r="477" spans="4:6" x14ac:dyDescent="0.2">
      <c r="D477" t="s">
        <v>24</v>
      </c>
      <c r="F477" t="s">
        <v>36</v>
      </c>
    </row>
    <row r="478" spans="4:6" x14ac:dyDescent="0.2">
      <c r="D478" t="s">
        <v>33</v>
      </c>
      <c r="F478" t="s">
        <v>27</v>
      </c>
    </row>
    <row r="479" spans="4:6" x14ac:dyDescent="0.2">
      <c r="D479" t="s">
        <v>31</v>
      </c>
      <c r="F479" t="s">
        <v>14</v>
      </c>
    </row>
    <row r="480" spans="4:6" x14ac:dyDescent="0.2">
      <c r="D480" t="s">
        <v>21</v>
      </c>
      <c r="F480" t="s">
        <v>35</v>
      </c>
    </row>
    <row r="481" spans="4:6" x14ac:dyDescent="0.2">
      <c r="D481" t="s">
        <v>39</v>
      </c>
      <c r="F481" t="s">
        <v>40</v>
      </c>
    </row>
    <row r="482" spans="4:6" x14ac:dyDescent="0.2">
      <c r="D482" t="s">
        <v>26</v>
      </c>
      <c r="F482" t="s">
        <v>16</v>
      </c>
    </row>
    <row r="483" spans="4:6" x14ac:dyDescent="0.2">
      <c r="D483" t="s">
        <v>15</v>
      </c>
      <c r="F483" t="s">
        <v>10</v>
      </c>
    </row>
    <row r="484" spans="4:6" x14ac:dyDescent="0.2">
      <c r="D484" t="s">
        <v>13</v>
      </c>
      <c r="F484" t="s">
        <v>32</v>
      </c>
    </row>
    <row r="485" spans="4:6" x14ac:dyDescent="0.2">
      <c r="D485" t="s">
        <v>11</v>
      </c>
      <c r="F485" t="s">
        <v>55</v>
      </c>
    </row>
    <row r="486" spans="4:6" x14ac:dyDescent="0.2">
      <c r="D486" t="s">
        <v>36</v>
      </c>
      <c r="F486" t="s">
        <v>28</v>
      </c>
    </row>
    <row r="487" spans="4:6" x14ac:dyDescent="0.2">
      <c r="D487" t="s">
        <v>11</v>
      </c>
      <c r="F487" t="s">
        <v>12</v>
      </c>
    </row>
    <row r="488" spans="4:6" x14ac:dyDescent="0.2">
      <c r="D488" t="s">
        <v>26</v>
      </c>
      <c r="F488" t="s">
        <v>17</v>
      </c>
    </row>
    <row r="489" spans="4:6" x14ac:dyDescent="0.2">
      <c r="D489" t="s">
        <v>39</v>
      </c>
      <c r="F489" t="s">
        <v>34</v>
      </c>
    </row>
    <row r="490" spans="4:6" x14ac:dyDescent="0.2">
      <c r="D490" t="s">
        <v>37</v>
      </c>
      <c r="F490" t="s">
        <v>24</v>
      </c>
    </row>
    <row r="491" spans="4:6" x14ac:dyDescent="0.2">
      <c r="D491" t="s">
        <v>35</v>
      </c>
      <c r="F491" t="s">
        <v>29</v>
      </c>
    </row>
    <row r="492" spans="4:6" x14ac:dyDescent="0.2">
      <c r="D492" t="s">
        <v>31</v>
      </c>
      <c r="F492" t="s">
        <v>30</v>
      </c>
    </row>
    <row r="493" spans="4:6" x14ac:dyDescent="0.2">
      <c r="D493" t="s">
        <v>20</v>
      </c>
      <c r="F493" t="s">
        <v>27</v>
      </c>
    </row>
    <row r="494" spans="4:6" x14ac:dyDescent="0.2">
      <c r="D494" t="s">
        <v>18</v>
      </c>
      <c r="F494" t="s">
        <v>14</v>
      </c>
    </row>
    <row r="495" spans="4:6" x14ac:dyDescent="0.2">
      <c r="D495" t="s">
        <v>33</v>
      </c>
      <c r="F495" t="s">
        <v>19</v>
      </c>
    </row>
    <row r="496" spans="4:6" x14ac:dyDescent="0.2">
      <c r="D496" t="s">
        <v>23</v>
      </c>
      <c r="F496" t="s">
        <v>38</v>
      </c>
    </row>
    <row r="497" spans="4:6" x14ac:dyDescent="0.2">
      <c r="D497" t="s">
        <v>21</v>
      </c>
      <c r="F497" t="s">
        <v>40</v>
      </c>
    </row>
    <row r="498" spans="4:6" x14ac:dyDescent="0.2">
      <c r="D498" t="s">
        <v>25</v>
      </c>
      <c r="F498" t="s">
        <v>22</v>
      </c>
    </row>
    <row r="499" spans="4:6" x14ac:dyDescent="0.2">
      <c r="D499" t="s">
        <v>10</v>
      </c>
      <c r="F499" t="s">
        <v>35</v>
      </c>
    </row>
    <row r="500" spans="4:6" x14ac:dyDescent="0.2">
      <c r="D500" t="s">
        <v>32</v>
      </c>
      <c r="F500" t="s">
        <v>55</v>
      </c>
    </row>
    <row r="501" spans="4:6" x14ac:dyDescent="0.2">
      <c r="D501" t="s">
        <v>20</v>
      </c>
      <c r="F501" t="s">
        <v>28</v>
      </c>
    </row>
    <row r="502" spans="4:6" x14ac:dyDescent="0.2">
      <c r="D502" t="s">
        <v>26</v>
      </c>
      <c r="F502" t="s">
        <v>10</v>
      </c>
    </row>
    <row r="503" spans="4:6" x14ac:dyDescent="0.2">
      <c r="D503" t="s">
        <v>29</v>
      </c>
      <c r="F503" t="s">
        <v>12</v>
      </c>
    </row>
    <row r="504" spans="4:6" x14ac:dyDescent="0.2">
      <c r="D504" t="s">
        <v>11</v>
      </c>
      <c r="F504" t="s">
        <v>39</v>
      </c>
    </row>
    <row r="505" spans="4:6" x14ac:dyDescent="0.2">
      <c r="D505" t="s">
        <v>16</v>
      </c>
      <c r="F505" t="s">
        <v>13</v>
      </c>
    </row>
    <row r="506" spans="4:6" x14ac:dyDescent="0.2">
      <c r="D506" t="s">
        <v>36</v>
      </c>
      <c r="F506" t="s">
        <v>34</v>
      </c>
    </row>
    <row r="507" spans="4:6" x14ac:dyDescent="0.2">
      <c r="D507" t="s">
        <v>31</v>
      </c>
      <c r="F507" t="s">
        <v>24</v>
      </c>
    </row>
    <row r="508" spans="4:6" x14ac:dyDescent="0.2">
      <c r="D508" t="s">
        <v>37</v>
      </c>
      <c r="F508" t="s">
        <v>30</v>
      </c>
    </row>
    <row r="509" spans="4:6" x14ac:dyDescent="0.2">
      <c r="D509" t="s">
        <v>18</v>
      </c>
      <c r="F509" t="s">
        <v>15</v>
      </c>
    </row>
    <row r="510" spans="4:6" x14ac:dyDescent="0.2">
      <c r="D510" t="s">
        <v>25</v>
      </c>
      <c r="F510" t="s">
        <v>27</v>
      </c>
    </row>
    <row r="511" spans="4:6" x14ac:dyDescent="0.2">
      <c r="D511" t="s">
        <v>33</v>
      </c>
      <c r="F511" t="s">
        <v>14</v>
      </c>
    </row>
    <row r="512" spans="4:6" x14ac:dyDescent="0.2">
      <c r="D512" t="s">
        <v>17</v>
      </c>
      <c r="F512" t="s">
        <v>19</v>
      </c>
    </row>
    <row r="513" spans="4:6" x14ac:dyDescent="0.2">
      <c r="D513" t="s">
        <v>22</v>
      </c>
      <c r="F513" t="s">
        <v>40</v>
      </c>
    </row>
    <row r="514" spans="4:6" x14ac:dyDescent="0.2">
      <c r="D514" t="s">
        <v>27</v>
      </c>
      <c r="F514" t="s">
        <v>25</v>
      </c>
    </row>
    <row r="515" spans="4:6" x14ac:dyDescent="0.2">
      <c r="D515" t="s">
        <v>21</v>
      </c>
      <c r="F515" t="s">
        <v>34</v>
      </c>
    </row>
    <row r="516" spans="4:6" x14ac:dyDescent="0.2">
      <c r="D516" t="s">
        <v>17</v>
      </c>
      <c r="F516" t="s">
        <v>18</v>
      </c>
    </row>
    <row r="517" spans="4:6" x14ac:dyDescent="0.2">
      <c r="D517" t="s">
        <v>38</v>
      </c>
      <c r="F517" t="s">
        <v>24</v>
      </c>
    </row>
    <row r="518" spans="4:6" x14ac:dyDescent="0.2">
      <c r="D518" t="s">
        <v>55</v>
      </c>
      <c r="F518" t="s">
        <v>14</v>
      </c>
    </row>
    <row r="519" spans="4:6" x14ac:dyDescent="0.2">
      <c r="D519" t="s">
        <v>23</v>
      </c>
      <c r="F519" t="s">
        <v>32</v>
      </c>
    </row>
    <row r="520" spans="4:6" x14ac:dyDescent="0.2">
      <c r="D520" t="s">
        <v>13</v>
      </c>
      <c r="F520" t="s">
        <v>39</v>
      </c>
    </row>
    <row r="521" spans="4:6" x14ac:dyDescent="0.2">
      <c r="D521" t="s">
        <v>31</v>
      </c>
      <c r="F521" t="s">
        <v>15</v>
      </c>
    </row>
    <row r="522" spans="4:6" x14ac:dyDescent="0.2">
      <c r="D522" t="s">
        <v>29</v>
      </c>
      <c r="F522" t="s">
        <v>35</v>
      </c>
    </row>
    <row r="523" spans="4:6" x14ac:dyDescent="0.2">
      <c r="D523" t="s">
        <v>11</v>
      </c>
      <c r="F523" t="s">
        <v>37</v>
      </c>
    </row>
    <row r="524" spans="4:6" x14ac:dyDescent="0.2">
      <c r="D524" t="s">
        <v>36</v>
      </c>
      <c r="F524" t="s">
        <v>40</v>
      </c>
    </row>
    <row r="525" spans="4:6" x14ac:dyDescent="0.2">
      <c r="D525" t="s">
        <v>55</v>
      </c>
      <c r="F525" t="s">
        <v>21</v>
      </c>
    </row>
    <row r="526" spans="4:6" x14ac:dyDescent="0.2">
      <c r="D526" t="s">
        <v>31</v>
      </c>
      <c r="F526" t="s">
        <v>28</v>
      </c>
    </row>
    <row r="527" spans="4:6" x14ac:dyDescent="0.2">
      <c r="D527" t="s">
        <v>30</v>
      </c>
      <c r="F527" t="s">
        <v>26</v>
      </c>
    </row>
    <row r="528" spans="4:6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abSelected="1" topLeftCell="D1" zoomScale="85" zoomScaleNormal="70" workbookViewId="0">
      <pane ySplit="1" topLeftCell="A374" activePane="bottomLeft" state="frozen"/>
      <selection activeCell="I1" sqref="I1"/>
      <selection pane="bottomLeft" activeCell="O408" sqref="O408"/>
    </sheetView>
  </sheetViews>
  <sheetFormatPr baseColWidth="10" defaultColWidth="10.83203125" defaultRowHeight="16" x14ac:dyDescent="0.2"/>
  <cols>
    <col min="1" max="1" width="19.83203125" bestFit="1" customWidth="1"/>
    <col min="2" max="2" width="12.83203125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8.3423666939022728E-2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-0.57335522029781161</v>
      </c>
      <c r="H2" t="s">
        <v>10</v>
      </c>
      <c r="I2">
        <f>VLOOKUP(Table4[[#This Row],[Visitor]],'NHL Model'!$A$6:$B$38,2,FALSE)</f>
        <v>-0.43769530535874146</v>
      </c>
      <c r="J2">
        <f>($B$1+Table4[[#This Row],[Home Differential]])-Table4[[#This Row],[Away Differential]]</f>
        <v>-5.2236248000047447E-2</v>
      </c>
      <c r="K2" t="str">
        <f>IF(Table4[[#This Row],[HomeIce Differential]]&gt;0,Table4[[#This Row],[Home]],Table4[[#This Row],[Visitor]])</f>
        <v>Chicago Blackhawks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0.45206213883753604</v>
      </c>
      <c r="M2" t="str">
        <f>IF(OR((NHL2025_26Results[[#This Row],[Winning Team]]="")),"-",IF(Table4[[#This Row],[Predicted Winner]]=NHL2025_26Results[[#This Row],[Winning Team]],"YES","NO"))</f>
        <v>NO</v>
      </c>
      <c r="N2">
        <f>IF(Table4[[#This Row],[Adjusted Correct]]="-", "",IF(Table4[[#This Row],[Adjusted Correct]]="YES",(Table4[[#This Row],[Strength of Win]]-1)^2,(Table4[[#This Row],[Strength of Win]]-0)^2))</f>
        <v>0.20436017737036771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-0.50197808897650842</v>
      </c>
      <c r="H3" t="s">
        <v>12</v>
      </c>
      <c r="I3">
        <f>VLOOKUP(Table4[[#This Row],[Visitor]],'NHL Model'!$A$6:$B$38,2,FALSE)</f>
        <v>1.339787395621115</v>
      </c>
      <c r="J3">
        <f>($B$1+Table4[[#This Row],[Home Differential]])-Table4[[#This Row],[Away Differential]]</f>
        <v>-1.7583418176586008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0.73724232054896088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6.9041598110495025E-2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231</v>
      </c>
      <c r="V3">
        <f>COUNTIF(Table4[Locked Correct],"YES")</f>
        <v>235</v>
      </c>
    </row>
    <row r="4" spans="1:22" x14ac:dyDescent="0.2">
      <c r="A4" s="4" t="s">
        <v>31</v>
      </c>
      <c r="B4">
        <v>0.51775546328552802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-0.39090512874251965</v>
      </c>
      <c r="H4" t="s">
        <v>14</v>
      </c>
      <c r="I4">
        <f>VLOOKUP(Table4[[#This Row],[Visitor]],'NHL Model'!$A$6:$B$38,2,FALSE)</f>
        <v>-0.22852375643476561</v>
      </c>
      <c r="J4">
        <f>($B$1+Table4[[#This Row],[Home Differential]])-Table4[[#This Row],[Away Differential]]</f>
        <v>-7.8957705368731285E-2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0.4899575799912268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0.26014327020840583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159</v>
      </c>
      <c r="V4">
        <f>COUNTIF(Table4[Locked Correct],"NO")</f>
        <v>155</v>
      </c>
    </row>
    <row r="5" spans="1:22" x14ac:dyDescent="0.2">
      <c r="A5" s="4" t="s">
        <v>21</v>
      </c>
      <c r="B5">
        <v>4.029141914856392E-2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-1.1577943512279505</v>
      </c>
      <c r="H5" t="s">
        <v>16</v>
      </c>
      <c r="I5">
        <f>VLOOKUP(Table4[[#This Row],[Visitor]],'NHL Model'!$A$6:$B$38,2,FALSE)</f>
        <v>-1.2612222633157453</v>
      </c>
      <c r="J5">
        <f>($B$1+Table4[[#This Row],[Home Differential]])-Table4[[#This Row],[Away Differential]]</f>
        <v>0.18685157902681748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0.56878996725100772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0.32352202684540243</v>
      </c>
      <c r="O5">
        <v>-4.1674767740132361E-3</v>
      </c>
      <c r="P5" s="11"/>
      <c r="Q5" t="s">
        <v>16</v>
      </c>
      <c r="R5" t="s">
        <v>248</v>
      </c>
      <c r="T5">
        <f>SUM(T3:T4)</f>
        <v>390</v>
      </c>
      <c r="V5">
        <f>SUM(V3:V4)</f>
        <v>390</v>
      </c>
    </row>
    <row r="6" spans="1:22" x14ac:dyDescent="0.2">
      <c r="A6" s="4" t="s">
        <v>23</v>
      </c>
      <c r="B6">
        <v>-0.8683412362501769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-1.054674343910232</v>
      </c>
      <c r="H6" t="s">
        <v>18</v>
      </c>
      <c r="I6">
        <f>VLOOKUP(Table4[[#This Row],[Visitor]],'NHL Model'!$A$6:$B$38,2,FALSE)</f>
        <v>-0.65770380103775494</v>
      </c>
      <c r="J6">
        <f>($B$1+Table4[[#This Row],[Home Differential]])-Table4[[#This Row],[Away Differential]]</f>
        <v>-0.31354687593345432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0.57744588189149371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0.33344374651344488</v>
      </c>
      <c r="O6">
        <v>-4.4363714293103977E-3</v>
      </c>
      <c r="P6" s="11"/>
      <c r="Q6" t="s">
        <v>18</v>
      </c>
      <c r="R6" t="s">
        <v>249</v>
      </c>
      <c r="T6" s="13">
        <f>T3/T5</f>
        <v>0.59230769230769231</v>
      </c>
      <c r="V6" s="13">
        <f>V3/V5</f>
        <v>0.60256410256410253</v>
      </c>
    </row>
    <row r="7" spans="1:22" x14ac:dyDescent="0.2">
      <c r="A7" s="4" t="s">
        <v>16</v>
      </c>
      <c r="B7">
        <v>-1.3903684122795328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-0.42180143360631367</v>
      </c>
      <c r="H7" t="s">
        <v>13</v>
      </c>
      <c r="I7">
        <f>VLOOKUP(Table4[[#This Row],[Visitor]],'NHL Model'!$A$6:$B$38,2,FALSE)</f>
        <v>-0.50197808897650842</v>
      </c>
      <c r="J7">
        <f>($B$1+Table4[[#This Row],[Home Differential]])-Table4[[#This Row],[Away Differential]]</f>
        <v>0.16360032230921751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0.4927224650853636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0.24277542759979737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0.67193921242367816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0.15604658591703846</v>
      </c>
      <c r="H8" t="s">
        <v>21</v>
      </c>
      <c r="I8">
        <f>VLOOKUP(Table4[[#This Row],[Visitor]],'NHL Model'!$A$6:$B$38,2,FALSE)</f>
        <v>-0.41554817552415113</v>
      </c>
      <c r="J8">
        <f>($B$1+Table4[[#This Row],[Home Differential]])-Table4[[#This Row],[Away Differential]]</f>
        <v>0.65501842838021229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0.6414422263434858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0.41144812973648764</v>
      </c>
      <c r="O8">
        <v>-4.9858230986448791E-3</v>
      </c>
      <c r="P8" s="11"/>
      <c r="Q8" t="s">
        <v>21</v>
      </c>
      <c r="R8" t="s">
        <v>248</v>
      </c>
      <c r="T8">
        <f>SUM(Table4[Error])</f>
        <v>88.736310091007951</v>
      </c>
      <c r="V8">
        <f>COUNTIF(Table4[Locked Correct],"")</f>
        <v>922</v>
      </c>
    </row>
    <row r="9" spans="1:22" x14ac:dyDescent="0.2">
      <c r="A9" s="4" t="s">
        <v>10</v>
      </c>
      <c r="B9">
        <v>0.30570968833820172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-0.41554817552415113</v>
      </c>
      <c r="H9" t="s">
        <v>10</v>
      </c>
      <c r="I9">
        <f>VLOOKUP(Table4[[#This Row],[Visitor]],'NHL Model'!$A$6:$B$38,2,FALSE)</f>
        <v>-0.43769530535874146</v>
      </c>
      <c r="J9">
        <f>($B$1+Table4[[#This Row],[Home Differential]])-Table4[[#This Row],[Away Differential]]</f>
        <v>0.10557079677361303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0.58453139431259427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0.17261416231183702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1.5475013591489768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-0.90742746858300449</v>
      </c>
      <c r="H10" t="s">
        <v>15</v>
      </c>
      <c r="I10">
        <f>VLOOKUP(Table4[[#This Row],[Visitor]],'NHL Model'!$A$6:$B$38,2,FALSE)</f>
        <v>-0.39090512874251965</v>
      </c>
      <c r="J10">
        <f>($B$1+Table4[[#This Row],[Home Differential]])-Table4[[#This Row],[Away Differential]]</f>
        <v>-0.43309867290146215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0.61048138411837471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0.15172475211833714</v>
      </c>
      <c r="O10">
        <v>2.893763878885032E-2</v>
      </c>
      <c r="P10" s="11"/>
      <c r="Q10" t="s">
        <v>23</v>
      </c>
      <c r="R10" t="s">
        <v>249</v>
      </c>
      <c r="T10">
        <v>0.116370519876263</v>
      </c>
    </row>
    <row r="11" spans="1:22" x14ac:dyDescent="0.2">
      <c r="A11" s="4" t="s">
        <v>28</v>
      </c>
      <c r="B11">
        <v>-0.40822279081308277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0.25962865313068506</v>
      </c>
      <c r="H11" t="s">
        <v>24</v>
      </c>
      <c r="I11">
        <f>VLOOKUP(Table4[[#This Row],[Visitor]],'NHL Model'!$A$6:$B$38,2,FALSE)</f>
        <v>2.3143316481494557E-3</v>
      </c>
      <c r="J11">
        <f>($B$1+Table4[[#This Row],[Home Differential]])-Table4[[#This Row],[Away Differential]]</f>
        <v>0.34073798842155828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0.59965185685420885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0.16027863572028289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0.19809534061227302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1.339787395621115</v>
      </c>
      <c r="H12" t="s">
        <v>55</v>
      </c>
      <c r="I12">
        <f>VLOOKUP(Table4[[#This Row],[Visitor]],'NHL Model'!$A$6:$B$38,2,FALSE)</f>
        <v>-0.40521943828179341</v>
      </c>
      <c r="J12">
        <f>($B$1+Table4[[#This Row],[Home Differential]])-Table4[[#This Row],[Away Differential]]</f>
        <v>1.828430500841931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0.85288920594912632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2.1641585726278573E-2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-0.513643833119658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-1.0708320987334559</v>
      </c>
      <c r="H13" t="s">
        <v>18</v>
      </c>
      <c r="I13">
        <f>VLOOKUP(Table4[[#This Row],[Visitor]],'NHL Model'!$A$6:$B$38,2,FALSE)</f>
        <v>-0.65770380103775494</v>
      </c>
      <c r="J13">
        <f>($B$1+Table4[[#This Row],[Home Differential]])-Table4[[#This Row],[Away Differential]]</f>
        <v>-0.32970463075667822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0.57932616822030547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0.17696647274421073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-0.61980804137564283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-0.57335522029781161</v>
      </c>
      <c r="H14" t="s">
        <v>27</v>
      </c>
      <c r="I14">
        <f>VLOOKUP(Table4[[#This Row],[Visitor]],'NHL Model'!$A$6:$B$38,2,FALSE)</f>
        <v>-0.46667677612181552</v>
      </c>
      <c r="J14">
        <f>($B$1+Table4[[#This Row],[Home Differential]])-Table4[[#This Row],[Away Differential]]</f>
        <v>-2.325477723697339E-2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0.46937283718333994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0.22031086028553815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-0.28105923893144158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-1.4782515386602066</v>
      </c>
      <c r="H15" t="s">
        <v>28</v>
      </c>
      <c r="I15">
        <f>VLOOKUP(Table4[[#This Row],[Visitor]],'NHL Model'!$A$6:$B$38,2,FALSE)</f>
        <v>-0.9065542839469537</v>
      </c>
      <c r="J15">
        <f>($B$1+Table4[[#This Row],[Home Differential]])-Table4[[#This Row],[Away Differential]]</f>
        <v>-0.48827358777423024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0.5168206512511353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0.26710358555964764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-7.5459708298993802E-2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-0.22852375643476561</v>
      </c>
      <c r="H16" t="s">
        <v>30</v>
      </c>
      <c r="I16">
        <f>VLOOKUP(Table4[[#This Row],[Visitor]],'NHL Model'!$A$6:$B$38,2,FALSE)</f>
        <v>-0.30740058470151932</v>
      </c>
      <c r="J16">
        <f>($B$1+Table4[[#This Row],[Home Differential]])-Table4[[#This Row],[Away Differential]]</f>
        <v>0.16230049520577644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0.48876651107556024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0.26135968019785527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-0.53650300840565446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-0.64744265535741874</v>
      </c>
      <c r="H17" t="s">
        <v>31</v>
      </c>
      <c r="I17">
        <f>VLOOKUP(Table4[[#This Row],[Visitor]],'NHL Model'!$A$6:$B$38,2,FALSE)</f>
        <v>5.8616755922628279E-2</v>
      </c>
      <c r="J17">
        <f>($B$1+Table4[[#This Row],[Home Differential]])-Table4[[#This Row],[Away Differential]]</f>
        <v>-0.62263574434102431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0.55071731482772635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0.30328956085106107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-0.52437726201848234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-0.6620483089622381</v>
      </c>
      <c r="H18" t="s">
        <v>20</v>
      </c>
      <c r="I18">
        <f>VLOOKUP(Table4[[#This Row],[Visitor]],'NHL Model'!$A$6:$B$38,2,FALSE)</f>
        <v>-0.42180143360631367</v>
      </c>
      <c r="J18">
        <f>($B$1+Table4[[#This Row],[Home Differential]])-Table4[[#This Row],[Away Differential]]</f>
        <v>-0.15682320841690173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0.47824959829213842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0.27222348168231492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-1.3516250707060606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-1.5899576513683618</v>
      </c>
      <c r="H19" t="s">
        <v>34</v>
      </c>
      <c r="I19">
        <f>VLOOKUP(Table4[[#This Row],[Visitor]],'NHL Model'!$A$6:$B$38,2,FALSE)</f>
        <v>-0.15603426337582751</v>
      </c>
      <c r="J19">
        <f>($B$1+Table4[[#This Row],[Home Differential]])-Table4[[#This Row],[Away Differential]]</f>
        <v>-1.3504997210535115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0.65967091744581563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0.11582388443217284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0.559441163373953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0.23616512594450029</v>
      </c>
      <c r="H20" t="s">
        <v>36</v>
      </c>
      <c r="I20">
        <f>VLOOKUP(Table4[[#This Row],[Visitor]],'NHL Model'!$A$6:$B$38,2,FALSE)</f>
        <v>-0.53959086519270005</v>
      </c>
      <c r="J20">
        <f>($B$1+Table4[[#This Row],[Home Differential]])-Table4[[#This Row],[Away Differential]]</f>
        <v>0.8591796580762231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0.67141175490601135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0.45079374462596983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-6.4729560818359025E-2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-1.1317546087271064</v>
      </c>
      <c r="H21" t="s">
        <v>16</v>
      </c>
      <c r="I21">
        <f>VLOOKUP(Table4[[#This Row],[Visitor]],'NHL Model'!$A$6:$B$38,2,FALSE)</f>
        <v>-1.2612222633157453</v>
      </c>
      <c r="J21">
        <f>($B$1+Table4[[#This Row],[Home Differential]])-Table4[[#This Row],[Away Differential]]</f>
        <v>0.21289132152766155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0.56477427376331868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0.18942143277824666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-0.30719665303039001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-0.36992241209510063</v>
      </c>
      <c r="H22" t="s">
        <v>39</v>
      </c>
      <c r="I22">
        <f>VLOOKUP(Table4[[#This Row],[Visitor]],'NHL Model'!$A$6:$B$38,2,FALSE)</f>
        <v>0.10032544630879472</v>
      </c>
      <c r="J22">
        <f>($B$1+Table4[[#This Row],[Home Differential]])-Table4[[#This Row],[Away Differential]]</f>
        <v>-0.38682419146487257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0.60433696615978749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0.15654923634764115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-0.40651947573390851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-0.41554817552415113</v>
      </c>
      <c r="H23" t="s">
        <v>23</v>
      </c>
      <c r="I23">
        <f>VLOOKUP(Table4[[#This Row],[Visitor]],'NHL Model'!$A$6:$B$38,2,FALSE)</f>
        <v>-0.90742746858300449</v>
      </c>
      <c r="J23">
        <f>($B$1+Table4[[#This Row],[Home Differential]])-Table4[[#This Row],[Away Differential]]</f>
        <v>0.57530295999787606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0.63919437034960336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0.13018070238741919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-0.51358590497437617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0.25962865313068506</v>
      </c>
      <c r="H24" t="s">
        <v>27</v>
      </c>
      <c r="I24">
        <f>VLOOKUP(Table4[[#This Row],[Visitor]],'NHL Model'!$A$6:$B$38,2,FALSE)</f>
        <v>-0.46667677612181552</v>
      </c>
      <c r="J24">
        <f>($B$1+Table4[[#This Row],[Home Differential]])-Table4[[#This Row],[Away Differential]]</f>
        <v>0.80972909619152333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0.65422859588274418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0.11955786390521864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0.26289091192875702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-1.2612222633157453</v>
      </c>
      <c r="H25" t="s">
        <v>35</v>
      </c>
      <c r="I25">
        <f>VLOOKUP(Table4[[#This Row],[Visitor]],'NHL Model'!$A$6:$B$38,2,FALSE)</f>
        <v>-1.5899576513683618</v>
      </c>
      <c r="J25">
        <f>($B$1+Table4[[#This Row],[Home Differential]])-Table4[[#This Row],[Away Differential]]</f>
        <v>0.41215905499163918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0.58796316350108635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0.3457006816342052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-0.39418177254008485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-0.43769530535874146</v>
      </c>
      <c r="H26" t="s">
        <v>18</v>
      </c>
      <c r="I26">
        <f>VLOOKUP(Table4[[#This Row],[Visitor]],'NHL Model'!$A$6:$B$38,2,FALSE)</f>
        <v>-0.65770380103775494</v>
      </c>
      <c r="J26">
        <f>($B$1+Table4[[#This Row],[Home Differential]])-Table4[[#This Row],[Away Differential]]</f>
        <v>0.30343216261803618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0.49435228957750027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0.24438418621051669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-0.361361309178443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1.339787395621115</v>
      </c>
      <c r="H27" t="s">
        <v>39</v>
      </c>
      <c r="I27">
        <f>VLOOKUP(Table4[[#This Row],[Visitor]],'NHL Model'!$A$6:$B$38,2,FALSE)</f>
        <v>0.10032544630879472</v>
      </c>
      <c r="J27">
        <f>($B$1+Table4[[#This Row],[Home Differential]])-Table4[[#This Row],[Away Differential]]</f>
        <v>1.3228856162513429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0.69561155356666604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0.48387543345543071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-1.6211574240381006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-1.0708320987334559</v>
      </c>
      <c r="H28" t="s">
        <v>19</v>
      </c>
      <c r="I28">
        <f>VLOOKUP(Table4[[#This Row],[Visitor]],'NHL Model'!$A$6:$B$38,2,FALSE)</f>
        <v>-1.054674343910232</v>
      </c>
      <c r="J28">
        <f>($B$1+Table4[[#This Row],[Home Differential]])-Table4[[#This Row],[Away Differential]]</f>
        <v>6.7265912115798798E-2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0.54782776916286657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0.20445972634022988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-0.11309445867623392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-1.1577943512279505</v>
      </c>
      <c r="H29" t="s">
        <v>38</v>
      </c>
      <c r="I29">
        <f>VLOOKUP(Table4[[#This Row],[Visitor]],'NHL Model'!$A$6:$B$38,2,FALSE)</f>
        <v>-1.1317546087271064</v>
      </c>
      <c r="J29">
        <f>($B$1+Table4[[#This Row],[Home Differential]])-Table4[[#This Row],[Away Differential]]</f>
        <v>5.7383924438178635E-2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0.53299358659309526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0.21809499016318082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-0.635565543477981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-0.57335522029781161</v>
      </c>
      <c r="H30" t="s">
        <v>36</v>
      </c>
      <c r="I30">
        <f>VLOOKUP(Table4[[#This Row],[Visitor]],'NHL Model'!$A$6:$B$38,2,FALSE)</f>
        <v>-0.53959086519270005</v>
      </c>
      <c r="J30">
        <f>($B$1+Table4[[#This Row],[Home Differential]])-Table4[[#This Row],[Away Differential]]</f>
        <v>4.9659311833911146E-2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0.55897036929651189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0.19450713515845511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-0.12212311954851815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-0.15603426337582751</v>
      </c>
      <c r="H31" t="s">
        <v>28</v>
      </c>
      <c r="I31">
        <f>VLOOKUP(Table4[[#This Row],[Visitor]],'NHL Model'!$A$6:$B$38,2,FALSE)</f>
        <v>-0.9065542839469537</v>
      </c>
      <c r="J31">
        <f>($B$1+Table4[[#This Row],[Home Differential]])-Table4[[#This Row],[Away Differential]]</f>
        <v>0.83394368751014891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0.65106308096169885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0.42388313539133965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-0.6902088310934803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-1.4782515386602066</v>
      </c>
      <c r="H32" t="s">
        <v>55</v>
      </c>
      <c r="I32">
        <f>VLOOKUP(Table4[[#This Row],[Visitor]],'NHL Model'!$A$6:$B$38,2,FALSE)</f>
        <v>-0.40521943828179341</v>
      </c>
      <c r="J32">
        <f>($B$1+Table4[[#This Row],[Home Differential]])-Table4[[#This Row],[Away Differential]]</f>
        <v>-0.98960843343939053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0.57516124787327616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0.1804879653085919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-6.3745791019188943E-4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-0.30740058470151932</v>
      </c>
      <c r="H33" t="s">
        <v>22</v>
      </c>
      <c r="I33">
        <f>VLOOKUP(Table4[[#This Row],[Visitor]],'NHL Model'!$A$6:$B$38,2,FALSE)</f>
        <v>0.15604658591703846</v>
      </c>
      <c r="J33">
        <f>($B$1+Table4[[#This Row],[Home Differential]])-Table4[[#This Row],[Away Differential]]</f>
        <v>-0.38002350367953508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0.52499276345761714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0.22563187476763127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-6.1308839486784707E-2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-0.22852375643476561</v>
      </c>
      <c r="H34" t="s">
        <v>15</v>
      </c>
      <c r="I34">
        <f>VLOOKUP(Table4[[#This Row],[Visitor]],'NHL Model'!$A$6:$B$38,2,FALSE)</f>
        <v>-0.39090512874251965</v>
      </c>
      <c r="J34">
        <f>($B$1+Table4[[#This Row],[Home Differential]])-Table4[[#This Row],[Away Differential]]</f>
        <v>0.24580503924677677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0.47100077356940789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0.22184172870298063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0.105105258369765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-0.64744265535741874</v>
      </c>
      <c r="H35" t="s">
        <v>20</v>
      </c>
      <c r="I35">
        <f>VLOOKUP(Table4[[#This Row],[Visitor]],'NHL Model'!$A$6:$B$38,2,FALSE)</f>
        <v>-0.42180143360631367</v>
      </c>
      <c r="J35">
        <f>($B$1+Table4[[#This Row],[Home Differential]])-Table4[[#This Row],[Away Differential]]</f>
        <v>-0.14221755481208237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0.47405445158467302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0.22472762306724509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-7.6523491360758822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-0.6620483089622381</v>
      </c>
      <c r="H36" t="s">
        <v>31</v>
      </c>
      <c r="I36">
        <f>VLOOKUP(Table4[[#This Row],[Visitor]],'NHL Model'!$A$6:$B$38,2,FALSE)</f>
        <v>5.8616755922628279E-2</v>
      </c>
      <c r="J36">
        <f>($B$1+Table4[[#This Row],[Home Differential]])-Table4[[#This Row],[Away Differential]]</f>
        <v>-0.63724139794584367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0.55492534353486511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0.19809144982755783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0.23616512594450029</v>
      </c>
      <c r="H37" t="s">
        <v>24</v>
      </c>
      <c r="I37">
        <f>VLOOKUP(Table4[[#This Row],[Visitor]],'NHL Model'!$A$6:$B$38,2,FALSE)</f>
        <v>2.3143316481494557E-3</v>
      </c>
      <c r="J37">
        <f>($B$1+Table4[[#This Row],[Home Differential]])-Table4[[#This Row],[Away Differential]]</f>
        <v>0.31727446123537356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0.58864553192845614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0.3465035622593351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-0.36992241209510063</v>
      </c>
      <c r="H38" t="s">
        <v>13</v>
      </c>
      <c r="I38">
        <f>VLOOKUP(Table4[[#This Row],[Visitor]],'NHL Model'!$A$6:$B$38,2,FALSE)</f>
        <v>-0.50197808897650842</v>
      </c>
      <c r="J38">
        <f>($B$1+Table4[[#This Row],[Home Differential]])-Table4[[#This Row],[Away Differential]]</f>
        <v>0.21547934382043055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0.50126591945345567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0.24873568309860697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-0.39090512874251965</v>
      </c>
      <c r="H39" t="s">
        <v>22</v>
      </c>
      <c r="I39">
        <f>VLOOKUP(Table4[[#This Row],[Visitor]],'NHL Model'!$A$6:$B$38,2,FALSE)</f>
        <v>0.15604658591703846</v>
      </c>
      <c r="J39">
        <f>($B$1+Table4[[#This Row],[Home Differential]])-Table4[[#This Row],[Away Differential]]</f>
        <v>-0.46352804772053535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0.53471023065969869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0.21649456945275081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0.7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-0.41554817552415113</v>
      </c>
      <c r="H40" t="s">
        <v>37</v>
      </c>
      <c r="I40">
        <f>VLOOKUP(Table4[[#This Row],[Visitor]],'NHL Model'!$A$6:$B$38,2,FALSE)</f>
        <v>0.23616512594450029</v>
      </c>
      <c r="J40">
        <f>($B$1+Table4[[#This Row],[Home Differential]])-Table4[[#This Row],[Away Differential]]</f>
        <v>-0.56828963452962866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0.57451204847866089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0.18103999688982542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-0.90742746858300449</v>
      </c>
      <c r="H41" t="s">
        <v>12</v>
      </c>
      <c r="I41">
        <f>VLOOKUP(Table4[[#This Row],[Visitor]],'NHL Model'!$A$6:$B$38,2,FALSE)</f>
        <v>1.339787395621115</v>
      </c>
      <c r="J41">
        <f>($B$1+Table4[[#This Row],[Home Differential]])-Table4[[#This Row],[Away Differential]]</f>
        <v>-2.1637911972650969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0.78442467563727702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4.6472720474093225E-2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0.2857142857142857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-0.9065542839469537</v>
      </c>
      <c r="H42" t="s">
        <v>24</v>
      </c>
      <c r="I42">
        <f>VLOOKUP(Table4[[#This Row],[Visitor]],'NHL Model'!$A$6:$B$38,2,FALSE)</f>
        <v>2.3143316481494557E-3</v>
      </c>
      <c r="J42">
        <f>($B$1+Table4[[#This Row],[Home Differential]])-Table4[[#This Row],[Away Differential]]</f>
        <v>-0.82544494865608042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0.576826688573574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0.17907565150360694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0.8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-0.43769530535874146</v>
      </c>
      <c r="H43" t="s">
        <v>55</v>
      </c>
      <c r="I43">
        <f>VLOOKUP(Table4[[#This Row],[Visitor]],'NHL Model'!$A$6:$B$38,2,FALSE)</f>
        <v>-0.40521943828179341</v>
      </c>
      <c r="J43">
        <f>($B$1+Table4[[#This Row],[Home Differential]])-Table4[[#This Row],[Away Differential]]</f>
        <v>5.094779986207465E-2</v>
      </c>
      <c r="K43" t="str">
        <f>IF(Table4[[#This Row],[HomeIce Differential]]&gt;0,Table4[[#This Row],[Home]],Table4[[#This Row],[Visitor]])</f>
        <v>Chicago Blackhawks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0.5459288219565015</v>
      </c>
      <c r="M43" t="str">
        <f>IF(OR((NHL2025_26Results[[#This Row],[Winning Team]]="")),"-",IF(Table4[[#This Row],[Predicted Winner]]=NHL2025_26Results[[#This Row],[Winning Team]],"YES","NO"))</f>
        <v>YES</v>
      </c>
      <c r="N43">
        <f>IF(Table4[[#This Row],[Adjusted Correct]]="-", "",IF(Table4[[#This Row],[Adjusted Correct]]="YES",(Table4[[#This Row],[Strength of Win]]-1)^2,(Table4[[#This Row],[Strength of Win]]-0)^2))</f>
        <v>0.20618063472981052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-0.15603426337582751</v>
      </c>
      <c r="H44" t="s">
        <v>13</v>
      </c>
      <c r="I44">
        <f>VLOOKUP(Table4[[#This Row],[Visitor]],'NHL Model'!$A$6:$B$38,2,FALSE)</f>
        <v>-0.50197808897650842</v>
      </c>
      <c r="J44">
        <f>($B$1+Table4[[#This Row],[Home Differential]])-Table4[[#This Row],[Away Differential]]</f>
        <v>0.42936749253970363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0.53777059637359337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0.21365602157682353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0.66666666666666663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-0.30740058470151932</v>
      </c>
      <c r="H45" t="s">
        <v>40</v>
      </c>
      <c r="I45">
        <f>VLOOKUP(Table4[[#This Row],[Visitor]],'NHL Model'!$A$6:$B$38,2,FALSE)</f>
        <v>-0.36992241209510063</v>
      </c>
      <c r="J45">
        <f>($B$1+Table4[[#This Row],[Home Differential]])-Table4[[#This Row],[Away Differential]]</f>
        <v>0.14594549433260404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0.53621452227985256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0.2875260139038105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-0.53959086519270005</v>
      </c>
      <c r="H46" t="s">
        <v>29</v>
      </c>
      <c r="I46">
        <f>VLOOKUP(Table4[[#This Row],[Visitor]],'NHL Model'!$A$6:$B$38,2,FALSE)</f>
        <v>-1.4782515386602066</v>
      </c>
      <c r="J46">
        <f>($B$1+Table4[[#This Row],[Home Differential]])-Table4[[#This Row],[Away Differential]]</f>
        <v>1.0220843404065292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0.66143596525483506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0.43749753613259534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0.5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-0.46667677612181552</v>
      </c>
      <c r="H47" t="s">
        <v>11</v>
      </c>
      <c r="I47">
        <f>VLOOKUP(Table4[[#This Row],[Visitor]],'NHL Model'!$A$6:$B$38,2,FALSE)</f>
        <v>-0.57335522029781161</v>
      </c>
      <c r="J47">
        <f>($B$1+Table4[[#This Row],[Home Differential]])-Table4[[#This Row],[Away Differential]]</f>
        <v>0.19010211111501885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0.59436834730832744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0.16453703766537767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0.7142857142857143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-1.054674343910232</v>
      </c>
      <c r="H48" t="s">
        <v>26</v>
      </c>
      <c r="I48">
        <f>VLOOKUP(Table4[[#This Row],[Visitor]],'NHL Model'!$A$6:$B$38,2,FALSE)</f>
        <v>-1.0708320987334559</v>
      </c>
      <c r="J48">
        <f>($B$1+Table4[[#This Row],[Home Differential]])-Table4[[#This Row],[Away Differential]]</f>
        <v>9.9581421762246602E-2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0.53081911105125934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0.28176892865724917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0.66666666666666663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-1.1317546087271064</v>
      </c>
      <c r="H49" t="s">
        <v>35</v>
      </c>
      <c r="I49">
        <f>VLOOKUP(Table4[[#This Row],[Visitor]],'NHL Model'!$A$6:$B$38,2,FALSE)</f>
        <v>-1.5899576513683618</v>
      </c>
      <c r="J49">
        <f>($B$1+Table4[[#This Row],[Home Differential]])-Table4[[#This Row],[Away Differential]]</f>
        <v>0.54162670958027803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0.60302938177272669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0.36364443528119694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0.7142857142857143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5.8616755922628279E-2</v>
      </c>
      <c r="H50" t="s">
        <v>14</v>
      </c>
      <c r="I50">
        <f>VLOOKUP(Table4[[#This Row],[Visitor]],'NHL Model'!$A$6:$B$38,2,FALSE)</f>
        <v>-0.22852375643476561</v>
      </c>
      <c r="J50">
        <f>($B$1+Table4[[#This Row],[Home Differential]])-Table4[[#This Row],[Away Differential]]</f>
        <v>0.37056417929641661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0.64312274619224474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0.12736137428536495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0.14285714285714285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-1.2612222633157453</v>
      </c>
      <c r="H51" t="s">
        <v>20</v>
      </c>
      <c r="I51">
        <f>VLOOKUP(Table4[[#This Row],[Visitor]],'NHL Model'!$A$6:$B$38,2,FALSE)</f>
        <v>-0.42180143360631367</v>
      </c>
      <c r="J51">
        <f>($B$1+Table4[[#This Row],[Home Differential]])-Table4[[#This Row],[Away Differential]]</f>
        <v>-0.75599716277040896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0.54797578285657234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0.20432589288412864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0.375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0.10032544630879472</v>
      </c>
      <c r="H52" t="s">
        <v>34</v>
      </c>
      <c r="I52">
        <f>VLOOKUP(Table4[[#This Row],[Visitor]],'NHL Model'!$A$6:$B$38,2,FALSE)</f>
        <v>-0.15603426337582751</v>
      </c>
      <c r="J52">
        <f>($B$1+Table4[[#This Row],[Home Differential]])-Table4[[#This Row],[Away Differential]]</f>
        <v>0.33978337662364499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0.55631929167293859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0.19685257094160294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0.66666666666666663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-0.65770380103775494</v>
      </c>
      <c r="H53" t="s">
        <v>32</v>
      </c>
      <c r="I53">
        <f>VLOOKUP(Table4[[#This Row],[Visitor]],'NHL Model'!$A$6:$B$38,2,FALSE)</f>
        <v>-0.64744265535741874</v>
      </c>
      <c r="J53">
        <f>($B$1+Table4[[#This Row],[Home Differential]])-Table4[[#This Row],[Away Differential]]</f>
        <v>7.3162521258686497E-2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0.54851396063433155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0.20383964374209793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0.4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-0.39090512874251965</v>
      </c>
      <c r="H54" t="s">
        <v>17</v>
      </c>
      <c r="I54">
        <f>VLOOKUP(Table4[[#This Row],[Visitor]],'NHL Model'!$A$6:$B$38,2,FALSE)</f>
        <v>-1.1577943512279505</v>
      </c>
      <c r="J54">
        <f>($B$1+Table4[[#This Row],[Home Differential]])-Table4[[#This Row],[Away Differential]]</f>
        <v>0.8503128894244536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0.63895135299981098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0.40825883150028908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1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-0.6620483089622381</v>
      </c>
      <c r="H55" t="s">
        <v>25</v>
      </c>
      <c r="I55">
        <f>VLOOKUP(Table4[[#This Row],[Visitor]],'NHL Model'!$A$6:$B$38,2,FALSE)</f>
        <v>0.25962865313068506</v>
      </c>
      <c r="J55">
        <f>($B$1+Table4[[#This Row],[Home Differential]])-Table4[[#This Row],[Away Differential]]</f>
        <v>-0.83825329515390046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0.63017114085290615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0.13677338505804099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0.5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-1.054674343910232</v>
      </c>
      <c r="H56" t="s">
        <v>29</v>
      </c>
      <c r="I56">
        <f>VLOOKUP(Table4[[#This Row],[Visitor]],'NHL Model'!$A$6:$B$38,2,FALSE)</f>
        <v>-1.4782515386602066</v>
      </c>
      <c r="J56">
        <f>($B$1+Table4[[#This Row],[Home Differential]])-Table4[[#This Row],[Away Differential]]</f>
        <v>0.50700086168899738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0.59899995385246196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0.16080103701032764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0.15604658591703846</v>
      </c>
      <c r="H57" t="s">
        <v>37</v>
      </c>
      <c r="I57">
        <f>VLOOKUP(Table4[[#This Row],[Visitor]],'NHL Model'!$A$6:$B$38,2,FALSE)</f>
        <v>0.23616512594450029</v>
      </c>
      <c r="J57">
        <f>($B$1+Table4[[#This Row],[Home Differential]])-Table4[[#This Row],[Away Differential]]</f>
        <v>3.3051269115609017E-3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0.4856787369840142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0.26452636159035886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0.5714285714285714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-0.90742746858300449</v>
      </c>
      <c r="H58" t="s">
        <v>36</v>
      </c>
      <c r="I58">
        <f>VLOOKUP(Table4[[#This Row],[Visitor]],'NHL Model'!$A$6:$B$38,2,FALSE)</f>
        <v>-0.53959086519270005</v>
      </c>
      <c r="J58">
        <f>($B$1+Table4[[#This Row],[Home Differential]])-Table4[[#This Row],[Away Differential]]</f>
        <v>-0.28441293645128174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0.49392677436192778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0.24396365843157872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0.66666666666666663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-1.0708320987334559</v>
      </c>
      <c r="H59" t="s">
        <v>11</v>
      </c>
      <c r="I59">
        <f>VLOOKUP(Table4[[#This Row],[Visitor]],'NHL Model'!$A$6:$B$38,2,FALSE)</f>
        <v>-0.57335522029781161</v>
      </c>
      <c r="J59">
        <f>($B$1+Table4[[#This Row],[Home Differential]])-Table4[[#This Row],[Away Differential]]</f>
        <v>-0.41405321149662155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0.50818358747829817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0.25825055858231311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0.66666666666666663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-1.5899576513683618</v>
      </c>
      <c r="H60" t="s">
        <v>10</v>
      </c>
      <c r="I60">
        <f>VLOOKUP(Table4[[#This Row],[Visitor]],'NHL Model'!$A$6:$B$38,2,FALSE)</f>
        <v>-0.43769530535874146</v>
      </c>
      <c r="J60">
        <f>($B$1+Table4[[#This Row],[Home Differential]])-Table4[[#This Row],[Away Differential]]</f>
        <v>-1.0688386790705975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0.58438131274730365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0.17273889319365462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0.33333333333333331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-0.40521943828179341</v>
      </c>
      <c r="H61" t="s">
        <v>16</v>
      </c>
      <c r="I61">
        <f>VLOOKUP(Table4[[#This Row],[Visitor]],'NHL Model'!$A$6:$B$38,2,FALSE)</f>
        <v>-1.2612222633157453</v>
      </c>
      <c r="J61">
        <f>($B$1+Table4[[#This Row],[Home Differential]])-Table4[[#This Row],[Away Differential]]</f>
        <v>0.93942649197297456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0.68975272670253185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9.6253370588513895E-2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0.5714285714285714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5.8616755922628279E-2</v>
      </c>
      <c r="H62" t="s">
        <v>25</v>
      </c>
      <c r="I62">
        <f>VLOOKUP(Table4[[#This Row],[Visitor]],'NHL Model'!$A$6:$B$38,2,FALSE)</f>
        <v>0.25962865313068506</v>
      </c>
      <c r="J62">
        <f>($B$1+Table4[[#This Row],[Home Differential]])-Table4[[#This Row],[Away Differential]]</f>
        <v>-0.11758823026903406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0.46438802883984992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0.28688018365006152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0.25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-0.9065542839469537</v>
      </c>
      <c r="H63" t="s">
        <v>12</v>
      </c>
      <c r="I63">
        <f>VLOOKUP(Table4[[#This Row],[Visitor]],'NHL Model'!$A$6:$B$38,2,FALSE)</f>
        <v>1.339787395621115</v>
      </c>
      <c r="J63">
        <f>($B$1+Table4[[#This Row],[Home Differential]])-Table4[[#This Row],[Away Differential]]</f>
        <v>-2.1629180126290461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0.78432306268723195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4.6516541288615675E-2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0.10032544630879472</v>
      </c>
      <c r="H64" t="s">
        <v>38</v>
      </c>
      <c r="I64">
        <f>VLOOKUP(Table4[[#This Row],[Visitor]],'NHL Model'!$A$6:$B$38,2,FALSE)</f>
        <v>-1.1317546087271064</v>
      </c>
      <c r="J64">
        <f>($B$1+Table4[[#This Row],[Home Differential]])-Table4[[#This Row],[Away Differential]]</f>
        <v>1.3155037219749239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0.69154739048691927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0.47823779328926758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0.7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-0.50197808897650842</v>
      </c>
      <c r="H65" t="s">
        <v>14</v>
      </c>
      <c r="I65">
        <f>VLOOKUP(Table4[[#This Row],[Visitor]],'NHL Model'!$A$6:$B$38,2,FALSE)</f>
        <v>-0.22852375643476561</v>
      </c>
      <c r="J65">
        <f>($B$1+Table4[[#This Row],[Home Differential]])-Table4[[#This Row],[Away Differential]]</f>
        <v>-0.19003066560272011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0.50288319811785154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0.24712511471353524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0.8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-0.65770380103775494</v>
      </c>
      <c r="H66" t="s">
        <v>29</v>
      </c>
      <c r="I66">
        <f>VLOOKUP(Table4[[#This Row],[Visitor]],'NHL Model'!$A$6:$B$38,2,FALSE)</f>
        <v>-1.4782515386602066</v>
      </c>
      <c r="J66">
        <f>($B$1+Table4[[#This Row],[Home Differential]])-Table4[[#This Row],[Away Differential]]</f>
        <v>0.9039714045614744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0.64519562230209448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0.125886146433598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0.33333333333333331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2.3143316481494557E-3</v>
      </c>
      <c r="H67" t="s">
        <v>11</v>
      </c>
      <c r="I67">
        <f>VLOOKUP(Table4[[#This Row],[Visitor]],'NHL Model'!$A$6:$B$38,2,FALSE)</f>
        <v>-0.57335522029781161</v>
      </c>
      <c r="J67">
        <f>($B$1+Table4[[#This Row],[Home Differential]])-Table4[[#This Row],[Away Differential]]</f>
        <v>0.65909321888498384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0.73846372641091806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6.8401222402863116E-2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0.5714285714285714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-0.30740058470151932</v>
      </c>
      <c r="H68" t="s">
        <v>17</v>
      </c>
      <c r="I68">
        <f>VLOOKUP(Table4[[#This Row],[Visitor]],'NHL Model'!$A$6:$B$38,2,FALSE)</f>
        <v>-1.1577943512279505</v>
      </c>
      <c r="J68">
        <f>($B$1+Table4[[#This Row],[Home Differential]])-Table4[[#This Row],[Away Differential]]</f>
        <v>0.93381743346545387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0.64866882020189254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0.12343359789833011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-0.53959086519270005</v>
      </c>
      <c r="H69" t="s">
        <v>32</v>
      </c>
      <c r="I69">
        <f>VLOOKUP(Table4[[#This Row],[Visitor]],'NHL Model'!$A$6:$B$38,2,FALSE)</f>
        <v>-0.64744265535741874</v>
      </c>
      <c r="J69">
        <f>($B$1+Table4[[#This Row],[Home Differential]])-Table4[[#This Row],[Away Differential]]</f>
        <v>0.19127545710374139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0.56475430358707213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0.18943881624597458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0.625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-0.46667677612181552</v>
      </c>
      <c r="H70" t="s">
        <v>40</v>
      </c>
      <c r="I70">
        <f>VLOOKUP(Table4[[#This Row],[Visitor]],'NHL Model'!$A$6:$B$38,2,FALSE)</f>
        <v>-0.36992241209510063</v>
      </c>
      <c r="J70">
        <f>($B$1+Table4[[#This Row],[Home Differential]])-Table4[[#This Row],[Away Differential]]</f>
        <v>-1.3330697087692134E-2</v>
      </c>
      <c r="K70" t="str">
        <f>IF(Table4[[#This Row],[HomeIce Differential]]&gt;0,Table4[[#This Row],[Home]],Table4[[#This Row],[Visitor]])</f>
        <v>Winnipeg Jets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0.44982716221937324</v>
      </c>
      <c r="M70" t="str">
        <f>IF(OR((NHL2025_26Results[[#This Row],[Winning Team]]="")),"-",IF(Table4[[#This Row],[Predicted Winner]]=NHL2025_26Results[[#This Row],[Winning Team]],"YES","NO"))</f>
        <v>YES</v>
      </c>
      <c r="N70">
        <f>IF(Table4[[#This Row],[Adjusted Correct]]="-", "",IF(Table4[[#This Row],[Adjusted Correct]]="YES",(Table4[[#This Row],[Strength of Win]]-1)^2,(Table4[[#This Row],[Strength of Win]]-0)^2))</f>
        <v>0.30269015143158784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17.521428571428572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-1.054674343910232</v>
      </c>
      <c r="H71" t="s">
        <v>15</v>
      </c>
      <c r="I71">
        <f>VLOOKUP(Table4[[#This Row],[Visitor]],'NHL Model'!$A$6:$B$38,2,FALSE)</f>
        <v>-0.39090512874251965</v>
      </c>
      <c r="J71">
        <f>($B$1+Table4[[#This Row],[Home Differential]])-Table4[[#This Row],[Away Differential]]</f>
        <v>-0.58034554822868967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0.62761657955035954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0.39390257092649278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-0.42180143360631367</v>
      </c>
      <c r="H72" t="s">
        <v>21</v>
      </c>
      <c r="I72">
        <f>VLOOKUP(Table4[[#This Row],[Visitor]],'NHL Model'!$A$6:$B$38,2,FALSE)</f>
        <v>-0.41554817552415113</v>
      </c>
      <c r="J72">
        <f>($B$1+Table4[[#This Row],[Home Differential]])-Table4[[#This Row],[Away Differential]]</f>
        <v>7.7170408856860218E-2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0.54815086751017894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0.20416763853180386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-0.43769530535874146</v>
      </c>
      <c r="H73" t="s">
        <v>38</v>
      </c>
      <c r="I73">
        <f>VLOOKUP(Table4[[#This Row],[Visitor]],'NHL Model'!$A$6:$B$38,2,FALSE)</f>
        <v>-1.1317546087271064</v>
      </c>
      <c r="J73">
        <f>($B$1+Table4[[#This Row],[Home Differential]])-Table4[[#This Row],[Away Differential]]</f>
        <v>0.77748297030738767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0.6097068666803811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0.371742463277208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-1.0708320987334559</v>
      </c>
      <c r="H74" t="s">
        <v>37</v>
      </c>
      <c r="I74">
        <f>VLOOKUP(Table4[[#This Row],[Visitor]],'NHL Model'!$A$6:$B$38,2,FALSE)</f>
        <v>0.23616512594450029</v>
      </c>
      <c r="J74">
        <f>($B$1+Table4[[#This Row],[Home Differential]])-Table4[[#This Row],[Away Differential]]</f>
        <v>-1.2235735577389335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0.6833461599544679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0.46696197432451725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-0.40521943828179341</v>
      </c>
      <c r="H75" t="s">
        <v>33</v>
      </c>
      <c r="I75">
        <f>VLOOKUP(Table4[[#This Row],[Visitor]],'NHL Model'!$A$6:$B$38,2,FALSE)</f>
        <v>-0.6620483089622381</v>
      </c>
      <c r="J75">
        <f>($B$1+Table4[[#This Row],[Home Differential]])-Table4[[#This Row],[Away Differential]]</f>
        <v>0.34025253761946739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0.62002654213809794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0.14437982867953067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0.15604658591703846</v>
      </c>
      <c r="H76" t="s">
        <v>34</v>
      </c>
      <c r="I76">
        <f>VLOOKUP(Table4[[#This Row],[Visitor]],'NHL Model'!$A$6:$B$38,2,FALSE)</f>
        <v>-0.15603426337582751</v>
      </c>
      <c r="J76">
        <f>($B$1+Table4[[#This Row],[Home Differential]])-Table4[[#This Row],[Away Differential]]</f>
        <v>0.3955045162318887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0.56983458997683856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0.1850422799803946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-0.90742746858300449</v>
      </c>
      <c r="H77" t="s">
        <v>11</v>
      </c>
      <c r="I77">
        <f>VLOOKUP(Table4[[#This Row],[Visitor]],'NHL Model'!$A$6:$B$38,2,FALSE)</f>
        <v>-0.57335522029781161</v>
      </c>
      <c r="J77">
        <f>($B$1+Table4[[#This Row],[Home Differential]])-Table4[[#This Row],[Away Differential]]</f>
        <v>-0.25064858134617019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0.48916810571750163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0.23928543565124885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-0.9065542839469537</v>
      </c>
      <c r="H78" t="s">
        <v>37</v>
      </c>
      <c r="I78">
        <f>VLOOKUP(Table4[[#This Row],[Visitor]],'NHL Model'!$A$6:$B$38,2,FALSE)</f>
        <v>0.23616512594450029</v>
      </c>
      <c r="J78">
        <f>($B$1+Table4[[#This Row],[Home Differential]])-Table4[[#This Row],[Away Differential]]</f>
        <v>-1.0592957429524312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0.66422906524362613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0.44120025111442135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1.339787395621115</v>
      </c>
      <c r="H79" t="s">
        <v>21</v>
      </c>
      <c r="I79">
        <f>VLOOKUP(Table4[[#This Row],[Visitor]],'NHL Model'!$A$6:$B$38,2,FALSE)</f>
        <v>-0.41554817552415113</v>
      </c>
      <c r="J79">
        <f>($B$1+Table4[[#This Row],[Home Differential]])-Table4[[#This Row],[Away Differential]]</f>
        <v>1.8387592380842888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0.85332163075823197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2.1514544003424441E-2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-0.50197808897650842</v>
      </c>
      <c r="H80" t="s">
        <v>25</v>
      </c>
      <c r="I80">
        <f>VLOOKUP(Table4[[#This Row],[Visitor]],'NHL Model'!$A$6:$B$38,2,FALSE)</f>
        <v>0.25962865313068506</v>
      </c>
      <c r="J80">
        <f>($B$1+Table4[[#This Row],[Home Differential]])-Table4[[#This Row],[Away Differential]]</f>
        <v>-0.67818307516817078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0.61154368613645904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0.15089830778044985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-0.65770380103775494</v>
      </c>
      <c r="H81" t="s">
        <v>15</v>
      </c>
      <c r="I81">
        <f>VLOOKUP(Table4[[#This Row],[Visitor]],'NHL Model'!$A$6:$B$38,2,FALSE)</f>
        <v>-0.39090512874251965</v>
      </c>
      <c r="J81">
        <f>($B$1+Table4[[#This Row],[Home Differential]])-Table4[[#This Row],[Away Differential]]</f>
        <v>-0.18337500535621259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0.58142091110072702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0.17520845366374546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2.3143316481494557E-3</v>
      </c>
      <c r="H82" t="s">
        <v>17</v>
      </c>
      <c r="I82">
        <f>VLOOKUP(Table4[[#This Row],[Visitor]],'NHL Model'!$A$6:$B$38,2,FALSE)</f>
        <v>-1.1577943512279505</v>
      </c>
      <c r="J82">
        <f>($B$1+Table4[[#This Row],[Home Differential]])-Table4[[#This Row],[Away Differential]]</f>
        <v>1.2435323498151227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0.80647521191328964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3.7451843604006156E-2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-0.53959086519270005</v>
      </c>
      <c r="H83" t="s">
        <v>30</v>
      </c>
      <c r="I83">
        <f>VLOOKUP(Table4[[#This Row],[Visitor]],'NHL Model'!$A$6:$B$38,2,FALSE)</f>
        <v>-0.30740058470151932</v>
      </c>
      <c r="J83">
        <f>($B$1+Table4[[#This Row],[Home Differential]])-Table4[[#This Row],[Away Differential]]</f>
        <v>-0.14876661355215803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0.54743253008700665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0.20481731482344814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-0.46667677612181552</v>
      </c>
      <c r="H84" t="s">
        <v>34</v>
      </c>
      <c r="I84">
        <f>VLOOKUP(Table4[[#This Row],[Visitor]],'NHL Model'!$A$6:$B$38,2,FALSE)</f>
        <v>-0.15603426337582751</v>
      </c>
      <c r="J84">
        <f>($B$1+Table4[[#This Row],[Home Differential]])-Table4[[#This Row],[Away Differential]]</f>
        <v>-0.22721884580696525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0.49632109328453011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0.24633462763915123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-0.6620483089622381</v>
      </c>
      <c r="H85" t="s">
        <v>14</v>
      </c>
      <c r="I85">
        <f>VLOOKUP(Table4[[#This Row],[Visitor]],'NHL Model'!$A$6:$B$38,2,FALSE)</f>
        <v>-0.22852375643476561</v>
      </c>
      <c r="J85">
        <f>($B$1+Table4[[#This Row],[Home Differential]])-Table4[[#This Row],[Away Differential]]</f>
        <v>-0.35010088558844976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0.52151065283429865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0.22895205535105906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-1.5899576513683618</v>
      </c>
      <c r="H86" t="s">
        <v>39</v>
      </c>
      <c r="I86">
        <f>VLOOKUP(Table4[[#This Row],[Visitor]],'NHL Model'!$A$6:$B$38,2,FALSE)</f>
        <v>0.10032544630879472</v>
      </c>
      <c r="J86">
        <f>($B$1+Table4[[#This Row],[Home Differential]])-Table4[[#This Row],[Away Differential]]</f>
        <v>-1.6068594307381339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0.74878882013206138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0.56068469715476454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-1.054674343910232</v>
      </c>
      <c r="H87" t="s">
        <v>32</v>
      </c>
      <c r="I87">
        <f>VLOOKUP(Table4[[#This Row],[Visitor]],'NHL Model'!$A$6:$B$38,2,FALSE)</f>
        <v>-0.64744265535741874</v>
      </c>
      <c r="J87">
        <f>($B$1+Table4[[#This Row],[Home Differential]])-Table4[[#This Row],[Away Differential]]</f>
        <v>-0.32380802161379052</v>
      </c>
      <c r="K87" t="str">
        <f>IF(Table4[[#This Row],[HomeIce Differential]]&gt;0,Table4[[#This Row],[Home]],Table4[[#This Row],[Visitor]])</f>
        <v>Seattle Kraken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0.49768170781530102</v>
      </c>
      <c r="M87" t="str">
        <f>IF(OR((NHL2025_26Results[[#This Row],[Winning Team]]="")),"-",IF(Table4[[#This Row],[Predicted Winner]]=NHL2025_26Results[[#This Row],[Winning Team]],"YES","NO"))</f>
        <v>YES</v>
      </c>
      <c r="N87">
        <f>IF(Table4[[#This Row],[Adjusted Correct]]="-", "",IF(Table4[[#This Row],[Adjusted Correct]]="YES",(Table4[[#This Row],[Strength of Win]]-1)^2,(Table4[[#This Row],[Strength of Win]]-0)^2))</f>
        <v>0.25232366666335254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-0.42180143360631367</v>
      </c>
      <c r="H88" t="s">
        <v>16</v>
      </c>
      <c r="I88">
        <f>VLOOKUP(Table4[[#This Row],[Visitor]],'NHL Model'!$A$6:$B$38,2,FALSE)</f>
        <v>-1.2612222633157453</v>
      </c>
      <c r="J88">
        <f>($B$1+Table4[[#This Row],[Home Differential]])-Table4[[#This Row],[Away Differential]]</f>
        <v>0.92284449664845436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0.6473918938399289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0.12433247652979197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-0.36992241209510063</v>
      </c>
      <c r="H89" t="s">
        <v>29</v>
      </c>
      <c r="I89">
        <f>VLOOKUP(Table4[[#This Row],[Visitor]],'NHL Model'!$A$6:$B$38,2,FALSE)</f>
        <v>-1.4782515386602066</v>
      </c>
      <c r="J89">
        <f>($B$1+Table4[[#This Row],[Home Differential]])-Table4[[#This Row],[Away Differential]]</f>
        <v>1.1917527935041288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0.68118037134840415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0.10164595561354148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-0.43769530535874146</v>
      </c>
      <c r="H90" t="s">
        <v>31</v>
      </c>
      <c r="I90">
        <f>VLOOKUP(Table4[[#This Row],[Visitor]],'NHL Model'!$A$6:$B$38,2,FALSE)</f>
        <v>5.8616755922628279E-2</v>
      </c>
      <c r="J90">
        <f>($B$1+Table4[[#This Row],[Home Differential]])-Table4[[#This Row],[Away Differential]]</f>
        <v>-0.41288839434234703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0.52881726786972516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0.27964770279720064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-1.0708320987334559</v>
      </c>
      <c r="H91" t="s">
        <v>17</v>
      </c>
      <c r="I91">
        <f>VLOOKUP(Table4[[#This Row],[Visitor]],'NHL Model'!$A$6:$B$38,2,FALSE)</f>
        <v>-1.1577943512279505</v>
      </c>
      <c r="J91">
        <f>($B$1+Table4[[#This Row],[Home Differential]])-Table4[[#This Row],[Away Differential]]</f>
        <v>0.17038591943351733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0.55982789802407351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0.19375147935790543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-0.40521943828179341</v>
      </c>
      <c r="H92" t="s">
        <v>21</v>
      </c>
      <c r="I92">
        <f>VLOOKUP(Table4[[#This Row],[Visitor]],'NHL Model'!$A$6:$B$38,2,FALSE)</f>
        <v>-0.41554817552415113</v>
      </c>
      <c r="J92">
        <f>($B$1+Table4[[#This Row],[Home Differential]])-Table4[[#This Row],[Away Differential]]</f>
        <v>9.3752404181380422E-2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0.59052785040914124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0.16766744129055861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0.15604658591703846</v>
      </c>
      <c r="H93" t="s">
        <v>38</v>
      </c>
      <c r="I93">
        <f>VLOOKUP(Table4[[#This Row],[Visitor]],'NHL Model'!$A$6:$B$38,2,FALSE)</f>
        <v>-1.1317546087271064</v>
      </c>
      <c r="J93">
        <f>($B$1+Table4[[#This Row],[Home Differential]])-Table4[[#This Row],[Away Differential]]</f>
        <v>1.3712248615831677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0.70502469546423541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0.49705982121443787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-1.2612222633157453</v>
      </c>
      <c r="H94" t="s">
        <v>40</v>
      </c>
      <c r="I94">
        <f>VLOOKUP(Table4[[#This Row],[Visitor]],'NHL Model'!$A$6:$B$38,2,FALSE)</f>
        <v>-0.36992241209510063</v>
      </c>
      <c r="J94">
        <f>($B$1+Table4[[#This Row],[Home Differential]])-Table4[[#This Row],[Away Differential]]</f>
        <v>-0.807876184281622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0.57478220232973476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0.18081017545555061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-0.65770380103775494</v>
      </c>
      <c r="H95" t="s">
        <v>23</v>
      </c>
      <c r="I95">
        <f>VLOOKUP(Table4[[#This Row],[Visitor]],'NHL Model'!$A$6:$B$38,2,FALSE)</f>
        <v>-0.90742746858300449</v>
      </c>
      <c r="J95">
        <f>($B$1+Table4[[#This Row],[Home Differential]])-Table4[[#This Row],[Away Differential]]</f>
        <v>0.33314733448427225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0.57876852850932603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0.17743595257419847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-0.39090512874251965</v>
      </c>
      <c r="H96" t="s">
        <v>34</v>
      </c>
      <c r="I96">
        <f>VLOOKUP(Table4[[#This Row],[Visitor]],'NHL Model'!$A$6:$B$38,2,FALSE)</f>
        <v>-0.15603426337582751</v>
      </c>
      <c r="J96">
        <f>($B$1+Table4[[#This Row],[Home Differential]])-Table4[[#This Row],[Away Differential]]</f>
        <v>-0.15144719842766938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0.52013655202890174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0.23026892869871093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-0.46667677612181552</v>
      </c>
      <c r="H97" t="s">
        <v>32</v>
      </c>
      <c r="I97">
        <f>VLOOKUP(Table4[[#This Row],[Visitor]],'NHL Model'!$A$6:$B$38,2,FALSE)</f>
        <v>-0.64744265535741874</v>
      </c>
      <c r="J97">
        <f>($B$1+Table4[[#This Row],[Home Differential]])-Table4[[#This Row],[Away Differential]]</f>
        <v>0.26418954617462598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0.60298994064251288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0.15761698723103545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-0.42180143360631367</v>
      </c>
      <c r="H98" t="s">
        <v>25</v>
      </c>
      <c r="I98">
        <f>VLOOKUP(Table4[[#This Row],[Visitor]],'NHL Model'!$A$6:$B$38,2,FALSE)</f>
        <v>0.25962865313068506</v>
      </c>
      <c r="J98">
        <f>($B$1+Table4[[#This Row],[Home Differential]])-Table4[[#This Row],[Away Differential]]</f>
        <v>-0.59800641979797597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0.6022134870690895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0.36266108400791242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-0.41554817552415113</v>
      </c>
      <c r="H99" t="s">
        <v>11</v>
      </c>
      <c r="I99">
        <f>VLOOKUP(Table4[[#This Row],[Visitor]],'NHL Model'!$A$6:$B$38,2,FALSE)</f>
        <v>-0.57335522029781161</v>
      </c>
      <c r="J99">
        <f>($B$1+Table4[[#This Row],[Home Differential]])-Table4[[#This Row],[Away Differential]]</f>
        <v>0.24123071171268318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0.60031820914042344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0.36038195222556518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0.10032544630879472</v>
      </c>
      <c r="H100" t="s">
        <v>28</v>
      </c>
      <c r="I100">
        <f>VLOOKUP(Table4[[#This Row],[Visitor]],'NHL Model'!$A$6:$B$38,2,FALSE)</f>
        <v>-0.9065542839469537</v>
      </c>
      <c r="J100">
        <f>($B$1+Table4[[#This Row],[Home Differential]])-Table4[[#This Row],[Away Differential]]</f>
        <v>1.0903033971947711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0.68598460446431531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0.47057487756206312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-1.4782515386602066</v>
      </c>
      <c r="H101" t="s">
        <v>31</v>
      </c>
      <c r="I101">
        <f>VLOOKUP(Table4[[#This Row],[Visitor]],'NHL Model'!$A$6:$B$38,2,FALSE)</f>
        <v>5.8616755922628279E-2</v>
      </c>
      <c r="J101">
        <f>($B$1+Table4[[#This Row],[Home Differential]])-Table4[[#This Row],[Away Differential]]</f>
        <v>-1.4534446276438122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0.6499073376995026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0.12256487219665012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-0.30740058470151932</v>
      </c>
      <c r="H102" t="s">
        <v>33</v>
      </c>
      <c r="I102">
        <f>VLOOKUP(Table4[[#This Row],[Visitor]],'NHL Model'!$A$6:$B$38,2,FALSE)</f>
        <v>-0.6620483089622381</v>
      </c>
      <c r="J102">
        <f>($B$1+Table4[[#This Row],[Home Differential]])-Table4[[#This Row],[Away Differential]]</f>
        <v>0.43807139119974148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0.59097859553683174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0.16729850930902268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-0.53959086519270005</v>
      </c>
      <c r="H103" t="s">
        <v>17</v>
      </c>
      <c r="I103">
        <f>VLOOKUP(Table4[[#This Row],[Visitor]],'NHL Model'!$A$6:$B$38,2,FALSE)</f>
        <v>-1.1577943512279505</v>
      </c>
      <c r="J103">
        <f>($B$1+Table4[[#This Row],[Home Differential]])-Table4[[#This Row],[Away Differential]]</f>
        <v>0.70162715297427314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0.62414419575525837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0.3895559770949783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-0.22852375643476561</v>
      </c>
      <c r="H104" t="s">
        <v>38</v>
      </c>
      <c r="I104">
        <f>VLOOKUP(Table4[[#This Row],[Visitor]],'NHL Model'!$A$6:$B$38,2,FALSE)</f>
        <v>-1.1317546087271064</v>
      </c>
      <c r="J104">
        <f>($B$1+Table4[[#This Row],[Home Differential]])-Table4[[#This Row],[Away Differential]]</f>
        <v>0.9866545192313636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0.63655662977600069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0.13209108335977904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-1.5899576513683618</v>
      </c>
      <c r="H105" t="s">
        <v>13</v>
      </c>
      <c r="I105">
        <f>VLOOKUP(Table4[[#This Row],[Visitor]],'NHL Model'!$A$6:$B$38,2,FALSE)</f>
        <v>-0.50197808897650842</v>
      </c>
      <c r="J105">
        <f>($B$1+Table4[[#This Row],[Home Differential]])-Table4[[#This Row],[Away Differential]]</f>
        <v>-1.0045558954528306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0.64321648127229503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0.1272944792357226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-1.054674343910232</v>
      </c>
      <c r="H106" t="s">
        <v>24</v>
      </c>
      <c r="I106">
        <f>VLOOKUP(Table4[[#This Row],[Visitor]],'NHL Model'!$A$6:$B$38,2,FALSE)</f>
        <v>2.3143316481494557E-3</v>
      </c>
      <c r="J106">
        <f>($B$1+Table4[[#This Row],[Home Differential]])-Table4[[#This Row],[Away Differential]]</f>
        <v>-0.97356500861935868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0.59406349695560401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0.16478444450391291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-0.40521943828179341</v>
      </c>
      <c r="H107" t="s">
        <v>12</v>
      </c>
      <c r="I107">
        <f>VLOOKUP(Table4[[#This Row],[Visitor]],'NHL Model'!$A$6:$B$38,2,FALSE)</f>
        <v>1.339787395621115</v>
      </c>
      <c r="J107">
        <f>($B$1+Table4[[#This Row],[Home Differential]])-Table4[[#This Row],[Away Differential]]</f>
        <v>-1.6615831669638856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0.68497940868907847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0.46919679032803957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0.15604658591703846</v>
      </c>
      <c r="H108" t="s">
        <v>32</v>
      </c>
      <c r="I108">
        <f>VLOOKUP(Table4[[#This Row],[Visitor]],'NHL Model'!$A$6:$B$38,2,FALSE)</f>
        <v>-0.64744265535741874</v>
      </c>
      <c r="J108">
        <f>($B$1+Table4[[#This Row],[Home Differential]])-Table4[[#This Row],[Away Differential]]</f>
        <v>0.8869129082134799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0.66924825206282756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0.10939671876349485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-0.90742746858300449</v>
      </c>
      <c r="H109" t="s">
        <v>26</v>
      </c>
      <c r="I109">
        <f>VLOOKUP(Table4[[#This Row],[Visitor]],'NHL Model'!$A$6:$B$38,2,FALSE)</f>
        <v>-1.0708320987334559</v>
      </c>
      <c r="J109">
        <f>($B$1+Table4[[#This Row],[Home Differential]])-Table4[[#This Row],[Away Differential]]</f>
        <v>0.24682829708947407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0.54795430648324406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0.20434530902704484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-1.2612222633157453</v>
      </c>
      <c r="H110" t="s">
        <v>18</v>
      </c>
      <c r="I110">
        <f>VLOOKUP(Table4[[#This Row],[Visitor]],'NHL Model'!$A$6:$B$38,2,FALSE)</f>
        <v>-0.65770380103775494</v>
      </c>
      <c r="J110">
        <f>($B$1+Table4[[#This Row],[Home Differential]])-Table4[[#This Row],[Away Differential]]</f>
        <v>-0.52009479533896763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0.60148197065207376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0.1588166197153546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2.3143316481494557E-3</v>
      </c>
      <c r="H111" t="s">
        <v>34</v>
      </c>
      <c r="I111">
        <f>VLOOKUP(Table4[[#This Row],[Visitor]],'NHL Model'!$A$6:$B$38,2,FALSE)</f>
        <v>-0.15603426337582751</v>
      </c>
      <c r="J111">
        <f>($B$1+Table4[[#This Row],[Home Differential]])-Table4[[#This Row],[Away Differential]]</f>
        <v>0.2417722619629997</v>
      </c>
      <c r="K111" t="str">
        <f>IF(Table4[[#This Row],[HomeIce Differential]]&gt;0,Table4[[#This Row],[Home]],Table4[[#This Row],[Visitor]])</f>
        <v>New Jersey Devils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0.65077667325025668</v>
      </c>
      <c r="M111" t="str">
        <f>IF(OR((NHL2025_26Results[[#This Row],[Winning Team]]="")),"-",IF(Table4[[#This Row],[Predicted Winner]]=NHL2025_26Results[[#This Row],[Winning Team]],"YES","NO"))</f>
        <v>YES</v>
      </c>
      <c r="N111">
        <f>IF(Table4[[#This Row],[Adjusted Correct]]="-", "",IF(Table4[[#This Row],[Adjusted Correct]]="YES",(Table4[[#This Row],[Strength of Win]]-1)^2,(Table4[[#This Row],[Strength of Win]]-0)^2))</f>
        <v>0.12195693194615799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-0.41554817552415113</v>
      </c>
      <c r="H112" t="s">
        <v>31</v>
      </c>
      <c r="I112">
        <f>VLOOKUP(Table4[[#This Row],[Visitor]],'NHL Model'!$A$6:$B$38,2,FALSE)</f>
        <v>5.8616755922628279E-2</v>
      </c>
      <c r="J112">
        <f>($B$1+Table4[[#This Row],[Home Differential]])-Table4[[#This Row],[Away Differential]]</f>
        <v>-0.3907412645077567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0.49374662615684156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0.2562924785275808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1.339787395621115</v>
      </c>
      <c r="H113" t="s">
        <v>25</v>
      </c>
      <c r="I113">
        <f>VLOOKUP(Table4[[#This Row],[Visitor]],'NHL Model'!$A$6:$B$38,2,FALSE)</f>
        <v>0.25962865313068506</v>
      </c>
      <c r="J113">
        <f>($B$1+Table4[[#This Row],[Home Differential]])-Table4[[#This Row],[Away Differential]]</f>
        <v>1.1635824094294527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0.70613839722125327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0.49863143603020044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0.10032544630879472</v>
      </c>
      <c r="H114" t="s">
        <v>13</v>
      </c>
      <c r="I114">
        <f>VLOOKUP(Table4[[#This Row],[Visitor]],'NHL Model'!$A$6:$B$38,2,FALSE)</f>
        <v>-0.50197808897650842</v>
      </c>
      <c r="J114">
        <f>($B$1+Table4[[#This Row],[Home Differential]])-Table4[[#This Row],[Away Differential]]</f>
        <v>0.68572720222432593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0.5727561774950134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0.32804963885869931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-1.1577943512279505</v>
      </c>
      <c r="H115" t="s">
        <v>18</v>
      </c>
      <c r="I115">
        <f>VLOOKUP(Table4[[#This Row],[Visitor]],'NHL Model'!$A$6:$B$38,2,FALSE)</f>
        <v>-0.65770380103775494</v>
      </c>
      <c r="J115">
        <f>($B$1+Table4[[#This Row],[Home Differential]])-Table4[[#This Row],[Away Differential]]</f>
        <v>-0.41666688325117285</v>
      </c>
      <c r="K115" t="str">
        <f>IF(Table4[[#This Row],[HomeIce Differential]]&gt;0,Table4[[#This Row],[Home]],Table4[[#This Row],[Visitor]])</f>
        <v>Montreal Canadiens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0.58238604690390683</v>
      </c>
      <c r="M115" t="str">
        <f>IF(OR((NHL2025_26Results[[#This Row],[Winning Team]]="")),"-",IF(Table4[[#This Row],[Predicted Winner]]=NHL2025_26Results[[#This Row],[Winning Team]],"YES","NO"))</f>
        <v>NO</v>
      </c>
      <c r="N115">
        <f>IF(Table4[[#This Row],[Adjusted Correct]]="-", "",IF(Table4[[#This Row],[Adjusted Correct]]="YES",(Table4[[#This Row],[Strength of Win]]-1)^2,(Table4[[#This Row],[Strength of Win]]-0)^2))</f>
        <v>0.33917350762835957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-0.57335522029781161</v>
      </c>
      <c r="H116" t="s">
        <v>14</v>
      </c>
      <c r="I116">
        <f>VLOOKUP(Table4[[#This Row],[Visitor]],'NHL Model'!$A$6:$B$38,2,FALSE)</f>
        <v>-0.22852375643476561</v>
      </c>
      <c r="J116">
        <f>($B$1+Table4[[#This Row],[Home Differential]])-Table4[[#This Row],[Away Differential]]</f>
        <v>-0.26140779692402327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0.49708682789442382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0.25292165867729288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-1.4782515386602066</v>
      </c>
      <c r="H117" t="s">
        <v>38</v>
      </c>
      <c r="I117">
        <f>VLOOKUP(Table4[[#This Row],[Visitor]],'NHL Model'!$A$6:$B$38,2,FALSE)</f>
        <v>-1.1317546087271064</v>
      </c>
      <c r="J117">
        <f>($B$1+Table4[[#This Row],[Home Differential]])-Table4[[#This Row],[Away Differential]]</f>
        <v>-0.26307326299407752</v>
      </c>
      <c r="K117" t="str">
        <f>IF(Table4[[#This Row],[HomeIce Differential]]&gt;0,Table4[[#This Row],[Home]],Table4[[#This Row],[Visitor]])</f>
        <v>Vancouver Canucks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0.51138320314939634</v>
      </c>
      <c r="M117" t="str">
        <f>IF(OR((NHL2025_26Results[[#This Row],[Winning Team]]="")),"-",IF(Table4[[#This Row],[Predicted Winner]]=NHL2025_26Results[[#This Row],[Winning Team]],"YES","NO"))</f>
        <v>NO</v>
      </c>
      <c r="N117">
        <f>IF(Table4[[#This Row],[Adjusted Correct]]="-", "",IF(Table4[[#This Row],[Adjusted Correct]]="YES",(Table4[[#This Row],[Strength of Win]]-1)^2,(Table4[[#This Row],[Strength of Win]]-0)^2))</f>
        <v>0.26151278046333676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-0.30740058470151932</v>
      </c>
      <c r="H118" t="s">
        <v>26</v>
      </c>
      <c r="I118">
        <f>VLOOKUP(Table4[[#This Row],[Visitor]],'NHL Model'!$A$6:$B$38,2,FALSE)</f>
        <v>-1.0708320987334559</v>
      </c>
      <c r="J118">
        <f>($B$1+Table4[[#This Row],[Home Differential]])-Table4[[#This Row],[Away Differential]]</f>
        <v>0.84685518097095924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0.6177797469002666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0.14609232187962426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-0.39090512874251965</v>
      </c>
      <c r="H119" t="s">
        <v>33</v>
      </c>
      <c r="I119">
        <f>VLOOKUP(Table4[[#This Row],[Visitor]],'NHL Model'!$A$6:$B$38,2,FALSE)</f>
        <v>-0.6620483089622381</v>
      </c>
      <c r="J119">
        <f>($B$1+Table4[[#This Row],[Home Differential]])-Table4[[#This Row],[Away Differential]]</f>
        <v>0.35456684715874121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0.58126112833475019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0.33786449931298695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-0.53959086519270005</v>
      </c>
      <c r="H120" t="s">
        <v>27</v>
      </c>
      <c r="I120">
        <f>VLOOKUP(Table4[[#This Row],[Visitor]],'NHL Model'!$A$6:$B$38,2,FALSE)</f>
        <v>-0.46667677612181552</v>
      </c>
      <c r="J120">
        <f>($B$1+Table4[[#This Row],[Home Differential]])-Table4[[#This Row],[Away Differential]]</f>
        <v>1.0509577868138165E-2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0.52296213547497794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0.2275651241905933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-1.5899576513683618</v>
      </c>
      <c r="H121" t="s">
        <v>55</v>
      </c>
      <c r="I121">
        <f>VLOOKUP(Table4[[#This Row],[Visitor]],'NHL Model'!$A$6:$B$38,2,FALSE)</f>
        <v>-0.40521943828179341</v>
      </c>
      <c r="J121">
        <f>($B$1+Table4[[#This Row],[Home Differential]])-Table4[[#This Row],[Away Differential]]</f>
        <v>-1.1013145461475458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0.5881605462824806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0.16961173563834481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0.23616512594450029</v>
      </c>
      <c r="H122" t="s">
        <v>10</v>
      </c>
      <c r="I122">
        <f>VLOOKUP(Table4[[#This Row],[Visitor]],'NHL Model'!$A$6:$B$38,2,FALSE)</f>
        <v>-0.43769530535874146</v>
      </c>
      <c r="J122">
        <f>($B$1+Table4[[#This Row],[Home Differential]])-Table4[[#This Row],[Away Differential]]</f>
        <v>0.7572840982422645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0.66037161001477696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0.43609066331350865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-0.36992241209510063</v>
      </c>
      <c r="H123" t="s">
        <v>32</v>
      </c>
      <c r="I123">
        <f>VLOOKUP(Table4[[#This Row],[Visitor]],'NHL Model'!$A$6:$B$38,2,FALSE)</f>
        <v>-0.64744265535741874</v>
      </c>
      <c r="J123">
        <f>($B$1+Table4[[#This Row],[Home Differential]])-Table4[[#This Row],[Away Differential]]</f>
        <v>0.36094391020134087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0.5844987096806411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0.34163874161833435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-0.90742746858300449</v>
      </c>
      <c r="H124" t="s">
        <v>19</v>
      </c>
      <c r="I124">
        <f>VLOOKUP(Table4[[#This Row],[Visitor]],'NHL Model'!$A$6:$B$38,2,FALSE)</f>
        <v>-1.054674343910232</v>
      </c>
      <c r="J124">
        <f>($B$1+Table4[[#This Row],[Home Differential]])-Table4[[#This Row],[Away Differential]]</f>
        <v>0.23067054226625017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0.56684325092366306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0.18762476927038071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-0.9065542839469537</v>
      </c>
      <c r="H125" t="s">
        <v>22</v>
      </c>
      <c r="I125">
        <f>VLOOKUP(Table4[[#This Row],[Visitor]],'NHL Model'!$A$6:$B$38,2,FALSE)</f>
        <v>0.15604658591703846</v>
      </c>
      <c r="J125">
        <f>($B$1+Table4[[#This Row],[Home Differential]])-Table4[[#This Row],[Away Differential]]</f>
        <v>-0.97917720292496946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0.5947165909245945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0.16425464167178247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2.3143316481494557E-3</v>
      </c>
      <c r="H126" t="s">
        <v>33</v>
      </c>
      <c r="I126">
        <f>VLOOKUP(Table4[[#This Row],[Visitor]],'NHL Model'!$A$6:$B$38,2,FALSE)</f>
        <v>-0.6620483089622381</v>
      </c>
      <c r="J126">
        <f>($B$1+Table4[[#This Row],[Home Differential]])-Table4[[#This Row],[Away Differential]]</f>
        <v>0.74778630754941022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0.74878498724822884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6.3108982631872548E-2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-0.36992241209510063</v>
      </c>
      <c r="H127" t="s">
        <v>16</v>
      </c>
      <c r="I127">
        <f>VLOOKUP(Table4[[#This Row],[Visitor]],'NHL Model'!$A$6:$B$38,2,FALSE)</f>
        <v>-1.2612222633157453</v>
      </c>
      <c r="J127">
        <f>($B$1+Table4[[#This Row],[Home Differential]])-Table4[[#This Row],[Away Differential]]</f>
        <v>0.9747235181596674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0.65592456174820046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0.11838790720816791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-0.41554817552415113</v>
      </c>
      <c r="H128" t="s">
        <v>12</v>
      </c>
      <c r="I128">
        <f>VLOOKUP(Table4[[#This Row],[Visitor]],'NHL Model'!$A$6:$B$38,2,FALSE)</f>
        <v>1.339787395621115</v>
      </c>
      <c r="J128">
        <f>($B$1+Table4[[#This Row],[Home Differential]])-Table4[[#This Row],[Away Differential]]</f>
        <v>-1.6719119042062434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0.69456125747979336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0.48241534039191181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0.10032544630879472</v>
      </c>
      <c r="H129" t="s">
        <v>25</v>
      </c>
      <c r="I129">
        <f>VLOOKUP(Table4[[#This Row],[Visitor]],'NHL Model'!$A$6:$B$38,2,FALSE)</f>
        <v>0.25962865313068506</v>
      </c>
      <c r="J129">
        <f>($B$1+Table4[[#This Row],[Home Differential]])-Table4[[#This Row],[Away Differential]]</f>
        <v>-7.5879539882867608E-2</v>
      </c>
      <c r="K129" t="str">
        <f>IF(Table4[[#This Row],[HomeIce Differential]]&gt;0,Table4[[#This Row],[Home]],Table4[[#This Row],[Visitor]])</f>
        <v>Carolina Hurricanes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0.52219912546136016</v>
      </c>
      <c r="M129" t="str">
        <f>IF(OR((NHL2025_26Results[[#This Row],[Winning Team]]="")),"-",IF(Table4[[#This Row],[Predicted Winner]]=NHL2025_26Results[[#This Row],[Winning Team]],"YES","NO"))</f>
        <v>NO</v>
      </c>
      <c r="N129">
        <f>IF(Table4[[#This Row],[Adjusted Correct]]="-", "",IF(Table4[[#This Row],[Adjusted Correct]]="YES",(Table4[[#This Row],[Strength of Win]]-1)^2,(Table4[[#This Row],[Strength of Win]]-0)^2))</f>
        <v>0.27269192663260938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-1.0708320987334559</v>
      </c>
      <c r="H130" t="s">
        <v>35</v>
      </c>
      <c r="I130">
        <f>VLOOKUP(Table4[[#This Row],[Visitor]],'NHL Model'!$A$6:$B$38,2,FALSE)</f>
        <v>-1.5899576513683618</v>
      </c>
      <c r="J130">
        <f>($B$1+Table4[[#This Row],[Home Differential]])-Table4[[#This Row],[Away Differential]]</f>
        <v>0.6025492195739286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0.61011896593285464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0.15200722072526657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-0.57335522029781161</v>
      </c>
      <c r="H131" t="s">
        <v>20</v>
      </c>
      <c r="I131">
        <f>VLOOKUP(Table4[[#This Row],[Visitor]],'NHL Model'!$A$6:$B$38,2,FALSE)</f>
        <v>-0.42180143360631367</v>
      </c>
      <c r="J131">
        <f>($B$1+Table4[[#This Row],[Home Differential]])-Table4[[#This Row],[Away Differential]]</f>
        <v>-6.8130119752475238E-2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0.45391171695621269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0.20603584679013695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-0.15603426337582751</v>
      </c>
      <c r="H132" t="s">
        <v>55</v>
      </c>
      <c r="I132">
        <f>VLOOKUP(Table4[[#This Row],[Visitor]],'NHL Model'!$A$6:$B$38,2,FALSE)</f>
        <v>-0.40521943828179341</v>
      </c>
      <c r="J132">
        <f>($B$1+Table4[[#This Row],[Home Differential]])-Table4[[#This Row],[Away Differential]]</f>
        <v>0.33260884184498862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0.5927224843395581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0.35131994344165768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-1.4782515386602066</v>
      </c>
      <c r="H133" t="s">
        <v>13</v>
      </c>
      <c r="I133">
        <f>VLOOKUP(Table4[[#This Row],[Visitor]],'NHL Model'!$A$6:$B$38,2,FALSE)</f>
        <v>-0.50197808897650842</v>
      </c>
      <c r="J133">
        <f>($B$1+Table4[[#This Row],[Home Differential]])-Table4[[#This Row],[Away Differential]]</f>
        <v>-0.89284978274467552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0.63021718286309059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0.39717369757589016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-0.46667677612181552</v>
      </c>
      <c r="H134" t="s">
        <v>30</v>
      </c>
      <c r="I134">
        <f>VLOOKUP(Table4[[#This Row],[Visitor]],'NHL Model'!$A$6:$B$38,2,FALSE)</f>
        <v>-0.30740058470151932</v>
      </c>
      <c r="J134">
        <f>($B$1+Table4[[#This Row],[Home Differential]])-Table4[[#This Row],[Away Differential]]</f>
        <v>-7.5852524481273442E-2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0.50882699770781281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0.25890491359634654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-0.22852375643476561</v>
      </c>
      <c r="H135" t="s">
        <v>28</v>
      </c>
      <c r="I135">
        <f>VLOOKUP(Table4[[#This Row],[Visitor]],'NHL Model'!$A$6:$B$38,2,FALSE)</f>
        <v>-0.9065542839469537</v>
      </c>
      <c r="J135">
        <f>($B$1+Table4[[#This Row],[Home Differential]])-Table4[[#This Row],[Away Differential]]</f>
        <v>0.76145419445121076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0.63110629967458842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0.39829516148895139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-0.64744265535741874</v>
      </c>
      <c r="H136" t="s">
        <v>17</v>
      </c>
      <c r="I136">
        <f>VLOOKUP(Table4[[#This Row],[Visitor]],'NHL Model'!$A$6:$B$38,2,FALSE)</f>
        <v>-1.1577943512279505</v>
      </c>
      <c r="J136">
        <f>($B$1+Table4[[#This Row],[Home Differential]])-Table4[[#This Row],[Away Differential]]</f>
        <v>0.59377536280955445</v>
      </c>
      <c r="K136" t="str">
        <f>IF(Table4[[#This Row],[HomeIce Differential]]&gt;0,Table4[[#This Row],[Home]],Table4[[#This Row],[Visitor]])</f>
        <v>Seattle Kraken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0.61159342686420448</v>
      </c>
      <c r="M136" t="str">
        <f>IF(OR((NHL2025_26Results[[#This Row],[Winning Team]]="")),"-",IF(Table4[[#This Row],[Predicted Winner]]=NHL2025_26Results[[#This Row],[Winning Team]],"YES","NO"))</f>
        <v>YES</v>
      </c>
      <c r="N136">
        <f>IF(Table4[[#This Row],[Adjusted Correct]]="-", "",IF(Table4[[#This Row],[Adjusted Correct]]="YES",(Table4[[#This Row],[Strength of Win]]-1)^2,(Table4[[#This Row],[Strength of Win]]-0)^2))</f>
        <v>0.15085966605509207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0.23616512594450029</v>
      </c>
      <c r="H137" t="s">
        <v>31</v>
      </c>
      <c r="I137">
        <f>VLOOKUP(Table4[[#This Row],[Visitor]],'NHL Model'!$A$6:$B$38,2,FALSE)</f>
        <v>5.8616755922628279E-2</v>
      </c>
      <c r="J137">
        <f>($B$1+Table4[[#This Row],[Home Differential]])-Table4[[#This Row],[Away Differential]]</f>
        <v>0.26097203696089477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0.58209358954534107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0.17464576789909786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-1.054674343910232</v>
      </c>
      <c r="H138" t="s">
        <v>23</v>
      </c>
      <c r="I138">
        <f>VLOOKUP(Table4[[#This Row],[Visitor]],'NHL Model'!$A$6:$B$38,2,FALSE)</f>
        <v>-0.90742746858300449</v>
      </c>
      <c r="J138">
        <f>($B$1+Table4[[#This Row],[Home Differential]])-Table4[[#This Row],[Away Differential]]</f>
        <v>-6.3823208388204766E-2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0.46742713994030649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0.21848813115277488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-1.1317546087271064</v>
      </c>
      <c r="H139" t="s">
        <v>18</v>
      </c>
      <c r="I139">
        <f>VLOOKUP(Table4[[#This Row],[Visitor]],'NHL Model'!$A$6:$B$38,2,FALSE)</f>
        <v>-0.65770380103775494</v>
      </c>
      <c r="J139">
        <f>($B$1+Table4[[#This Row],[Home Differential]])-Table4[[#This Row],[Away Differential]]</f>
        <v>-0.39062714075032878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0.58641575238043342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0.17105192987904297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0.15604658591703846</v>
      </c>
      <c r="H140" t="s">
        <v>36</v>
      </c>
      <c r="I140">
        <f>VLOOKUP(Table4[[#This Row],[Visitor]],'NHL Model'!$A$6:$B$38,2,FALSE)</f>
        <v>-0.53959086519270005</v>
      </c>
      <c r="J140">
        <f>($B$1+Table4[[#This Row],[Home Differential]])-Table4[[#This Row],[Away Differential]]</f>
        <v>0.77906111804876121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0.65587713862706487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0.43017482097362608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-1.2612222633157453</v>
      </c>
      <c r="H141" t="s">
        <v>15</v>
      </c>
      <c r="I141">
        <f>VLOOKUP(Table4[[#This Row],[Visitor]],'NHL Model'!$A$6:$B$38,2,FALSE)</f>
        <v>-0.39090512874251965</v>
      </c>
      <c r="J141">
        <f>($B$1+Table4[[#This Row],[Home Differential]])-Table4[[#This Row],[Away Differential]]</f>
        <v>-0.78689346763420298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0.6516526683109396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0.42465120011676744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-0.43769530535874146</v>
      </c>
      <c r="H142" t="s">
        <v>13</v>
      </c>
      <c r="I142">
        <f>VLOOKUP(Table4[[#This Row],[Visitor]],'NHL Model'!$A$6:$B$38,2,FALSE)</f>
        <v>-0.50197808897650842</v>
      </c>
      <c r="J142">
        <f>($B$1+Table4[[#This Row],[Home Differential]])-Table4[[#This Row],[Away Differential]]</f>
        <v>0.14770645055678966</v>
      </c>
      <c r="K142" t="str">
        <f>IF(Table4[[#This Row],[HomeIce Differential]]&gt;0,Table4[[#This Row],[Home]],Table4[[#This Row],[Visitor]])</f>
        <v>Chicago Blackhawks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0.49087288696668691</v>
      </c>
      <c r="M142" t="str">
        <f>IF(OR((NHL2025_26Results[[#This Row],[Winning Team]]="")),"-",IF(Table4[[#This Row],[Predicted Winner]]=NHL2025_26Results[[#This Row],[Winning Team]],"YES","NO"))</f>
        <v>NO</v>
      </c>
      <c r="N142">
        <f>IF(Table4[[#This Row],[Adjusted Correct]]="-", "",IF(Table4[[#This Row],[Adjusted Correct]]="YES",(Table4[[#This Row],[Strength of Win]]-1)^2,(Table4[[#This Row],[Strength of Win]]-0)^2))</f>
        <v>0.24095619115900979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-0.15603426337582751</v>
      </c>
      <c r="H143" t="s">
        <v>33</v>
      </c>
      <c r="I143">
        <f>VLOOKUP(Table4[[#This Row],[Visitor]],'NHL Model'!$A$6:$B$38,2,FALSE)</f>
        <v>-0.6620483089622381</v>
      </c>
      <c r="J143">
        <f>($B$1+Table4[[#This Row],[Home Differential]])-Table4[[#This Row],[Away Differential]]</f>
        <v>0.58943771252543331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0.62260979353987489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0.38764295501176566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2.3143316481494557E-3</v>
      </c>
      <c r="H144" t="s">
        <v>12</v>
      </c>
      <c r="I144">
        <f>VLOOKUP(Table4[[#This Row],[Visitor]],'NHL Model'!$A$6:$B$38,2,FALSE)</f>
        <v>1.339787395621115</v>
      </c>
      <c r="J144">
        <f>($B$1+Table4[[#This Row],[Home Differential]])-Table4[[#This Row],[Away Differential]]</f>
        <v>-1.2540493970339428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0.55202575084172978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0.30473242959237551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-1.4782515386602066</v>
      </c>
      <c r="H145" t="s">
        <v>39</v>
      </c>
      <c r="I145">
        <f>VLOOKUP(Table4[[#This Row],[Visitor]],'NHL Model'!$A$6:$B$38,2,FALSE)</f>
        <v>0.10032544630879472</v>
      </c>
      <c r="J145">
        <f>($B$1+Table4[[#This Row],[Home Differential]])-Table4[[#This Row],[Away Differential]]</f>
        <v>-1.4951533180299788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0.73578952172285694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6.9807176831436682E-2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0.23616512594450029</v>
      </c>
      <c r="H146" t="s">
        <v>20</v>
      </c>
      <c r="I146">
        <f>VLOOKUP(Table4[[#This Row],[Visitor]],'NHL Model'!$A$6:$B$38,2,FALSE)</f>
        <v>-0.42180143360631367</v>
      </c>
      <c r="J146">
        <f>($B$1+Table4[[#This Row],[Home Differential]])-Table4[[#This Row],[Away Differential]]</f>
        <v>0.74139022648983666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0.65852203189610026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0.11660720270036797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-1.1317546087271064</v>
      </c>
      <c r="H147" t="s">
        <v>17</v>
      </c>
      <c r="I147">
        <f>VLOOKUP(Table4[[#This Row],[Visitor]],'NHL Model'!$A$6:$B$38,2,FALSE)</f>
        <v>-1.1577943512279505</v>
      </c>
      <c r="J147">
        <f>($B$1+Table4[[#This Row],[Home Differential]])-Table4[[#This Row],[Away Differential]]</f>
        <v>0.10946340943986677</v>
      </c>
      <c r="K147" t="str">
        <f>IF(Table4[[#This Row],[HomeIce Differential]]&gt;0,Table4[[#This Row],[Home]],Table4[[#This Row],[Visitor]])</f>
        <v>Vancouver Canucks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0.55273831386394556</v>
      </c>
      <c r="M147" t="str">
        <f>IF(OR((NHL2025_26Results[[#This Row],[Winning Team]]="")),"-",IF(Table4[[#This Row],[Predicted Winner]]=NHL2025_26Results[[#This Row],[Winning Team]],"YES","NO"))</f>
        <v>YES</v>
      </c>
      <c r="N147">
        <f>IF(Table4[[#This Row],[Adjusted Correct]]="-", "",IF(Table4[[#This Row],[Adjusted Correct]]="YES",(Table4[[#This Row],[Strength of Win]]-1)^2,(Table4[[#This Row],[Strength of Win]]-0)^2))</f>
        <v>0.20004301588526646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-0.36992241209510063</v>
      </c>
      <c r="H148" t="s">
        <v>55</v>
      </c>
      <c r="I148">
        <f>VLOOKUP(Table4[[#This Row],[Visitor]],'NHL Model'!$A$6:$B$38,2,FALSE)</f>
        <v>-0.40521943828179341</v>
      </c>
      <c r="J148">
        <f>($B$1+Table4[[#This Row],[Home Differential]])-Table4[[#This Row],[Away Differential]]</f>
        <v>0.11872069312571554</v>
      </c>
      <c r="K148" t="str">
        <f>IF(Table4[[#This Row],[HomeIce Differential]]&gt;0,Table4[[#This Row],[Home]],Table4[[#This Row],[Visitor]])</f>
        <v>Winnipeg Jets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0.55631106798344976</v>
      </c>
      <c r="M148" t="str">
        <f>IF(OR((NHL2025_26Results[[#This Row],[Winning Team]]="")),"-",IF(Table4[[#This Row],[Predicted Winner]]=NHL2025_26Results[[#This Row],[Winning Team]],"YES","NO"))</f>
        <v>NO</v>
      </c>
      <c r="N148">
        <f>IF(Table4[[#This Row],[Adjusted Correct]]="-", "",IF(Table4[[#This Row],[Adjusted Correct]]="YES",(Table4[[#This Row],[Strength of Win]]-1)^2,(Table4[[#This Row],[Strength of Win]]-0)^2))</f>
        <v>0.30948200436088646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-0.53959086519270005</v>
      </c>
      <c r="H149" t="s">
        <v>21</v>
      </c>
      <c r="I149">
        <f>VLOOKUP(Table4[[#This Row],[Visitor]],'NHL Model'!$A$6:$B$38,2,FALSE)</f>
        <v>-0.41554817552415113</v>
      </c>
      <c r="J149">
        <f>($B$1+Table4[[#This Row],[Home Differential]])-Table4[[#This Row],[Away Differential]]</f>
        <v>-4.0619022729526222E-2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0.46306019012523403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0.21442473967881789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-0.22852375643476561</v>
      </c>
      <c r="H150" t="s">
        <v>35</v>
      </c>
      <c r="I150">
        <f>VLOOKUP(Table4[[#This Row],[Visitor]],'NHL Model'!$A$6:$B$38,2,FALSE)</f>
        <v>-1.5899576513683618</v>
      </c>
      <c r="J150">
        <f>($B$1+Table4[[#This Row],[Home Differential]])-Table4[[#This Row],[Away Differential]]</f>
        <v>1.4448575618726189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0.71063430482660639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8.3732505543181346E-2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-0.41554817552415113</v>
      </c>
      <c r="H151" t="s">
        <v>30</v>
      </c>
      <c r="I151">
        <f>VLOOKUP(Table4[[#This Row],[Visitor]],'NHL Model'!$A$6:$B$38,2,FALSE)</f>
        <v>-0.30740058470151932</v>
      </c>
      <c r="J151">
        <f>($B$1+Table4[[#This Row],[Home Differential]])-Table4[[#This Row],[Away Differential]]</f>
        <v>-2.4723923883609111E-2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0.5028771358757167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0.25288541378656404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-0.90742746858300449</v>
      </c>
      <c r="H152" t="s">
        <v>28</v>
      </c>
      <c r="I152">
        <f>VLOOKUP(Table4[[#This Row],[Visitor]],'NHL Model'!$A$6:$B$38,2,FALSE)</f>
        <v>-0.9065542839469537</v>
      </c>
      <c r="J152">
        <f>($B$1+Table4[[#This Row],[Home Differential]])-Table4[[#This Row],[Away Differential]]</f>
        <v>8.2550482302971906E-2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0.54960644254163316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0.30206724168326948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0.25962865313068506</v>
      </c>
      <c r="H153" t="s">
        <v>20</v>
      </c>
      <c r="I153">
        <f>VLOOKUP(Table4[[#This Row],[Visitor]],'NHL Model'!$A$6:$B$38,2,FALSE)</f>
        <v>-0.42180143360631367</v>
      </c>
      <c r="J153">
        <f>($B$1+Table4[[#This Row],[Home Differential]])-Table4[[#This Row],[Away Differential]]</f>
        <v>0.76485375367602138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0.6694376063906925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0.44814670885009972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-0.43769530535874146</v>
      </c>
      <c r="H154" t="s">
        <v>36</v>
      </c>
      <c r="I154">
        <f>VLOOKUP(Table4[[#This Row],[Visitor]],'NHL Model'!$A$6:$B$38,2,FALSE)</f>
        <v>-0.53959086519270005</v>
      </c>
      <c r="J154">
        <f>($B$1+Table4[[#This Row],[Home Differential]])-Table4[[#This Row],[Away Differential]]</f>
        <v>0.18531922677298129</v>
      </c>
      <c r="K154" t="str">
        <f>IF(Table4[[#This Row],[HomeIce Differential]]&gt;0,Table4[[#This Row],[Home]],Table4[[#This Row],[Visitor]])</f>
        <v>Chicago Blackhawks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0.56073620167508131</v>
      </c>
      <c r="M154" t="str">
        <f>IF(OR((NHL2025_26Results[[#This Row],[Winning Team]]="")),"-",IF(Table4[[#This Row],[Predicted Winner]]=NHL2025_26Results[[#This Row],[Winning Team]],"YES","NO"))</f>
        <v>YES</v>
      </c>
      <c r="N154">
        <f>IF(Table4[[#This Row],[Adjusted Correct]]="-", "",IF(Table4[[#This Row],[Adjusted Correct]]="YES",(Table4[[#This Row],[Strength of Win]]-1)^2,(Table4[[#This Row],[Strength of Win]]-0)^2))</f>
        <v>0.19295268451883485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1.339787395621115</v>
      </c>
      <c r="H155" t="s">
        <v>24</v>
      </c>
      <c r="I155">
        <f>VLOOKUP(Table4[[#This Row],[Visitor]],'NHL Model'!$A$6:$B$38,2,FALSE)</f>
        <v>2.3143316481494557E-3</v>
      </c>
      <c r="J155">
        <f>($B$1+Table4[[#This Row],[Home Differential]])-Table4[[#This Row],[Away Differential]]</f>
        <v>1.4208967309119882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0.78604014643912434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4.5778818935791353E-2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0.10032544630879472</v>
      </c>
      <c r="H156" t="s">
        <v>22</v>
      </c>
      <c r="I156">
        <f>VLOOKUP(Table4[[#This Row],[Visitor]],'NHL Model'!$A$6:$B$38,2,FALSE)</f>
        <v>0.15604658591703846</v>
      </c>
      <c r="J156">
        <f>($B$1+Table4[[#This Row],[Home Differential]])-Table4[[#This Row],[Away Differential]]</f>
        <v>2.7702527330778992E-2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0.54168529596890758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0.21005236793110785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-1.1577943512279505</v>
      </c>
      <c r="H157" t="s">
        <v>55</v>
      </c>
      <c r="I157">
        <f>VLOOKUP(Table4[[#This Row],[Visitor]],'NHL Model'!$A$6:$B$38,2,FALSE)</f>
        <v>-0.40521943828179341</v>
      </c>
      <c r="J157">
        <f>($B$1+Table4[[#This Row],[Home Differential]])-Table4[[#This Row],[Away Differential]]</f>
        <v>-0.66915124600713438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0.5308235265137432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0.28177361630048664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-0.57335522029781161</v>
      </c>
      <c r="H158" t="s">
        <v>31</v>
      </c>
      <c r="I158">
        <f>VLOOKUP(Table4[[#This Row],[Visitor]],'NHL Model'!$A$6:$B$38,2,FALSE)</f>
        <v>5.8616755922628279E-2</v>
      </c>
      <c r="J158">
        <f>($B$1+Table4[[#This Row],[Home Differential]])-Table4[[#This Row],[Away Differential]]</f>
        <v>-0.54854830928141718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0.53050151859499028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0.22042882404161027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-0.15603426337582751</v>
      </c>
      <c r="H159" t="s">
        <v>40</v>
      </c>
      <c r="I159">
        <f>VLOOKUP(Table4[[#This Row],[Visitor]],'NHL Model'!$A$6:$B$38,2,FALSE)</f>
        <v>-0.36992241209510063</v>
      </c>
      <c r="J159">
        <f>($B$1+Table4[[#This Row],[Home Differential]])-Table4[[#This Row],[Away Differential]]</f>
        <v>0.29731181565829584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0.56793166388684491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0.32254637484528015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-1.4782515386602066</v>
      </c>
      <c r="H160" t="s">
        <v>37</v>
      </c>
      <c r="I160">
        <f>VLOOKUP(Table4[[#This Row],[Visitor]],'NHL Model'!$A$6:$B$38,2,FALSE)</f>
        <v>0.23616512594450029</v>
      </c>
      <c r="J160">
        <f>($B$1+Table4[[#This Row],[Home Differential]])-Table4[[#This Row],[Away Differential]]</f>
        <v>-1.6309929976656843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0.73075777198643976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7.249137734570596E-2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-0.46667677612181552</v>
      </c>
      <c r="H161" t="s">
        <v>14</v>
      </c>
      <c r="I161">
        <f>VLOOKUP(Table4[[#This Row],[Visitor]],'NHL Model'!$A$6:$B$38,2,FALSE)</f>
        <v>-0.22852375643476561</v>
      </c>
      <c r="J161">
        <f>($B$1+Table4[[#This Row],[Home Differential]])-Table4[[#This Row],[Away Differential]]</f>
        <v>-0.15472935274802715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0.4662817972883711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0.2174187144824736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-0.64744265535741874</v>
      </c>
      <c r="H162" t="s">
        <v>18</v>
      </c>
      <c r="I162">
        <f>VLOOKUP(Table4[[#This Row],[Visitor]],'NHL Model'!$A$6:$B$38,2,FALSE)</f>
        <v>-0.65770380103775494</v>
      </c>
      <c r="J162">
        <f>($B$1+Table4[[#This Row],[Home Differential]])-Table4[[#This Row],[Away Differential]]</f>
        <v>9.3684812619358904E-2</v>
      </c>
      <c r="K162" t="str">
        <f>IF(Table4[[#This Row],[HomeIce Differential]]&gt;0,Table4[[#This Row],[Home]],Table4[[#This Row],[Visitor]])</f>
        <v>Seattle Kraken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0.47244061188748665</v>
      </c>
      <c r="M162" t="str">
        <f>IF(OR((NHL2025_26Results[[#This Row],[Winning Team]]="")),"-",IF(Table4[[#This Row],[Predicted Winner]]=NHL2025_26Results[[#This Row],[Winning Team]],"YES","NO"))</f>
        <v>NO</v>
      </c>
      <c r="N162">
        <f>IF(Table4[[#This Row],[Adjusted Correct]]="-", "",IF(Table4[[#This Row],[Adjusted Correct]]="YES",(Table4[[#This Row],[Strength of Win]]-1)^2,(Table4[[#This Row],[Strength of Win]]-0)^2))</f>
        <v>0.22320013176062278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-0.6620483089622381</v>
      </c>
      <c r="H163" t="s">
        <v>13</v>
      </c>
      <c r="I163">
        <f>VLOOKUP(Table4[[#This Row],[Visitor]],'NHL Model'!$A$6:$B$38,2,FALSE)</f>
        <v>-0.50197808897650842</v>
      </c>
      <c r="J163">
        <f>($B$1+Table4[[#This Row],[Home Differential]])-Table4[[#This Row],[Away Differential]]</f>
        <v>-7.6646553046706978E-2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0.53523518869845299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0.2160063298241626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-1.5899576513683618</v>
      </c>
      <c r="H164" t="s">
        <v>26</v>
      </c>
      <c r="I164">
        <f>VLOOKUP(Table4[[#This Row],[Visitor]],'NHL Model'!$A$6:$B$38,2,FALSE)</f>
        <v>-1.0708320987334559</v>
      </c>
      <c r="J164">
        <f>($B$1+Table4[[#This Row],[Home Differential]])-Table4[[#This Row],[Away Differential]]</f>
        <v>-0.4357018856958832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0.53147208571872873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0.21951840646075829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-1.054674343910232</v>
      </c>
      <c r="H165" t="s">
        <v>16</v>
      </c>
      <c r="I165">
        <f>VLOOKUP(Table4[[#This Row],[Visitor]],'NHL Model'!$A$6:$B$38,2,FALSE)</f>
        <v>-1.2612222633157453</v>
      </c>
      <c r="J165">
        <f>($B$1+Table4[[#This Row],[Home Differential]])-Table4[[#This Row],[Away Differential]]</f>
        <v>0.28997158634453601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0.57374414425225839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0.18169405455923951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-1.1317546087271064</v>
      </c>
      <c r="H166" t="s">
        <v>15</v>
      </c>
      <c r="I166">
        <f>VLOOKUP(Table4[[#This Row],[Visitor]],'NHL Model'!$A$6:$B$38,2,FALSE)</f>
        <v>-0.39090512874251965</v>
      </c>
      <c r="J166">
        <f>($B$1+Table4[[#This Row],[Home Differential]])-Table4[[#This Row],[Away Differential]]</f>
        <v>-0.65742581304556413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0.63658645003929926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0.13206940829503874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-0.9065542839469537</v>
      </c>
      <c r="H167" t="s">
        <v>19</v>
      </c>
      <c r="I167">
        <f>VLOOKUP(Table4[[#This Row],[Visitor]],'NHL Model'!$A$6:$B$38,2,FALSE)</f>
        <v>-1.054674343910232</v>
      </c>
      <c r="J167">
        <f>($B$1+Table4[[#This Row],[Home Differential]])-Table4[[#This Row],[Away Differential]]</f>
        <v>0.23154372690230096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0.56694486387370824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0.1875367509253611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-0.41554817552415113</v>
      </c>
      <c r="H168" t="s">
        <v>23</v>
      </c>
      <c r="I168">
        <f>VLOOKUP(Table4[[#This Row],[Visitor]],'NHL Model'!$A$6:$B$38,2,FALSE)</f>
        <v>-0.90742746858300449</v>
      </c>
      <c r="J168">
        <f>($B$1+Table4[[#This Row],[Home Differential]])-Table4[[#This Row],[Away Differential]]</f>
        <v>0.57530295999787606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0.63919437034960336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0.13018070238741919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0.25962865313068506</v>
      </c>
      <c r="H169" t="s">
        <v>30</v>
      </c>
      <c r="I169">
        <f>VLOOKUP(Table4[[#This Row],[Visitor]],'NHL Model'!$A$6:$B$38,2,FALSE)</f>
        <v>-0.30740058470151932</v>
      </c>
      <c r="J169">
        <f>($B$1+Table4[[#This Row],[Home Differential]])-Table4[[#This Row],[Away Differential]]</f>
        <v>0.65045290477122708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0.58407343095140962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0.17299491084053181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-1.1577943512279505</v>
      </c>
      <c r="H170" t="s">
        <v>15</v>
      </c>
      <c r="I170">
        <f>VLOOKUP(Table4[[#This Row],[Visitor]],'NHL Model'!$A$6:$B$38,2,FALSE)</f>
        <v>-0.39090512874251965</v>
      </c>
      <c r="J170">
        <f>($B$1+Table4[[#This Row],[Home Differential]])-Table4[[#This Row],[Away Differential]]</f>
        <v>-0.6834655555464082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0.6326078677147785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0.1349769788650817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-0.50197808897650842</v>
      </c>
      <c r="H171" t="s">
        <v>26</v>
      </c>
      <c r="I171">
        <f>VLOOKUP(Table4[[#This Row],[Visitor]],'NHL Model'!$A$6:$B$38,2,FALSE)</f>
        <v>-1.0708320987334559</v>
      </c>
      <c r="J171">
        <f>($B$1+Table4[[#This Row],[Home Differential]])-Table4[[#This Row],[Away Differential]]</f>
        <v>0.65227767669597014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0.59513666157156031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0.3541876459465419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-0.15603426337582751</v>
      </c>
      <c r="H172" t="s">
        <v>14</v>
      </c>
      <c r="I172">
        <f>VLOOKUP(Table4[[#This Row],[Visitor]],'NHL Model'!$A$6:$B$38,2,FALSE)</f>
        <v>-0.22852375643476561</v>
      </c>
      <c r="J172">
        <f>($B$1+Table4[[#This Row],[Home Differential]])-Table4[[#This Row],[Away Differential]]</f>
        <v>0.15591315999796082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0.55147702881784699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0.30412691331376046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-0.53959086519270005</v>
      </c>
      <c r="H173" t="s">
        <v>16</v>
      </c>
      <c r="I173">
        <f>VLOOKUP(Table4[[#This Row],[Visitor]],'NHL Model'!$A$6:$B$38,2,FALSE)</f>
        <v>-1.2612222633157453</v>
      </c>
      <c r="J173">
        <f>($B$1+Table4[[#This Row],[Home Differential]])-Table4[[#This Row],[Away Differential]]</f>
        <v>0.80505506506206792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0.63618015565463149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0.13236487913948816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-0.46667677612181552</v>
      </c>
      <c r="H174" t="s">
        <v>29</v>
      </c>
      <c r="I174">
        <f>VLOOKUP(Table4[[#This Row],[Visitor]],'NHL Model'!$A$6:$B$38,2,FALSE)</f>
        <v>-1.4782515386602066</v>
      </c>
      <c r="J174">
        <f>($B$1+Table4[[#This Row],[Home Differential]])-Table4[[#This Row],[Away Differential]]</f>
        <v>1.094998429477414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0.69967160231027581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9.0197146458877137E-2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-0.6620483089622381</v>
      </c>
      <c r="H175" t="s">
        <v>24</v>
      </c>
      <c r="I175">
        <f>VLOOKUP(Table4[[#This Row],[Visitor]],'NHL Model'!$A$6:$B$38,2,FALSE)</f>
        <v>2.3143316481494557E-3</v>
      </c>
      <c r="J175">
        <f>($B$1+Table4[[#This Row],[Home Differential]])-Table4[[#This Row],[Away Differential]]</f>
        <v>-0.58093897367136482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0.54837340115175015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0.3007133870907383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-1.5899576513683618</v>
      </c>
      <c r="H176" t="s">
        <v>38</v>
      </c>
      <c r="I176">
        <f>VLOOKUP(Table4[[#This Row],[Visitor]],'NHL Model'!$A$6:$B$38,2,FALSE)</f>
        <v>-1.1317546087271064</v>
      </c>
      <c r="J176">
        <f>($B$1+Table4[[#This Row],[Home Differential]])-Table4[[#This Row],[Away Differential]]</f>
        <v>-0.37477937570223263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0.52438250155860078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0.22621200482365439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0.23616512594450029</v>
      </c>
      <c r="H177" t="s">
        <v>39</v>
      </c>
      <c r="I177">
        <f>VLOOKUP(Table4[[#This Row],[Visitor]],'NHL Model'!$A$6:$B$38,2,FALSE)</f>
        <v>0.10032544630879472</v>
      </c>
      <c r="J177">
        <f>($B$1+Table4[[#This Row],[Home Differential]])-Table4[[#This Row],[Away Differential]]</f>
        <v>0.21926334657472832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0.49610402492482802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0.25391115369695827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-0.36992241209510063</v>
      </c>
      <c r="H178" t="s">
        <v>10</v>
      </c>
      <c r="I178">
        <f>VLOOKUP(Table4[[#This Row],[Visitor]],'NHL Model'!$A$6:$B$38,2,FALSE)</f>
        <v>-0.43769530535874146</v>
      </c>
      <c r="J178">
        <f>($B$1+Table4[[#This Row],[Home Differential]])-Table4[[#This Row],[Away Differential]]</f>
        <v>0.15119656020266359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0.5600903015186266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0.19352054281797285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5.8616755922628279E-2</v>
      </c>
      <c r="H179" t="s">
        <v>26</v>
      </c>
      <c r="I179">
        <f>VLOOKUP(Table4[[#This Row],[Visitor]],'NHL Model'!$A$6:$B$38,2,FALSE)</f>
        <v>-1.0708320987334559</v>
      </c>
      <c r="J179">
        <f>($B$1+Table4[[#This Row],[Home Differential]])-Table4[[#This Row],[Away Differential]]</f>
        <v>1.2128725215951068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0.74114260588165659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6.7007150489739375E-2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-0.42180143360631367</v>
      </c>
      <c r="H180" t="s">
        <v>12</v>
      </c>
      <c r="I180">
        <f>VLOOKUP(Table4[[#This Row],[Visitor]],'NHL Model'!$A$6:$B$38,2,FALSE)</f>
        <v>1.339787395621115</v>
      </c>
      <c r="J180">
        <f>($B$1+Table4[[#This Row],[Home Differential]])-Table4[[#This Row],[Away Differential]]</f>
        <v>-1.678165162288406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0.72791212148159135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7.4031813636648305E-2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0.15604658591703846</v>
      </c>
      <c r="H181" t="s">
        <v>30</v>
      </c>
      <c r="I181">
        <f>VLOOKUP(Table4[[#This Row],[Visitor]],'NHL Model'!$A$6:$B$38,2,FALSE)</f>
        <v>-0.30740058470151932</v>
      </c>
      <c r="J181">
        <f>($B$1+Table4[[#This Row],[Home Differential]])-Table4[[#This Row],[Away Differential]]</f>
        <v>0.54687083755758048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0.55731052974769235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0.31059502656765348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-0.41554817552415113</v>
      </c>
      <c r="H182" t="s">
        <v>25</v>
      </c>
      <c r="I182">
        <f>VLOOKUP(Table4[[#This Row],[Visitor]],'NHL Model'!$A$6:$B$38,2,FALSE)</f>
        <v>0.25962865313068506</v>
      </c>
      <c r="J182">
        <f>($B$1+Table4[[#This Row],[Home Differential]])-Table4[[#This Row],[Away Differential]]</f>
        <v>-0.59175316171581349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0.56886262306729152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0.3236046839229994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-0.90742746858300449</v>
      </c>
      <c r="H183" t="s">
        <v>22</v>
      </c>
      <c r="I183">
        <f>VLOOKUP(Table4[[#This Row],[Visitor]],'NHL Model'!$A$6:$B$38,2,FALSE)</f>
        <v>0.15604658591703846</v>
      </c>
      <c r="J183">
        <f>($B$1+Table4[[#This Row],[Home Differential]])-Table4[[#This Row],[Away Differential]]</f>
        <v>-0.98005038756102025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0.59481820387463968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0.35380869566065243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-0.9065542839469537</v>
      </c>
      <c r="H184" t="s">
        <v>35</v>
      </c>
      <c r="I184">
        <f>VLOOKUP(Table4[[#This Row],[Visitor]],'NHL Model'!$A$6:$B$38,2,FALSE)</f>
        <v>-1.5899576513683618</v>
      </c>
      <c r="J184">
        <f>($B$1+Table4[[#This Row],[Home Differential]])-Table4[[#This Row],[Away Differential]]</f>
        <v>0.76682703436043076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0.6292360606436963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0.13746589872700485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-1.1577943512279505</v>
      </c>
      <c r="H185" t="s">
        <v>10</v>
      </c>
      <c r="I185">
        <f>VLOOKUP(Table4[[#This Row],[Visitor]],'NHL Model'!$A$6:$B$38,2,FALSE)</f>
        <v>-0.43769530535874146</v>
      </c>
      <c r="J185">
        <f>($B$1+Table4[[#This Row],[Home Differential]])-Table4[[#This Row],[Away Differential]]</f>
        <v>-0.63667537893018633</v>
      </c>
      <c r="K185" t="str">
        <f>IF(Table4[[#This Row],[HomeIce Differential]]&gt;0,Table4[[#This Row],[Home]],Table4[[#This Row],[Visitor]])</f>
        <v>Chicago Blackhawks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0.52704429297856636</v>
      </c>
      <c r="M185" t="str">
        <f>IF(OR((NHL2025_26Results[[#This Row],[Winning Team]]="")),"-",IF(Table4[[#This Row],[Predicted Winner]]=NHL2025_26Results[[#This Row],[Winning Team]],"YES","NO"))</f>
        <v>NO</v>
      </c>
      <c r="N185">
        <f>IF(Table4[[#This Row],[Adjusted Correct]]="-", "",IF(Table4[[#This Row],[Adjusted Correct]]="YES",(Table4[[#This Row],[Strength of Win]]-1)^2,(Table4[[#This Row],[Strength of Win]]-0)^2))</f>
        <v>0.2777756867612769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-0.57335522029781161</v>
      </c>
      <c r="H186" t="s">
        <v>39</v>
      </c>
      <c r="I186">
        <f>VLOOKUP(Table4[[#This Row],[Visitor]],'NHL Model'!$A$6:$B$38,2,FALSE)</f>
        <v>0.10032544630879472</v>
      </c>
      <c r="J186">
        <f>($B$1+Table4[[#This Row],[Home Differential]])-Table4[[#This Row],[Away Differential]]</f>
        <v>-0.5902569996675836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0.61651460086844168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0.38009025308397393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-0.50197808897650842</v>
      </c>
      <c r="H187" t="s">
        <v>24</v>
      </c>
      <c r="I187">
        <f>VLOOKUP(Table4[[#This Row],[Visitor]],'NHL Model'!$A$6:$B$38,2,FALSE)</f>
        <v>2.3143316481494557E-3</v>
      </c>
      <c r="J187">
        <f>($B$1+Table4[[#This Row],[Home Differential]])-Table4[[#This Row],[Away Differential]]</f>
        <v>-0.4208687536856352</v>
      </c>
      <c r="K187" t="str">
        <f>IF(Table4[[#This Row],[HomeIce Differential]]&gt;0,Table4[[#This Row],[Home]],Table4[[#This Row],[Visitor]])</f>
        <v>New Jersey Devils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0.52974594643530293</v>
      </c>
      <c r="M187" t="str">
        <f>IF(OR((NHL2025_26Results[[#This Row],[Winning Team]]="")),"-",IF(Table4[[#This Row],[Predicted Winner]]=NHL2025_26Results[[#This Row],[Winning Team]],"YES","NO"))</f>
        <v>YES</v>
      </c>
      <c r="N187">
        <f>IF(Table4[[#This Row],[Adjusted Correct]]="-", "",IF(Table4[[#This Row],[Adjusted Correct]]="YES",(Table4[[#This Row],[Strength of Win]]-1)^2,(Table4[[#This Row],[Strength of Win]]-0)^2))</f>
        <v>0.22113887489402898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-0.15603426337582751</v>
      </c>
      <c r="H188" t="s">
        <v>38</v>
      </c>
      <c r="I188">
        <f>VLOOKUP(Table4[[#This Row],[Visitor]],'NHL Model'!$A$6:$B$38,2,FALSE)</f>
        <v>-1.1317546087271064</v>
      </c>
      <c r="J188">
        <f>($B$1+Table4[[#This Row],[Home Differential]])-Table4[[#This Row],[Away Differential]]</f>
        <v>1.0591440122903015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0.65658647266738679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0.11793285075502748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-0.65770380103775494</v>
      </c>
      <c r="H189" t="s">
        <v>36</v>
      </c>
      <c r="I189">
        <f>VLOOKUP(Table4[[#This Row],[Visitor]],'NHL Model'!$A$6:$B$38,2,FALSE)</f>
        <v>-0.53959086519270005</v>
      </c>
      <c r="J189">
        <f>($B$1+Table4[[#This Row],[Home Differential]])-Table4[[#This Row],[Away Differential]]</f>
        <v>-3.4689268906032189E-2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0.46486630134427998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0.21610067812551093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-1.4782515386602066</v>
      </c>
      <c r="H190" t="s">
        <v>16</v>
      </c>
      <c r="I190">
        <f>VLOOKUP(Table4[[#This Row],[Visitor]],'NHL Model'!$A$6:$B$38,2,FALSE)</f>
        <v>-1.2612222633157453</v>
      </c>
      <c r="J190">
        <f>($B$1+Table4[[#This Row],[Home Differential]])-Table4[[#This Row],[Away Differential]]</f>
        <v>-0.13360560840543867</v>
      </c>
      <c r="K190" t="str">
        <f>IF(Table4[[#This Row],[HomeIce Differential]]&gt;0,Table4[[#This Row],[Home]],Table4[[#This Row],[Visitor]])</f>
        <v>Calgary Flames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0.47554775410852534</v>
      </c>
      <c r="M190" t="str">
        <f>IF(OR((NHL2025_26Results[[#This Row],[Winning Team]]="")),"-",IF(Table4[[#This Row],[Predicted Winner]]=NHL2025_26Results[[#This Row],[Winning Team]],"YES","NO"))</f>
        <v>NO</v>
      </c>
      <c r="N190">
        <f>IF(Table4[[#This Row],[Adjusted Correct]]="-", "",IF(Table4[[#This Row],[Adjusted Correct]]="YES",(Table4[[#This Row],[Strength of Win]]-1)^2,(Table4[[#This Row],[Strength of Win]]-0)^2))</f>
        <v>0.22614566643766248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-0.46667677612181552</v>
      </c>
      <c r="H191" t="s">
        <v>19</v>
      </c>
      <c r="I191">
        <f>VLOOKUP(Table4[[#This Row],[Visitor]],'NHL Model'!$A$6:$B$38,2,FALSE)</f>
        <v>-1.054674343910232</v>
      </c>
      <c r="J191">
        <f>($B$1+Table4[[#This Row],[Home Differential]])-Table4[[#This Row],[Away Differential]]</f>
        <v>0.6714212347274392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0.65037970394949207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0.42299375930942895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-0.64744265535741874</v>
      </c>
      <c r="H192" t="s">
        <v>15</v>
      </c>
      <c r="I192">
        <f>VLOOKUP(Table4[[#This Row],[Visitor]],'NHL Model'!$A$6:$B$38,2,FALSE)</f>
        <v>-0.39090512874251965</v>
      </c>
      <c r="J192">
        <f>($B$1+Table4[[#This Row],[Home Differential]])-Table4[[#This Row],[Away Differential]]</f>
        <v>-0.17311385967587639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0.57774903648421294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0.17829587619001053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-0.6620483089622381</v>
      </c>
      <c r="H193" t="s">
        <v>12</v>
      </c>
      <c r="I193">
        <f>VLOOKUP(Table4[[#This Row],[Visitor]],'NHL Model'!$A$6:$B$38,2,FALSE)</f>
        <v>1.339787395621115</v>
      </c>
      <c r="J193">
        <f>($B$1+Table4[[#This Row],[Home Differential]])-Table4[[#This Row],[Away Differential]]</f>
        <v>-1.9184120376443303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0.75586977526540799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0.57133911715977836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-0.36992241209510063</v>
      </c>
      <c r="H194" t="s">
        <v>14</v>
      </c>
      <c r="I194">
        <f>VLOOKUP(Table4[[#This Row],[Visitor]],'NHL Model'!$A$6:$B$38,2,FALSE)</f>
        <v>-0.22852375643476561</v>
      </c>
      <c r="J194">
        <f>($B$1+Table4[[#This Row],[Home Differential]])-Table4[[#This Row],[Away Differential]]</f>
        <v>-5.7974988721312265E-2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0.48500744914253702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0.23523222572375063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5.8616755922628279E-2</v>
      </c>
      <c r="H195" t="s">
        <v>24</v>
      </c>
      <c r="I195">
        <f>VLOOKUP(Table4[[#This Row],[Visitor]],'NHL Model'!$A$6:$B$38,2,FALSE)</f>
        <v>2.3143316481494557E-3</v>
      </c>
      <c r="J195">
        <f>($B$1+Table4[[#This Row],[Home Differential]])-Table4[[#This Row],[Away Differential]]</f>
        <v>0.13972609121350155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0.61625999787479335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0.14725638923105361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-0.30740058470151932</v>
      </c>
      <c r="H196" t="s">
        <v>28</v>
      </c>
      <c r="I196">
        <f>VLOOKUP(Table4[[#This Row],[Visitor]],'NHL Model'!$A$6:$B$38,2,FALSE)</f>
        <v>-0.9065542839469537</v>
      </c>
      <c r="J196">
        <f>($B$1+Table4[[#This Row],[Home Differential]])-Table4[[#This Row],[Away Differential]]</f>
        <v>0.68257736618445708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0.61943188295865559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0.14483209170839442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-0.46667677612181552</v>
      </c>
      <c r="H197" t="s">
        <v>16</v>
      </c>
      <c r="I197">
        <f>VLOOKUP(Table4[[#This Row],[Visitor]],'NHL Model'!$A$6:$B$38,2,FALSE)</f>
        <v>-1.2612222633157453</v>
      </c>
      <c r="J197">
        <f>($B$1+Table4[[#This Row],[Home Differential]])-Table4[[#This Row],[Away Differential]]</f>
        <v>0.87796915413295251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0.67441579271007224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0.45483666145675511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-0.6620483089622381</v>
      </c>
      <c r="H198" t="s">
        <v>26</v>
      </c>
      <c r="I198">
        <f>VLOOKUP(Table4[[#This Row],[Visitor]],'NHL Model'!$A$6:$B$38,2,FALSE)</f>
        <v>-1.0708320987334559</v>
      </c>
      <c r="J198">
        <f>($B$1+Table4[[#This Row],[Home Differential]])-Table4[[#This Row],[Away Differential]]</f>
        <v>0.49220745671024047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0.5765092068551132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0.3323628655887117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-0.40521943828179341</v>
      </c>
      <c r="H199" t="s">
        <v>37</v>
      </c>
      <c r="I199">
        <f>VLOOKUP(Table4[[#This Row],[Visitor]],'NHL Model'!$A$6:$B$38,2,FALSE)</f>
        <v>0.23616512594450029</v>
      </c>
      <c r="J199">
        <f>($B$1+Table4[[#This Row],[Home Differential]])-Table4[[#This Row],[Away Differential]]</f>
        <v>-0.55796089728727094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0.56493019968794589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0.18928573114357064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-1.4782515386602066</v>
      </c>
      <c r="H200" t="s">
        <v>38</v>
      </c>
      <c r="I200">
        <f>VLOOKUP(Table4[[#This Row],[Visitor]],'NHL Model'!$A$6:$B$38,2,FALSE)</f>
        <v>-1.1317546087271064</v>
      </c>
      <c r="J200">
        <f>($B$1+Table4[[#This Row],[Home Differential]])-Table4[[#This Row],[Away Differential]]</f>
        <v>-0.26307326299407752</v>
      </c>
      <c r="K200" t="str">
        <f>IF(Table4[[#This Row],[HomeIce Differential]]&gt;0,Table4[[#This Row],[Home]],Table4[[#This Row],[Visitor]])</f>
        <v>Vancouver Canucks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0.51138320314939634</v>
      </c>
      <c r="M200" t="str">
        <f>IF(OR((NHL2025_26Results[[#This Row],[Winning Team]]="")),"-",IF(Table4[[#This Row],[Predicted Winner]]=NHL2025_26Results[[#This Row],[Winning Team]],"YES","NO"))</f>
        <v>YES</v>
      </c>
      <c r="N200">
        <f>IF(Table4[[#This Row],[Adjusted Correct]]="-", "",IF(Table4[[#This Row],[Adjusted Correct]]="YES",(Table4[[#This Row],[Strength of Win]]-1)^2,(Table4[[#This Row],[Strength of Win]]-0)^2))</f>
        <v>0.23874637416454408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-0.64744265535741874</v>
      </c>
      <c r="H201" t="s">
        <v>10</v>
      </c>
      <c r="I201">
        <f>VLOOKUP(Table4[[#This Row],[Visitor]],'NHL Model'!$A$6:$B$38,2,FALSE)</f>
        <v>-0.43769530535874146</v>
      </c>
      <c r="J201">
        <f>($B$1+Table4[[#This Row],[Home Differential]])-Table4[[#This Row],[Away Differential]]</f>
        <v>-0.12632368305965458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0.47220487346599632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0.22297744252503759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-1.5899576513683618</v>
      </c>
      <c r="H202" t="s">
        <v>17</v>
      </c>
      <c r="I202">
        <f>VLOOKUP(Table4[[#This Row],[Visitor]],'NHL Model'!$A$6:$B$38,2,FALSE)</f>
        <v>-1.1577943512279505</v>
      </c>
      <c r="J202">
        <f>($B$1+Table4[[#This Row],[Home Differential]])-Table4[[#This Row],[Away Differential]]</f>
        <v>-0.34873963320138857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0.5005830124171029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0.25058335232058138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-1.054674343910232</v>
      </c>
      <c r="H203" t="s">
        <v>14</v>
      </c>
      <c r="I203">
        <f>VLOOKUP(Table4[[#This Row],[Visitor]],'NHL Model'!$A$6:$B$38,2,FALSE)</f>
        <v>-0.22852375643476561</v>
      </c>
      <c r="J203">
        <f>($B$1+Table4[[#This Row],[Home Differential]])-Table4[[#This Row],[Away Differential]]</f>
        <v>-0.74272692053644362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0.56720074863815251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0.32171668925568064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5.8616755922628279E-2</v>
      </c>
      <c r="H204" t="s">
        <v>11</v>
      </c>
      <c r="I204">
        <f>VLOOKUP(Table4[[#This Row],[Visitor]],'NHL Model'!$A$6:$B$38,2,FALSE)</f>
        <v>-0.57335522029781161</v>
      </c>
      <c r="J204">
        <f>($B$1+Table4[[#This Row],[Home Differential]])-Table4[[#This Row],[Away Differential]]</f>
        <v>0.71539564315946258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0.70308567365548191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8.815811718861899E-2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-0.90742746858300449</v>
      </c>
      <c r="H205" t="s">
        <v>55</v>
      </c>
      <c r="I205">
        <f>VLOOKUP(Table4[[#This Row],[Visitor]],'NHL Model'!$A$6:$B$38,2,FALSE)</f>
        <v>-0.40521943828179341</v>
      </c>
      <c r="J205">
        <f>($B$1+Table4[[#This Row],[Home Differential]])-Table4[[#This Row],[Away Differential]]</f>
        <v>-0.41878436336218838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0.50873415408050771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0.24134213136699434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1.339787395621115</v>
      </c>
      <c r="H206" t="s">
        <v>37</v>
      </c>
      <c r="I206">
        <f>VLOOKUP(Table4[[#This Row],[Visitor]],'NHL Model'!$A$6:$B$38,2,FALSE)</f>
        <v>0.23616512594450029</v>
      </c>
      <c r="J206">
        <f>($B$1+Table4[[#This Row],[Home Differential]])-Table4[[#This Row],[Away Differential]]</f>
        <v>1.1870459366156374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0.70063715276096727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8.9618114307060445E-2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0.10032544630879472</v>
      </c>
      <c r="H207" t="s">
        <v>17</v>
      </c>
      <c r="I207">
        <f>VLOOKUP(Table4[[#This Row],[Visitor]],'NHL Model'!$A$6:$B$38,2,FALSE)</f>
        <v>-1.1577943512279505</v>
      </c>
      <c r="J207">
        <f>($B$1+Table4[[#This Row],[Home Differential]])-Table4[[#This Row],[Away Differential]]</f>
        <v>1.341543464475768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0.71522154170755214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8.1098770307423462E-2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-0.50197808897650842</v>
      </c>
      <c r="H208" t="s">
        <v>40</v>
      </c>
      <c r="I208">
        <f>VLOOKUP(Table4[[#This Row],[Visitor]],'NHL Model'!$A$6:$B$38,2,FALSE)</f>
        <v>-0.36992241209510063</v>
      </c>
      <c r="J208">
        <f>($B$1+Table4[[#This Row],[Home Differential]])-Table4[[#This Row],[Away Differential]]</f>
        <v>-4.863200994238509E-2</v>
      </c>
      <c r="K208" t="str">
        <f>IF(Table4[[#This Row],[HomeIce Differential]]&gt;0,Table4[[#This Row],[Home]],Table4[[#This Row],[Visitor]])</f>
        <v>Winnipeg Jets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0.48642856304885368</v>
      </c>
      <c r="M208" t="str">
        <f>IF(OR((NHL2025_26Results[[#This Row],[Winning Team]]="")),"-",IF(Table4[[#This Row],[Predicted Winner]]=NHL2025_26Results[[#This Row],[Winning Team]],"YES","NO"))</f>
        <v>NO</v>
      </c>
      <c r="N208">
        <f>IF(Table4[[#This Row],[Adjusted Correct]]="-", "",IF(Table4[[#This Row],[Adjusted Correct]]="YES",(Table4[[#This Row],[Strength of Win]]-1)^2,(Table4[[#This Row],[Strength of Win]]-0)^2))</f>
        <v>0.23661274694977261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-0.15603426337582751</v>
      </c>
      <c r="H209" t="s">
        <v>29</v>
      </c>
      <c r="I209">
        <f>VLOOKUP(Table4[[#This Row],[Visitor]],'NHL Model'!$A$6:$B$38,2,FALSE)</f>
        <v>-1.4782515386602066</v>
      </c>
      <c r="J209">
        <f>($B$1+Table4[[#This Row],[Home Differential]])-Table4[[#This Row],[Away Differential]]</f>
        <v>1.405640942223402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0.71759178770451248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7.9754398371933141E-2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-0.65770380103775494</v>
      </c>
      <c r="H210" t="s">
        <v>27</v>
      </c>
      <c r="I210">
        <f>VLOOKUP(Table4[[#This Row],[Visitor]],'NHL Model'!$A$6:$B$38,2,FALSE)</f>
        <v>-0.46667677612181552</v>
      </c>
      <c r="J210">
        <f>($B$1+Table4[[#This Row],[Home Differential]])-Table4[[#This Row],[Away Differential]]</f>
        <v>-0.10760335797691672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0.49329108947743616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0.2567539200029636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-0.30740058470151932</v>
      </c>
      <c r="H211" t="s">
        <v>21</v>
      </c>
      <c r="I211">
        <f>VLOOKUP(Table4[[#This Row],[Visitor]],'NHL Model'!$A$6:$B$38,2,FALSE)</f>
        <v>-0.41554817552415113</v>
      </c>
      <c r="J211">
        <f>($B$1+Table4[[#This Row],[Home Differential]])-Table4[[#This Row],[Away Differential]]</f>
        <v>0.19157125776165454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0.56146375377151569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0.31524154679920119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-0.39090512874251965</v>
      </c>
      <c r="H212" t="s">
        <v>25</v>
      </c>
      <c r="I212">
        <f>VLOOKUP(Table4[[#This Row],[Visitor]],'NHL Model'!$A$6:$B$38,2,FALSE)</f>
        <v>0.25962865313068506</v>
      </c>
      <c r="J212">
        <f>($B$1+Table4[[#This Row],[Home Differential]])-Table4[[#This Row],[Away Differential]]</f>
        <v>-0.56711011493418195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0.5986180680098343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0.16110745532815801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-0.42180143360631367</v>
      </c>
      <c r="H213" t="s">
        <v>26</v>
      </c>
      <c r="I213">
        <f>VLOOKUP(Table4[[#This Row],[Visitor]],'NHL Model'!$A$6:$B$38,2,FALSE)</f>
        <v>-1.0708320987334559</v>
      </c>
      <c r="J213">
        <f>($B$1+Table4[[#This Row],[Home Differential]])-Table4[[#This Row],[Away Differential]]</f>
        <v>0.73245433206616495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0.60446686063892985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0.15644646433282375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-1.2612222633157453</v>
      </c>
      <c r="H214" t="s">
        <v>28</v>
      </c>
      <c r="I214">
        <f>VLOOKUP(Table4[[#This Row],[Visitor]],'NHL Model'!$A$6:$B$38,2,FALSE)</f>
        <v>-0.9065542839469537</v>
      </c>
      <c r="J214">
        <f>($B$1+Table4[[#This Row],[Home Differential]])-Table4[[#This Row],[Away Differential]]</f>
        <v>-0.27124431242976887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0.49156484165093173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0.24163599354730558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-0.64744265535741874</v>
      </c>
      <c r="H215" t="s">
        <v>33</v>
      </c>
      <c r="I215">
        <f>VLOOKUP(Table4[[#This Row],[Visitor]],'NHL Model'!$A$6:$B$38,2,FALSE)</f>
        <v>-0.6620483089622381</v>
      </c>
      <c r="J215">
        <f>($B$1+Table4[[#This Row],[Home Differential]])-Table4[[#This Row],[Away Differential]]</f>
        <v>9.8029320543842058E-2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0.55390320219914368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0.30680875740646546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-1.054674343910232</v>
      </c>
      <c r="H216" t="s">
        <v>55</v>
      </c>
      <c r="I216">
        <f>VLOOKUP(Table4[[#This Row],[Visitor]],'NHL Model'!$A$6:$B$38,2,FALSE)</f>
        <v>-0.40521943828179341</v>
      </c>
      <c r="J216">
        <f>($B$1+Table4[[#This Row],[Home Differential]])-Table4[[#This Row],[Away Differential]]</f>
        <v>-0.56603123868941585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0.52586934951249242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0.27653857275669191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-1.1317546087271064</v>
      </c>
      <c r="H217" t="s">
        <v>10</v>
      </c>
      <c r="I217">
        <f>VLOOKUP(Table4[[#This Row],[Visitor]],'NHL Model'!$A$6:$B$38,2,FALSE)</f>
        <v>-0.43769530535874146</v>
      </c>
      <c r="J217">
        <f>($B$1+Table4[[#This Row],[Home Differential]])-Table4[[#This Row],[Away Differential]]</f>
        <v>-0.61063563642934227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0.5310599864662553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0.21990473629302867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0.15604658591703846</v>
      </c>
      <c r="H218" t="s">
        <v>35</v>
      </c>
      <c r="I218">
        <f>VLOOKUP(Table4[[#This Row],[Visitor]],'NHL Model'!$A$6:$B$38,2,FALSE)</f>
        <v>-1.5899576513683618</v>
      </c>
      <c r="J218">
        <f>($B$1+Table4[[#This Row],[Home Differential]])-Table4[[#This Row],[Away Differential]]</f>
        <v>1.829427904224423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0.77892921213979494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4.8872293245131794E-2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-0.41554817552415113</v>
      </c>
      <c r="H219" t="s">
        <v>36</v>
      </c>
      <c r="I219">
        <f>VLOOKUP(Table4[[#This Row],[Visitor]],'NHL Model'!$A$6:$B$38,2,FALSE)</f>
        <v>-0.53959086519270005</v>
      </c>
      <c r="J219">
        <f>($B$1+Table4[[#This Row],[Home Differential]])-Table4[[#This Row],[Away Differential]]</f>
        <v>0.20746635660757162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0.59557153920382866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0.16356237990196029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-0.90742746858300449</v>
      </c>
      <c r="H220" t="s">
        <v>35</v>
      </c>
      <c r="I220">
        <f>VLOOKUP(Table4[[#This Row],[Visitor]],'NHL Model'!$A$6:$B$38,2,FALSE)</f>
        <v>-1.5899576513683618</v>
      </c>
      <c r="J220">
        <f>($B$1+Table4[[#This Row],[Home Differential]])-Table4[[#This Row],[Away Differential]]</f>
        <v>0.76595384972437996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0.62913444769365112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0.39581015327479546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0.25962865313068506</v>
      </c>
      <c r="H221" t="s">
        <v>34</v>
      </c>
      <c r="I221">
        <f>VLOOKUP(Table4[[#This Row],[Visitor]],'NHL Model'!$A$6:$B$38,2,FALSE)</f>
        <v>-0.15603426337582751</v>
      </c>
      <c r="J221">
        <f>($B$1+Table4[[#This Row],[Home Differential]])-Table4[[#This Row],[Away Differential]]</f>
        <v>0.49908658344553525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0.59654050364036337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0.16277956520277165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0.10032544630879472</v>
      </c>
      <c r="H222" t="s">
        <v>31</v>
      </c>
      <c r="I222">
        <f>VLOOKUP(Table4[[#This Row],[Visitor]],'NHL Model'!$A$6:$B$38,2,FALSE)</f>
        <v>5.8616755922628279E-2</v>
      </c>
      <c r="J222">
        <f>($B$1+Table4[[#This Row],[Home Differential]])-Table4[[#This Row],[Away Differential]]</f>
        <v>0.12513235732518918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0.55302325593681301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0.3058347216069538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-0.50197808897650842</v>
      </c>
      <c r="H223" t="s">
        <v>11</v>
      </c>
      <c r="I223">
        <f>VLOOKUP(Table4[[#This Row],[Visitor]],'NHL Model'!$A$6:$B$38,2,FALSE)</f>
        <v>-0.57335522029781161</v>
      </c>
      <c r="J223">
        <f>($B$1+Table4[[#This Row],[Home Differential]])-Table4[[#This Row],[Away Differential]]</f>
        <v>0.15480079826032589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0.55801424937081467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0.31137990250087377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2.3143316481494557E-3</v>
      </c>
      <c r="H224" t="s">
        <v>18</v>
      </c>
      <c r="I224">
        <f>VLOOKUP(Table4[[#This Row],[Visitor]],'NHL Model'!$A$6:$B$38,2,FALSE)</f>
        <v>-0.65770380103775494</v>
      </c>
      <c r="J224">
        <f>($B$1+Table4[[#This Row],[Home Differential]])-Table4[[#This Row],[Away Differential]]</f>
        <v>0.74344179962492718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0.6723135252881447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0.10737842570908339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-1.4782515386602066</v>
      </c>
      <c r="H225" t="s">
        <v>27</v>
      </c>
      <c r="I225">
        <f>VLOOKUP(Table4[[#This Row],[Visitor]],'NHL Model'!$A$6:$B$38,2,FALSE)</f>
        <v>-0.46667677612181552</v>
      </c>
      <c r="J225">
        <f>($B$1+Table4[[#This Row],[Home Differential]])-Table4[[#This Row],[Away Differential]]</f>
        <v>-0.92815109559936837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0.58877865628785231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0.16910299352442432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-0.22852375643476561</v>
      </c>
      <c r="H226" t="s">
        <v>22</v>
      </c>
      <c r="I226">
        <f>VLOOKUP(Table4[[#This Row],[Visitor]],'NHL Model'!$A$6:$B$38,2,FALSE)</f>
        <v>0.15604658591703846</v>
      </c>
      <c r="J226">
        <f>($B$1+Table4[[#This Row],[Home Differential]])-Table4[[#This Row],[Away Differential]]</f>
        <v>-0.30114667541278134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0.513305464742011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0.26348250013401192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-0.42180143360631367</v>
      </c>
      <c r="H227" t="s">
        <v>37</v>
      </c>
      <c r="I227">
        <f>VLOOKUP(Table4[[#This Row],[Visitor]],'NHL Model'!$A$6:$B$38,2,FALSE)</f>
        <v>0.23616512594450029</v>
      </c>
      <c r="J227">
        <f>($B$1+Table4[[#This Row],[Home Differential]])-Table4[[#This Row],[Away Differential]]</f>
        <v>-0.57454289261179126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0.60781812403798563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0.15380662383308483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-1.2612222633157453</v>
      </c>
      <c r="H228" t="s">
        <v>10</v>
      </c>
      <c r="I228">
        <f>VLOOKUP(Table4[[#This Row],[Visitor]],'NHL Model'!$A$6:$B$38,2,FALSE)</f>
        <v>-0.43769530535874146</v>
      </c>
      <c r="J228">
        <f>($B$1+Table4[[#This Row],[Home Differential]])-Table4[[#This Row],[Away Differential]]</f>
        <v>-0.74010329101798111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0.54612620473789564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0.20600142202562663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-1.0708320987334559</v>
      </c>
      <c r="H229" t="s">
        <v>15</v>
      </c>
      <c r="I229">
        <f>VLOOKUP(Table4[[#This Row],[Visitor]],'NHL Model'!$A$6:$B$38,2,FALSE)</f>
        <v>-0.39090512874251965</v>
      </c>
      <c r="J229">
        <f>($B$1+Table4[[#This Row],[Home Differential]])-Table4[[#This Row],[Away Differential]]</f>
        <v>-0.59650330305191357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0.62949686587917131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0.13727257239335677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-0.30740058470151932</v>
      </c>
      <c r="H230" t="s">
        <v>34</v>
      </c>
      <c r="I230">
        <f>VLOOKUP(Table4[[#This Row],[Visitor]],'NHL Model'!$A$6:$B$38,2,FALSE)</f>
        <v>-0.15603426337582751</v>
      </c>
      <c r="J230">
        <f>($B$1+Table4[[#This Row],[Home Differential]])-Table4[[#This Row],[Away Differential]]</f>
        <v>-6.7942654386669077E-2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0.5104190848268203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0.23968947250180817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-0.6620483089622381</v>
      </c>
      <c r="H231" t="s">
        <v>40</v>
      </c>
      <c r="I231">
        <f>VLOOKUP(Table4[[#This Row],[Visitor]],'NHL Model'!$A$6:$B$38,2,FALSE)</f>
        <v>-0.36992241209510063</v>
      </c>
      <c r="J231">
        <f>($B$1+Table4[[#This Row],[Home Differential]])-Table4[[#This Row],[Away Differential]]</f>
        <v>-0.20870222992811477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0.50505601776530085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0.25508158108094386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0.25962865313068506</v>
      </c>
      <c r="H232" t="s">
        <v>23</v>
      </c>
      <c r="I232">
        <f>VLOOKUP(Table4[[#This Row],[Visitor]],'NHL Model'!$A$6:$B$38,2,FALSE)</f>
        <v>-0.90742746858300449</v>
      </c>
      <c r="J232">
        <f>($B$1+Table4[[#This Row],[Home Differential]])-Table4[[#This Row],[Away Differential]]</f>
        <v>1.2504797886527124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0.72595016054637829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7.5103314504555832E-2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-1.1577943512279505</v>
      </c>
      <c r="H233" t="s">
        <v>12</v>
      </c>
      <c r="I233">
        <f>VLOOKUP(Table4[[#This Row],[Visitor]],'NHL Model'!$A$6:$B$38,2,FALSE)</f>
        <v>1.339787395621115</v>
      </c>
      <c r="J233">
        <f>($B$1+Table4[[#This Row],[Home Differential]])-Table4[[#This Row],[Away Differential]]</f>
        <v>-2.4141580799100426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0.80648427607808704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3.7448335405022036E-2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-0.65770380103775494</v>
      </c>
      <c r="H234" t="s">
        <v>55</v>
      </c>
      <c r="I234">
        <f>VLOOKUP(Table4[[#This Row],[Visitor]],'NHL Model'!$A$6:$B$38,2,FALSE)</f>
        <v>-0.40521943828179341</v>
      </c>
      <c r="J234">
        <f>($B$1+Table4[[#This Row],[Home Differential]])-Table4[[#This Row],[Away Differential]]</f>
        <v>-0.16906069581693883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0.47967368106285996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0.2300868403043943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2.3143316481494557E-3</v>
      </c>
      <c r="H235" t="s">
        <v>14</v>
      </c>
      <c r="I235">
        <f>VLOOKUP(Table4[[#This Row],[Visitor]],'NHL Model'!$A$6:$B$38,2,FALSE)</f>
        <v>-0.22852375643476561</v>
      </c>
      <c r="J235">
        <f>($B$1+Table4[[#This Row],[Home Differential]])-Table4[[#This Row],[Away Differential]]</f>
        <v>0.31426175502193776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0.6794279466662726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0.10276644137860216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-1.4782515386602066</v>
      </c>
      <c r="H236" t="s">
        <v>39</v>
      </c>
      <c r="I236">
        <f>VLOOKUP(Table4[[#This Row],[Visitor]],'NHL Model'!$A$6:$B$38,2,FALSE)</f>
        <v>0.10032544630879472</v>
      </c>
      <c r="J236">
        <f>($B$1+Table4[[#This Row],[Home Differential]])-Table4[[#This Row],[Away Differential]]</f>
        <v>-1.4951533180299788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0.73578952172285694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6.9807176831436682E-2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-0.39090512874251965</v>
      </c>
      <c r="H237" t="s">
        <v>30</v>
      </c>
      <c r="I237">
        <f>VLOOKUP(Table4[[#This Row],[Visitor]],'NHL Model'!$A$6:$B$38,2,FALSE)</f>
        <v>-0.30740058470151932</v>
      </c>
      <c r="J237">
        <f>($B$1+Table4[[#This Row],[Home Differential]])-Table4[[#This Row],[Away Differential]]</f>
        <v>-8.0877101977572252E-5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0.53263258081825948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0.21843230451260076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-0.46667677612181552</v>
      </c>
      <c r="H238" t="s">
        <v>36</v>
      </c>
      <c r="I238">
        <f>VLOOKUP(Table4[[#This Row],[Visitor]],'NHL Model'!$A$6:$B$38,2,FALSE)</f>
        <v>-0.53959086519270005</v>
      </c>
      <c r="J238">
        <f>($B$1+Table4[[#This Row],[Home Differential]])-Table4[[#This Row],[Away Differential]]</f>
        <v>0.15633775600990729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0.58962167737173266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0.3476537224266556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-0.6620483089622381</v>
      </c>
      <c r="H239" t="s">
        <v>11</v>
      </c>
      <c r="I239">
        <f>VLOOKUP(Table4[[#This Row],[Visitor]],'NHL Model'!$A$6:$B$38,2,FALSE)</f>
        <v>-0.57335522029781161</v>
      </c>
      <c r="J239">
        <f>($B$1+Table4[[#This Row],[Home Differential]])-Table4[[#This Row],[Away Differential]]</f>
        <v>-5.2694217254037889E-3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0.46061320534563255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0.21216452493877785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-1.5899576513683618</v>
      </c>
      <c r="H240" t="s">
        <v>32</v>
      </c>
      <c r="I240">
        <f>VLOOKUP(Table4[[#This Row],[Visitor]],'NHL Model'!$A$6:$B$38,2,FALSE)</f>
        <v>-0.64744265535741874</v>
      </c>
      <c r="J240">
        <f>($B$1+Table4[[#This Row],[Home Differential]])-Table4[[#This Row],[Away Differential]]</f>
        <v>-0.85909132907192032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0.55997290458528914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0.19362384469910704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0.23616512594450029</v>
      </c>
      <c r="H241" t="s">
        <v>22</v>
      </c>
      <c r="I241">
        <f>VLOOKUP(Table4[[#This Row],[Visitor]],'NHL Model'!$A$6:$B$38,2,FALSE)</f>
        <v>0.15604658591703846</v>
      </c>
      <c r="J241">
        <f>($B$1+Table4[[#This Row],[Home Differential]])-Table4[[#This Row],[Away Differential]]</f>
        <v>0.16354220696648458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0.57075562957743564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0.18425072953946364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-1.054674343910232</v>
      </c>
      <c r="H242" t="s">
        <v>21</v>
      </c>
      <c r="I242">
        <f>VLOOKUP(Table4[[#This Row],[Visitor]],'NHL Model'!$A$6:$B$38,2,FALSE)</f>
        <v>-0.41554817552415113</v>
      </c>
      <c r="J242">
        <f>($B$1+Table4[[#This Row],[Home Differential]])-Table4[[#This Row],[Away Differential]]</f>
        <v>-0.55570250144705813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0.52549688207749146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0.22515320891818205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-1.1317546087271064</v>
      </c>
      <c r="H243" t="s">
        <v>28</v>
      </c>
      <c r="I243">
        <f>VLOOKUP(Table4[[#This Row],[Visitor]],'NHL Model'!$A$6:$B$38,2,FALSE)</f>
        <v>-0.9065542839469537</v>
      </c>
      <c r="J243">
        <f>($B$1+Table4[[#This Row],[Home Differential]])-Table4[[#This Row],[Away Differential]]</f>
        <v>-0.14177665784113003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0.47649862337929139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0.22705093808235977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-0.42180143360631367</v>
      </c>
      <c r="H244" t="s">
        <v>31</v>
      </c>
      <c r="I244">
        <f>VLOOKUP(Table4[[#This Row],[Visitor]],'NHL Model'!$A$6:$B$38,2,FALSE)</f>
        <v>5.8616755922628279E-2</v>
      </c>
      <c r="J244">
        <f>($B$1+Table4[[#This Row],[Home Differential]])-Table4[[#This Row],[Away Differential]]</f>
        <v>-0.39699452258991919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0.52696768975104846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0.22375956653946033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5.8616755922628279E-2</v>
      </c>
      <c r="H245" t="s">
        <v>40</v>
      </c>
      <c r="I245">
        <f>VLOOKUP(Table4[[#This Row],[Visitor]],'NHL Model'!$A$6:$B$38,2,FALSE)</f>
        <v>-0.36992241209510063</v>
      </c>
      <c r="J245">
        <f>($B$1+Table4[[#This Row],[Home Differential]])-Table4[[#This Row],[Away Differential]]</f>
        <v>0.51196283495675166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0.65957738126124266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0.11588755934895334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0.10032544630879472</v>
      </c>
      <c r="H246" t="s">
        <v>32</v>
      </c>
      <c r="I246">
        <f>VLOOKUP(Table4[[#This Row],[Visitor]],'NHL Model'!$A$6:$B$38,2,FALSE)</f>
        <v>-0.64744265535741874</v>
      </c>
      <c r="J246">
        <f>($B$1+Table4[[#This Row],[Home Differential]])-Table4[[#This Row],[Away Differential]]</f>
        <v>0.83119176860523614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0.6558316495393659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0.11845185345879386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-1.0708320987334559</v>
      </c>
      <c r="H247" t="s">
        <v>10</v>
      </c>
      <c r="I247">
        <f>VLOOKUP(Table4[[#This Row],[Visitor]],'NHL Model'!$A$6:$B$38,2,FALSE)</f>
        <v>-0.43769530535874146</v>
      </c>
      <c r="J247">
        <f>($B$1+Table4[[#This Row],[Home Differential]])-Table4[[#This Row],[Away Differential]]</f>
        <v>-0.5497131264356917</v>
      </c>
      <c r="K247" t="str">
        <f>IF(Table4[[#This Row],[HomeIce Differential]]&gt;0,Table4[[#This Row],[Home]],Table4[[#This Row],[Visitor]])</f>
        <v>Chicago Blackhawks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0.52397040230612735</v>
      </c>
      <c r="M247" t="str">
        <f>IF(OR((NHL2025_26Results[[#This Row],[Winning Team]]="")),"-",IF(Table4[[#This Row],[Predicted Winner]]=NHL2025_26Results[[#This Row],[Winning Team]],"YES","NO"))</f>
        <v>YES</v>
      </c>
      <c r="N247">
        <f>IF(Table4[[#This Row],[Adjusted Correct]]="-", "",IF(Table4[[#This Row],[Adjusted Correct]]="YES",(Table4[[#This Row],[Strength of Win]]-1)^2,(Table4[[#This Row],[Strength of Win]]-0)^2))</f>
        <v>0.22660417788059026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-0.15603426337582751</v>
      </c>
      <c r="H248" t="s">
        <v>16</v>
      </c>
      <c r="I248">
        <f>VLOOKUP(Table4[[#This Row],[Visitor]],'NHL Model'!$A$6:$B$38,2,FALSE)</f>
        <v>-1.2612222633157453</v>
      </c>
      <c r="J248">
        <f>($B$1+Table4[[#This Row],[Home Differential]])-Table4[[#This Row],[Away Differential]]</f>
        <v>1.1886116668789404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0.6923359781043088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9.4657150369032356E-2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-0.53959086519270005</v>
      </c>
      <c r="H249" t="s">
        <v>55</v>
      </c>
      <c r="I249">
        <f>VLOOKUP(Table4[[#This Row],[Visitor]],'NHL Model'!$A$6:$B$38,2,FALSE)</f>
        <v>-0.40521943828179341</v>
      </c>
      <c r="J249">
        <f>($B$1+Table4[[#This Row],[Home Differential]])-Table4[[#This Row],[Away Differential]]</f>
        <v>-5.0947759971883944E-2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0.46343333811011928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0.21477045887188814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-0.22852375643476561</v>
      </c>
      <c r="H250" t="s">
        <v>13</v>
      </c>
      <c r="I250">
        <f>VLOOKUP(Table4[[#This Row],[Visitor]],'NHL Model'!$A$6:$B$38,2,FALSE)</f>
        <v>-0.50197808897650842</v>
      </c>
      <c r="J250">
        <f>($B$1+Table4[[#This Row],[Home Differential]])-Table4[[#This Row],[Away Differential]]</f>
        <v>0.35687799948076554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0.51772055452245347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0.26803457257503671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-1.054674343910232</v>
      </c>
      <c r="H251" t="s">
        <v>25</v>
      </c>
      <c r="I251">
        <f>VLOOKUP(Table4[[#This Row],[Visitor]],'NHL Model'!$A$6:$B$38,2,FALSE)</f>
        <v>0.25962865313068506</v>
      </c>
      <c r="J251">
        <f>($B$1+Table4[[#This Row],[Home Differential]])-Table4[[#This Row],[Away Differential]]</f>
        <v>-1.2308793301018943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0.67586123665676001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0.10506593790168493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-1.1317546087271064</v>
      </c>
      <c r="H252" t="s">
        <v>12</v>
      </c>
      <c r="I252">
        <f>VLOOKUP(Table4[[#This Row],[Visitor]],'NHL Model'!$A$6:$B$38,2,FALSE)</f>
        <v>1.339787395621115</v>
      </c>
      <c r="J252">
        <f>($B$1+Table4[[#This Row],[Home Differential]])-Table4[[#This Row],[Away Differential]]</f>
        <v>-2.3881183374091988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0.81052974155820157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3.5898978834001893E-2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-1.1577943512279505</v>
      </c>
      <c r="H253" t="s">
        <v>28</v>
      </c>
      <c r="I253">
        <f>VLOOKUP(Table4[[#This Row],[Visitor]],'NHL Model'!$A$6:$B$38,2,FALSE)</f>
        <v>-0.9065542839469537</v>
      </c>
      <c r="J253">
        <f>($B$1+Table4[[#This Row],[Home Differential]])-Table4[[#This Row],[Away Differential]]</f>
        <v>-0.16781640034197409</v>
      </c>
      <c r="K253" t="str">
        <f>IF(Table4[[#This Row],[HomeIce Differential]]&gt;0,Table4[[#This Row],[Home]],Table4[[#This Row],[Visitor]])</f>
        <v>Columbus Blue Jackets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0.4724829298916024</v>
      </c>
      <c r="M253" t="str">
        <f>IF(OR((NHL2025_26Results[[#This Row],[Winning Team]]="")),"-",IF(Table4[[#This Row],[Predicted Winner]]=NHL2025_26Results[[#This Row],[Winning Team]],"YES","NO"))</f>
        <v>NO</v>
      </c>
      <c r="N253">
        <f>IF(Table4[[#This Row],[Adjusted Correct]]="-", "",IF(Table4[[#This Row],[Adjusted Correct]]="YES",(Table4[[#This Row],[Strength of Win]]-1)^2,(Table4[[#This Row],[Strength of Win]]-0)^2))</f>
        <v>0.22324011903895286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2.3143316481494557E-3</v>
      </c>
      <c r="H254" t="s">
        <v>30</v>
      </c>
      <c r="I254">
        <f>VLOOKUP(Table4[[#This Row],[Visitor]],'NHL Model'!$A$6:$B$38,2,FALSE)</f>
        <v>-0.30740058470151932</v>
      </c>
      <c r="J254">
        <f>($B$1+Table4[[#This Row],[Home Differential]])-Table4[[#This Row],[Away Differential]]</f>
        <v>0.3931385832886915</v>
      </c>
      <c r="K254" t="str">
        <f>IF(Table4[[#This Row],[HomeIce Differential]]&gt;0,Table4[[#This Row],[Home]],Table4[[#This Row],[Visitor]])</f>
        <v>New Jersey Devils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0.63965837076234688</v>
      </c>
      <c r="M254" t="str">
        <f>IF(OR((NHL2025_26Results[[#This Row],[Winning Team]]="")),"-",IF(Table4[[#This Row],[Predicted Winner]]=NHL2025_26Results[[#This Row],[Winning Team]],"YES","NO"))</f>
        <v>NO</v>
      </c>
      <c r="N254">
        <f>IF(Table4[[#This Row],[Adjusted Correct]]="-", "",IF(Table4[[#This Row],[Adjusted Correct]]="YES",(Table4[[#This Row],[Strength of Win]]-1)^2,(Table4[[#This Row],[Strength of Win]]-0)^2))</f>
        <v>0.40916283128634001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-0.39090512874251965</v>
      </c>
      <c r="H255" t="s">
        <v>29</v>
      </c>
      <c r="I255">
        <f>VLOOKUP(Table4[[#This Row],[Visitor]],'NHL Model'!$A$6:$B$38,2,FALSE)</f>
        <v>-1.4782515386602066</v>
      </c>
      <c r="J255">
        <f>($B$1+Table4[[#This Row],[Home Differential]])-Table4[[#This Row],[Away Differential]]</f>
        <v>1.1707700768567098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0.67624312249938767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0.1048185157289465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-0.42180143360631367</v>
      </c>
      <c r="H256" t="s">
        <v>11</v>
      </c>
      <c r="I256">
        <f>VLOOKUP(Table4[[#This Row],[Visitor]],'NHL Model'!$A$6:$B$38,2,FALSE)</f>
        <v>-0.57335522029781161</v>
      </c>
      <c r="J256">
        <f>($B$1+Table4[[#This Row],[Home Differential]])-Table4[[#This Row],[Away Differential]]</f>
        <v>0.23497745363052069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0.56734444843818421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0.32187972317362745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-0.41554817552415113</v>
      </c>
      <c r="H257" t="s">
        <v>19</v>
      </c>
      <c r="I257">
        <f>VLOOKUP(Table4[[#This Row],[Visitor]],'NHL Model'!$A$6:$B$38,2,FALSE)</f>
        <v>-1.054674343910232</v>
      </c>
      <c r="J257">
        <f>($B$1+Table4[[#This Row],[Home Differential]])-Table4[[#This Row],[Away Differential]]</f>
        <v>0.72254983532510353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0.65632956578158819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0.11810936735587173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0.25962865313068506</v>
      </c>
      <c r="H258" t="s">
        <v>22</v>
      </c>
      <c r="I258">
        <f>VLOOKUP(Table4[[#This Row],[Visitor]],'NHL Model'!$A$6:$B$38,2,FALSE)</f>
        <v>0.15604658591703846</v>
      </c>
      <c r="J258">
        <f>($B$1+Table4[[#This Row],[Home Differential]])-Table4[[#This Row],[Away Differential]]</f>
        <v>0.1870057341526693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0.58176195450318846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0.33844697170736993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1.339787395621115</v>
      </c>
      <c r="H259" t="s">
        <v>31</v>
      </c>
      <c r="I259">
        <f>VLOOKUP(Table4[[#This Row],[Visitor]],'NHL Model'!$A$6:$B$38,2,FALSE)</f>
        <v>5.8616755922628279E-2</v>
      </c>
      <c r="J259">
        <f>($B$1+Table4[[#This Row],[Home Differential]])-Table4[[#This Row],[Away Differential]]</f>
        <v>1.3645943066375095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0.77948820405600938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4.8625452150444157E-2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-0.15603426337582751</v>
      </c>
      <c r="H260" t="s">
        <v>33</v>
      </c>
      <c r="I260">
        <f>VLOOKUP(Table4[[#This Row],[Visitor]],'NHL Model'!$A$6:$B$38,2,FALSE)</f>
        <v>-0.6620483089622381</v>
      </c>
      <c r="J260">
        <f>($B$1+Table4[[#This Row],[Home Differential]])-Table4[[#This Row],[Away Differential]]</f>
        <v>0.58943771252543331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0.62260979353987489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0.38764295501176566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-0.65770380103775494</v>
      </c>
      <c r="H261" t="s">
        <v>13</v>
      </c>
      <c r="I261">
        <f>VLOOKUP(Table4[[#This Row],[Visitor]],'NHL Model'!$A$6:$B$38,2,FALSE)</f>
        <v>-0.50197808897650842</v>
      </c>
      <c r="J261">
        <f>($B$1+Table4[[#This Row],[Home Differential]])-Table4[[#This Row],[Away Differential]]</f>
        <v>-7.2302045122223824E-2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0.53472961605267444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0.21647653017849175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-0.53959086519270005</v>
      </c>
      <c r="H262" t="s">
        <v>39</v>
      </c>
      <c r="I262">
        <f>VLOOKUP(Table4[[#This Row],[Visitor]],'NHL Model'!$A$6:$B$38,2,FALSE)</f>
        <v>0.10032544630879472</v>
      </c>
      <c r="J262">
        <f>($B$1+Table4[[#This Row],[Home Differential]])-Table4[[#This Row],[Away Differential]]</f>
        <v>-0.55649264456247205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0.62408137225335647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0.14131481468691956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-0.64744265535741874</v>
      </c>
      <c r="H263" t="s">
        <v>28</v>
      </c>
      <c r="I263">
        <f>VLOOKUP(Table4[[#This Row],[Visitor]],'NHL Model'!$A$6:$B$38,2,FALSE)</f>
        <v>-0.9065542839469537</v>
      </c>
      <c r="J263">
        <f>($B$1+Table4[[#This Row],[Home Differential]])-Table4[[#This Row],[Away Differential]]</f>
        <v>0.34253529552855766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0.58235648962096753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0.33913908100365608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-1.5899576513683618</v>
      </c>
      <c r="H264" t="s">
        <v>16</v>
      </c>
      <c r="I264">
        <f>VLOOKUP(Table4[[#This Row],[Visitor]],'NHL Model'!$A$6:$B$38,2,FALSE)</f>
        <v>-1.2612222633157453</v>
      </c>
      <c r="J264">
        <f>($B$1+Table4[[#This Row],[Home Differential]])-Table4[[#This Row],[Away Differential]]</f>
        <v>-0.24531172111359378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0.48854705251772979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0.23867822252376142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-1.1317546087271064</v>
      </c>
      <c r="H265" t="s">
        <v>40</v>
      </c>
      <c r="I265">
        <f>VLOOKUP(Table4[[#This Row],[Visitor]],'NHL Model'!$A$6:$B$38,2,FALSE)</f>
        <v>-0.36992241209510063</v>
      </c>
      <c r="J265">
        <f>($B$1+Table4[[#This Row],[Home Differential]])-Table4[[#This Row],[Away Differential]]</f>
        <v>-0.67840852969298315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0.55971598405809442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0.19385001469393218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-0.43769530535874146</v>
      </c>
      <c r="H266" t="s">
        <v>24</v>
      </c>
      <c r="I266">
        <f>VLOOKUP(Table4[[#This Row],[Visitor]],'NHL Model'!$A$6:$B$38,2,FALSE)</f>
        <v>2.3143316481494557E-3</v>
      </c>
      <c r="J266">
        <f>($B$1+Table4[[#This Row],[Home Differential]])-Table4[[#This Row],[Away Differential]]</f>
        <v>-0.35658597006786824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0.52226532548661009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0.22823041923241461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-0.46667677612181552</v>
      </c>
      <c r="H267" t="s">
        <v>17</v>
      </c>
      <c r="I267">
        <f>VLOOKUP(Table4[[#This Row],[Visitor]],'NHL Model'!$A$6:$B$38,2,FALSE)</f>
        <v>-1.1577943512279505</v>
      </c>
      <c r="J267">
        <f>($B$1+Table4[[#This Row],[Home Differential]])-Table4[[#This Row],[Away Differential]]</f>
        <v>0.77454124204515773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0.66237983281069912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0.4387470429143297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0.23616512594450029</v>
      </c>
      <c r="H268" t="s">
        <v>15</v>
      </c>
      <c r="I268">
        <f>VLOOKUP(Table4[[#This Row],[Visitor]],'NHL Model'!$A$6:$B$38,2,FALSE)</f>
        <v>-0.39090512874251965</v>
      </c>
      <c r="J268">
        <f>($B$1+Table4[[#This Row],[Home Differential]])-Table4[[#This Row],[Away Differential]]</f>
        <v>0.71049392162604263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0.55500527027577995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0.30803085003389152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-0.40521943828179341</v>
      </c>
      <c r="H269" t="s">
        <v>23</v>
      </c>
      <c r="I269">
        <f>VLOOKUP(Table4[[#This Row],[Visitor]],'NHL Model'!$A$6:$B$38,2,FALSE)</f>
        <v>-0.90742746858300449</v>
      </c>
      <c r="J269">
        <f>($B$1+Table4[[#This Row],[Home Differential]])-Table4[[#This Row],[Away Differential]]</f>
        <v>0.58563169724023378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0.64858144250996697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0.12349500254837566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-0.9065542839469537</v>
      </c>
      <c r="H270" t="s">
        <v>17</v>
      </c>
      <c r="I270">
        <f>VLOOKUP(Table4[[#This Row],[Visitor]],'NHL Model'!$A$6:$B$38,2,FALSE)</f>
        <v>-1.1577943512279505</v>
      </c>
      <c r="J270">
        <f>($B$1+Table4[[#This Row],[Home Differential]])-Table4[[#This Row],[Away Differential]]</f>
        <v>0.33466373422001949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0.57894499273491518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0.17728731914300064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-1.2612222633157453</v>
      </c>
      <c r="H271" t="s">
        <v>33</v>
      </c>
      <c r="I271">
        <f>VLOOKUP(Table4[[#This Row],[Visitor]],'NHL Model'!$A$6:$B$38,2,FALSE)</f>
        <v>-0.6620483089622381</v>
      </c>
      <c r="J271">
        <f>($B$1+Table4[[#This Row],[Home Differential]])-Table4[[#This Row],[Away Differential]]</f>
        <v>-0.51575028741448448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0.52001812907275569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0.27041885456432918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1.339787395621115</v>
      </c>
      <c r="H272" t="s">
        <v>23</v>
      </c>
      <c r="I272">
        <f>VLOOKUP(Table4[[#This Row],[Visitor]],'NHL Model'!$A$6:$B$38,2,FALSE)</f>
        <v>-0.90742746858300449</v>
      </c>
      <c r="J272">
        <f>($B$1+Table4[[#This Row],[Home Differential]])-Table4[[#This Row],[Away Differential]]</f>
        <v>2.3306385311431423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0.91133141552131236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7.8621178734541667E-3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-1.0708320987334559</v>
      </c>
      <c r="H273" t="s">
        <v>31</v>
      </c>
      <c r="I273">
        <f>VLOOKUP(Table4[[#This Row],[Visitor]],'NHL Model'!$A$6:$B$38,2,FALSE)</f>
        <v>5.8616755922628279E-2</v>
      </c>
      <c r="J273">
        <f>($B$1+Table4[[#This Row],[Home Differential]])-Table4[[#This Row],[Away Differential]]</f>
        <v>-1.0460251877170614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0.60249572566753073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0.36300109944764447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-0.57335522029781161</v>
      </c>
      <c r="H274" t="s">
        <v>22</v>
      </c>
      <c r="I274">
        <f>VLOOKUP(Table4[[#This Row],[Visitor]],'NHL Model'!$A$6:$B$38,2,FALSE)</f>
        <v>0.15604658591703846</v>
      </c>
      <c r="J274">
        <f>($B$1+Table4[[#This Row],[Home Differential]])-Table4[[#This Row],[Away Differential]]</f>
        <v>-0.64597813927582737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0.54183947856289572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0.29359002052931071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-0.65770380103775494</v>
      </c>
      <c r="H275" t="s">
        <v>39</v>
      </c>
      <c r="I275">
        <f>VLOOKUP(Table4[[#This Row],[Visitor]],'NHL Model'!$A$6:$B$38,2,FALSE)</f>
        <v>0.10032544630879472</v>
      </c>
      <c r="J275">
        <f>($B$1+Table4[[#This Row],[Home Differential]])-Table4[[#This Row],[Away Differential]]</f>
        <v>-0.67460558040752694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0.64030195491244069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0.12938268363981184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-0.53959086519270005</v>
      </c>
      <c r="H276" t="s">
        <v>21</v>
      </c>
      <c r="I276">
        <f>VLOOKUP(Table4[[#This Row],[Visitor]],'NHL Model'!$A$6:$B$38,2,FALSE)</f>
        <v>-0.41554817552415113</v>
      </c>
      <c r="J276">
        <f>($B$1+Table4[[#This Row],[Home Differential]])-Table4[[#This Row],[Away Differential]]</f>
        <v>-4.0619022729526222E-2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0.46306019012523403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0.21442473967881789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-0.64744265535741874</v>
      </c>
      <c r="H277" t="s">
        <v>40</v>
      </c>
      <c r="I277">
        <f>VLOOKUP(Table4[[#This Row],[Visitor]],'NHL Model'!$A$6:$B$38,2,FALSE)</f>
        <v>-0.36992241209510063</v>
      </c>
      <c r="J277">
        <f>($B$1+Table4[[#This Row],[Home Differential]])-Table4[[#This Row],[Away Differential]]</f>
        <v>-0.19409657632329541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0.50084798905816208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0.25084870814360483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-1.054674343910232</v>
      </c>
      <c r="H278" t="s">
        <v>13</v>
      </c>
      <c r="I278">
        <f>VLOOKUP(Table4[[#This Row],[Visitor]],'NHL Model'!$A$6:$B$38,2,FALSE)</f>
        <v>-0.50197808897650842</v>
      </c>
      <c r="J278">
        <f>($B$1+Table4[[#This Row],[Home Differential]])-Table4[[#This Row],[Away Differential]]</f>
        <v>-0.46927258799470084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0.58092528450230685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0.17562361716947245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-0.42180143360631367</v>
      </c>
      <c r="H279" t="s">
        <v>30</v>
      </c>
      <c r="I279">
        <f>VLOOKUP(Table4[[#This Row],[Visitor]],'NHL Model'!$A$6:$B$38,2,FALSE)</f>
        <v>-0.30740058470151932</v>
      </c>
      <c r="J279">
        <f>($B$1+Table4[[#This Row],[Home Differential]])-Table4[[#This Row],[Away Differential]]</f>
        <v>-3.0977181965771594E-2</v>
      </c>
      <c r="K279" t="str">
        <f>IF(Table4[[#This Row],[HomeIce Differential]]&gt;0,Table4[[#This Row],[Home]],Table4[[#This Row],[Visitor]])</f>
        <v>New York Islanders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0.53622799987751468</v>
      </c>
      <c r="M279" t="str">
        <f>IF(OR((NHL2025_26Results[[#This Row],[Winning Team]]="")),"-",IF(Table4[[#This Row],[Predicted Winner]]=NHL2025_26Results[[#This Row],[Winning Team]],"YES","NO"))</f>
        <v>YES</v>
      </c>
      <c r="N279">
        <f>IF(Table4[[#This Row],[Adjusted Correct]]="-", "",IF(Table4[[#This Row],[Adjusted Correct]]="YES",(Table4[[#This Row],[Strength of Win]]-1)^2,(Table4[[#This Row],[Strength of Win]]-0)^2))</f>
        <v>0.21508446809761053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0.25962865313068506</v>
      </c>
      <c r="H280" t="s">
        <v>38</v>
      </c>
      <c r="I280">
        <f>VLOOKUP(Table4[[#This Row],[Visitor]],'NHL Model'!$A$6:$B$38,2,FALSE)</f>
        <v>-1.1317546087271064</v>
      </c>
      <c r="J280">
        <f>($B$1+Table4[[#This Row],[Home Differential]])-Table4[[#This Row],[Away Differential]]</f>
        <v>1.4748069287968142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0.73162404902120004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7.2025651063775245E-2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-1.4782515386602066</v>
      </c>
      <c r="H281" t="s">
        <v>14</v>
      </c>
      <c r="I281">
        <f>VLOOKUP(Table4[[#This Row],[Visitor]],'NHL Model'!$A$6:$B$38,2,FALSE)</f>
        <v>-0.22852375643476561</v>
      </c>
      <c r="J281">
        <f>($B$1+Table4[[#This Row],[Home Differential]])-Table4[[#This Row],[Away Differential]]</f>
        <v>-1.1663041152864184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0.61649264699893624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0.38006318380375503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-1.5899576513683618</v>
      </c>
      <c r="H282" t="s">
        <v>27</v>
      </c>
      <c r="I282">
        <f>VLOOKUP(Table4[[#This Row],[Visitor]],'NHL Model'!$A$6:$B$38,2,FALSE)</f>
        <v>-0.46667677612181552</v>
      </c>
      <c r="J282">
        <f>($B$1+Table4[[#This Row],[Home Differential]])-Table4[[#This Row],[Away Differential]]</f>
        <v>-1.0398572083075235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0.60177795469705675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0.15858079736525937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-0.40521943828179341</v>
      </c>
      <c r="H283" t="s">
        <v>30</v>
      </c>
      <c r="I283">
        <f>VLOOKUP(Table4[[#This Row],[Visitor]],'NHL Model'!$A$6:$B$38,2,FALSE)</f>
        <v>-0.30740058470151932</v>
      </c>
      <c r="J283">
        <f>($B$1+Table4[[#This Row],[Home Differential]])-Table4[[#This Row],[Away Differential]]</f>
        <v>-1.439518664125139E-2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0.49329528708500187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0.25674966609027072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0.25962865313068506</v>
      </c>
      <c r="H284" t="s">
        <v>17</v>
      </c>
      <c r="I284">
        <f>VLOOKUP(Table4[[#This Row],[Visitor]],'NHL Model'!$A$6:$B$38,2,FALSE)</f>
        <v>-1.1577943512279505</v>
      </c>
      <c r="J284">
        <f>($B$1+Table4[[#This Row],[Home Differential]])-Table4[[#This Row],[Away Differential]]</f>
        <v>1.5008466712976583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0.75508548483957005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0.57015408941540857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-0.9065542839469537</v>
      </c>
      <c r="H285" t="s">
        <v>15</v>
      </c>
      <c r="I285">
        <f>VLOOKUP(Table4[[#This Row],[Visitor]],'NHL Model'!$A$6:$B$38,2,FALSE)</f>
        <v>-0.39090512874251965</v>
      </c>
      <c r="J285">
        <f>($B$1+Table4[[#This Row],[Home Differential]])-Table4[[#This Row],[Away Differential]]</f>
        <v>-0.43222548826541135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0.61037977116832953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0.15180392271484325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-1.2612222633157453</v>
      </c>
      <c r="H286" t="s">
        <v>40</v>
      </c>
      <c r="I286">
        <f>VLOOKUP(Table4[[#This Row],[Visitor]],'NHL Model'!$A$6:$B$38,2,FALSE)</f>
        <v>-0.36992241209510063</v>
      </c>
      <c r="J286">
        <f>($B$1+Table4[[#This Row],[Home Differential]])-Table4[[#This Row],[Away Differential]]</f>
        <v>-0.807876184281622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0.57478220232973476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0.18081017545555061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-0.43769530535874146</v>
      </c>
      <c r="H287" t="s">
        <v>19</v>
      </c>
      <c r="I287">
        <f>VLOOKUP(Table4[[#This Row],[Visitor]],'NHL Model'!$A$6:$B$38,2,FALSE)</f>
        <v>-1.054674343910232</v>
      </c>
      <c r="J287">
        <f>($B$1+Table4[[#This Row],[Home Differential]])-Table4[[#This Row],[Away Differential]]</f>
        <v>0.7004027054905132</v>
      </c>
      <c r="K287" t="str">
        <f>IF(Table4[[#This Row],[HomeIce Differential]]&gt;0,Table4[[#This Row],[Home]],Table4[[#This Row],[Visitor]])</f>
        <v>Chicago Blackhawks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0.62150622696067215</v>
      </c>
      <c r="M287" t="str">
        <f>IF(OR((NHL2025_26Results[[#This Row],[Winning Team]]="")),"-",IF(Table4[[#This Row],[Predicted Winner]]=NHL2025_26Results[[#This Row],[Winning Team]],"YES","NO"))</f>
        <v>YES</v>
      </c>
      <c r="N287">
        <f>IF(Table4[[#This Row],[Adjusted Correct]]="-", "",IF(Table4[[#This Row],[Adjusted Correct]]="YES",(Table4[[#This Row],[Strength of Win]]-1)^2,(Table4[[#This Row],[Strength of Win]]-0)^2))</f>
        <v>0.14325753622954623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0.10032544630879472</v>
      </c>
      <c r="H288" t="s">
        <v>27</v>
      </c>
      <c r="I288">
        <f>VLOOKUP(Table4[[#This Row],[Visitor]],'NHL Model'!$A$6:$B$38,2,FALSE)</f>
        <v>-0.46667677612181552</v>
      </c>
      <c r="J288">
        <f>($B$1+Table4[[#This Row],[Home Differential]])-Table4[[#This Row],[Away Differential]]</f>
        <v>0.65042588936963297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0.61415193734846341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0.14887872745194411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-1.0708320987334559</v>
      </c>
      <c r="H289" t="s">
        <v>23</v>
      </c>
      <c r="I289">
        <f>VLOOKUP(Table4[[#This Row],[Visitor]],'NHL Model'!$A$6:$B$38,2,FALSE)</f>
        <v>-0.90742746858300449</v>
      </c>
      <c r="J289">
        <f>($B$1+Table4[[#This Row],[Home Differential]])-Table4[[#This Row],[Away Differential]]</f>
        <v>-7.9980963211428668E-2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0.46930742626911826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0.28163460781310734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-0.57335522029781161</v>
      </c>
      <c r="H290" t="s">
        <v>37</v>
      </c>
      <c r="I290">
        <f>VLOOKUP(Table4[[#This Row],[Visitor]],'NHL Model'!$A$6:$B$38,2,FALSE)</f>
        <v>0.23616512594450029</v>
      </c>
      <c r="J290">
        <f>($B$1+Table4[[#This Row],[Home Differential]])-Table4[[#This Row],[Away Differential]]</f>
        <v>-0.72609667930328925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0.61137796848105952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0.15102708338190837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-0.15603426337582751</v>
      </c>
      <c r="H291" t="s">
        <v>31</v>
      </c>
      <c r="I291">
        <f>VLOOKUP(Table4[[#This Row],[Visitor]],'NHL Model'!$A$6:$B$38,2,FALSE)</f>
        <v>5.8616755922628279E-2</v>
      </c>
      <c r="J291">
        <f>($B$1+Table4[[#This Row],[Home Differential]])-Table4[[#This Row],[Away Differential]]</f>
        <v>-0.13122735235943306</v>
      </c>
      <c r="K291" t="str">
        <f>IF(Table4[[#This Row],[HomeIce Differential]]&gt;0,Table4[[#This Row],[Home]],Table4[[#This Row],[Visitor]])</f>
        <v>Anaheim Ducks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0.48193766188271947</v>
      </c>
      <c r="M291" t="str">
        <f>IF(OR((NHL2025_26Results[[#This Row],[Winning Team]]="")),"-",IF(Table4[[#This Row],[Predicted Winner]]=NHL2025_26Results[[#This Row],[Winning Team]],"YES","NO"))</f>
        <v>NO</v>
      </c>
      <c r="N291">
        <f>IF(Table4[[#This Row],[Adjusted Correct]]="-", "",IF(Table4[[#This Row],[Adjusted Correct]]="YES",(Table4[[#This Row],[Strength of Win]]-1)^2,(Table4[[#This Row],[Strength of Win]]-0)^2))</f>
        <v>0.23226390994098245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-0.65770380103775494</v>
      </c>
      <c r="H292" t="s">
        <v>21</v>
      </c>
      <c r="I292">
        <f>VLOOKUP(Table4[[#This Row],[Visitor]],'NHL Model'!$A$6:$B$38,2,FALSE)</f>
        <v>-0.41554817552415113</v>
      </c>
      <c r="J292">
        <f>($B$1+Table4[[#This Row],[Home Differential]])-Table4[[#This Row],[Away Differential]]</f>
        <v>-0.15873195857458111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0.47930121362785899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0.27112722612942058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-0.53959086519270005</v>
      </c>
      <c r="H293" t="s">
        <v>13</v>
      </c>
      <c r="I293">
        <f>VLOOKUP(Table4[[#This Row],[Visitor]],'NHL Model'!$A$6:$B$38,2,FALSE)</f>
        <v>-0.50197808897650842</v>
      </c>
      <c r="J293">
        <f>($B$1+Table4[[#This Row],[Home Differential]])-Table4[[#This Row],[Away Differential]]</f>
        <v>4.5810890722831066E-2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0.48152151335988663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0.23186296782839549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-0.64744265535741874</v>
      </c>
      <c r="H294" t="s">
        <v>33</v>
      </c>
      <c r="I294">
        <f>VLOOKUP(Table4[[#This Row],[Visitor]],'NHL Model'!$A$6:$B$38,2,FALSE)</f>
        <v>-0.6620483089622381</v>
      </c>
      <c r="J294">
        <f>($B$1+Table4[[#This Row],[Home Differential]])-Table4[[#This Row],[Away Differential]]</f>
        <v>9.8029320543842058E-2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0.55390320219914368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0.19900235300817809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-1.5899576513683618</v>
      </c>
      <c r="H295" t="s">
        <v>20</v>
      </c>
      <c r="I295">
        <f>VLOOKUP(Table4[[#This Row],[Visitor]],'NHL Model'!$A$6:$B$38,2,FALSE)</f>
        <v>-0.42180143360631367</v>
      </c>
      <c r="J295">
        <f>($B$1+Table4[[#This Row],[Home Differential]])-Table4[[#This Row],[Away Differential]]</f>
        <v>-1.0847325508230254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0.58623089086598035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0.17120487567356027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0.15604658591703846</v>
      </c>
      <c r="H296" t="s">
        <v>24</v>
      </c>
      <c r="I296">
        <f>VLOOKUP(Table4[[#This Row],[Visitor]],'NHL Model'!$A$6:$B$38,2,FALSE)</f>
        <v>2.3143316481494557E-3</v>
      </c>
      <c r="J296">
        <f>($B$1+Table4[[#This Row],[Home Differential]])-Table4[[#This Row],[Away Differential]]</f>
        <v>0.23715592120791174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0.57305250329724422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0.32838917153523811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1.339787395621115</v>
      </c>
      <c r="H297" t="s">
        <v>30</v>
      </c>
      <c r="I297">
        <f>VLOOKUP(Table4[[#This Row],[Visitor]],'NHL Model'!$A$6:$B$38,2,FALSE)</f>
        <v>-0.30740058470151932</v>
      </c>
      <c r="J297">
        <f>($B$1+Table4[[#This Row],[Home Differential]])-Table4[[#This Row],[Away Differential]]</f>
        <v>1.7306116472616571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0.77212388441282798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5.1927524055098186E-2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-0.15603426337582751</v>
      </c>
      <c r="H298" t="s">
        <v>20</v>
      </c>
      <c r="I298">
        <f>VLOOKUP(Table4[[#This Row],[Visitor]],'NHL Model'!$A$6:$B$38,2,FALSE)</f>
        <v>-0.42180143360631367</v>
      </c>
      <c r="J298">
        <f>($B$1+Table4[[#This Row],[Home Differential]])-Table4[[#This Row],[Away Differential]]</f>
        <v>0.34919083716950888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0.59465213975605824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0.16430688780434213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-0.39090512874251965</v>
      </c>
      <c r="H299" t="s">
        <v>26</v>
      </c>
      <c r="I299">
        <f>VLOOKUP(Table4[[#This Row],[Visitor]],'NHL Model'!$A$6:$B$38,2,FALSE)</f>
        <v>-1.0708320987334559</v>
      </c>
      <c r="J299">
        <f>($B$1+Table4[[#This Row],[Home Differential]])-Table4[[#This Row],[Away Differential]]</f>
        <v>0.76335063692995897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0.60806227969818505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0.3697397359917538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-0.22852375643476561</v>
      </c>
      <c r="H300" t="s">
        <v>29</v>
      </c>
      <c r="I300">
        <f>VLOOKUP(Table4[[#This Row],[Visitor]],'NHL Model'!$A$6:$B$38,2,FALSE)</f>
        <v>-1.4782515386602066</v>
      </c>
      <c r="J300">
        <f>($B$1+Table4[[#This Row],[Home Differential]])-Table4[[#This Row],[Away Differential]]</f>
        <v>1.3331514491644638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0.69763500641740195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9.1424589344204554E-2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0.23616512594450029</v>
      </c>
      <c r="H301" t="s">
        <v>38</v>
      </c>
      <c r="I301">
        <f>VLOOKUP(Table4[[#This Row],[Visitor]],'NHL Model'!$A$6:$B$38,2,FALSE)</f>
        <v>-1.1317546087271064</v>
      </c>
      <c r="J301">
        <f>($B$1+Table4[[#This Row],[Home Differential]])-Table4[[#This Row],[Away Differential]]</f>
        <v>1.4513434016106295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0.72061772409544744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0.51928990428050237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5.8616755922628279E-2</v>
      </c>
      <c r="H302" t="s">
        <v>55</v>
      </c>
      <c r="I302">
        <f>VLOOKUP(Table4[[#This Row],[Visitor]],'NHL Model'!$A$6:$B$38,2,FALSE)</f>
        <v>-0.40521943828179341</v>
      </c>
      <c r="J302">
        <f>($B$1+Table4[[#This Row],[Home Differential]])-Table4[[#This Row],[Away Differential]]</f>
        <v>0.54725986114344438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0.68351962529247579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0.10015982757501493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-0.41554817552415113</v>
      </c>
      <c r="H303" t="s">
        <v>25</v>
      </c>
      <c r="I303">
        <f>VLOOKUP(Table4[[#This Row],[Visitor]],'NHL Model'!$A$6:$B$38,2,FALSE)</f>
        <v>0.25962865313068506</v>
      </c>
      <c r="J303">
        <f>($B$1+Table4[[#This Row],[Home Differential]])-Table4[[#This Row],[Away Differential]]</f>
        <v>-0.59175316171581349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0.56886262306729152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0.18587943778841634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-0.90742746858300449</v>
      </c>
      <c r="H304" t="s">
        <v>17</v>
      </c>
      <c r="I304">
        <f>VLOOKUP(Table4[[#This Row],[Visitor]],'NHL Model'!$A$6:$B$38,2,FALSE)</f>
        <v>-1.1577943512279505</v>
      </c>
      <c r="J304">
        <f>($B$1+Table4[[#This Row],[Home Differential]])-Table4[[#This Row],[Away Differential]]</f>
        <v>0.3337905495839687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0.57884337978486999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0.17737289875103127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-0.9065542839469537</v>
      </c>
      <c r="H305" t="s">
        <v>18</v>
      </c>
      <c r="I305">
        <f>VLOOKUP(Table4[[#This Row],[Visitor]],'NHL Model'!$A$6:$B$38,2,FALSE)</f>
        <v>-0.65770380103775494</v>
      </c>
      <c r="J305">
        <f>($B$1+Table4[[#This Row],[Home Differential]])-Table4[[#This Row],[Away Differential]]</f>
        <v>-0.16542681597017606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0.56020907350946381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0.31383420604233181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-0.57335522029781161</v>
      </c>
      <c r="H306" t="s">
        <v>38</v>
      </c>
      <c r="I306">
        <f>VLOOKUP(Table4[[#This Row],[Visitor]],'NHL Model'!$A$6:$B$38,2,FALSE)</f>
        <v>-1.1317546087271064</v>
      </c>
      <c r="J306">
        <f>($B$1+Table4[[#This Row],[Home Differential]])-Table4[[#This Row],[Away Differential]]</f>
        <v>0.64182305536831752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0.60802261595511597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0.1536462696026705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0.15604658591703846</v>
      </c>
      <c r="H307" t="s">
        <v>13</v>
      </c>
      <c r="I307">
        <f>VLOOKUP(Table4[[#This Row],[Visitor]],'NHL Model'!$A$6:$B$38,2,FALSE)</f>
        <v>-0.50197808897650842</v>
      </c>
      <c r="J307">
        <f>($B$1+Table4[[#This Row],[Home Differential]])-Table4[[#This Row],[Away Differential]]</f>
        <v>0.74144834183256958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0.58628272900044931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0.17116198032331567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-0.43769530535874146</v>
      </c>
      <c r="H308" t="s">
        <v>16</v>
      </c>
      <c r="I308">
        <f>VLOOKUP(Table4[[#This Row],[Visitor]],'NHL Model'!$A$6:$B$38,2,FALSE)</f>
        <v>-1.2612222633157453</v>
      </c>
      <c r="J308">
        <f>($B$1+Table4[[#This Row],[Home Differential]])-Table4[[#This Row],[Away Differential]]</f>
        <v>0.90695062489602651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0.6455423157212522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0.12564024994425246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0.10032544630879472</v>
      </c>
      <c r="H309" t="s">
        <v>30</v>
      </c>
      <c r="I309">
        <f>VLOOKUP(Table4[[#This Row],[Visitor]],'NHL Model'!$A$6:$B$38,2,FALSE)</f>
        <v>-0.30740058470151932</v>
      </c>
      <c r="J309">
        <f>($B$1+Table4[[#This Row],[Home Differential]])-Table4[[#This Row],[Away Differential]]</f>
        <v>0.49114969794933677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0.54378636173021455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0.29570360720378375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-1.0708320987334559</v>
      </c>
      <c r="H310" t="s">
        <v>32</v>
      </c>
      <c r="I310">
        <f>VLOOKUP(Table4[[#This Row],[Visitor]],'NHL Model'!$A$6:$B$38,2,FALSE)</f>
        <v>-0.64744265535741874</v>
      </c>
      <c r="J310">
        <f>($B$1+Table4[[#This Row],[Home Differential]])-Table4[[#This Row],[Away Differential]]</f>
        <v>-0.33996577643701442</v>
      </c>
      <c r="K310" t="str">
        <f>IF(Table4[[#This Row],[HomeIce Differential]]&gt;0,Table4[[#This Row],[Home]],Table4[[#This Row],[Visitor]])</f>
        <v>Seattle Kraken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0.49956199414411279</v>
      </c>
      <c r="M310" t="str">
        <f>IF(OR((NHL2025_26Results[[#This Row],[Winning Team]]="")),"-",IF(Table4[[#This Row],[Predicted Winner]]=NHL2025_26Results[[#This Row],[Winning Team]],"YES","NO"))</f>
        <v>NO</v>
      </c>
      <c r="N310">
        <f>IF(Table4[[#This Row],[Adjusted Correct]]="-", "",IF(Table4[[#This Row],[Adjusted Correct]]="YES",(Table4[[#This Row],[Strength of Win]]-1)^2,(Table4[[#This Row],[Strength of Win]]-0)^2))</f>
        <v>0.24956218599324259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-0.6620483089622381</v>
      </c>
      <c r="H311" t="s">
        <v>55</v>
      </c>
      <c r="I311">
        <f>VLOOKUP(Table4[[#This Row],[Visitor]],'NHL Model'!$A$6:$B$38,2,FALSE)</f>
        <v>-0.40521943828179341</v>
      </c>
      <c r="J311">
        <f>($B$1+Table4[[#This Row],[Home Differential]])-Table4[[#This Row],[Away Differential]]</f>
        <v>-0.17340520374142199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0.48017925370863862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0.23057211569218514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0.23616512594450029</v>
      </c>
      <c r="H312" t="s">
        <v>24</v>
      </c>
      <c r="I312">
        <f>VLOOKUP(Table4[[#This Row],[Visitor]],'NHL Model'!$A$6:$B$38,2,FALSE)</f>
        <v>2.3143316481494557E-3</v>
      </c>
      <c r="J312">
        <f>($B$1+Table4[[#This Row],[Home Differential]])-Table4[[#This Row],[Away Differential]]</f>
        <v>0.31727446123537356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0.58864553192845614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0.16921249840242281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-1.054674343910232</v>
      </c>
      <c r="H313" t="s">
        <v>35</v>
      </c>
      <c r="I313">
        <f>VLOOKUP(Table4[[#This Row],[Visitor]],'NHL Model'!$A$6:$B$38,2,FALSE)</f>
        <v>-1.5899576513683618</v>
      </c>
      <c r="J313">
        <f>($B$1+Table4[[#This Row],[Home Differential]])-Table4[[#This Row],[Away Differential]]</f>
        <v>0.6187069743971525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0.6119992522616664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0.15054458024550599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-0.42180143360631367</v>
      </c>
      <c r="H314" t="s">
        <v>15</v>
      </c>
      <c r="I314">
        <f>VLOOKUP(Table4[[#This Row],[Visitor]],'NHL Model'!$A$6:$B$38,2,FALSE)</f>
        <v>-0.39090512874251965</v>
      </c>
      <c r="J314">
        <f>($B$1+Table4[[#This Row],[Home Differential]])-Table4[[#This Row],[Away Differential]]</f>
        <v>5.2527362075228734E-2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0.44603117003731102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0.30688146457023069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-0.36992241209510063</v>
      </c>
      <c r="H315" t="s">
        <v>28</v>
      </c>
      <c r="I315">
        <f>VLOOKUP(Table4[[#This Row],[Visitor]],'NHL Model'!$A$6:$B$38,2,FALSE)</f>
        <v>-0.9065542839469537</v>
      </c>
      <c r="J315">
        <f>($B$1+Table4[[#This Row],[Home Differential]])-Table4[[#This Row],[Away Differential]]</f>
        <v>0.62005553879087583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0.61465166460559051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0.14849333959124231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5.8616755922628279E-2</v>
      </c>
      <c r="H316" t="s">
        <v>21</v>
      </c>
      <c r="I316">
        <f>VLOOKUP(Table4[[#This Row],[Visitor]],'NHL Model'!$A$6:$B$38,2,FALSE)</f>
        <v>-0.41554817552415113</v>
      </c>
      <c r="J316">
        <f>($B$1+Table4[[#This Row],[Home Differential]])-Table4[[#This Row],[Away Differential]]</f>
        <v>0.5575885983858021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0.68393449411885154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9.9897404007906296E-2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-0.90742746858300449</v>
      </c>
      <c r="H317" t="s">
        <v>16</v>
      </c>
      <c r="I317">
        <f>VLOOKUP(Table4[[#This Row],[Visitor]],'NHL Model'!$A$6:$B$38,2,FALSE)</f>
        <v>-1.2612222633157453</v>
      </c>
      <c r="J317">
        <f>($B$1+Table4[[#This Row],[Home Differential]])-Table4[[#This Row],[Away Differential]]</f>
        <v>0.43721846167176348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0.59087933968424311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0.34913839406568714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-0.15603426337582751</v>
      </c>
      <c r="H318" t="s">
        <v>25</v>
      </c>
      <c r="I318">
        <f>VLOOKUP(Table4[[#This Row],[Visitor]],'NHL Model'!$A$6:$B$38,2,FALSE)</f>
        <v>0.25962865313068506</v>
      </c>
      <c r="J318">
        <f>($B$1+Table4[[#This Row],[Home Differential]])-Table4[[#This Row],[Away Differential]]</f>
        <v>-0.33223924956748985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0.55718137271398693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0.31045108209944283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0.15604658591703846</v>
      </c>
      <c r="H319" t="s">
        <v>17</v>
      </c>
      <c r="I319">
        <f>VLOOKUP(Table4[[#This Row],[Visitor]],'NHL Model'!$A$6:$B$38,2,FALSE)</f>
        <v>-1.1577943512279505</v>
      </c>
      <c r="J319">
        <f>($B$1+Table4[[#This Row],[Home Differential]])-Table4[[#This Row],[Away Differential]]</f>
        <v>1.3972646040840118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0.72863814423101381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7.3637256766388062E-2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5.8616755922628279E-2</v>
      </c>
      <c r="H320" t="s">
        <v>36</v>
      </c>
      <c r="I320">
        <f>VLOOKUP(Table4[[#This Row],[Visitor]],'NHL Model'!$A$6:$B$38,2,FALSE)</f>
        <v>-0.53959086519270005</v>
      </c>
      <c r="J320">
        <f>($B$1+Table4[[#This Row],[Home Differential]])-Table4[[#This Row],[Away Differential]]</f>
        <v>0.68163128805435103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0.69836940640243061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0.48771982779888329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-0.43769530535874146</v>
      </c>
      <c r="H321" t="s">
        <v>32</v>
      </c>
      <c r="I321">
        <f>VLOOKUP(Table4[[#This Row],[Visitor]],'NHL Model'!$A$6:$B$38,2,FALSE)</f>
        <v>-0.64744265535741874</v>
      </c>
      <c r="J321">
        <f>($B$1+Table4[[#This Row],[Home Differential]])-Table4[[#This Row],[Away Differential]]</f>
        <v>0.29317101693769998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0.57411646365369284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0.32960971383822202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1.339787395621115</v>
      </c>
      <c r="H322" t="s">
        <v>15</v>
      </c>
      <c r="I322">
        <f>VLOOKUP(Table4[[#This Row],[Visitor]],'NHL Model'!$A$6:$B$38,2,FALSE)</f>
        <v>-0.39090512874251965</v>
      </c>
      <c r="J322">
        <f>($B$1+Table4[[#This Row],[Home Differential]])-Table4[[#This Row],[Away Differential]]</f>
        <v>1.8141161913026573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0.75450587071293074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6.0267367514416276E-2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-1.0708320987334559</v>
      </c>
      <c r="H323" t="s">
        <v>30</v>
      </c>
      <c r="I323">
        <f>VLOOKUP(Table4[[#This Row],[Visitor]],'NHL Model'!$A$6:$B$38,2,FALSE)</f>
        <v>-0.30740058470151932</v>
      </c>
      <c r="J323">
        <f>($B$1+Table4[[#This Row],[Home Differential]])-Table4[[#This Row],[Away Differential]]</f>
        <v>-0.68000784709291384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0.61175603579399696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0.15073337574239218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-0.57335522029781161</v>
      </c>
      <c r="H324" t="s">
        <v>24</v>
      </c>
      <c r="I324">
        <f>VLOOKUP(Table4[[#This Row],[Visitor]],'NHL Model'!$A$6:$B$38,2,FALSE)</f>
        <v>2.3143316481494557E-3</v>
      </c>
      <c r="J324">
        <f>($B$1+Table4[[#This Row],[Home Differential]])-Table4[[#This Row],[Away Differential]]</f>
        <v>-0.49224588500693839</v>
      </c>
      <c r="K324" t="str">
        <f>IF(Table4[[#This Row],[HomeIce Differential]]&gt;0,Table4[[#This Row],[Home]],Table4[[#This Row],[Visitor]])</f>
        <v>New Jersey Devils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0.52394957621187532</v>
      </c>
      <c r="M324" t="str">
        <f>IF(OR((NHL2025_26Results[[#This Row],[Winning Team]]="")),"-",IF(Table4[[#This Row],[Predicted Winner]]=NHL2025_26Results[[#This Row],[Winning Team]],"YES","NO"))</f>
        <v>NO</v>
      </c>
      <c r="N324">
        <f>IF(Table4[[#This Row],[Adjusted Correct]]="-", "",IF(Table4[[#This Row],[Adjusted Correct]]="YES",(Table4[[#This Row],[Strength of Win]]-1)^2,(Table4[[#This Row],[Strength of Win]]-0)^2))</f>
        <v>0.27452315841260377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-0.65770380103775494</v>
      </c>
      <c r="H325" t="s">
        <v>22</v>
      </c>
      <c r="I325">
        <f>VLOOKUP(Table4[[#This Row],[Visitor]],'NHL Model'!$A$6:$B$38,2,FALSE)</f>
        <v>0.15604658591703846</v>
      </c>
      <c r="J325">
        <f>($B$1+Table4[[#This Row],[Home Differential]])-Table4[[#This Row],[Away Differential]]</f>
        <v>-0.7303267200157707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0.56575773085699188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0.1885663483104687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-0.46667677612181552</v>
      </c>
      <c r="H326" t="s">
        <v>35</v>
      </c>
      <c r="I326">
        <f>VLOOKUP(Table4[[#This Row],[Visitor]],'NHL Model'!$A$6:$B$38,2,FALSE)</f>
        <v>-1.5899576513683618</v>
      </c>
      <c r="J326">
        <f>($B$1+Table4[[#This Row],[Home Differential]])-Table4[[#This Row],[Away Differential]]</f>
        <v>1.2067045421855691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0.71267090071948025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8.2558011293354772E-2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-0.6620483089622381</v>
      </c>
      <c r="H327" t="s">
        <v>13</v>
      </c>
      <c r="I327">
        <f>VLOOKUP(Table4[[#This Row],[Visitor]],'NHL Model'!$A$6:$B$38,2,FALSE)</f>
        <v>-0.50197808897650842</v>
      </c>
      <c r="J327">
        <f>($B$1+Table4[[#This Row],[Home Differential]])-Table4[[#This Row],[Away Differential]]</f>
        <v>-7.6646553046706978E-2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0.53523518869845299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0.2864767072210686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0.23616512594450029</v>
      </c>
      <c r="H328" t="s">
        <v>17</v>
      </c>
      <c r="I328">
        <f>VLOOKUP(Table4[[#This Row],[Visitor]],'NHL Model'!$A$6:$B$38,2,FALSE)</f>
        <v>-1.1577943512279505</v>
      </c>
      <c r="J328">
        <f>($B$1+Table4[[#This Row],[Home Differential]])-Table4[[#This Row],[Away Differential]]</f>
        <v>1.4773831441114735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0.74416991034497781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6.5449034772896694E-2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-1.054674343910232</v>
      </c>
      <c r="H329" t="s">
        <v>28</v>
      </c>
      <c r="I329">
        <f>VLOOKUP(Table4[[#This Row],[Visitor]],'NHL Model'!$A$6:$B$38,2,FALSE)</f>
        <v>-0.9065542839469537</v>
      </c>
      <c r="J329">
        <f>($B$1+Table4[[#This Row],[Home Differential]])-Table4[[#This Row],[Away Differential]]</f>
        <v>-6.4696393024255561E-2</v>
      </c>
      <c r="K329" t="str">
        <f>IF(Table4[[#This Row],[HomeIce Differential]]&gt;0,Table4[[#This Row],[Home]],Table4[[#This Row],[Visitor]])</f>
        <v>Columbus Blue Jackets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0.46752875289035167</v>
      </c>
      <c r="M329" t="str">
        <f>IF(OR((NHL2025_26Results[[#This Row],[Winning Team]]="")),"-",IF(Table4[[#This Row],[Predicted Winner]]=NHL2025_26Results[[#This Row],[Winning Team]],"YES","NO"))</f>
        <v>YES</v>
      </c>
      <c r="N329">
        <f>IF(Table4[[#This Row],[Adjusted Correct]]="-", "",IF(Table4[[#This Row],[Adjusted Correct]]="YES",(Table4[[#This Row],[Strength of Win]]-1)^2,(Table4[[#This Row],[Strength of Win]]-0)^2))</f>
        <v>0.2835256289985042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-0.40521943828179341</v>
      </c>
      <c r="H330" t="s">
        <v>20</v>
      </c>
      <c r="I330">
        <f>VLOOKUP(Table4[[#This Row],[Visitor]],'NHL Model'!$A$6:$B$38,2,FALSE)</f>
        <v>-0.42180143360631367</v>
      </c>
      <c r="J330">
        <f>($B$1+Table4[[#This Row],[Home Differential]])-Table4[[#This Row],[Away Differential]]</f>
        <v>0.10000566226354296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0.59206888835428118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0.35054556855707425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-1.1317546087271064</v>
      </c>
      <c r="H331" t="s">
        <v>39</v>
      </c>
      <c r="I331">
        <f>VLOOKUP(Table4[[#This Row],[Visitor]],'NHL Model'!$A$6:$B$38,2,FALSE)</f>
        <v>0.10032544630879472</v>
      </c>
      <c r="J331">
        <f>($B$1+Table4[[#This Row],[Home Differential]])-Table4[[#This Row],[Away Differential]]</f>
        <v>-1.1486563880968785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0.69546749385101303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9.2740047301382786E-2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-0.90742746858300449</v>
      </c>
      <c r="H332" t="s">
        <v>10</v>
      </c>
      <c r="I332">
        <f>VLOOKUP(Table4[[#This Row],[Visitor]],'NHL Model'!$A$6:$B$38,2,FALSE)</f>
        <v>-0.43769530535874146</v>
      </c>
      <c r="J332">
        <f>($B$1+Table4[[#This Row],[Home Differential]])-Table4[[#This Row],[Away Differential]]</f>
        <v>-0.38630849628524033</v>
      </c>
      <c r="K332" t="str">
        <f>IF(Table4[[#This Row],[HomeIce Differential]]&gt;0,Table4[[#This Row],[Home]],Table4[[#This Row],[Visitor]])</f>
        <v>Chicago Blackhawks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0.50495492054533087</v>
      </c>
      <c r="M332" t="str">
        <f>IF(OR((NHL2025_26Results[[#This Row],[Winning Team]]="")),"-",IF(Table4[[#This Row],[Predicted Winner]]=NHL2025_26Results[[#This Row],[Winning Team]],"YES","NO"))</f>
        <v>NO</v>
      </c>
      <c r="N332">
        <f>IF(Table4[[#This Row],[Adjusted Correct]]="-", "",IF(Table4[[#This Row],[Adjusted Correct]]="YES",(Table4[[#This Row],[Strength of Win]]-1)^2,(Table4[[#This Row],[Strength of Win]]-0)^2))</f>
        <v>0.25497947178294139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-0.50197808897650842</v>
      </c>
      <c r="H333" t="s">
        <v>21</v>
      </c>
      <c r="I333">
        <f>VLOOKUP(Table4[[#This Row],[Visitor]],'NHL Model'!$A$6:$B$38,2,FALSE)</f>
        <v>-0.41554817552415113</v>
      </c>
      <c r="J333">
        <f>($B$1+Table4[[#This Row],[Home Differential]])-Table4[[#This Row],[Away Differential]]</f>
        <v>-3.0062465133345873E-3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0.46117933155719049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0.29032771274115604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-0.22852375643476561</v>
      </c>
      <c r="H334" t="s">
        <v>34</v>
      </c>
      <c r="I334">
        <f>VLOOKUP(Table4[[#This Row],[Visitor]],'NHL Model'!$A$6:$B$38,2,FALSE)</f>
        <v>-0.15603426337582751</v>
      </c>
      <c r="J334">
        <f>($B$1+Table4[[#This Row],[Home Differential]])-Table4[[#This Row],[Away Differential]]</f>
        <v>1.0934173880084636E-2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0.50127241549884294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0.25127403454004466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-0.36992241209510063</v>
      </c>
      <c r="H335" t="s">
        <v>25</v>
      </c>
      <c r="I335">
        <f>VLOOKUP(Table4[[#This Row],[Visitor]],'NHL Model'!$A$6:$B$38,2,FALSE)</f>
        <v>0.25962865313068506</v>
      </c>
      <c r="J335">
        <f>($B$1+Table4[[#This Row],[Home Differential]])-Table4[[#This Row],[Away Differential]]</f>
        <v>-0.54612739828676293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0.59367361118501238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0.1651011342474285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5.8616755922628279E-2</v>
      </c>
      <c r="H336" t="s">
        <v>20</v>
      </c>
      <c r="I336">
        <f>VLOOKUP(Table4[[#This Row],[Visitor]],'NHL Model'!$A$6:$B$38,2,FALSE)</f>
        <v>-0.42180143360631367</v>
      </c>
      <c r="J336">
        <f>($B$1+Table4[[#This Row],[Home Differential]])-Table4[[#This Row],[Away Differential]]</f>
        <v>0.5638418564679647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0.68544928070897604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9.8942155006500554E-2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-1.2612222633157453</v>
      </c>
      <c r="H337" t="s">
        <v>39</v>
      </c>
      <c r="I337">
        <f>VLOOKUP(Table4[[#This Row],[Visitor]],'NHL Model'!$A$6:$B$38,2,FALSE)</f>
        <v>0.10032544630879472</v>
      </c>
      <c r="J337">
        <f>($B$1+Table4[[#This Row],[Home Differential]])-Table4[[#This Row],[Away Differential]]</f>
        <v>-1.2781240426855174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0.71053371212265337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0.5048581560627976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-1.0708320987334559</v>
      </c>
      <c r="H338" t="s">
        <v>28</v>
      </c>
      <c r="I338">
        <f>VLOOKUP(Table4[[#This Row],[Visitor]],'NHL Model'!$A$6:$B$38,2,FALSE)</f>
        <v>-0.9065542839469537</v>
      </c>
      <c r="J338">
        <f>($B$1+Table4[[#This Row],[Home Differential]])-Table4[[#This Row],[Away Differential]]</f>
        <v>-8.0854147847479463E-2</v>
      </c>
      <c r="K338" t="str">
        <f>IF(Table4[[#This Row],[HomeIce Differential]]&gt;0,Table4[[#This Row],[Home]],Table4[[#This Row],[Visitor]])</f>
        <v>Columbus Blue Jackets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0.46940903921916344</v>
      </c>
      <c r="M338" t="str">
        <f>IF(OR((NHL2025_26Results[[#This Row],[Winning Team]]="")),"-",IF(Table4[[#This Row],[Predicted Winner]]=NHL2025_26Results[[#This Row],[Winning Team]],"YES","NO"))</f>
        <v>NO</v>
      </c>
      <c r="N338">
        <f>IF(Table4[[#This Row],[Adjusted Correct]]="-", "",IF(Table4[[#This Row],[Adjusted Correct]]="YES",(Table4[[#This Row],[Strength of Win]]-1)^2,(Table4[[#This Row],[Strength of Win]]-0)^2))</f>
        <v>0.22034484610065813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-0.57335522029781161</v>
      </c>
      <c r="H339" t="s">
        <v>17</v>
      </c>
      <c r="I339">
        <f>VLOOKUP(Table4[[#This Row],[Visitor]],'NHL Model'!$A$6:$B$38,2,FALSE)</f>
        <v>-1.1577943512279505</v>
      </c>
      <c r="J339">
        <f>($B$1+Table4[[#This Row],[Home Differential]])-Table4[[#This Row],[Away Differential]]</f>
        <v>0.66786279786916158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0.63173616149266487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0.39909057773748635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-0.65770380103775494</v>
      </c>
      <c r="H340" t="s">
        <v>19</v>
      </c>
      <c r="I340">
        <f>VLOOKUP(Table4[[#This Row],[Visitor]],'NHL Model'!$A$6:$B$38,2,FALSE)</f>
        <v>-1.054674343910232</v>
      </c>
      <c r="J340">
        <f>($B$1+Table4[[#This Row],[Home Differential]])-Table4[[#This Row],[Away Differential]]</f>
        <v>0.48039420981149972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0.59590372394131086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0.1632938003245003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-1.4782515386602066</v>
      </c>
      <c r="H341" t="s">
        <v>12</v>
      </c>
      <c r="I341">
        <f>VLOOKUP(Table4[[#This Row],[Visitor]],'NHL Model'!$A$6:$B$38,2,FALSE)</f>
        <v>1.339787395621115</v>
      </c>
      <c r="J341">
        <f>($B$1+Table4[[#This Row],[Home Differential]])-Table4[[#This Row],[Away Differential]]</f>
        <v>-2.7346152673422992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0.85085176943004548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2.2245194682148316E-2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-0.30740058470151932</v>
      </c>
      <c r="H342" t="s">
        <v>35</v>
      </c>
      <c r="I342">
        <f>VLOOKUP(Table4[[#This Row],[Visitor]],'NHL Model'!$A$6:$B$38,2,FALSE)</f>
        <v>-1.5899576513683618</v>
      </c>
      <c r="J342">
        <f>($B$1+Table4[[#This Row],[Home Differential]])-Table4[[#This Row],[Away Differential]]</f>
        <v>1.3659807336058651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0.69895988811067367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0.48854492518768544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-0.46667677612181552</v>
      </c>
      <c r="H343" t="s">
        <v>24</v>
      </c>
      <c r="I343">
        <f>VLOOKUP(Table4[[#This Row],[Visitor]],'NHL Model'!$A$6:$B$38,2,FALSE)</f>
        <v>2.3143316481494557E-3</v>
      </c>
      <c r="J343">
        <f>($B$1+Table4[[#This Row],[Home Differential]])-Table4[[#This Row],[Away Differential]]</f>
        <v>-0.38556744083094224</v>
      </c>
      <c r="K343" t="str">
        <f>IF(Table4[[#This Row],[HomeIce Differential]]&gt;0,Table4[[#This Row],[Home]],Table4[[#This Row],[Visitor]])</f>
        <v>New Jersey Devils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0.49314454560582255</v>
      </c>
      <c r="M343" t="str">
        <f>IF(OR((NHL2025_26Results[[#This Row],[Winning Team]]="")),"-",IF(Table4[[#This Row],[Predicted Winner]]=NHL2025_26Results[[#This Row],[Winning Team]],"YES","NO"))</f>
        <v>NO</v>
      </c>
      <c r="N343">
        <f>IF(Table4[[#This Row],[Adjusted Correct]]="-", "",IF(Table4[[#This Row],[Adjusted Correct]]="YES",(Table4[[#This Row],[Strength of Win]]-1)^2,(Table4[[#This Row],[Strength of Win]]-0)^2))</f>
        <v>0.24319154286077319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-0.22852375643476561</v>
      </c>
      <c r="H344" t="s">
        <v>32</v>
      </c>
      <c r="I344">
        <f>VLOOKUP(Table4[[#This Row],[Visitor]],'NHL Model'!$A$6:$B$38,2,FALSE)</f>
        <v>-0.64744265535741874</v>
      </c>
      <c r="J344">
        <f>($B$1+Table4[[#This Row],[Home Differential]])-Table4[[#This Row],[Away Differential]]</f>
        <v>0.5023425658616758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0.60095334474963902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0.36114492256577846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-0.6620483089622381</v>
      </c>
      <c r="H345" t="s">
        <v>36</v>
      </c>
      <c r="I345">
        <f>VLOOKUP(Table4[[#This Row],[Visitor]],'NHL Model'!$A$6:$B$38,2,FALSE)</f>
        <v>-0.53959086519270005</v>
      </c>
      <c r="J345">
        <f>($B$1+Table4[[#This Row],[Home Differential]])-Table4[[#This Row],[Away Differential]]</f>
        <v>-3.9033776830515343E-2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0.46537187399005864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0.28582723312090175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-0.40521943828179341</v>
      </c>
      <c r="H346" t="s">
        <v>15</v>
      </c>
      <c r="I346">
        <f>VLOOKUP(Table4[[#This Row],[Visitor]],'NHL Model'!$A$6:$B$38,2,FALSE)</f>
        <v>-0.39090512874251965</v>
      </c>
      <c r="J346">
        <f>($B$1+Table4[[#This Row],[Home Differential]])-Table4[[#This Row],[Away Differential]]</f>
        <v>6.9109357399748939E-2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0.48872898712789326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0.26139804860326993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0.15604658591703846</v>
      </c>
      <c r="H347" t="s">
        <v>37</v>
      </c>
      <c r="I347">
        <f>VLOOKUP(Table4[[#This Row],[Visitor]],'NHL Model'!$A$6:$B$38,2,FALSE)</f>
        <v>0.23616512594450029</v>
      </c>
      <c r="J347">
        <f>($B$1+Table4[[#This Row],[Home Differential]])-Table4[[#This Row],[Away Differential]]</f>
        <v>3.3051269115609017E-3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0.4856787369840142</v>
      </c>
      <c r="M347" t="str">
        <f>IF(OR((NHL2025_26Results[[#This Row],[Winning Team]]="")),"-",IF(Table4[[#This Row],[Predicted Winner]]=NHL2025_26Results[[#This Row],[Winning Team]],"YES","NO"))</f>
        <v>NO</v>
      </c>
      <c r="N347">
        <f>IF(Table4[[#This Row],[Adjusted Correct]]="-", "",IF(Table4[[#This Row],[Adjusted Correct]]="YES",(Table4[[#This Row],[Strength of Win]]-1)^2,(Table4[[#This Row],[Strength of Win]]-0)^2))</f>
        <v>0.23588383555838724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-0.90742746858300449</v>
      </c>
      <c r="H348" t="s">
        <v>25</v>
      </c>
      <c r="I348">
        <f>VLOOKUP(Table4[[#This Row],[Visitor]],'NHL Model'!$A$6:$B$38,2,FALSE)</f>
        <v>0.25962865313068506</v>
      </c>
      <c r="J348">
        <f>($B$1+Table4[[#This Row],[Home Differential]])-Table4[[#This Row],[Away Differential]]</f>
        <v>-1.083632454774667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0.65872604122477529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0.43391999738766435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-0.43769530535874146</v>
      </c>
      <c r="H349" t="s">
        <v>12</v>
      </c>
      <c r="I349">
        <f>VLOOKUP(Table4[[#This Row],[Visitor]],'NHL Model'!$A$6:$B$38,2,FALSE)</f>
        <v>1.339787395621115</v>
      </c>
      <c r="J349">
        <f>($B$1+Table4[[#This Row],[Home Differential]])-Table4[[#This Row],[Away Differential]]</f>
        <v>-1.6940590340408339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0.72976169960026804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7.3028739002935772E-2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-0.30740058470151932</v>
      </c>
      <c r="H350" t="s">
        <v>32</v>
      </c>
      <c r="I350">
        <f>VLOOKUP(Table4[[#This Row],[Visitor]],'NHL Model'!$A$6:$B$38,2,FALSE)</f>
        <v>-0.64744265535741874</v>
      </c>
      <c r="J350">
        <f>($B$1+Table4[[#This Row],[Home Differential]])-Table4[[#This Row],[Away Differential]]</f>
        <v>0.42346573759492212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0.5892789280337063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0.16869179895714143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-0.6620483089622381</v>
      </c>
      <c r="H351" t="s">
        <v>21</v>
      </c>
      <c r="I351">
        <f>VLOOKUP(Table4[[#This Row],[Visitor]],'NHL Model'!$A$6:$B$38,2,FALSE)</f>
        <v>-0.41554817552415113</v>
      </c>
      <c r="J351">
        <f>($B$1+Table4[[#This Row],[Home Differential]])-Table4[[#This Row],[Away Differential]]</f>
        <v>-0.16307646649906427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0.47980678627363765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0.2302145521542362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-1.1317546087271064</v>
      </c>
      <c r="H352" t="s">
        <v>16</v>
      </c>
      <c r="I352">
        <f>VLOOKUP(Table4[[#This Row],[Visitor]],'NHL Model'!$A$6:$B$38,2,FALSE)</f>
        <v>-1.2612222633157453</v>
      </c>
      <c r="J352">
        <f>($B$1+Table4[[#This Row],[Home Differential]])-Table4[[#This Row],[Away Differential]]</f>
        <v>0.21289132152766155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0.56477427376331868</v>
      </c>
      <c r="M352" t="str">
        <f>IF(OR((NHL2025_26Results[[#This Row],[Winning Team]]="")),"-",IF(Table4[[#This Row],[Predicted Winner]]=NHL2025_26Results[[#This Row],[Winning Team]],"YES","NO"))</f>
        <v>NO</v>
      </c>
      <c r="N352">
        <f>IF(Table4[[#This Row],[Adjusted Correct]]="-", "",IF(Table4[[#This Row],[Adjusted Correct]]="YES",(Table4[[#This Row],[Strength of Win]]-1)^2,(Table4[[#This Row],[Strength of Win]]-0)^2))</f>
        <v>0.31896998030488405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-0.36992241209510063</v>
      </c>
      <c r="H353" t="s">
        <v>34</v>
      </c>
      <c r="I353">
        <f>VLOOKUP(Table4[[#This Row],[Visitor]],'NHL Model'!$A$6:$B$38,2,FALSE)</f>
        <v>-0.15603426337582751</v>
      </c>
      <c r="J353">
        <f>($B$1+Table4[[#This Row],[Home Differential]])-Table4[[#This Row],[Away Differential]]</f>
        <v>-0.13046448178025036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0.51518221957015498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0.23504828022092142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-0.50197808897650842</v>
      </c>
      <c r="H354" t="s">
        <v>36</v>
      </c>
      <c r="I354">
        <f>VLOOKUP(Table4[[#This Row],[Visitor]],'NHL Model'!$A$6:$B$38,2,FALSE)</f>
        <v>-0.53959086519270005</v>
      </c>
      <c r="J354">
        <f>($B$1+Table4[[#This Row],[Home Differential]])-Table4[[#This Row],[Away Differential]]</f>
        <v>0.12103644315521433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0.55325558072638847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0.19958057615211641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2.3143316481494557E-3</v>
      </c>
      <c r="H355" t="s">
        <v>26</v>
      </c>
      <c r="I355">
        <f>VLOOKUP(Table4[[#This Row],[Visitor]],'NHL Model'!$A$6:$B$38,2,FALSE)</f>
        <v>-1.0708320987334559</v>
      </c>
      <c r="J355">
        <f>($B$1+Table4[[#This Row],[Home Differential]])-Table4[[#This Row],[Away Differential]]</f>
        <v>1.1565700973206281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0.77744780635568445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4.9529478895896928E-2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-1.4782515386602066</v>
      </c>
      <c r="H356" t="s">
        <v>11</v>
      </c>
      <c r="I356">
        <f>VLOOKUP(Table4[[#This Row],[Visitor]],'NHL Model'!$A$6:$B$38,2,FALSE)</f>
        <v>-0.57335522029781161</v>
      </c>
      <c r="J356">
        <f>($B$1+Table4[[#This Row],[Home Differential]])-Table4[[#This Row],[Away Differential]]</f>
        <v>-0.82147265142337234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0.55559519951027003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0.19749562669831669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-0.39090512874251965</v>
      </c>
      <c r="H357" t="s">
        <v>35</v>
      </c>
      <c r="I357">
        <f>VLOOKUP(Table4[[#This Row],[Visitor]],'NHL Model'!$A$6:$B$38,2,FALSE)</f>
        <v>-1.5899576513683618</v>
      </c>
      <c r="J357">
        <f>($B$1+Table4[[#This Row],[Home Differential]])-Table4[[#This Row],[Away Differential]]</f>
        <v>1.2824761895648649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0.68924242090859211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9.6570272962752626E-2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0.23616512594450029</v>
      </c>
      <c r="H358" t="s">
        <v>27</v>
      </c>
      <c r="I358">
        <f>VLOOKUP(Table4[[#This Row],[Visitor]],'NHL Model'!$A$6:$B$38,2,FALSE)</f>
        <v>-0.46667677612181552</v>
      </c>
      <c r="J358">
        <f>($B$1+Table4[[#This Row],[Home Differential]])-Table4[[#This Row],[Away Differential]]</f>
        <v>0.78626556900533862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0.64322227095699147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0.1272903479410864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-0.40521943828179341</v>
      </c>
      <c r="H359" t="s">
        <v>20</v>
      </c>
      <c r="I359">
        <f>VLOOKUP(Table4[[#This Row],[Visitor]],'NHL Model'!$A$6:$B$38,2,FALSE)</f>
        <v>-0.42180143360631367</v>
      </c>
      <c r="J359">
        <f>($B$1+Table4[[#This Row],[Home Differential]])-Table4[[#This Row],[Away Differential]]</f>
        <v>0.10000566226354296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0.59206888835428118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0.16640779184851193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0.15604658591703846</v>
      </c>
      <c r="H360" t="s">
        <v>28</v>
      </c>
      <c r="I360">
        <f>VLOOKUP(Table4[[#This Row],[Visitor]],'NHL Model'!$A$6:$B$38,2,FALSE)</f>
        <v>-0.9065542839469537</v>
      </c>
      <c r="J360">
        <f>($B$1+Table4[[#This Row],[Home Differential]])-Table4[[#This Row],[Away Differential]]</f>
        <v>1.1460245368030149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0.69940120698777686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9.0359634360405366E-2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-1.1577943512279505</v>
      </c>
      <c r="H361" t="s">
        <v>39</v>
      </c>
      <c r="I361">
        <f>VLOOKUP(Table4[[#This Row],[Visitor]],'NHL Model'!$A$6:$B$38,2,FALSE)</f>
        <v>0.10032544630879472</v>
      </c>
      <c r="J361">
        <f>($B$1+Table4[[#This Row],[Home Differential]])-Table4[[#This Row],[Away Differential]]</f>
        <v>-1.1746961305977226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0.69149451996223665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9.5175631213330794E-2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5.8616755922628279E-2</v>
      </c>
      <c r="H362" t="s">
        <v>38</v>
      </c>
      <c r="I362">
        <f>VLOOKUP(Table4[[#This Row],[Visitor]],'NHL Model'!$A$6:$B$38,2,FALSE)</f>
        <v>-1.1317546087271064</v>
      </c>
      <c r="J362">
        <f>($B$1+Table4[[#This Row],[Home Differential]])-Table4[[#This Row],[Away Differential]]</f>
        <v>1.2737950315887574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0.74823219004178454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0.55985141021472518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0.25962865313068506</v>
      </c>
      <c r="H363" t="s">
        <v>15</v>
      </c>
      <c r="I363">
        <f>VLOOKUP(Table4[[#This Row],[Visitor]],'NHL Model'!$A$6:$B$38,2,FALSE)</f>
        <v>-0.39090512874251965</v>
      </c>
      <c r="J363">
        <f>($B$1+Table4[[#This Row],[Home Differential]])-Table4[[#This Row],[Away Differential]]</f>
        <v>0.73395744881222735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0.56609770516430458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0.32046661179229191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-0.9065542839469537</v>
      </c>
      <c r="H364" t="s">
        <v>19</v>
      </c>
      <c r="I364">
        <f>VLOOKUP(Table4[[#This Row],[Visitor]],'NHL Model'!$A$6:$B$38,2,FALSE)</f>
        <v>-1.054674343910232</v>
      </c>
      <c r="J364">
        <f>($B$1+Table4[[#This Row],[Home Differential]])-Table4[[#This Row],[Away Differential]]</f>
        <v>0.23154372690230096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0.56694486387370824</v>
      </c>
      <c r="M364" t="str">
        <f>IF(OR((NHL2025_26Results[[#This Row],[Winning Team]]="")),"-",IF(Table4[[#This Row],[Predicted Winner]]=NHL2025_26Results[[#This Row],[Winning Team]],"YES","NO"))</f>
        <v>NO</v>
      </c>
      <c r="N364">
        <f>IF(Table4[[#This Row],[Adjusted Correct]]="-", "",IF(Table4[[#This Row],[Adjusted Correct]]="YES",(Table4[[#This Row],[Strength of Win]]-1)^2,(Table4[[#This Row],[Strength of Win]]-0)^2))</f>
        <v>0.32142647867277757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-0.43769530535874146</v>
      </c>
      <c r="H365" t="s">
        <v>34</v>
      </c>
      <c r="I365">
        <f>VLOOKUP(Table4[[#This Row],[Visitor]],'NHL Model'!$A$6:$B$38,2,FALSE)</f>
        <v>-0.15603426337582751</v>
      </c>
      <c r="J365">
        <f>($B$1+Table4[[#This Row],[Home Differential]])-Table4[[#This Row],[Away Differential]]</f>
        <v>-0.19823737504389125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0.52558154920683364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0.22507286645298802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1.339787395621115</v>
      </c>
      <c r="H366" t="s">
        <v>33</v>
      </c>
      <c r="I366">
        <f>VLOOKUP(Table4[[#This Row],[Visitor]],'NHL Model'!$A$6:$B$38,2,FALSE)</f>
        <v>-0.6620483089622381</v>
      </c>
      <c r="J366">
        <f>($B$1+Table4[[#This Row],[Home Differential]])-Table4[[#This Row],[Away Differential]]</f>
        <v>2.0852593715223757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0.88277651514944311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1.3741345400508741E-2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-1.0708320987334559</v>
      </c>
      <c r="H367" t="s">
        <v>29</v>
      </c>
      <c r="I367">
        <f>VLOOKUP(Table4[[#This Row],[Visitor]],'NHL Model'!$A$6:$B$38,2,FALSE)</f>
        <v>-1.4782515386602066</v>
      </c>
      <c r="J367">
        <f>($B$1+Table4[[#This Row],[Home Differential]])-Table4[[#This Row],[Away Differential]]</f>
        <v>0.49084310686577348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0.5971196675236502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0.35655189734355458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-0.57335522029781161</v>
      </c>
      <c r="H368" t="s">
        <v>27</v>
      </c>
      <c r="I368">
        <f>VLOOKUP(Table4[[#This Row],[Visitor]],'NHL Model'!$A$6:$B$38,2,FALSE)</f>
        <v>-0.46667677612181552</v>
      </c>
      <c r="J368">
        <f>($B$1+Table4[[#This Row],[Home Differential]])-Table4[[#This Row],[Away Differential]]</f>
        <v>-2.325477723697339E-2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0.46937283718333994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0.28156518591885832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2.3143316481494557E-3</v>
      </c>
      <c r="H369" t="s">
        <v>35</v>
      </c>
      <c r="I369">
        <f>VLOOKUP(Table4[[#This Row],[Visitor]],'NHL Model'!$A$6:$B$38,2,FALSE)</f>
        <v>-1.5899576513683618</v>
      </c>
      <c r="J369">
        <f>($B$1+Table4[[#This Row],[Home Differential]])-Table4[[#This Row],[Away Differential]]</f>
        <v>1.675695649955534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0.85676627982207088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2.0515898596009302E-2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-0.30740058470151932</v>
      </c>
      <c r="H370" t="s">
        <v>21</v>
      </c>
      <c r="I370">
        <f>VLOOKUP(Table4[[#This Row],[Visitor]],'NHL Model'!$A$6:$B$38,2,FALSE)</f>
        <v>-0.41554817552415113</v>
      </c>
      <c r="J370">
        <f>($B$1+Table4[[#This Row],[Home Differential]])-Table4[[#This Row],[Away Differential]]</f>
        <v>0.19157125776165454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0.56146375377151569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0.31524154679920119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-0.22852375643476561</v>
      </c>
      <c r="H371" t="s">
        <v>23</v>
      </c>
      <c r="I371">
        <f>VLOOKUP(Table4[[#This Row],[Visitor]],'NHL Model'!$A$6:$B$38,2,FALSE)</f>
        <v>-0.90742746858300449</v>
      </c>
      <c r="J371">
        <f>($B$1+Table4[[#This Row],[Home Differential]])-Table4[[#This Row],[Away Differential]]</f>
        <v>0.76232737908726156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0.6312079126246336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0.13600760371067988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-0.64744265535741874</v>
      </c>
      <c r="H372" t="s">
        <v>39</v>
      </c>
      <c r="I372">
        <f>VLOOKUP(Table4[[#This Row],[Visitor]],'NHL Model'!$A$6:$B$38,2,FALSE)</f>
        <v>0.10032544630879472</v>
      </c>
      <c r="J372">
        <f>($B$1+Table4[[#This Row],[Home Differential]])-Table4[[#This Row],[Away Differential]]</f>
        <v>-0.66434443472719074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0.63663214114441036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0.13203620084929571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0.23616512594450029</v>
      </c>
      <c r="H373" t="s">
        <v>16</v>
      </c>
      <c r="I373">
        <f>VLOOKUP(Table4[[#This Row],[Visitor]],'NHL Model'!$A$6:$B$38,2,FALSE)</f>
        <v>-1.2612222633157453</v>
      </c>
      <c r="J373">
        <f>($B$1+Table4[[#This Row],[Home Differential]])-Table4[[#This Row],[Away Differential]]</f>
        <v>1.5808110561992683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0.75620587024435082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5.9435577703314306E-2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-0.40521943828179341</v>
      </c>
      <c r="H374" t="s">
        <v>18</v>
      </c>
      <c r="I374">
        <f>VLOOKUP(Table4[[#This Row],[Visitor]],'NHL Model'!$A$6:$B$38,2,FALSE)</f>
        <v>-0.65770380103775494</v>
      </c>
      <c r="J374">
        <f>($B$1+Table4[[#This Row],[Home Differential]])-Table4[[#This Row],[Away Differential]]</f>
        <v>0.33590802969498423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0.53908979204621654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0.290617803888433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-0.42180143360631367</v>
      </c>
      <c r="H375" t="s">
        <v>36</v>
      </c>
      <c r="I375">
        <f>VLOOKUP(Table4[[#This Row],[Visitor]],'NHL Model'!$A$6:$B$38,2,FALSE)</f>
        <v>-0.53959086519270005</v>
      </c>
      <c r="J375">
        <f>($B$1+Table4[[#This Row],[Home Differential]])-Table4[[#This Row],[Away Differential]]</f>
        <v>0.20121309852540914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0.56258577979375801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0.31650275962615076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0.15604658591703846</v>
      </c>
      <c r="H376" t="s">
        <v>40</v>
      </c>
      <c r="I376">
        <f>VLOOKUP(Table4[[#This Row],[Visitor]],'NHL Model'!$A$6:$B$38,2,FALSE)</f>
        <v>-0.36992241209510063</v>
      </c>
      <c r="J376">
        <f>($B$1+Table4[[#This Row],[Home Differential]])-Table4[[#This Row],[Away Differential]]</f>
        <v>0.60939266495116184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0.61636988668369352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0.14717206384308215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5.8616755922628279E-2</v>
      </c>
      <c r="H377" t="s">
        <v>13</v>
      </c>
      <c r="I377">
        <f>VLOOKUP(Table4[[#This Row],[Visitor]],'NHL Model'!$A$6:$B$38,2,FALSE)</f>
        <v>-0.50197808897650842</v>
      </c>
      <c r="J377">
        <f>($B$1+Table4[[#This Row],[Home Differential]])-Table4[[#This Row],[Away Differential]]</f>
        <v>0.64401851183815939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0.63050032458809935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0.13653001012949995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-0.41554817552415113</v>
      </c>
      <c r="H378" t="s">
        <v>15</v>
      </c>
      <c r="I378">
        <f>VLOOKUP(Table4[[#This Row],[Visitor]],'NHL Model'!$A$6:$B$38,2,FALSE)</f>
        <v>-0.39090512874251965</v>
      </c>
      <c r="J378">
        <f>($B$1+Table4[[#This Row],[Home Differential]])-Table4[[#This Row],[Away Differential]]</f>
        <v>5.8780620157391217E-2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0.4791650545735972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0.22959914952451838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-0.90742746858300449</v>
      </c>
      <c r="H379" t="s">
        <v>24</v>
      </c>
      <c r="I379">
        <f>VLOOKUP(Table4[[#This Row],[Visitor]],'NHL Model'!$A$6:$B$38,2,FALSE)</f>
        <v>2.3143316481494557E-3</v>
      </c>
      <c r="J379">
        <f>($B$1+Table4[[#This Row],[Home Differential]])-Table4[[#This Row],[Away Differential]]</f>
        <v>-0.82631813329213122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0.57692830152361918</v>
      </c>
      <c r="M379" t="str">
        <f>IF(OR((NHL2025_26Results[[#This Row],[Winning Team]]="")),"-",IF(Table4[[#This Row],[Predicted Winner]]=NHL2025_26Results[[#This Row],[Winning Team]],"YES","NO"))</f>
        <v>YES</v>
      </c>
      <c r="N379">
        <f>IF(Table4[[#This Row],[Adjusted Correct]]="-", "",IF(Table4[[#This Row],[Adjusted Correct]]="YES",(Table4[[#This Row],[Strength of Win]]-1)^2,(Table4[[#This Row],[Strength of Win]]-0)^2))</f>
        <v>0.1789896620516897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0.25962865313068506</v>
      </c>
      <c r="H380" t="s">
        <v>40</v>
      </c>
      <c r="I380">
        <f>VLOOKUP(Table4[[#This Row],[Visitor]],'NHL Model'!$A$6:$B$38,2,FALSE)</f>
        <v>-0.36992241209510063</v>
      </c>
      <c r="J380">
        <f>($B$1+Table4[[#This Row],[Home Differential]])-Table4[[#This Row],[Away Differential]]</f>
        <v>0.71297473216480833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0.64296924024065816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0.12747096341433287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-0.9065542839469537</v>
      </c>
      <c r="H381" t="s">
        <v>14</v>
      </c>
      <c r="I381">
        <f>VLOOKUP(Table4[[#This Row],[Visitor]],'NHL Model'!$A$6:$B$38,2,FALSE)</f>
        <v>-0.22852375643476561</v>
      </c>
      <c r="J381">
        <f>($B$1+Table4[[#This Row],[Home Differential]])-Table4[[#This Row],[Away Differential]]</f>
        <v>-0.59460686057316536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0.54996394025612261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0.20253245506979478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-0.43769530535874146</v>
      </c>
      <c r="H382" t="s">
        <v>29</v>
      </c>
      <c r="I382">
        <f>VLOOKUP(Table4[[#This Row],[Visitor]],'NHL Model'!$A$6:$B$38,2,FALSE)</f>
        <v>-1.4782515386602066</v>
      </c>
      <c r="J382">
        <f>($B$1+Table4[[#This Row],[Home Differential]])-Table4[[#This Row],[Away Differential]]</f>
        <v>1.1239799002404878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0.67079812532145588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0.44997012493477961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0.10032544630879472</v>
      </c>
      <c r="H383" t="s">
        <v>55</v>
      </c>
      <c r="I383">
        <f>VLOOKUP(Table4[[#This Row],[Visitor]],'NHL Model'!$A$6:$B$38,2,FALSE)</f>
        <v>-0.40521943828179341</v>
      </c>
      <c r="J383">
        <f>($B$1+Table4[[#This Row],[Home Differential]])-Table4[[#This Row],[Away Differential]]</f>
        <v>0.58896855152961081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0.62764400784217445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0.13864898489583866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-1.0708320987334559</v>
      </c>
      <c r="H384" t="s">
        <v>37</v>
      </c>
      <c r="I384">
        <f>VLOOKUP(Table4[[#This Row],[Visitor]],'NHL Model'!$A$6:$B$38,2,FALSE)</f>
        <v>0.23616512594450029</v>
      </c>
      <c r="J384">
        <f>($B$1+Table4[[#This Row],[Home Differential]])-Table4[[#This Row],[Away Differential]]</f>
        <v>-1.2235735577389335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0.6833461599544679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0.10026965441558143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-0.57335522029781161</v>
      </c>
      <c r="H385" t="s">
        <v>16</v>
      </c>
      <c r="I385">
        <f>VLOOKUP(Table4[[#This Row],[Visitor]],'NHL Model'!$A$6:$B$38,2,FALSE)</f>
        <v>-1.2612222633157453</v>
      </c>
      <c r="J385">
        <f>($B$1+Table4[[#This Row],[Home Differential]])-Table4[[#This Row],[Away Differential]]</f>
        <v>0.77129070995695637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0.64377212139203799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0.41444254428160487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-0.15603426337582751</v>
      </c>
      <c r="H386" t="s">
        <v>12</v>
      </c>
      <c r="I386">
        <f>VLOOKUP(Table4[[#This Row],[Visitor]],'NHL Model'!$A$6:$B$38,2,FALSE)</f>
        <v>1.339787395621115</v>
      </c>
      <c r="J386">
        <f>($B$1+Table4[[#This Row],[Home Differential]])-Table4[[#This Row],[Away Differential]]</f>
        <v>-1.4123979920579197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0.68288000712648866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0.46632510413307321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-0.30740058470151932</v>
      </c>
      <c r="H387" t="s">
        <v>27</v>
      </c>
      <c r="I387">
        <f>VLOOKUP(Table4[[#This Row],[Visitor]],'NHL Model'!$A$6:$B$38,2,FALSE)</f>
        <v>-0.46667677612181552</v>
      </c>
      <c r="J387">
        <f>($B$1+Table4[[#This Row],[Home Differential]])-Table4[[#This Row],[Away Differential]]</f>
        <v>0.24269985835931893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0.54747387792193858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0.2997276470068857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-0.6620483089622381</v>
      </c>
      <c r="H388" t="s">
        <v>38</v>
      </c>
      <c r="I388">
        <f>VLOOKUP(Table4[[#This Row],[Visitor]],'NHL Model'!$A$6:$B$38,2,FALSE)</f>
        <v>-1.1317546087271064</v>
      </c>
      <c r="J388">
        <f>($B$1+Table4[[#This Row],[Home Differential]])-Table4[[#This Row],[Away Differential]]</f>
        <v>0.55312996670389103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0.58359879101524115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0.17338996684396882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-1.5899576513683618</v>
      </c>
      <c r="H389" t="s">
        <v>36</v>
      </c>
      <c r="I389">
        <f>VLOOKUP(Table4[[#This Row],[Visitor]],'NHL Model'!$A$6:$B$38,2,FALSE)</f>
        <v>-0.53959086519270005</v>
      </c>
      <c r="J389">
        <f>($B$1+Table4[[#This Row],[Home Differential]])-Table4[[#This Row],[Away Differential]]</f>
        <v>-0.966943119236639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0.57335316656390056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0.32873385360885188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-0.42180143360631367</v>
      </c>
      <c r="H390" t="s">
        <v>18</v>
      </c>
      <c r="I390">
        <f>VLOOKUP(Table4[[#This Row],[Visitor]],'NHL Model'!$A$6:$B$38,2,FALSE)</f>
        <v>-0.65770380103775494</v>
      </c>
      <c r="J390">
        <f>($B$1+Table4[[#This Row],[Home Differential]])-Table4[[#This Row],[Away Differential]]</f>
        <v>0.31932603437046403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0.49620186769617697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0.24621629350517432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0.15604658591703846</v>
      </c>
      <c r="H391" t="s">
        <v>19</v>
      </c>
      <c r="I391">
        <f>VLOOKUP(Table4[[#This Row],[Visitor]],'NHL Model'!$A$6:$B$38,2,FALSE)</f>
        <v>-1.054674343910232</v>
      </c>
      <c r="J391">
        <f>($B$1+Table4[[#This Row],[Home Differential]])-Table4[[#This Row],[Away Differential]]</f>
        <v>1.2941445967662932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0.71663801536980687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8.0294014333561814E-2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-0.41554817552415113</v>
      </c>
      <c r="H392" t="s">
        <v>26</v>
      </c>
      <c r="I392">
        <f>VLOOKUP(Table4[[#This Row],[Visitor]],'NHL Model'!$A$6:$B$38,2,FALSE)</f>
        <v>-1.0708320987334559</v>
      </c>
      <c r="J392">
        <f>($B$1+Table4[[#This Row],[Home Differential]])-Table4[[#This Row],[Away Differential]]</f>
        <v>0.73870759014832743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0.6376879242331368</v>
      </c>
      <c r="M392" t="str">
        <f>IF(OR((NHL2025_26Results[[#This Row],[Winning Team]]="")),"-",IF(Table4[[#This Row],[Predicted Winner]]=NHL2025_26Results[[#This Row],[Winning Team]],"YES","NO"))</f>
        <v>-</v>
      </c>
      <c r="N392" t="str">
        <f>IF(Table4[[#This Row],[Adjusted Correct]]="-", "",IF(Table4[[#This Row],[Adjusted Correct]]="YES",(Table4[[#This Row],[Strength of Win]]-1)^2,(Table4[[#This Row],[Strength of Win]]-0)^2))</f>
        <v/>
      </c>
      <c r="O392">
        <v>0.73870759014832743</v>
      </c>
      <c r="P392" s="11">
        <v>0.6376879242331368</v>
      </c>
      <c r="Q392" t="s">
        <v>21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1.339787395621115</v>
      </c>
      <c r="H393" t="s">
        <v>18</v>
      </c>
      <c r="I393">
        <f>VLOOKUP(Table4[[#This Row],[Visitor]],'NHL Model'!$A$6:$B$38,2,FALSE)</f>
        <v>-0.65770380103775494</v>
      </c>
      <c r="J393">
        <f>($B$1+Table4[[#This Row],[Home Differential]])-Table4[[#This Row],[Away Differential]]</f>
        <v>2.0809148635978927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0.80465714449512971</v>
      </c>
      <c r="M393" t="str">
        <f>IF(OR((NHL2025_26Results[[#This Row],[Winning Team]]="")),"-",IF(Table4[[#This Row],[Predicted Winner]]=NHL2025_26Results[[#This Row],[Winning Team]],"YES","NO"))</f>
        <v>-</v>
      </c>
      <c r="N393" t="str">
        <f>IF(Table4[[#This Row],[Adjusted Correct]]="-", "",IF(Table4[[#This Row],[Adjusted Correct]]="YES",(Table4[[#This Row],[Strength of Win]]-1)^2,(Table4[[#This Row],[Strength of Win]]-0)^2))</f>
        <v/>
      </c>
      <c r="O393">
        <v>2.0809148635978927</v>
      </c>
      <c r="P393" s="11">
        <v>0.80465714449512971</v>
      </c>
      <c r="Q393" t="s">
        <v>12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-0.50197808897650842</v>
      </c>
      <c r="H394" t="s">
        <v>38</v>
      </c>
      <c r="I394">
        <f>VLOOKUP(Table4[[#This Row],[Visitor]],'NHL Model'!$A$6:$B$38,2,FALSE)</f>
        <v>-1.1317546087271064</v>
      </c>
      <c r="J394">
        <f>($B$1+Table4[[#This Row],[Home Differential]])-Table4[[#This Row],[Away Differential]]</f>
        <v>0.71320018668962071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0.60222624573168826</v>
      </c>
      <c r="M394" t="str">
        <f>IF(OR((NHL2025_26Results[[#This Row],[Winning Team]]="")),"-",IF(Table4[[#This Row],[Predicted Winner]]=NHL2025_26Results[[#This Row],[Winning Team]],"YES","NO"))</f>
        <v>-</v>
      </c>
      <c r="N394" t="str">
        <f>IF(Table4[[#This Row],[Adjusted Correct]]="-", "",IF(Table4[[#This Row],[Adjusted Correct]]="YES",(Table4[[#This Row],[Strength of Win]]-1)^2,(Table4[[#This Row],[Strength of Win]]-0)^2))</f>
        <v/>
      </c>
      <c r="O394">
        <v>0.71320018668962071</v>
      </c>
      <c r="P394" s="11">
        <v>0.60222624573168826</v>
      </c>
      <c r="Q394" t="s">
        <v>13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-0.15603426337582751</v>
      </c>
      <c r="H395" t="s">
        <v>23</v>
      </c>
      <c r="I395">
        <f>VLOOKUP(Table4[[#This Row],[Visitor]],'NHL Model'!$A$6:$B$38,2,FALSE)</f>
        <v>-0.90742746858300449</v>
      </c>
      <c r="J395">
        <f>($B$1+Table4[[#This Row],[Home Differential]])-Table4[[#This Row],[Away Differential]]</f>
        <v>0.83481687214619971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0.65116469391174403</v>
      </c>
      <c r="M395" t="str">
        <f>IF(OR((NHL2025_26Results[[#This Row],[Winning Team]]="")),"-",IF(Table4[[#This Row],[Predicted Winner]]=NHL2025_26Results[[#This Row],[Winning Team]],"YES","NO"))</f>
        <v>-</v>
      </c>
      <c r="N395" t="str">
        <f>IF(Table4[[#This Row],[Adjusted Correct]]="-", "",IF(Table4[[#This Row],[Adjusted Correct]]="YES",(Table4[[#This Row],[Strength of Win]]-1)^2,(Table4[[#This Row],[Strength of Win]]-0)^2))</f>
        <v/>
      </c>
      <c r="O395">
        <v>0.83481687214619971</v>
      </c>
      <c r="P395" s="11">
        <v>0.65116469391174403</v>
      </c>
      <c r="Q395" t="s">
        <v>34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2.3143316481494557E-3</v>
      </c>
      <c r="H396" t="s">
        <v>27</v>
      </c>
      <c r="I396">
        <f>VLOOKUP(Table4[[#This Row],[Visitor]],'NHL Model'!$A$6:$B$38,2,FALSE)</f>
        <v>-0.46667677612181552</v>
      </c>
      <c r="J396">
        <f>($B$1+Table4[[#This Row],[Home Differential]])-Table4[[#This Row],[Away Differential]]</f>
        <v>0.5524147747089877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0.70714193737735653</v>
      </c>
      <c r="M396" t="str">
        <f>IF(OR((NHL2025_26Results[[#This Row],[Winning Team]]="")),"-",IF(Table4[[#This Row],[Predicted Winner]]=NHL2025_26Results[[#This Row],[Winning Team]],"YES","NO"))</f>
        <v>-</v>
      </c>
      <c r="N396" t="str">
        <f>IF(Table4[[#This Row],[Adjusted Correct]]="-", "",IF(Table4[[#This Row],[Adjusted Correct]]="YES",(Table4[[#This Row],[Strength of Win]]-1)^2,(Table4[[#This Row],[Strength of Win]]-0)^2))</f>
        <v/>
      </c>
      <c r="O396">
        <v>0.5524147747089877</v>
      </c>
      <c r="P396" s="11">
        <v>0.70714193737735653</v>
      </c>
      <c r="Q396" t="s">
        <v>24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-1.4782515386602066</v>
      </c>
      <c r="H397" t="s">
        <v>40</v>
      </c>
      <c r="I397">
        <f>VLOOKUP(Table4[[#This Row],[Visitor]],'NHL Model'!$A$6:$B$38,2,FALSE)</f>
        <v>-0.36992241209510063</v>
      </c>
      <c r="J397">
        <f>($B$1+Table4[[#This Row],[Home Differential]])-Table4[[#This Row],[Away Differential]]</f>
        <v>-1.0249054596260834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0.60003801192993833</v>
      </c>
      <c r="M397" t="str">
        <f>IF(OR((NHL2025_26Results[[#This Row],[Winning Team]]="")),"-",IF(Table4[[#This Row],[Predicted Winner]]=NHL2025_26Results[[#This Row],[Winning Team]],"YES","NO"))</f>
        <v>-</v>
      </c>
      <c r="N397" t="str">
        <f>IF(Table4[[#This Row],[Adjusted Correct]]="-", "",IF(Table4[[#This Row],[Adjusted Correct]]="YES",(Table4[[#This Row],[Strength of Win]]-1)^2,(Table4[[#This Row],[Strength of Win]]-0)^2))</f>
        <v/>
      </c>
      <c r="O397">
        <v>-1.0249054596260834</v>
      </c>
      <c r="P397" s="11">
        <v>0.60003801192993833</v>
      </c>
      <c r="Q397" t="s">
        <v>40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-0.39090512874251965</v>
      </c>
      <c r="H398" t="s">
        <v>37</v>
      </c>
      <c r="I398">
        <f>VLOOKUP(Table4[[#This Row],[Visitor]],'NHL Model'!$A$6:$B$38,2,FALSE)</f>
        <v>0.23616512594450029</v>
      </c>
      <c r="J398">
        <f>($B$1+Table4[[#This Row],[Home Differential]])-Table4[[#This Row],[Away Differential]]</f>
        <v>-0.54364658774799723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0.60422270497873032</v>
      </c>
      <c r="M398" t="str">
        <f>IF(OR((NHL2025_26Results[[#This Row],[Winning Team]]="")),"-",IF(Table4[[#This Row],[Predicted Winner]]=NHL2025_26Results[[#This Row],[Winning Team]],"YES","NO"))</f>
        <v>-</v>
      </c>
      <c r="N398" t="str">
        <f>IF(Table4[[#This Row],[Adjusted Correct]]="-", "",IF(Table4[[#This Row],[Adjusted Correct]]="YES",(Table4[[#This Row],[Strength of Win]]-1)^2,(Table4[[#This Row],[Strength of Win]]-0)^2))</f>
        <v/>
      </c>
      <c r="O398">
        <v>-0.54364658774799723</v>
      </c>
      <c r="P398" s="11">
        <v>0.60422270497873032</v>
      </c>
      <c r="Q398" t="s">
        <v>37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-0.22852375643476561</v>
      </c>
      <c r="H399" t="s">
        <v>19</v>
      </c>
      <c r="I399">
        <f>VLOOKUP(Table4[[#This Row],[Visitor]],'NHL Model'!$A$6:$B$38,2,FALSE)</f>
        <v>-1.054674343910232</v>
      </c>
      <c r="J399">
        <f>($B$1+Table4[[#This Row],[Home Differential]])-Table4[[#This Row],[Away Differential]]</f>
        <v>0.90957425441448914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0.64834310805661832</v>
      </c>
      <c r="M399" t="str">
        <f>IF(OR((NHL2025_26Results[[#This Row],[Winning Team]]="")),"-",IF(Table4[[#This Row],[Predicted Winner]]=NHL2025_26Results[[#This Row],[Winning Team]],"YES","NO"))</f>
        <v>-</v>
      </c>
      <c r="N399" t="str">
        <f>IF(Table4[[#This Row],[Adjusted Correct]]="-", "",IF(Table4[[#This Row],[Adjusted Correct]]="YES",(Table4[[#This Row],[Strength of Win]]-1)^2,(Table4[[#This Row],[Strength of Win]]-0)^2))</f>
        <v/>
      </c>
      <c r="O399">
        <v>0.90957425441448914</v>
      </c>
      <c r="P399" s="11">
        <v>0.64834310805661832</v>
      </c>
      <c r="Q399" t="s">
        <v>14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-0.64744265535741874</v>
      </c>
      <c r="H400" t="s">
        <v>17</v>
      </c>
      <c r="I400">
        <f>VLOOKUP(Table4[[#This Row],[Visitor]],'NHL Model'!$A$6:$B$38,2,FALSE)</f>
        <v>-1.1577943512279505</v>
      </c>
      <c r="J400">
        <f>($B$1+Table4[[#This Row],[Home Differential]])-Table4[[#This Row],[Away Differential]]</f>
        <v>0.59377536280955445</v>
      </c>
      <c r="K400" t="str">
        <f>IF(Table4[[#This Row],[HomeIce Differential]]&gt;0,Table4[[#This Row],[Home]],Table4[[#This Row],[Visitor]])</f>
        <v>Seattle Kraken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0.61159342686420448</v>
      </c>
      <c r="M400" t="str">
        <f>IF(OR((NHL2025_26Results[[#This Row],[Winning Team]]="")),"-",IF(Table4[[#This Row],[Predicted Winner]]=NHL2025_26Results[[#This Row],[Winning Team]],"YES","NO"))</f>
        <v>-</v>
      </c>
      <c r="N400" t="str">
        <f>IF(Table4[[#This Row],[Adjusted Correct]]="-", "",IF(Table4[[#This Row],[Adjusted Correct]]="YES",(Table4[[#This Row],[Strength of Win]]-1)^2,(Table4[[#This Row],[Strength of Win]]-0)^2))</f>
        <v/>
      </c>
      <c r="O400">
        <v>0.59377536280955445</v>
      </c>
      <c r="P400" s="11">
        <v>0.61159342686420448</v>
      </c>
      <c r="Q400" t="s">
        <v>32</v>
      </c>
    </row>
    <row r="401" spans="4:17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-1.5899576513683618</v>
      </c>
      <c r="H401" t="s">
        <v>55</v>
      </c>
      <c r="I401">
        <f>VLOOKUP(Table4[[#This Row],[Visitor]],'NHL Model'!$A$6:$B$38,2,FALSE)</f>
        <v>-0.40521943828179341</v>
      </c>
      <c r="J401">
        <f>($B$1+Table4[[#This Row],[Home Differential]])-Table4[[#This Row],[Away Differential]]</f>
        <v>-1.1013145461475458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0.5881605462824806</v>
      </c>
      <c r="M401" t="str">
        <f>IF(OR((NHL2025_26Results[[#This Row],[Winning Team]]="")),"-",IF(Table4[[#This Row],[Predicted Winner]]=NHL2025_26Results[[#This Row],[Winning Team]],"YES","NO"))</f>
        <v>-</v>
      </c>
      <c r="N401" t="str">
        <f>IF(Table4[[#This Row],[Adjusted Correct]]="-", "",IF(Table4[[#This Row],[Adjusted Correct]]="YES",(Table4[[#This Row],[Strength of Win]]-1)^2,(Table4[[#This Row],[Strength of Win]]-0)^2))</f>
        <v/>
      </c>
      <c r="O401">
        <v>-1.1013145461475458</v>
      </c>
      <c r="P401" s="11">
        <v>0.5881605462824806</v>
      </c>
      <c r="Q401" t="s">
        <v>55</v>
      </c>
    </row>
    <row r="402" spans="4:17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-0.42180143360631367</v>
      </c>
      <c r="H402" t="s">
        <v>33</v>
      </c>
      <c r="I402">
        <f>VLOOKUP(Table4[[#This Row],[Visitor]],'NHL Model'!$A$6:$B$38,2,FALSE)</f>
        <v>-0.6620483089622381</v>
      </c>
      <c r="J402">
        <f>($B$1+Table4[[#This Row],[Home Differential]])-Table4[[#This Row],[Away Differential]]</f>
        <v>0.32367054229494718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0.57766570927549499</v>
      </c>
      <c r="M402" t="str">
        <f>IF(OR((NHL2025_26Results[[#This Row],[Winning Team]]="")),"-",IF(Table4[[#This Row],[Predicted Winner]]=NHL2025_26Results[[#This Row],[Winning Team]],"YES","NO"))</f>
        <v>-</v>
      </c>
      <c r="N402" t="str">
        <f>IF(Table4[[#This Row],[Adjusted Correct]]="-", "",IF(Table4[[#This Row],[Adjusted Correct]]="YES",(Table4[[#This Row],[Strength of Win]]-1)^2,(Table4[[#This Row],[Strength of Win]]-0)^2))</f>
        <v/>
      </c>
      <c r="O402">
        <v>0.32367054229494718</v>
      </c>
      <c r="P402" s="11">
        <v>0.57766570927549499</v>
      </c>
      <c r="Q402" t="s">
        <v>20</v>
      </c>
    </row>
    <row r="403" spans="4:17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0.25962865313068506</v>
      </c>
      <c r="H403" t="s">
        <v>16</v>
      </c>
      <c r="I403">
        <f>VLOOKUP(Table4[[#This Row],[Visitor]],'NHL Model'!$A$6:$B$38,2,FALSE)</f>
        <v>-1.2612222633157453</v>
      </c>
      <c r="J403">
        <f>($B$1+Table4[[#This Row],[Home Differential]])-Table4[[#This Row],[Away Differential]]</f>
        <v>1.604274583385453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0.76712144473894317</v>
      </c>
      <c r="M403" t="str">
        <f>IF(OR((NHL2025_26Results[[#This Row],[Winning Team]]="")),"-",IF(Table4[[#This Row],[Predicted Winner]]=NHL2025_26Results[[#This Row],[Winning Team]],"YES","NO"))</f>
        <v>-</v>
      </c>
      <c r="N403" t="str">
        <f>IF(Table4[[#This Row],[Adjusted Correct]]="-", "",IF(Table4[[#This Row],[Adjusted Correct]]="YES",(Table4[[#This Row],[Strength of Win]]-1)^2,(Table4[[#This Row],[Strength of Win]]-0)^2))</f>
        <v/>
      </c>
      <c r="P403" s="11"/>
    </row>
    <row r="404" spans="4:17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-0.43769530535874146</v>
      </c>
      <c r="H404" t="s">
        <v>31</v>
      </c>
      <c r="I404">
        <f>VLOOKUP(Table4[[#This Row],[Visitor]],'NHL Model'!$A$6:$B$38,2,FALSE)</f>
        <v>5.8616755922628279E-2</v>
      </c>
      <c r="J404">
        <f>($B$1+Table4[[#This Row],[Home Differential]])-Table4[[#This Row],[Away Differential]]</f>
        <v>-0.41288839434234703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0.52881726786972516</v>
      </c>
      <c r="M404" t="str">
        <f>IF(OR((NHL2025_26Results[[#This Row],[Winning Team]]="")),"-",IF(Table4[[#This Row],[Predicted Winner]]=NHL2025_26Results[[#This Row],[Winning Team]],"YES","NO"))</f>
        <v>-</v>
      </c>
      <c r="N404" t="str">
        <f>IF(Table4[[#This Row],[Adjusted Correct]]="-", "",IF(Table4[[#This Row],[Adjusted Correct]]="YES",(Table4[[#This Row],[Strength of Win]]-1)^2,(Table4[[#This Row],[Strength of Win]]-0)^2))</f>
        <v/>
      </c>
      <c r="P404" s="11"/>
    </row>
    <row r="405" spans="4:17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0.10032544630879472</v>
      </c>
      <c r="H405" t="s">
        <v>36</v>
      </c>
      <c r="I405">
        <f>VLOOKUP(Table4[[#This Row],[Visitor]],'NHL Model'!$A$6:$B$38,2,FALSE)</f>
        <v>-0.53959086519270005</v>
      </c>
      <c r="J405">
        <f>($B$1+Table4[[#This Row],[Home Differential]])-Table4[[#This Row],[Away Differential]]</f>
        <v>0.72333997844051745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0.64245765792736498</v>
      </c>
      <c r="M405" t="str">
        <f>IF(OR((NHL2025_26Results[[#This Row],[Winning Team]]="")),"-",IF(Table4[[#This Row],[Predicted Winner]]=NHL2025_26Results[[#This Row],[Winning Team]],"YES","NO"))</f>
        <v>-</v>
      </c>
      <c r="N405" t="str">
        <f>IF(Table4[[#This Row],[Adjusted Correct]]="-", "",IF(Table4[[#This Row],[Adjusted Correct]]="YES",(Table4[[#This Row],[Strength of Win]]-1)^2,(Table4[[#This Row],[Strength of Win]]-0)^2))</f>
        <v/>
      </c>
      <c r="P405" s="11"/>
    </row>
    <row r="406" spans="4:17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-0.30740058470151932</v>
      </c>
      <c r="H406" t="s">
        <v>22</v>
      </c>
      <c r="I406">
        <f>VLOOKUP(Table4[[#This Row],[Visitor]],'NHL Model'!$A$6:$B$38,2,FALSE)</f>
        <v>0.15604658591703846</v>
      </c>
      <c r="J406">
        <f>($B$1+Table4[[#This Row],[Home Differential]])-Table4[[#This Row],[Away Differential]]</f>
        <v>-0.38002350367953508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0.52499276345761714</v>
      </c>
      <c r="M406" t="str">
        <f>IF(OR((NHL2025_26Results[[#This Row],[Winning Team]]="")),"-",IF(Table4[[#This Row],[Predicted Winner]]=NHL2025_26Results[[#This Row],[Winning Team]],"YES","NO"))</f>
        <v>-</v>
      </c>
      <c r="N406" t="str">
        <f>IF(Table4[[#This Row],[Adjusted Correct]]="-", "",IF(Table4[[#This Row],[Adjusted Correct]]="YES",(Table4[[#This Row],[Strength of Win]]-1)^2,(Table4[[#This Row],[Strength of Win]]-0)^2))</f>
        <v/>
      </c>
      <c r="P406" s="11"/>
    </row>
    <row r="407" spans="4:17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-0.90742746858300449</v>
      </c>
      <c r="H407" t="s">
        <v>40</v>
      </c>
      <c r="I407">
        <f>VLOOKUP(Table4[[#This Row],[Visitor]],'NHL Model'!$A$6:$B$38,2,FALSE)</f>
        <v>-0.36992241209510063</v>
      </c>
      <c r="J407">
        <f>($B$1+Table4[[#This Row],[Home Differential]])-Table4[[#This Row],[Away Differential]]</f>
        <v>-0.45408138954888116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0.53361091813716988</v>
      </c>
      <c r="M407" t="str">
        <f>IF(OR((NHL2025_26Results[[#This Row],[Winning Team]]="")),"-",IF(Table4[[#This Row],[Predicted Winner]]=NHL2025_26Results[[#This Row],[Winning Team]],"YES","NO"))</f>
        <v>-</v>
      </c>
      <c r="N407" t="str">
        <f>IF(Table4[[#This Row],[Adjusted Correct]]="-", "",IF(Table4[[#This Row],[Adjusted Correct]]="YES",(Table4[[#This Row],[Strength of Win]]-1)^2,(Table4[[#This Row],[Strength of Win]]-0)^2))</f>
        <v/>
      </c>
      <c r="P407" s="11"/>
    </row>
    <row r="408" spans="4:17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2.3143316481494557E-3</v>
      </c>
      <c r="H408" t="s">
        <v>28</v>
      </c>
      <c r="I408">
        <f>VLOOKUP(Table4[[#This Row],[Visitor]],'NHL Model'!$A$6:$B$38,2,FALSE)</f>
        <v>-0.9065542839469537</v>
      </c>
      <c r="J408">
        <f>($B$1+Table4[[#This Row],[Home Differential]])-Table4[[#This Row],[Away Differential]]</f>
        <v>0.99229228253412582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0.7772382746700528</v>
      </c>
      <c r="M408" t="str">
        <f>IF(OR((NHL2025_26Results[[#This Row],[Winning Team]]="")),"-",IF(Table4[[#This Row],[Predicted Winner]]=NHL2025_26Results[[#This Row],[Winning Team]],"YES","NO"))</f>
        <v>-</v>
      </c>
      <c r="N408" t="str">
        <f>IF(Table4[[#This Row],[Adjusted Correct]]="-", "",IF(Table4[[#This Row],[Adjusted Correct]]="YES",(Table4[[#This Row],[Strength of Win]]-1)^2,(Table4[[#This Row],[Strength of Win]]-0)^2))</f>
        <v/>
      </c>
      <c r="P408" s="11"/>
    </row>
    <row r="409" spans="4:17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-0.46667677612181552</v>
      </c>
      <c r="H409" t="s">
        <v>14</v>
      </c>
      <c r="I409">
        <f>VLOOKUP(Table4[[#This Row],[Visitor]],'NHL Model'!$A$6:$B$38,2,FALSE)</f>
        <v>-0.22852375643476561</v>
      </c>
      <c r="J409">
        <f>($B$1+Table4[[#This Row],[Home Differential]])-Table4[[#This Row],[Away Differential]]</f>
        <v>-0.15472935274802715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0.4662817972883711</v>
      </c>
      <c r="M409" t="str">
        <f>IF(OR((NHL2025_26Results[[#This Row],[Winning Team]]="")),"-",IF(Table4[[#This Row],[Predicted Winner]]=NHL2025_26Results[[#This Row],[Winning Team]],"YES","NO"))</f>
        <v>-</v>
      </c>
      <c r="N409" t="str">
        <f>IF(Table4[[#This Row],[Adjusted Correct]]="-", "",IF(Table4[[#This Row],[Adjusted Correct]]="YES",(Table4[[#This Row],[Strength of Win]]-1)^2,(Table4[[#This Row],[Strength of Win]]-0)^2))</f>
        <v/>
      </c>
      <c r="P409" s="11"/>
    </row>
    <row r="410" spans="4:17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-0.6620483089622381</v>
      </c>
      <c r="H410" t="s">
        <v>55</v>
      </c>
      <c r="I410">
        <f>VLOOKUP(Table4[[#This Row],[Visitor]],'NHL Model'!$A$6:$B$38,2,FALSE)</f>
        <v>-0.40521943828179341</v>
      </c>
      <c r="J410">
        <f>($B$1+Table4[[#This Row],[Home Differential]])-Table4[[#This Row],[Away Differential]]</f>
        <v>-0.17340520374142199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0.48017925370863862</v>
      </c>
      <c r="M410" t="str">
        <f>IF(OR((NHL2025_26Results[[#This Row],[Winning Team]]="")),"-",IF(Table4[[#This Row],[Predicted Winner]]=NHL2025_26Results[[#This Row],[Winning Team]],"YES","NO"))</f>
        <v>-</v>
      </c>
      <c r="N410" t="str">
        <f>IF(Table4[[#This Row],[Adjusted Correct]]="-", "",IF(Table4[[#This Row],[Adjusted Correct]]="YES",(Table4[[#This Row],[Strength of Win]]-1)^2,(Table4[[#This Row],[Strength of Win]]-0)^2))</f>
        <v/>
      </c>
      <c r="P410" s="11"/>
    </row>
    <row r="411" spans="4:17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-1.5899576513683618</v>
      </c>
      <c r="H411" t="s">
        <v>31</v>
      </c>
      <c r="I411">
        <f>VLOOKUP(Table4[[#This Row],[Visitor]],'NHL Model'!$A$6:$B$38,2,FALSE)</f>
        <v>5.8616755922628279E-2</v>
      </c>
      <c r="J411">
        <f>($B$1+Table4[[#This Row],[Home Differential]])-Table4[[#This Row],[Away Differential]]</f>
        <v>-1.5651507403519673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0.66290663610870704</v>
      </c>
      <c r="M411" t="str">
        <f>IF(OR((NHL2025_26Results[[#This Row],[Winning Team]]="")),"-",IF(Table4[[#This Row],[Predicted Winner]]=NHL2025_26Results[[#This Row],[Winning Team]],"YES","NO"))</f>
        <v>-</v>
      </c>
      <c r="N411" t="str">
        <f>IF(Table4[[#This Row],[Adjusted Correct]]="-", "",IF(Table4[[#This Row],[Adjusted Correct]]="YES",(Table4[[#This Row],[Strength of Win]]-1)^2,(Table4[[#This Row],[Strength of Win]]-0)^2))</f>
        <v/>
      </c>
      <c r="P411" s="11"/>
    </row>
    <row r="412" spans="4:17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1.339787395621115</v>
      </c>
      <c r="H412" t="s">
        <v>38</v>
      </c>
      <c r="I412">
        <f>VLOOKUP(Table4[[#This Row],[Visitor]],'NHL Model'!$A$6:$B$38,2,FALSE)</f>
        <v>-1.1317546087271064</v>
      </c>
      <c r="J412">
        <f>($B$1+Table4[[#This Row],[Home Differential]])-Table4[[#This Row],[Away Differential]]</f>
        <v>2.5549656712872442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0.91801233860611564</v>
      </c>
      <c r="M412" t="str">
        <f>IF(OR((NHL2025_26Results[[#This Row],[Winning Team]]="")),"-",IF(Table4[[#This Row],[Predicted Winner]]=NHL2025_26Results[[#This Row],[Winning Team]],"YES","NO"))</f>
        <v>-</v>
      </c>
      <c r="N412" t="str">
        <f>IF(Table4[[#This Row],[Adjusted Correct]]="-", "",IF(Table4[[#This Row],[Adjusted Correct]]="YES",(Table4[[#This Row],[Strength of Win]]-1)^2,(Table4[[#This Row],[Strength of Win]]-0)^2))</f>
        <v/>
      </c>
      <c r="P412" s="11"/>
    </row>
    <row r="413" spans="4:17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-1.0708320987334559</v>
      </c>
      <c r="H413" t="s">
        <v>21</v>
      </c>
      <c r="I413">
        <f>VLOOKUP(Table4[[#This Row],[Visitor]],'NHL Model'!$A$6:$B$38,2,FALSE)</f>
        <v>-0.41554817552415113</v>
      </c>
      <c r="J413">
        <f>($B$1+Table4[[#This Row],[Home Differential]])-Table4[[#This Row],[Away Differential]]</f>
        <v>-0.57186025627028203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0.52737716840630322</v>
      </c>
      <c r="M413" t="str">
        <f>IF(OR((NHL2025_26Results[[#This Row],[Winning Team]]="")),"-",IF(Table4[[#This Row],[Predicted Winner]]=NHL2025_26Results[[#This Row],[Winning Team]],"YES","NO"))</f>
        <v>-</v>
      </c>
      <c r="N413" t="str">
        <f>IF(Table4[[#This Row],[Adjusted Correct]]="-", "",IF(Table4[[#This Row],[Adjusted Correct]]="YES",(Table4[[#This Row],[Strength of Win]]-1)^2,(Table4[[#This Row],[Strength of Win]]-0)^2))</f>
        <v/>
      </c>
      <c r="P413" s="11"/>
    </row>
    <row r="414" spans="4:17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-1.1577943512279505</v>
      </c>
      <c r="H414" t="s">
        <v>34</v>
      </c>
      <c r="I414">
        <f>VLOOKUP(Table4[[#This Row],[Visitor]],'NHL Model'!$A$6:$B$38,2,FALSE)</f>
        <v>-0.15603426337582751</v>
      </c>
      <c r="J414">
        <f>($B$1+Table4[[#This Row],[Home Differential]])-Table4[[#This Row],[Away Differential]]</f>
        <v>-0.9183364209131003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0.60228013075966136</v>
      </c>
      <c r="M414" t="str">
        <f>IF(OR((NHL2025_26Results[[#This Row],[Winning Team]]="")),"-",IF(Table4[[#This Row],[Predicted Winner]]=NHL2025_26Results[[#This Row],[Winning Team]],"YES","NO"))</f>
        <v>-</v>
      </c>
      <c r="N414" t="str">
        <f>IF(Table4[[#This Row],[Adjusted Correct]]="-", "",IF(Table4[[#This Row],[Adjusted Correct]]="YES",(Table4[[#This Row],[Strength of Win]]-1)^2,(Table4[[#This Row],[Strength of Win]]-0)^2))</f>
        <v/>
      </c>
      <c r="P414" s="11"/>
    </row>
    <row r="415" spans="4:17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-0.57335522029781161</v>
      </c>
      <c r="H415" t="s">
        <v>19</v>
      </c>
      <c r="I415">
        <f>VLOOKUP(Table4[[#This Row],[Visitor]],'NHL Model'!$A$6:$B$38,2,FALSE)</f>
        <v>-1.054674343910232</v>
      </c>
      <c r="J415">
        <f>($B$1+Table4[[#This Row],[Home Differential]])-Table4[[#This Row],[Away Differential]]</f>
        <v>0.56474279055144305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0.61973603263145793</v>
      </c>
      <c r="M415" t="str">
        <f>IF(OR((NHL2025_26Results[[#This Row],[Winning Team]]="")),"-",IF(Table4[[#This Row],[Predicted Winner]]=NHL2025_26Results[[#This Row],[Winning Team]],"YES","NO"))</f>
        <v>-</v>
      </c>
      <c r="N415" t="str">
        <f>IF(Table4[[#This Row],[Adjusted Correct]]="-", "",IF(Table4[[#This Row],[Adjusted Correct]]="YES",(Table4[[#This Row],[Strength of Win]]-1)^2,(Table4[[#This Row],[Strength of Win]]-0)^2))</f>
        <v/>
      </c>
      <c r="P415" s="11"/>
    </row>
    <row r="416" spans="4:17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-0.50197808897650842</v>
      </c>
      <c r="H416" t="s">
        <v>22</v>
      </c>
      <c r="I416">
        <f>VLOOKUP(Table4[[#This Row],[Visitor]],'NHL Model'!$A$6:$B$38,2,FALSE)</f>
        <v>0.15604658591703846</v>
      </c>
      <c r="J416">
        <f>($B$1+Table4[[#This Row],[Home Differential]])-Table4[[#This Row],[Away Differential]]</f>
        <v>-0.57460100795452418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0.54763584878632343</v>
      </c>
      <c r="M416" t="str">
        <f>IF(OR((NHL2025_26Results[[#This Row],[Winning Team]]="")),"-",IF(Table4[[#This Row],[Predicted Winner]]=NHL2025_26Results[[#This Row],[Winning Team]],"YES","NO"))</f>
        <v>-</v>
      </c>
      <c r="N416" t="str">
        <f>IF(Table4[[#This Row],[Adjusted Correct]]="-", "",IF(Table4[[#This Row],[Adjusted Correct]]="YES",(Table4[[#This Row],[Strength of Win]]-1)^2,(Table4[[#This Row],[Strength of Win]]-0)^2))</f>
        <v/>
      </c>
      <c r="P416" s="11"/>
    </row>
    <row r="417" spans="4:16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-0.65770380103775494</v>
      </c>
      <c r="H417" t="s">
        <v>36</v>
      </c>
      <c r="I417">
        <f>VLOOKUP(Table4[[#This Row],[Visitor]],'NHL Model'!$A$6:$B$38,2,FALSE)</f>
        <v>-0.53959086519270005</v>
      </c>
      <c r="J417">
        <f>($B$1+Table4[[#This Row],[Home Differential]])-Table4[[#This Row],[Away Differential]]</f>
        <v>-3.4689268906032189E-2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0.46486630134427998</v>
      </c>
      <c r="M417" t="str">
        <f>IF(OR((NHL2025_26Results[[#This Row],[Winning Team]]="")),"-",IF(Table4[[#This Row],[Predicted Winner]]=NHL2025_26Results[[#This Row],[Winning Team]],"YES","NO"))</f>
        <v>-</v>
      </c>
      <c r="N417" t="str">
        <f>IF(Table4[[#This Row],[Adjusted Correct]]="-", "",IF(Table4[[#This Row],[Adjusted Correct]]="YES",(Table4[[#This Row],[Strength of Win]]-1)^2,(Table4[[#This Row],[Strength of Win]]-0)^2))</f>
        <v/>
      </c>
      <c r="P417" s="11"/>
    </row>
    <row r="418" spans="4:16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-1.4782515386602066</v>
      </c>
      <c r="H418" t="s">
        <v>16</v>
      </c>
      <c r="I418">
        <f>VLOOKUP(Table4[[#This Row],[Visitor]],'NHL Model'!$A$6:$B$38,2,FALSE)</f>
        <v>-1.2612222633157453</v>
      </c>
      <c r="J418">
        <f>($B$1+Table4[[#This Row],[Home Differential]])-Table4[[#This Row],[Away Differential]]</f>
        <v>-0.13360560840543867</v>
      </c>
      <c r="K418" t="str">
        <f>IF(Table4[[#This Row],[HomeIce Differential]]&gt;0,Table4[[#This Row],[Home]],Table4[[#This Row],[Visitor]])</f>
        <v>Calgary Flames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0.47554775410852534</v>
      </c>
      <c r="M418" t="str">
        <f>IF(OR((NHL2025_26Results[[#This Row],[Winning Team]]="")),"-",IF(Table4[[#This Row],[Predicted Winner]]=NHL2025_26Results[[#This Row],[Winning Team]],"YES","NO"))</f>
        <v>-</v>
      </c>
      <c r="N418" t="str">
        <f>IF(Table4[[#This Row],[Adjusted Correct]]="-", "",IF(Table4[[#This Row],[Adjusted Correct]]="YES",(Table4[[#This Row],[Strength of Win]]-1)^2,(Table4[[#This Row],[Strength of Win]]-0)^2))</f>
        <v/>
      </c>
      <c r="P418" s="11"/>
    </row>
    <row r="419" spans="4:16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-0.30740058470151932</v>
      </c>
      <c r="H419" t="s">
        <v>37</v>
      </c>
      <c r="I419">
        <f>VLOOKUP(Table4[[#This Row],[Visitor]],'NHL Model'!$A$6:$B$38,2,FALSE)</f>
        <v>0.23616512594450029</v>
      </c>
      <c r="J419">
        <f>($B$1+Table4[[#This Row],[Home Differential]])-Table4[[#This Row],[Away Differential]]</f>
        <v>-0.46014204370699685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0.59450523777664888</v>
      </c>
      <c r="M419" t="str">
        <f>IF(OR((NHL2025_26Results[[#This Row],[Winning Team]]="")),"-",IF(Table4[[#This Row],[Predicted Winner]]=NHL2025_26Results[[#This Row],[Winning Team]],"YES","NO"))</f>
        <v>-</v>
      </c>
      <c r="N419" t="str">
        <f>IF(Table4[[#This Row],[Adjusted Correct]]="-", "",IF(Table4[[#This Row],[Adjusted Correct]]="YES",(Table4[[#This Row],[Strength of Win]]-1)^2,(Table4[[#This Row],[Strength of Win]]-0)^2))</f>
        <v/>
      </c>
      <c r="P419" s="11"/>
    </row>
    <row r="420" spans="4:16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-0.39090512874251965</v>
      </c>
      <c r="H420" t="s">
        <v>39</v>
      </c>
      <c r="I420">
        <f>VLOOKUP(Table4[[#This Row],[Visitor]],'NHL Model'!$A$6:$B$38,2,FALSE)</f>
        <v>0.10032544630879472</v>
      </c>
      <c r="J420">
        <f>($B$1+Table4[[#This Row],[Home Differential]])-Table4[[#This Row],[Away Differential]]</f>
        <v>-0.40780690811229159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0.6092544547151475</v>
      </c>
      <c r="M420" t="str">
        <f>IF(OR((NHL2025_26Results[[#This Row],[Winning Team]]="")),"-",IF(Table4[[#This Row],[Predicted Winner]]=NHL2025_26Results[[#This Row],[Winning Team]],"YES","NO"))</f>
        <v>-</v>
      </c>
      <c r="N420" t="str">
        <f>IF(Table4[[#This Row],[Adjusted Correct]]="-", "",IF(Table4[[#This Row],[Adjusted Correct]]="YES",(Table4[[#This Row],[Strength of Win]]-1)^2,(Table4[[#This Row],[Strength of Win]]-0)^2))</f>
        <v/>
      </c>
      <c r="P420" s="11"/>
    </row>
    <row r="421" spans="4:16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-0.42180143360631367</v>
      </c>
      <c r="H421" t="s">
        <v>10</v>
      </c>
      <c r="I421">
        <f>VLOOKUP(Table4[[#This Row],[Visitor]],'NHL Model'!$A$6:$B$38,2,FALSE)</f>
        <v>-0.43769530535874146</v>
      </c>
      <c r="J421">
        <f>($B$1+Table4[[#This Row],[Home Differential]])-Table4[[#This Row],[Away Differential]]</f>
        <v>9.9317538691450546E-2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0.55155763361035504</v>
      </c>
      <c r="M421" t="str">
        <f>IF(OR((NHL2025_26Results[[#This Row],[Winning Team]]="")),"-",IF(Table4[[#This Row],[Predicted Winner]]=NHL2025_26Results[[#This Row],[Winning Team]],"YES","NO"))</f>
        <v>-</v>
      </c>
      <c r="N421" t="str">
        <f>IF(Table4[[#This Row],[Adjusted Correct]]="-", "",IF(Table4[[#This Row],[Adjusted Correct]]="YES",(Table4[[#This Row],[Strength of Win]]-1)^2,(Table4[[#This Row],[Strength of Win]]-0)^2))</f>
        <v/>
      </c>
      <c r="P421" s="11"/>
    </row>
    <row r="422" spans="4:16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5.8616755922628279E-2</v>
      </c>
      <c r="H422" t="s">
        <v>55</v>
      </c>
      <c r="I422">
        <f>VLOOKUP(Table4[[#This Row],[Visitor]],'NHL Model'!$A$6:$B$38,2,FALSE)</f>
        <v>-0.40521943828179341</v>
      </c>
      <c r="J422">
        <f>($B$1+Table4[[#This Row],[Home Differential]])-Table4[[#This Row],[Away Differential]]</f>
        <v>0.54725986114344438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0.68351962529247579</v>
      </c>
      <c r="M422" t="str">
        <f>IF(OR((NHL2025_26Results[[#This Row],[Winning Team]]="")),"-",IF(Table4[[#This Row],[Predicted Winner]]=NHL2025_26Results[[#This Row],[Winning Team]],"YES","NO"))</f>
        <v>-</v>
      </c>
      <c r="N422" t="str">
        <f>IF(Table4[[#This Row],[Adjusted Correct]]="-", "",IF(Table4[[#This Row],[Adjusted Correct]]="YES",(Table4[[#This Row],[Strength of Win]]-1)^2,(Table4[[#This Row],[Strength of Win]]-0)^2))</f>
        <v/>
      </c>
      <c r="P422" s="11"/>
    </row>
    <row r="423" spans="4:16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-0.65770380103775494</v>
      </c>
      <c r="H423" t="s">
        <v>40</v>
      </c>
      <c r="I423">
        <f>VLOOKUP(Table4[[#This Row],[Visitor]],'NHL Model'!$A$6:$B$38,2,FALSE)</f>
        <v>-0.36992241209510063</v>
      </c>
      <c r="J423">
        <f>($B$1+Table4[[#This Row],[Home Differential]])-Table4[[#This Row],[Away Differential]]</f>
        <v>-0.20435772200363161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0.50455044511952218</v>
      </c>
      <c r="M423" t="str">
        <f>IF(OR((NHL2025_26Results[[#This Row],[Winning Team]]="")),"-",IF(Table4[[#This Row],[Predicted Winner]]=NHL2025_26Results[[#This Row],[Winning Team]],"YES","NO"))</f>
        <v>-</v>
      </c>
      <c r="N423" t="str">
        <f>IF(Table4[[#This Row],[Adjusted Correct]]="-", "",IF(Table4[[#This Row],[Adjusted Correct]]="YES",(Table4[[#This Row],[Strength of Win]]-1)^2,(Table4[[#This Row],[Strength of Win]]-0)^2))</f>
        <v/>
      </c>
      <c r="P423" s="11"/>
    </row>
    <row r="424" spans="4:16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2.3143316481494557E-3</v>
      </c>
      <c r="H424" t="s">
        <v>39</v>
      </c>
      <c r="I424">
        <f>VLOOKUP(Table4[[#This Row],[Visitor]],'NHL Model'!$A$6:$B$38,2,FALSE)</f>
        <v>0.10032544630879472</v>
      </c>
      <c r="J424">
        <f>($B$1+Table4[[#This Row],[Home Differential]])-Table4[[#This Row],[Away Differential]]</f>
        <v>-1.4587447721622543E-2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0.43648015757068515</v>
      </c>
      <c r="M424" t="str">
        <f>IF(OR((NHL2025_26Results[[#This Row],[Winning Team]]="")),"-",IF(Table4[[#This Row],[Predicted Winner]]=NHL2025_26Results[[#This Row],[Winning Team]],"YES","NO"))</f>
        <v>-</v>
      </c>
      <c r="N424" t="str">
        <f>IF(Table4[[#This Row],[Adjusted Correct]]="-", "",IF(Table4[[#This Row],[Adjusted Correct]]="YES",(Table4[[#This Row],[Strength of Win]]-1)^2,(Table4[[#This Row],[Strength of Win]]-0)^2))</f>
        <v/>
      </c>
      <c r="P424" s="11"/>
    </row>
    <row r="425" spans="4:16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-0.46667677612181552</v>
      </c>
      <c r="H425" t="s">
        <v>23</v>
      </c>
      <c r="I425">
        <f>VLOOKUP(Table4[[#This Row],[Visitor]],'NHL Model'!$A$6:$B$38,2,FALSE)</f>
        <v>-0.90742746858300449</v>
      </c>
      <c r="J425">
        <f>($B$1+Table4[[#This Row],[Home Differential]])-Table4[[#This Row],[Away Differential]]</f>
        <v>0.52417435940021173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0.63324450851750735</v>
      </c>
      <c r="M425" t="str">
        <f>IF(OR((NHL2025_26Results[[#This Row],[Winning Team]]="")),"-",IF(Table4[[#This Row],[Predicted Winner]]=NHL2025_26Results[[#This Row],[Winning Team]],"YES","NO"))</f>
        <v>-</v>
      </c>
      <c r="N425" t="str">
        <f>IF(Table4[[#This Row],[Adjusted Correct]]="-", "",IF(Table4[[#This Row],[Adjusted Correct]]="YES",(Table4[[#This Row],[Strength of Win]]-1)^2,(Table4[[#This Row],[Strength of Win]]-0)^2))</f>
        <v/>
      </c>
      <c r="P425" s="11"/>
    </row>
    <row r="426" spans="4:16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-0.6620483089622381</v>
      </c>
      <c r="H426" t="s">
        <v>22</v>
      </c>
      <c r="I426">
        <f>VLOOKUP(Table4[[#This Row],[Visitor]],'NHL Model'!$A$6:$B$38,2,FALSE)</f>
        <v>0.15604658591703846</v>
      </c>
      <c r="J426">
        <f>($B$1+Table4[[#This Row],[Home Differential]])-Table4[[#This Row],[Away Differential]]</f>
        <v>-0.73467122794025386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0.56626330350277054</v>
      </c>
      <c r="M426" t="str">
        <f>IF(OR((NHL2025_26Results[[#This Row],[Winning Team]]="")),"-",IF(Table4[[#This Row],[Predicted Winner]]=NHL2025_26Results[[#This Row],[Winning Team]],"YES","NO"))</f>
        <v>-</v>
      </c>
      <c r="N426" t="str">
        <f>IF(Table4[[#This Row],[Adjusted Correct]]="-", "",IF(Table4[[#This Row],[Adjusted Correct]]="YES",(Table4[[#This Row],[Strength of Win]]-1)^2,(Table4[[#This Row],[Strength of Win]]-0)^2))</f>
        <v/>
      </c>
      <c r="P426" s="11"/>
    </row>
    <row r="427" spans="4:16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-0.41554817552415113</v>
      </c>
      <c r="H427" t="s">
        <v>35</v>
      </c>
      <c r="I427">
        <f>VLOOKUP(Table4[[#This Row],[Visitor]],'NHL Model'!$A$6:$B$38,2,FALSE)</f>
        <v>-1.5899576513683618</v>
      </c>
      <c r="J427">
        <f>($B$1+Table4[[#This Row],[Home Differential]])-Table4[[#This Row],[Away Differential]]</f>
        <v>1.2578331427832334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0.71862076255157625</v>
      </c>
      <c r="M427" t="str">
        <f>IF(OR((NHL2025_26Results[[#This Row],[Winning Team]]="")),"-",IF(Table4[[#This Row],[Predicted Winner]]=NHL2025_26Results[[#This Row],[Winning Team]],"YES","NO"))</f>
        <v>-</v>
      </c>
      <c r="N427" t="str">
        <f>IF(Table4[[#This Row],[Adjusted Correct]]="-", "",IF(Table4[[#This Row],[Adjusted Correct]]="YES",(Table4[[#This Row],[Strength of Win]]-1)^2,(Table4[[#This Row],[Strength of Win]]-0)^2))</f>
        <v/>
      </c>
      <c r="P427" s="11"/>
    </row>
    <row r="428" spans="4:16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0.25962865313068506</v>
      </c>
      <c r="H428" t="s">
        <v>19</v>
      </c>
      <c r="I428">
        <f>VLOOKUP(Table4[[#This Row],[Visitor]],'NHL Model'!$A$6:$B$38,2,FALSE)</f>
        <v>-1.054674343910232</v>
      </c>
      <c r="J428">
        <f>($B$1+Table4[[#This Row],[Home Differential]])-Table4[[#This Row],[Away Differential]]</f>
        <v>1.3977266639799397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0.74308535597836312</v>
      </c>
      <c r="M428" t="str">
        <f>IF(OR((NHL2025_26Results[[#This Row],[Winning Team]]="")),"-",IF(Table4[[#This Row],[Predicted Winner]]=NHL2025_26Results[[#This Row],[Winning Team]],"YES","NO"))</f>
        <v>-</v>
      </c>
      <c r="N428" t="str">
        <f>IF(Table4[[#This Row],[Adjusted Correct]]="-", "",IF(Table4[[#This Row],[Adjusted Correct]]="YES",(Table4[[#This Row],[Strength of Win]]-1)^2,(Table4[[#This Row],[Strength of Win]]-0)^2))</f>
        <v/>
      </c>
      <c r="P428" s="11"/>
    </row>
    <row r="429" spans="4:16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-0.9065542839469537</v>
      </c>
      <c r="H429" t="s">
        <v>26</v>
      </c>
      <c r="I429">
        <f>VLOOKUP(Table4[[#This Row],[Visitor]],'NHL Model'!$A$6:$B$38,2,FALSE)</f>
        <v>-1.0708320987334559</v>
      </c>
      <c r="J429">
        <f>($B$1+Table4[[#This Row],[Home Differential]])-Table4[[#This Row],[Away Differential]]</f>
        <v>0.24770148172552486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0.54805591943328924</v>
      </c>
      <c r="M429" t="str">
        <f>IF(OR((NHL2025_26Results[[#This Row],[Winning Team]]="")),"-",IF(Table4[[#This Row],[Predicted Winner]]=NHL2025_26Results[[#This Row],[Winning Team]],"YES","NO"))</f>
        <v>-</v>
      </c>
      <c r="N429" t="str">
        <f>IF(Table4[[#This Row],[Adjusted Correct]]="-", "",IF(Table4[[#This Row],[Adjusted Correct]]="YES",(Table4[[#This Row],[Strength of Win]]-1)^2,(Table4[[#This Row],[Strength of Win]]-0)^2))</f>
        <v/>
      </c>
      <c r="P429" s="11"/>
    </row>
    <row r="430" spans="4:16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-1.2612222633157453</v>
      </c>
      <c r="H430" t="s">
        <v>34</v>
      </c>
      <c r="I430">
        <f>VLOOKUP(Table4[[#This Row],[Visitor]],'NHL Model'!$A$6:$B$38,2,FALSE)</f>
        <v>-0.15603426337582751</v>
      </c>
      <c r="J430">
        <f>($B$1+Table4[[#This Row],[Home Differential]])-Table4[[#This Row],[Away Differential]]</f>
        <v>-1.021764333000895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0.62141580943640751</v>
      </c>
      <c r="M430" t="str">
        <f>IF(OR((NHL2025_26Results[[#This Row],[Winning Team]]="")),"-",IF(Table4[[#This Row],[Predicted Winner]]=NHL2025_26Results[[#This Row],[Winning Team]],"YES","NO"))</f>
        <v>-</v>
      </c>
      <c r="N430" t="str">
        <f>IF(Table4[[#This Row],[Adjusted Correct]]="-", "",IF(Table4[[#This Row],[Adjusted Correct]]="YES",(Table4[[#This Row],[Strength of Win]]-1)^2,(Table4[[#This Row],[Strength of Win]]-0)^2))</f>
        <v/>
      </c>
      <c r="P430" s="11"/>
    </row>
    <row r="431" spans="4:16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-1.1577943512279505</v>
      </c>
      <c r="H431" t="s">
        <v>32</v>
      </c>
      <c r="I431">
        <f>VLOOKUP(Table4[[#This Row],[Visitor]],'NHL Model'!$A$6:$B$38,2,FALSE)</f>
        <v>-0.64744265535741874</v>
      </c>
      <c r="J431">
        <f>($B$1+Table4[[#This Row],[Home Differential]])-Table4[[#This Row],[Away Differential]]</f>
        <v>-0.42692802893150905</v>
      </c>
      <c r="K431" t="str">
        <f>IF(Table4[[#This Row],[HomeIce Differential]]&gt;0,Table4[[#This Row],[Home]],Table4[[#This Row],[Visitor]])</f>
        <v>Seattle Kraken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0.50263588481655175</v>
      </c>
      <c r="M431" t="str">
        <f>IF(OR((NHL2025_26Results[[#This Row],[Winning Team]]="")),"-",IF(Table4[[#This Row],[Predicted Winner]]=NHL2025_26Results[[#This Row],[Winning Team]],"YES","NO"))</f>
        <v>-</v>
      </c>
      <c r="N431" t="str">
        <f>IF(Table4[[#This Row],[Adjusted Correct]]="-", "",IF(Table4[[#This Row],[Adjusted Correct]]="YES",(Table4[[#This Row],[Strength of Win]]-1)^2,(Table4[[#This Row],[Strength of Win]]-0)^2))</f>
        <v/>
      </c>
      <c r="P431" s="11"/>
    </row>
    <row r="432" spans="4:16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-0.57335522029781161</v>
      </c>
      <c r="H432" t="s">
        <v>29</v>
      </c>
      <c r="I432">
        <f>VLOOKUP(Table4[[#This Row],[Visitor]],'NHL Model'!$A$6:$B$38,2,FALSE)</f>
        <v>-1.4782515386602066</v>
      </c>
      <c r="J432">
        <f>($B$1+Table4[[#This Row],[Home Differential]])-Table4[[#This Row],[Away Differential]]</f>
        <v>0.98831998530141774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0.66902793099224156</v>
      </c>
      <c r="M432" t="str">
        <f>IF(OR((NHL2025_26Results[[#This Row],[Winning Team]]="")),"-",IF(Table4[[#This Row],[Predicted Winner]]=NHL2025_26Results[[#This Row],[Winning Team]],"YES","NO"))</f>
        <v>-</v>
      </c>
      <c r="N432" t="str">
        <f>IF(Table4[[#This Row],[Adjusted Correct]]="-", "",IF(Table4[[#This Row],[Adjusted Correct]]="YES",(Table4[[#This Row],[Strength of Win]]-1)^2,(Table4[[#This Row],[Strength of Win]]-0)^2))</f>
        <v/>
      </c>
      <c r="P432" s="11"/>
    </row>
    <row r="433" spans="4:16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-0.50197808897650842</v>
      </c>
      <c r="H433" t="s">
        <v>10</v>
      </c>
      <c r="I433">
        <f>VLOOKUP(Table4[[#This Row],[Visitor]],'NHL Model'!$A$6:$B$38,2,FALSE)</f>
        <v>-0.43769530535874146</v>
      </c>
      <c r="J433">
        <f>($B$1+Table4[[#This Row],[Home Differential]])-Table4[[#This Row],[Away Differential]]</f>
        <v>1.9140883321255742E-2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0.5422274345429855</v>
      </c>
      <c r="M433" t="str">
        <f>IF(OR((NHL2025_26Results[[#This Row],[Winning Team]]="")),"-",IF(Table4[[#This Row],[Predicted Winner]]=NHL2025_26Results[[#This Row],[Winning Team]],"YES","NO"))</f>
        <v>-</v>
      </c>
      <c r="N433" t="str">
        <f>IF(Table4[[#This Row],[Adjusted Correct]]="-", "",IF(Table4[[#This Row],[Adjusted Correct]]="YES",(Table4[[#This Row],[Strength of Win]]-1)^2,(Table4[[#This Row],[Strength of Win]]-0)^2))</f>
        <v/>
      </c>
      <c r="P433" s="11"/>
    </row>
    <row r="434" spans="4:16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-0.30740058470151932</v>
      </c>
      <c r="H434" t="s">
        <v>12</v>
      </c>
      <c r="I434">
        <f>VLOOKUP(Table4[[#This Row],[Visitor]],'NHL Model'!$A$6:$B$38,2,FALSE)</f>
        <v>1.339787395621115</v>
      </c>
      <c r="J434">
        <f>($B$1+Table4[[#This Row],[Home Differential]])-Table4[[#This Row],[Away Differential]]</f>
        <v>-1.5637643133836117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0.71459923522025459</v>
      </c>
      <c r="M434" t="str">
        <f>IF(OR((NHL2025_26Results[[#This Row],[Winning Team]]="")),"-",IF(Table4[[#This Row],[Predicted Winner]]=NHL2025_26Results[[#This Row],[Winning Team]],"YES","NO"))</f>
        <v>-</v>
      </c>
      <c r="N434" t="str">
        <f>IF(Table4[[#This Row],[Adjusted Correct]]="-", "",IF(Table4[[#This Row],[Adjusted Correct]]="YES",(Table4[[#This Row],[Strength of Win]]-1)^2,(Table4[[#This Row],[Strength of Win]]-0)^2))</f>
        <v/>
      </c>
      <c r="P434" s="11"/>
    </row>
    <row r="435" spans="4:16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-0.53959086519270005</v>
      </c>
      <c r="H435" t="s">
        <v>15</v>
      </c>
      <c r="I435">
        <f>VLOOKUP(Table4[[#This Row],[Visitor]],'NHL Model'!$A$6:$B$38,2,FALSE)</f>
        <v>-0.39090512874251965</v>
      </c>
      <c r="J435">
        <f>($B$1+Table4[[#This Row],[Home Differential]])-Table4[[#This Row],[Away Differential]]</f>
        <v>-6.5262069511157705E-2</v>
      </c>
      <c r="K435" t="str">
        <f>IF(Table4[[#This Row],[HomeIce Differential]]&gt;0,Table4[[#This Row],[Home]],Table4[[#This Row],[Visitor]])</f>
        <v>New York Rangers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0.56519826759315894</v>
      </c>
      <c r="M435" t="str">
        <f>IF(OR((NHL2025_26Results[[#This Row],[Winning Team]]="")),"-",IF(Table4[[#This Row],[Predicted Winner]]=NHL2025_26Results[[#This Row],[Winning Team]],"YES","NO"))</f>
        <v>-</v>
      </c>
      <c r="N435" t="str">
        <f>IF(Table4[[#This Row],[Adjusted Correct]]="-", "",IF(Table4[[#This Row],[Adjusted Correct]]="YES",(Table4[[#This Row],[Strength of Win]]-1)^2,(Table4[[#This Row],[Strength of Win]]-0)^2))</f>
        <v/>
      </c>
      <c r="P435" s="11"/>
    </row>
    <row r="436" spans="4:16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0.23616512594450029</v>
      </c>
      <c r="H436" t="s">
        <v>14</v>
      </c>
      <c r="I436">
        <f>VLOOKUP(Table4[[#This Row],[Visitor]],'NHL Model'!$A$6:$B$38,2,FALSE)</f>
        <v>-0.22852375643476561</v>
      </c>
      <c r="J436">
        <f>($B$1+Table4[[#This Row],[Home Differential]])-Table4[[#This Row],[Away Differential]]</f>
        <v>0.54811254931828868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0.61550828024590754</v>
      </c>
      <c r="M436" t="str">
        <f>IF(OR((NHL2025_26Results[[#This Row],[Winning Team]]="")),"-",IF(Table4[[#This Row],[Predicted Winner]]=NHL2025_26Results[[#This Row],[Winning Team]],"YES","NO"))</f>
        <v>-</v>
      </c>
      <c r="N436" t="str">
        <f>IF(Table4[[#This Row],[Adjusted Correct]]="-", "",IF(Table4[[#This Row],[Adjusted Correct]]="YES",(Table4[[#This Row],[Strength of Win]]-1)^2,(Table4[[#This Row],[Strength of Win]]-0)^2))</f>
        <v/>
      </c>
      <c r="P436" s="11"/>
    </row>
    <row r="437" spans="4:16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5.8616755922628279E-2</v>
      </c>
      <c r="H437" t="s">
        <v>22</v>
      </c>
      <c r="I437">
        <f>VLOOKUP(Table4[[#This Row],[Visitor]],'NHL Model'!$A$6:$B$38,2,FALSE)</f>
        <v>0.15604658591703846</v>
      </c>
      <c r="J437">
        <f>($B$1+Table4[[#This Row],[Home Differential]])-Table4[[#This Row],[Away Differential]]</f>
        <v>-1.4006163055387461E-2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0.40162990447622715</v>
      </c>
      <c r="M437" t="str">
        <f>IF(OR((NHL2025_26Results[[#This Row],[Winning Team]]="")),"-",IF(Table4[[#This Row],[Predicted Winner]]=NHL2025_26Results[[#This Row],[Winning Team]],"YES","NO"))</f>
        <v>-</v>
      </c>
      <c r="N437" t="str">
        <f>IF(Table4[[#This Row],[Adjusted Correct]]="-", "",IF(Table4[[#This Row],[Adjusted Correct]]="YES",(Table4[[#This Row],[Strength of Win]]-1)^2,(Table4[[#This Row],[Strength of Win]]-0)^2))</f>
        <v/>
      </c>
      <c r="P437" s="11"/>
    </row>
    <row r="438" spans="4:16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0.10032544630879472</v>
      </c>
      <c r="H438" t="s">
        <v>33</v>
      </c>
      <c r="I438">
        <f>VLOOKUP(Table4[[#This Row],[Visitor]],'NHL Model'!$A$6:$B$38,2,FALSE)</f>
        <v>-0.6620483089622381</v>
      </c>
      <c r="J438">
        <f>($B$1+Table4[[#This Row],[Home Differential]])-Table4[[#This Row],[Away Differential]]</f>
        <v>0.84579742221005549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0.65753131704249135</v>
      </c>
      <c r="M438" t="str">
        <f>IF(OR((NHL2025_26Results[[#This Row],[Winning Team]]="")),"-",IF(Table4[[#This Row],[Predicted Winner]]=NHL2025_26Results[[#This Row],[Winning Team]],"YES","NO"))</f>
        <v>-</v>
      </c>
      <c r="N438" t="str">
        <f>IF(Table4[[#This Row],[Adjusted Correct]]="-", "",IF(Table4[[#This Row],[Adjusted Correct]]="YES",(Table4[[#This Row],[Strength of Win]]-1)^2,(Table4[[#This Row],[Strength of Win]]-0)^2))</f>
        <v/>
      </c>
      <c r="P438" s="11"/>
    </row>
    <row r="439" spans="4:16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2.3143316481494557E-3</v>
      </c>
      <c r="H439" t="s">
        <v>20</v>
      </c>
      <c r="I439">
        <f>VLOOKUP(Table4[[#This Row],[Visitor]],'NHL Model'!$A$6:$B$38,2,FALSE)</f>
        <v>-0.42180143360631367</v>
      </c>
      <c r="J439">
        <f>($B$1+Table4[[#This Row],[Home Differential]])-Table4[[#This Row],[Away Differential]]</f>
        <v>0.50753943219348585</v>
      </c>
      <c r="K439" t="str">
        <f>IF(Table4[[#This Row],[HomeIce Differential]]&gt;0,Table4[[#This Row],[Home]],Table4[[#This Row],[Visitor]])</f>
        <v>New Jersey Devils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0.72082733346441219</v>
      </c>
      <c r="M439" t="str">
        <f>IF(OR((NHL2025_26Results[[#This Row],[Winning Team]]="")),"-",IF(Table4[[#This Row],[Predicted Winner]]=NHL2025_26Results[[#This Row],[Winning Team]],"YES","NO"))</f>
        <v>-</v>
      </c>
      <c r="N439" t="str">
        <f>IF(Table4[[#This Row],[Adjusted Correct]]="-", "",IF(Table4[[#This Row],[Adjusted Correct]]="YES",(Table4[[#This Row],[Strength of Win]]-1)^2,(Table4[[#This Row],[Strength of Win]]-0)^2))</f>
        <v/>
      </c>
      <c r="P439" s="11"/>
    </row>
    <row r="440" spans="4:16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-1.1317546087271064</v>
      </c>
      <c r="H440" t="s">
        <v>55</v>
      </c>
      <c r="I440">
        <f>VLOOKUP(Table4[[#This Row],[Visitor]],'NHL Model'!$A$6:$B$38,2,FALSE)</f>
        <v>-0.40521943828179341</v>
      </c>
      <c r="J440">
        <f>($B$1+Table4[[#This Row],[Home Differential]])-Table4[[#This Row],[Away Differential]]</f>
        <v>-0.64311150350629032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0.53483922000143214</v>
      </c>
      <c r="M440" t="str">
        <f>IF(OR((NHL2025_26Results[[#This Row],[Winning Team]]="")),"-",IF(Table4[[#This Row],[Predicted Winner]]=NHL2025_26Results[[#This Row],[Winning Team]],"YES","NO"))</f>
        <v>-</v>
      </c>
      <c r="N440" t="str">
        <f>IF(Table4[[#This Row],[Adjusted Correct]]="-", "",IF(Table4[[#This Row],[Adjusted Correct]]="YES",(Table4[[#This Row],[Strength of Win]]-1)^2,(Table4[[#This Row],[Strength of Win]]-0)^2))</f>
        <v/>
      </c>
      <c r="P440" s="11"/>
    </row>
    <row r="441" spans="4:16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-0.36992241209510063</v>
      </c>
      <c r="H441" t="s">
        <v>23</v>
      </c>
      <c r="I441">
        <f>VLOOKUP(Table4[[#This Row],[Visitor]],'NHL Model'!$A$6:$B$38,2,FALSE)</f>
        <v>-0.90742746858300449</v>
      </c>
      <c r="J441">
        <f>($B$1+Table4[[#This Row],[Home Differential]])-Table4[[#This Row],[Away Differential]]</f>
        <v>0.62092872342692662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0.61475327755563569</v>
      </c>
      <c r="M441" t="str">
        <f>IF(OR((NHL2025_26Results[[#This Row],[Winning Team]]="")),"-",IF(Table4[[#This Row],[Predicted Winner]]=NHL2025_26Results[[#This Row],[Winning Team]],"YES","NO"))</f>
        <v>-</v>
      </c>
      <c r="N441" t="str">
        <f>IF(Table4[[#This Row],[Adjusted Correct]]="-", "",IF(Table4[[#This Row],[Adjusted Correct]]="YES",(Table4[[#This Row],[Strength of Win]]-1)^2,(Table4[[#This Row],[Strength of Win]]-0)^2))</f>
        <v/>
      </c>
      <c r="P441" s="11"/>
    </row>
    <row r="442" spans="4:16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-0.41554817552415113</v>
      </c>
      <c r="H442" t="s">
        <v>24</v>
      </c>
      <c r="I442">
        <f>VLOOKUP(Table4[[#This Row],[Visitor]],'NHL Model'!$A$6:$B$38,2,FALSE)</f>
        <v>2.3143316481494557E-3</v>
      </c>
      <c r="J442">
        <f>($B$1+Table4[[#This Row],[Home Differential]])-Table4[[#This Row],[Away Differential]]</f>
        <v>-0.33443884023327791</v>
      </c>
      <c r="K442" t="str">
        <f>IF(Table4[[#This Row],[HomeIce Differential]]&gt;0,Table4[[#This Row],[Home]],Table4[[#This Row],[Visitor]])</f>
        <v>New Jersey Devils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0.48719468377372654</v>
      </c>
      <c r="M442" t="str">
        <f>IF(OR((NHL2025_26Results[[#This Row],[Winning Team]]="")),"-",IF(Table4[[#This Row],[Predicted Winner]]=NHL2025_26Results[[#This Row],[Winning Team]],"YES","NO"))</f>
        <v>-</v>
      </c>
      <c r="N442" t="str">
        <f>IF(Table4[[#This Row],[Adjusted Correct]]="-", "",IF(Table4[[#This Row],[Adjusted Correct]]="YES",(Table4[[#This Row],[Strength of Win]]-1)^2,(Table4[[#This Row],[Strength of Win]]-0)^2))</f>
        <v/>
      </c>
      <c r="P442" s="11"/>
    </row>
    <row r="443" spans="4:16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0.25962865313068506</v>
      </c>
      <c r="H443" t="s">
        <v>29</v>
      </c>
      <c r="I443">
        <f>VLOOKUP(Table4[[#This Row],[Visitor]],'NHL Model'!$A$6:$B$38,2,FALSE)</f>
        <v>-1.4782515386602066</v>
      </c>
      <c r="J443">
        <f>($B$1+Table4[[#This Row],[Home Differential]])-Table4[[#This Row],[Away Differential]]</f>
        <v>1.8213038587299144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0.79237725433914674</v>
      </c>
      <c r="M443" t="str">
        <f>IF(OR((NHL2025_26Results[[#This Row],[Winning Team]]="")),"-",IF(Table4[[#This Row],[Predicted Winner]]=NHL2025_26Results[[#This Row],[Winning Team]],"YES","NO"))</f>
        <v>-</v>
      </c>
      <c r="N443" t="str">
        <f>IF(Table4[[#This Row],[Adjusted Correct]]="-", "",IF(Table4[[#This Row],[Adjusted Correct]]="YES",(Table4[[#This Row],[Strength of Win]]-1)^2,(Table4[[#This Row],[Strength of Win]]-0)^2))</f>
        <v/>
      </c>
      <c r="P443" s="11"/>
    </row>
    <row r="444" spans="4:16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-1.2612222633157453</v>
      </c>
      <c r="H444" t="s">
        <v>55</v>
      </c>
      <c r="I444">
        <f>VLOOKUP(Table4[[#This Row],[Visitor]],'NHL Model'!$A$6:$B$38,2,FALSE)</f>
        <v>-0.40521943828179341</v>
      </c>
      <c r="J444">
        <f>($B$1+Table4[[#This Row],[Home Differential]])-Table4[[#This Row],[Away Differential]]</f>
        <v>-0.77257915809492916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0.54990543827307248</v>
      </c>
      <c r="M444" t="str">
        <f>IF(OR((NHL2025_26Results[[#This Row],[Winning Team]]="")),"-",IF(Table4[[#This Row],[Predicted Winner]]=NHL2025_26Results[[#This Row],[Winning Team]],"YES","NO"))</f>
        <v>-</v>
      </c>
      <c r="N444" t="str">
        <f>IF(Table4[[#This Row],[Adjusted Correct]]="-", "",IF(Table4[[#This Row],[Adjusted Correct]]="YES",(Table4[[#This Row],[Strength of Win]]-1)^2,(Table4[[#This Row],[Strength of Win]]-0)^2))</f>
        <v/>
      </c>
      <c r="P444" s="11"/>
    </row>
    <row r="445" spans="4:16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-1.1577943512279505</v>
      </c>
      <c r="H445" t="s">
        <v>40</v>
      </c>
      <c r="I445">
        <f>VLOOKUP(Table4[[#This Row],[Visitor]],'NHL Model'!$A$6:$B$38,2,FALSE)</f>
        <v>-0.36992241209510063</v>
      </c>
      <c r="J445">
        <f>($B$1+Table4[[#This Row],[Home Differential]])-Table4[[#This Row],[Away Differential]]</f>
        <v>-0.70444827219382722</v>
      </c>
      <c r="K445" t="str">
        <f>IF(Table4[[#This Row],[HomeIce Differential]]&gt;0,Table4[[#This Row],[Home]],Table4[[#This Row],[Visitor]])</f>
        <v>Winnipeg Jets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0.55566122218744662</v>
      </c>
      <c r="M445" t="str">
        <f>IF(OR((NHL2025_26Results[[#This Row],[Winning Team]]="")),"-",IF(Table4[[#This Row],[Predicted Winner]]=NHL2025_26Results[[#This Row],[Winning Team]],"YES","NO"))</f>
        <v>-</v>
      </c>
      <c r="N445" t="str">
        <f>IF(Table4[[#This Row],[Adjusted Correct]]="-", "",IF(Table4[[#This Row],[Adjusted Correct]]="YES",(Table4[[#This Row],[Strength of Win]]-1)^2,(Table4[[#This Row],[Strength of Win]]-0)^2))</f>
        <v/>
      </c>
      <c r="P445" s="11"/>
    </row>
    <row r="446" spans="4:16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-0.57335522029781161</v>
      </c>
      <c r="H446" t="s">
        <v>28</v>
      </c>
      <c r="I446">
        <f>VLOOKUP(Table4[[#This Row],[Visitor]],'NHL Model'!$A$6:$B$38,2,FALSE)</f>
        <v>-0.9065542839469537</v>
      </c>
      <c r="J446">
        <f>($B$1+Table4[[#This Row],[Home Differential]])-Table4[[#This Row],[Away Differential]]</f>
        <v>0.41662273058816479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0.60249922424942803</v>
      </c>
      <c r="M446" t="str">
        <f>IF(OR((NHL2025_26Results[[#This Row],[Winning Team]]="")),"-",IF(Table4[[#This Row],[Predicted Winner]]=NHL2025_26Results[[#This Row],[Winning Team]],"YES","NO"))</f>
        <v>-</v>
      </c>
      <c r="N446" t="str">
        <f>IF(Table4[[#This Row],[Adjusted Correct]]="-", "",IF(Table4[[#This Row],[Adjusted Correct]]="YES",(Table4[[#This Row],[Strength of Win]]-1)^2,(Table4[[#This Row],[Strength of Win]]-0)^2))</f>
        <v/>
      </c>
      <c r="P446" s="11"/>
    </row>
    <row r="447" spans="4:16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-0.50197808897650842</v>
      </c>
      <c r="H447" t="s">
        <v>10</v>
      </c>
      <c r="I447">
        <f>VLOOKUP(Table4[[#This Row],[Visitor]],'NHL Model'!$A$6:$B$38,2,FALSE)</f>
        <v>-0.43769530535874146</v>
      </c>
      <c r="J447">
        <f>($B$1+Table4[[#This Row],[Home Differential]])-Table4[[#This Row],[Away Differential]]</f>
        <v>1.9140883321255742E-2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0.5422274345429855</v>
      </c>
      <c r="M447" t="str">
        <f>IF(OR((NHL2025_26Results[[#This Row],[Winning Team]]="")),"-",IF(Table4[[#This Row],[Predicted Winner]]=NHL2025_26Results[[#This Row],[Winning Team]],"YES","NO"))</f>
        <v>-</v>
      </c>
      <c r="N447" t="str">
        <f>IF(Table4[[#This Row],[Adjusted Correct]]="-", "",IF(Table4[[#This Row],[Adjusted Correct]]="YES",(Table4[[#This Row],[Strength of Win]]-1)^2,(Table4[[#This Row],[Strength of Win]]-0)^2))</f>
        <v/>
      </c>
      <c r="P447" s="11"/>
    </row>
    <row r="448" spans="4:16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-0.39090512874251965</v>
      </c>
      <c r="H448" t="s">
        <v>12</v>
      </c>
      <c r="I448">
        <f>VLOOKUP(Table4[[#This Row],[Visitor]],'NHL Model'!$A$6:$B$38,2,FALSE)</f>
        <v>1.339787395621115</v>
      </c>
      <c r="J448">
        <f>($B$1+Table4[[#This Row],[Home Differential]])-Table4[[#This Row],[Away Differential]]</f>
        <v>-1.6472688574246119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0.72431670242233603</v>
      </c>
      <c r="M448" t="str">
        <f>IF(OR((NHL2025_26Results[[#This Row],[Winning Team]]="")),"-",IF(Table4[[#This Row],[Predicted Winner]]=NHL2025_26Results[[#This Row],[Winning Team]],"YES","NO"))</f>
        <v>-</v>
      </c>
      <c r="N448" t="str">
        <f>IF(Table4[[#This Row],[Adjusted Correct]]="-", "",IF(Table4[[#This Row],[Adjusted Correct]]="YES",(Table4[[#This Row],[Strength of Win]]-1)^2,(Table4[[#This Row],[Strength of Win]]-0)^2))</f>
        <v/>
      </c>
      <c r="P448" s="11"/>
    </row>
    <row r="449" spans="4:16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-0.53959086519270005</v>
      </c>
      <c r="H449" t="s">
        <v>35</v>
      </c>
      <c r="I449">
        <f>VLOOKUP(Table4[[#This Row],[Visitor]],'NHL Model'!$A$6:$B$38,2,FALSE)</f>
        <v>-1.5899576513683618</v>
      </c>
      <c r="J449">
        <f>($B$1+Table4[[#This Row],[Home Differential]])-Table4[[#This Row],[Away Differential]]</f>
        <v>1.1337904531146843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0.6744352636640395</v>
      </c>
      <c r="M449" t="str">
        <f>IF(OR((NHL2025_26Results[[#This Row],[Winning Team]]="")),"-",IF(Table4[[#This Row],[Predicted Winner]]=NHL2025_26Results[[#This Row],[Winning Team]],"YES","NO"))</f>
        <v>-</v>
      </c>
      <c r="N449" t="str">
        <f>IF(Table4[[#This Row],[Adjusted Correct]]="-", "",IF(Table4[[#This Row],[Adjusted Correct]]="YES",(Table4[[#This Row],[Strength of Win]]-1)^2,(Table4[[#This Row],[Strength of Win]]-0)^2))</f>
        <v/>
      </c>
      <c r="P449" s="11"/>
    </row>
    <row r="450" spans="4:16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-0.64744265535741874</v>
      </c>
      <c r="H450" t="s">
        <v>26</v>
      </c>
      <c r="I450">
        <f>VLOOKUP(Table4[[#This Row],[Visitor]],'NHL Model'!$A$6:$B$38,2,FALSE)</f>
        <v>-1.0708320987334559</v>
      </c>
      <c r="J450">
        <f>($B$1+Table4[[#This Row],[Home Differential]])-Table4[[#This Row],[Away Differential]]</f>
        <v>0.50681311031505982</v>
      </c>
      <c r="K450" t="str">
        <f>IF(Table4[[#This Row],[HomeIce Differential]]&gt;0,Table4[[#This Row],[Home]],Table4[[#This Row],[Visitor]])</f>
        <v>Seattle Kraken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0.58071723556225197</v>
      </c>
      <c r="M450" t="str">
        <f>IF(OR((NHL2025_26Results[[#This Row],[Winning Team]]="")),"-",IF(Table4[[#This Row],[Predicted Winner]]=NHL2025_26Results[[#This Row],[Winning Team]],"YES","NO"))</f>
        <v>-</v>
      </c>
      <c r="N450" t="str">
        <f>IF(Table4[[#This Row],[Adjusted Correct]]="-", "",IF(Table4[[#This Row],[Adjusted Correct]]="YES",(Table4[[#This Row],[Strength of Win]]-1)^2,(Table4[[#This Row],[Strength of Win]]-0)^2))</f>
        <v/>
      </c>
      <c r="P450" s="11"/>
    </row>
    <row r="451" spans="4:16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0.23616512594450029</v>
      </c>
      <c r="H451" t="s">
        <v>30</v>
      </c>
      <c r="I451">
        <f>VLOOKUP(Table4[[#This Row],[Visitor]],'NHL Model'!$A$6:$B$38,2,FALSE)</f>
        <v>-0.30740058470151932</v>
      </c>
      <c r="J451">
        <f>($B$1+Table4[[#This Row],[Home Differential]])-Table4[[#This Row],[Away Differential]]</f>
        <v>0.62698937758504236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0.57296307982646599</v>
      </c>
      <c r="M451" t="str">
        <f>IF(OR((NHL2025_26Results[[#This Row],[Winning Team]]="")),"-",IF(Table4[[#This Row],[Predicted Winner]]=NHL2025_26Results[[#This Row],[Winning Team]],"YES","NO"))</f>
        <v>-</v>
      </c>
      <c r="N451" t="str">
        <f>IF(Table4[[#This Row],[Adjusted Correct]]="-", "",IF(Table4[[#This Row],[Adjusted Correct]]="YES",(Table4[[#This Row],[Strength of Win]]-1)^2,(Table4[[#This Row],[Strength of Win]]-0)^2))</f>
        <v/>
      </c>
      <c r="P451" s="11"/>
    </row>
    <row r="452" spans="4:16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-1.054674343910232</v>
      </c>
      <c r="H452" t="s">
        <v>18</v>
      </c>
      <c r="I452">
        <f>VLOOKUP(Table4[[#This Row],[Visitor]],'NHL Model'!$A$6:$B$38,2,FALSE)</f>
        <v>-0.65770380103775494</v>
      </c>
      <c r="J452">
        <f>($B$1+Table4[[#This Row],[Home Differential]])-Table4[[#This Row],[Away Differential]]</f>
        <v>-0.31354687593345432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0.57744588189149371</v>
      </c>
      <c r="M452" t="str">
        <f>IF(OR((NHL2025_26Results[[#This Row],[Winning Team]]="")),"-",IF(Table4[[#This Row],[Predicted Winner]]=NHL2025_26Results[[#This Row],[Winning Team]],"YES","NO"))</f>
        <v>-</v>
      </c>
      <c r="N452" t="str">
        <f>IF(Table4[[#This Row],[Adjusted Correct]]="-", "",IF(Table4[[#This Row],[Adjusted Correct]]="YES",(Table4[[#This Row],[Strength of Win]]-1)^2,(Table4[[#This Row],[Strength of Win]]-0)^2))</f>
        <v/>
      </c>
      <c r="P452" s="11"/>
    </row>
    <row r="453" spans="4:16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-1.1317546087271064</v>
      </c>
      <c r="H453" t="s">
        <v>34</v>
      </c>
      <c r="I453">
        <f>VLOOKUP(Table4[[#This Row],[Visitor]],'NHL Model'!$A$6:$B$38,2,FALSE)</f>
        <v>-0.15603426337582751</v>
      </c>
      <c r="J453">
        <f>($B$1+Table4[[#This Row],[Home Differential]])-Table4[[#This Row],[Away Differential]]</f>
        <v>-0.89229667841225624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0.60634959116476717</v>
      </c>
      <c r="M453" t="str">
        <f>IF(OR((NHL2025_26Results[[#This Row],[Winning Team]]="")),"-",IF(Table4[[#This Row],[Predicted Winner]]=NHL2025_26Results[[#This Row],[Winning Team]],"YES","NO"))</f>
        <v>-</v>
      </c>
      <c r="N453" t="str">
        <f>IF(Table4[[#This Row],[Adjusted Correct]]="-", "",IF(Table4[[#This Row],[Adjusted Correct]]="YES",(Table4[[#This Row],[Strength of Win]]-1)^2,(Table4[[#This Row],[Strength of Win]]-0)^2))</f>
        <v/>
      </c>
      <c r="P453" s="11"/>
    </row>
    <row r="454" spans="4:16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5.8616755922628279E-2</v>
      </c>
      <c r="H454" t="s">
        <v>10</v>
      </c>
      <c r="I454">
        <f>VLOOKUP(Table4[[#This Row],[Visitor]],'NHL Model'!$A$6:$B$38,2,FALSE)</f>
        <v>-0.43769530535874146</v>
      </c>
      <c r="J454">
        <f>($B$1+Table4[[#This Row],[Home Differential]])-Table4[[#This Row],[Away Differential]]</f>
        <v>0.57973572822039243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0.68729885882765274</v>
      </c>
      <c r="M454" t="str">
        <f>IF(OR((NHL2025_26Results[[#This Row],[Winning Team]]="")),"-",IF(Table4[[#This Row],[Predicted Winner]]=NHL2025_26Results[[#This Row],[Winning Team]],"YES","NO"))</f>
        <v>-</v>
      </c>
      <c r="N454" t="str">
        <f>IF(Table4[[#This Row],[Adjusted Correct]]="-", "",IF(Table4[[#This Row],[Adjusted Correct]]="YES",(Table4[[#This Row],[Strength of Win]]-1)^2,(Table4[[#This Row],[Strength of Win]]-0)^2))</f>
        <v/>
      </c>
      <c r="P454" s="11"/>
    </row>
    <row r="455" spans="4:16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0.25962865313068506</v>
      </c>
      <c r="H455" t="s">
        <v>33</v>
      </c>
      <c r="I455">
        <f>VLOOKUP(Table4[[#This Row],[Visitor]],'NHL Model'!$A$6:$B$38,2,FALSE)</f>
        <v>-0.6620483089622381</v>
      </c>
      <c r="J455">
        <f>($B$1+Table4[[#This Row],[Home Differential]])-Table4[[#This Row],[Away Differential]]</f>
        <v>1.0051006290319457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0.69739526017450926</v>
      </c>
      <c r="M455" t="str">
        <f>IF(OR((NHL2025_26Results[[#This Row],[Winning Team]]="")),"-",IF(Table4[[#This Row],[Predicted Winner]]=NHL2025_26Results[[#This Row],[Winning Team]],"YES","NO"))</f>
        <v>-</v>
      </c>
      <c r="N455" t="str">
        <f>IF(Table4[[#This Row],[Adjusted Correct]]="-", "",IF(Table4[[#This Row],[Adjusted Correct]]="YES",(Table4[[#This Row],[Strength of Win]]-1)^2,(Table4[[#This Row],[Strength of Win]]-0)^2))</f>
        <v/>
      </c>
      <c r="P455" s="11"/>
    </row>
    <row r="456" spans="4:16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0.10032544630879472</v>
      </c>
      <c r="H456" t="s">
        <v>14</v>
      </c>
      <c r="I456">
        <f>VLOOKUP(Table4[[#This Row],[Visitor]],'NHL Model'!$A$6:$B$38,2,FALSE)</f>
        <v>-0.22852375643476561</v>
      </c>
      <c r="J456">
        <f>($B$1+Table4[[#This Row],[Home Differential]])-Table4[[#This Row],[Away Differential]]</f>
        <v>0.41227286968258303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0.58643794663737947</v>
      </c>
      <c r="M456" t="str">
        <f>IF(OR((NHL2025_26Results[[#This Row],[Winning Team]]="")),"-",IF(Table4[[#This Row],[Predicted Winner]]=NHL2025_26Results[[#This Row],[Winning Team]],"YES","NO"))</f>
        <v>-</v>
      </c>
      <c r="N456" t="str">
        <f>IF(Table4[[#This Row],[Adjusted Correct]]="-", "",IF(Table4[[#This Row],[Adjusted Correct]]="YES",(Table4[[#This Row],[Strength of Win]]-1)^2,(Table4[[#This Row],[Strength of Win]]-0)^2))</f>
        <v/>
      </c>
      <c r="P456" s="11"/>
    </row>
    <row r="457" spans="4:16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-0.57335522029781161</v>
      </c>
      <c r="H457" t="s">
        <v>30</v>
      </c>
      <c r="I457">
        <f>VLOOKUP(Table4[[#This Row],[Visitor]],'NHL Model'!$A$6:$B$38,2,FALSE)</f>
        <v>-0.30740058470151932</v>
      </c>
      <c r="J457">
        <f>($B$1+Table4[[#This Row],[Home Differential]])-Table4[[#This Row],[Away Differential]]</f>
        <v>-0.18253096865726959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0.53975974223468293</v>
      </c>
      <c r="M457" t="str">
        <f>IF(OR((NHL2025_26Results[[#This Row],[Winning Team]]="")),"-",IF(Table4[[#This Row],[Predicted Winner]]=NHL2025_26Results[[#This Row],[Winning Team]],"YES","NO"))</f>
        <v>-</v>
      </c>
      <c r="N457" t="str">
        <f>IF(Table4[[#This Row],[Adjusted Correct]]="-", "",IF(Table4[[#This Row],[Adjusted Correct]]="YES",(Table4[[#This Row],[Strength of Win]]-1)^2,(Table4[[#This Row],[Strength of Win]]-0)^2))</f>
        <v/>
      </c>
      <c r="P457" s="11"/>
    </row>
    <row r="458" spans="4:16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-0.65770380103775494</v>
      </c>
      <c r="H458" t="s">
        <v>35</v>
      </c>
      <c r="I458">
        <f>VLOOKUP(Table4[[#This Row],[Visitor]],'NHL Model'!$A$6:$B$38,2,FALSE)</f>
        <v>-1.5899576513683618</v>
      </c>
      <c r="J458">
        <f>($B$1+Table4[[#This Row],[Home Differential]])-Table4[[#This Row],[Away Differential]]</f>
        <v>1.0156775172696295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0.65819492071129893</v>
      </c>
      <c r="M458" t="str">
        <f>IF(OR((NHL2025_26Results[[#This Row],[Winning Team]]="")),"-",IF(Table4[[#This Row],[Predicted Winner]]=NHL2025_26Results[[#This Row],[Winning Team]],"YES","NO"))</f>
        <v>-</v>
      </c>
      <c r="N458" t="str">
        <f>IF(Table4[[#This Row],[Adjusted Correct]]="-", "",IF(Table4[[#This Row],[Adjusted Correct]]="YES",(Table4[[#This Row],[Strength of Win]]-1)^2,(Table4[[#This Row],[Strength of Win]]-0)^2))</f>
        <v/>
      </c>
      <c r="P458" s="11"/>
    </row>
    <row r="459" spans="4:16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-0.39090512874251965</v>
      </c>
      <c r="H459" t="s">
        <v>20</v>
      </c>
      <c r="I459">
        <f>VLOOKUP(Table4[[#This Row],[Visitor]],'NHL Model'!$A$6:$B$38,2,FALSE)</f>
        <v>-0.42180143360631367</v>
      </c>
      <c r="J459">
        <f>($B$1+Table4[[#This Row],[Home Differential]])-Table4[[#This Row],[Away Differential]]</f>
        <v>0.11431997180281678</v>
      </c>
      <c r="K459" t="str">
        <f>IF(Table4[[#This Row],[HomeIce Differential]]&gt;0,Table4[[#This Row],[Home]],Table4[[#This Row],[Visitor]])</f>
        <v>New York Rangers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0.55330347455093354</v>
      </c>
      <c r="M459" t="str">
        <f>IF(OR((NHL2025_26Results[[#This Row],[Winning Team]]="")),"-",IF(Table4[[#This Row],[Predicted Winner]]=NHL2025_26Results[[#This Row],[Winning Team]],"YES","NO"))</f>
        <v>-</v>
      </c>
      <c r="N459" t="str">
        <f>IF(Table4[[#This Row],[Adjusted Correct]]="-", "",IF(Table4[[#This Row],[Adjusted Correct]]="YES",(Table4[[#This Row],[Strength of Win]]-1)^2,(Table4[[#This Row],[Strength of Win]]-0)^2))</f>
        <v/>
      </c>
      <c r="P459" s="11"/>
    </row>
    <row r="460" spans="4:16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-0.46667677612181552</v>
      </c>
      <c r="H460" t="s">
        <v>12</v>
      </c>
      <c r="I460">
        <f>VLOOKUP(Table4[[#This Row],[Visitor]],'NHL Model'!$A$6:$B$38,2,FALSE)</f>
        <v>1.339787395621115</v>
      </c>
      <c r="J460">
        <f>($B$1+Table4[[#This Row],[Home Differential]])-Table4[[#This Row],[Away Differential]]</f>
        <v>-1.7230405048039077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0.70051111931188936</v>
      </c>
      <c r="M460" t="str">
        <f>IF(OR((NHL2025_26Results[[#This Row],[Winning Team]]="")),"-",IF(Table4[[#This Row],[Predicted Winner]]=NHL2025_26Results[[#This Row],[Winning Team]],"YES","NO"))</f>
        <v>-</v>
      </c>
      <c r="N460" t="str">
        <f>IF(Table4[[#This Row],[Adjusted Correct]]="-", "",IF(Table4[[#This Row],[Adjusted Correct]]="YES",(Table4[[#This Row],[Strength of Win]]-1)^2,(Table4[[#This Row],[Strength of Win]]-0)^2))</f>
        <v/>
      </c>
      <c r="P460" s="11"/>
    </row>
    <row r="461" spans="4:16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0.15604658591703846</v>
      </c>
      <c r="H461" t="s">
        <v>28</v>
      </c>
      <c r="I461">
        <f>VLOOKUP(Table4[[#This Row],[Visitor]],'NHL Model'!$A$6:$B$38,2,FALSE)</f>
        <v>-0.9065542839469537</v>
      </c>
      <c r="J461">
        <f>($B$1+Table4[[#This Row],[Home Differential]])-Table4[[#This Row],[Away Differential]]</f>
        <v>1.1460245368030149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0.69940120698777686</v>
      </c>
      <c r="M461" t="str">
        <f>IF(OR((NHL2025_26Results[[#This Row],[Winning Team]]="")),"-",IF(Table4[[#This Row],[Predicted Winner]]=NHL2025_26Results[[#This Row],[Winning Team]],"YES","NO"))</f>
        <v>-</v>
      </c>
      <c r="N461" t="str">
        <f>IF(Table4[[#This Row],[Adjusted Correct]]="-", "",IF(Table4[[#This Row],[Adjusted Correct]]="YES",(Table4[[#This Row],[Strength of Win]]-1)^2,(Table4[[#This Row],[Strength of Win]]-0)^2))</f>
        <v/>
      </c>
      <c r="P461" s="11"/>
    </row>
    <row r="462" spans="4:16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-1.2612222633157453</v>
      </c>
      <c r="H462" t="s">
        <v>23</v>
      </c>
      <c r="I462">
        <f>VLOOKUP(Table4[[#This Row],[Visitor]],'NHL Model'!$A$6:$B$38,2,FALSE)</f>
        <v>-0.90742746858300449</v>
      </c>
      <c r="J462">
        <f>($B$1+Table4[[#This Row],[Home Differential]])-Table4[[#This Row],[Away Differential]]</f>
        <v>-0.27037112779371808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0.49146322870088655</v>
      </c>
      <c r="M462" t="str">
        <f>IF(OR((NHL2025_26Results[[#This Row],[Winning Team]]="")),"-",IF(Table4[[#This Row],[Predicted Winner]]=NHL2025_26Results[[#This Row],[Winning Team]],"YES","NO"))</f>
        <v>-</v>
      </c>
      <c r="N462" t="str">
        <f>IF(Table4[[#This Row],[Adjusted Correct]]="-", "",IF(Table4[[#This Row],[Adjusted Correct]]="YES",(Table4[[#This Row],[Strength of Win]]-1)^2,(Table4[[#This Row],[Strength of Win]]-0)^2))</f>
        <v/>
      </c>
      <c r="P462" s="11"/>
    </row>
    <row r="463" spans="4:16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-0.64744265535741874</v>
      </c>
      <c r="H463" t="s">
        <v>34</v>
      </c>
      <c r="I463">
        <f>VLOOKUP(Table4[[#This Row],[Visitor]],'NHL Model'!$A$6:$B$38,2,FALSE)</f>
        <v>-0.15603426337582751</v>
      </c>
      <c r="J463">
        <f>($B$1+Table4[[#This Row],[Home Differential]])-Table4[[#This Row],[Away Differential]]</f>
        <v>-0.40798472504256855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0.54747739455477795</v>
      </c>
      <c r="M463" t="str">
        <f>IF(OR((NHL2025_26Results[[#This Row],[Winning Team]]="")),"-",IF(Table4[[#This Row],[Predicted Winner]]=NHL2025_26Results[[#This Row],[Winning Team]],"YES","NO"))</f>
        <v>-</v>
      </c>
      <c r="N463" t="str">
        <f>IF(Table4[[#This Row],[Adjusted Correct]]="-", "",IF(Table4[[#This Row],[Adjusted Correct]]="YES",(Table4[[#This Row],[Strength of Win]]-1)^2,(Table4[[#This Row],[Strength of Win]]-0)^2))</f>
        <v/>
      </c>
      <c r="P463" s="11"/>
    </row>
    <row r="464" spans="4:16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-1.054674343910232</v>
      </c>
      <c r="H464" t="s">
        <v>37</v>
      </c>
      <c r="I464">
        <f>VLOOKUP(Table4[[#This Row],[Visitor]],'NHL Model'!$A$6:$B$38,2,FALSE)</f>
        <v>0.23616512594450029</v>
      </c>
      <c r="J464">
        <f>($B$1+Table4[[#This Row],[Home Differential]])-Table4[[#This Row],[Away Differential]]</f>
        <v>-1.2074158029157096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0.68146587362565614</v>
      </c>
      <c r="M464" t="str">
        <f>IF(OR((NHL2025_26Results[[#This Row],[Winning Team]]="")),"-",IF(Table4[[#This Row],[Predicted Winner]]=NHL2025_26Results[[#This Row],[Winning Team]],"YES","NO"))</f>
        <v>-</v>
      </c>
      <c r="N464" t="str">
        <f>IF(Table4[[#This Row],[Adjusted Correct]]="-", "",IF(Table4[[#This Row],[Adjusted Correct]]="YES",(Table4[[#This Row],[Strength of Win]]-1)^2,(Table4[[#This Row],[Strength of Win]]-0)^2))</f>
        <v/>
      </c>
      <c r="P464" s="11"/>
    </row>
    <row r="465" spans="4:16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-0.40521943828179341</v>
      </c>
      <c r="H465" t="s">
        <v>13</v>
      </c>
      <c r="I465">
        <f>VLOOKUP(Table4[[#This Row],[Visitor]],'NHL Model'!$A$6:$B$38,2,FALSE)</f>
        <v>-0.50197808897650842</v>
      </c>
      <c r="J465">
        <f>($B$1+Table4[[#This Row],[Home Differential]])-Table4[[#This Row],[Away Differential]]</f>
        <v>0.18018231763373771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0.53567379232848922</v>
      </c>
      <c r="M465" t="str">
        <f>IF(OR((NHL2025_26Results[[#This Row],[Winning Team]]="")),"-",IF(Table4[[#This Row],[Predicted Winner]]=NHL2025_26Results[[#This Row],[Winning Team]],"YES","NO"))</f>
        <v>-</v>
      </c>
      <c r="N465" t="str">
        <f>IF(Table4[[#This Row],[Adjusted Correct]]="-", "",IF(Table4[[#This Row],[Adjusted Correct]]="YES",(Table4[[#This Row],[Strength of Win]]-1)^2,(Table4[[#This Row],[Strength of Win]]-0)^2))</f>
        <v/>
      </c>
      <c r="P465" s="11"/>
    </row>
    <row r="466" spans="4:16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-1.1317546087271064</v>
      </c>
      <c r="H466" t="s">
        <v>26</v>
      </c>
      <c r="I466">
        <f>VLOOKUP(Table4[[#This Row],[Visitor]],'NHL Model'!$A$6:$B$38,2,FALSE)</f>
        <v>-1.0708320987334559</v>
      </c>
      <c r="J466">
        <f>($B$1+Table4[[#This Row],[Home Differential]])-Table4[[#This Row],[Away Differential]]</f>
        <v>2.2501156945372136E-2</v>
      </c>
      <c r="K466" t="str">
        <f>IF(Table4[[#This Row],[HomeIce Differential]]&gt;0,Table4[[#This Row],[Home]],Table4[[#This Row],[Visitor]])</f>
        <v>Vancouver Canucks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0.52184924056231963</v>
      </c>
      <c r="M466" t="str">
        <f>IF(OR((NHL2025_26Results[[#This Row],[Winning Team]]="")),"-",IF(Table4[[#This Row],[Predicted Winner]]=NHL2025_26Results[[#This Row],[Winning Team]],"YES","NO"))</f>
        <v>-</v>
      </c>
      <c r="N466" t="str">
        <f>IF(Table4[[#This Row],[Adjusted Correct]]="-", "",IF(Table4[[#This Row],[Adjusted Correct]]="YES",(Table4[[#This Row],[Strength of Win]]-1)^2,(Table4[[#This Row],[Strength of Win]]-0)^2))</f>
        <v/>
      </c>
      <c r="P466" s="11"/>
    </row>
    <row r="467" spans="4:16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0.25962865313068506</v>
      </c>
      <c r="H467" t="s">
        <v>28</v>
      </c>
      <c r="I467">
        <f>VLOOKUP(Table4[[#This Row],[Visitor]],'NHL Model'!$A$6:$B$38,2,FALSE)</f>
        <v>-0.9065542839469537</v>
      </c>
      <c r="J467">
        <f>($B$1+Table4[[#This Row],[Home Differential]])-Table4[[#This Row],[Away Differential]]</f>
        <v>1.2496066040166616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0.72584854759633322</v>
      </c>
      <c r="M467" t="str">
        <f>IF(OR((NHL2025_26Results[[#This Row],[Winning Team]]="")),"-",IF(Table4[[#This Row],[Predicted Winner]]=NHL2025_26Results[[#This Row],[Winning Team]],"YES","NO"))</f>
        <v>-</v>
      </c>
      <c r="N467" t="str">
        <f>IF(Table4[[#This Row],[Adjusted Correct]]="-", "",IF(Table4[[#This Row],[Adjusted Correct]]="YES",(Table4[[#This Row],[Strength of Win]]-1)^2,(Table4[[#This Row],[Strength of Win]]-0)^2))</f>
        <v/>
      </c>
      <c r="P467" s="11"/>
    </row>
    <row r="468" spans="4:16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-1.1577943512279505</v>
      </c>
      <c r="H468" t="s">
        <v>23</v>
      </c>
      <c r="I468">
        <f>VLOOKUP(Table4[[#This Row],[Visitor]],'NHL Model'!$A$6:$B$38,2,FALSE)</f>
        <v>-0.90742746858300449</v>
      </c>
      <c r="J468">
        <f>($B$1+Table4[[#This Row],[Home Differential]])-Table4[[#This Row],[Away Differential]]</f>
        <v>-0.1669432157059233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0.47238131694155722</v>
      </c>
      <c r="M468" t="str">
        <f>IF(OR((NHL2025_26Results[[#This Row],[Winning Team]]="")),"-",IF(Table4[[#This Row],[Predicted Winner]]=NHL2025_26Results[[#This Row],[Winning Team]],"YES","NO"))</f>
        <v>-</v>
      </c>
      <c r="N468" t="str">
        <f>IF(Table4[[#This Row],[Adjusted Correct]]="-", "",IF(Table4[[#This Row],[Adjusted Correct]]="YES",(Table4[[#This Row],[Strength of Win]]-1)^2,(Table4[[#This Row],[Strength of Win]]-0)^2))</f>
        <v/>
      </c>
      <c r="P468" s="11"/>
    </row>
    <row r="469" spans="4:16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-0.65770380103775494</v>
      </c>
      <c r="H469" t="s">
        <v>37</v>
      </c>
      <c r="I469">
        <f>VLOOKUP(Table4[[#This Row],[Visitor]],'NHL Model'!$A$6:$B$38,2,FALSE)</f>
        <v>0.23616512594450029</v>
      </c>
      <c r="J469">
        <f>($B$1+Table4[[#This Row],[Home Differential]])-Table4[[#This Row],[Away Differential]]</f>
        <v>-0.81044526004323258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0.63527020517602362</v>
      </c>
      <c r="M469" t="str">
        <f>IF(OR((NHL2025_26Results[[#This Row],[Winning Team]]="")),"-",IF(Table4[[#This Row],[Predicted Winner]]=NHL2025_26Results[[#This Row],[Winning Team]],"YES","NO"))</f>
        <v>-</v>
      </c>
      <c r="N469" t="str">
        <f>IF(Table4[[#This Row],[Adjusted Correct]]="-", "",IF(Table4[[#This Row],[Adjusted Correct]]="YES",(Table4[[#This Row],[Strength of Win]]-1)^2,(Table4[[#This Row],[Strength of Win]]-0)^2))</f>
        <v/>
      </c>
      <c r="P469" s="11"/>
    </row>
    <row r="470" spans="4:16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-1.4782515386602066</v>
      </c>
      <c r="H470" t="s">
        <v>12</v>
      </c>
      <c r="I470">
        <f>VLOOKUP(Table4[[#This Row],[Visitor]],'NHL Model'!$A$6:$B$38,2,FALSE)</f>
        <v>1.339787395621115</v>
      </c>
      <c r="J470">
        <f>($B$1+Table4[[#This Row],[Home Differential]])-Table4[[#This Row],[Away Differential]]</f>
        <v>-2.7346152673422992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0.85085176943004548</v>
      </c>
      <c r="M470" t="str">
        <f>IF(OR((NHL2025_26Results[[#This Row],[Winning Team]]="")),"-",IF(Table4[[#This Row],[Predicted Winner]]=NHL2025_26Results[[#This Row],[Winning Team]],"YES","NO"))</f>
        <v>-</v>
      </c>
      <c r="N470" t="str">
        <f>IF(Table4[[#This Row],[Adjusted Correct]]="-", "",IF(Table4[[#This Row],[Adjusted Correct]]="YES",(Table4[[#This Row],[Strength of Win]]-1)^2,(Table4[[#This Row],[Strength of Win]]-0)^2))</f>
        <v/>
      </c>
      <c r="P470" s="11"/>
    </row>
    <row r="471" spans="4:16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-0.30740058470151932</v>
      </c>
      <c r="H471" t="s">
        <v>20</v>
      </c>
      <c r="I471">
        <f>VLOOKUP(Table4[[#This Row],[Visitor]],'NHL Model'!$A$6:$B$38,2,FALSE)</f>
        <v>-0.42180143360631367</v>
      </c>
      <c r="J471">
        <f>($B$1+Table4[[#This Row],[Home Differential]])-Table4[[#This Row],[Away Differential]]</f>
        <v>0.19782451584381708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0.56302094175301509</v>
      </c>
      <c r="M471" t="str">
        <f>IF(OR((NHL2025_26Results[[#This Row],[Winning Team]]="")),"-",IF(Table4[[#This Row],[Predicted Winner]]=NHL2025_26Results[[#This Row],[Winning Team]],"YES","NO"))</f>
        <v>-</v>
      </c>
      <c r="N471" t="str">
        <f>IF(Table4[[#This Row],[Adjusted Correct]]="-", "",IF(Table4[[#This Row],[Adjusted Correct]]="YES",(Table4[[#This Row],[Strength of Win]]-1)^2,(Table4[[#This Row],[Strength of Win]]-0)^2))</f>
        <v/>
      </c>
      <c r="P471" s="11"/>
    </row>
    <row r="472" spans="4:16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-0.53959086519270005</v>
      </c>
      <c r="H472" t="s">
        <v>24</v>
      </c>
      <c r="I472">
        <f>VLOOKUP(Table4[[#This Row],[Visitor]],'NHL Model'!$A$6:$B$38,2,FALSE)</f>
        <v>2.3143316481494557E-3</v>
      </c>
      <c r="J472">
        <f>($B$1+Table4[[#This Row],[Home Differential]])-Table4[[#This Row],[Away Differential]]</f>
        <v>-0.45848152990182683</v>
      </c>
      <c r="K472" t="str">
        <f>IF(Table4[[#This Row],[HomeIce Differential]]&gt;0,Table4[[#This Row],[Home]],Table4[[#This Row],[Visitor]])</f>
        <v>New Jersey Devils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0.53161460355355739</v>
      </c>
      <c r="M472" t="str">
        <f>IF(OR((NHL2025_26Results[[#This Row],[Winning Team]]="")),"-",IF(Table4[[#This Row],[Predicted Winner]]=NHL2025_26Results[[#This Row],[Winning Team]],"YES","NO"))</f>
        <v>-</v>
      </c>
      <c r="N472" t="str">
        <f>IF(Table4[[#This Row],[Adjusted Correct]]="-", "",IF(Table4[[#This Row],[Adjusted Correct]]="YES",(Table4[[#This Row],[Strength of Win]]-1)^2,(Table4[[#This Row],[Strength of Win]]-0)^2))</f>
        <v/>
      </c>
      <c r="P472" s="11"/>
    </row>
    <row r="473" spans="4:16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-0.46667677612181552</v>
      </c>
      <c r="H473" t="s">
        <v>33</v>
      </c>
      <c r="I473">
        <f>VLOOKUP(Table4[[#This Row],[Visitor]],'NHL Model'!$A$6:$B$38,2,FALSE)</f>
        <v>-0.6620483089622381</v>
      </c>
      <c r="J473">
        <f>($B$1+Table4[[#This Row],[Home Differential]])-Table4[[#This Row],[Away Differential]]</f>
        <v>0.27879519977944534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0.60468960814563832</v>
      </c>
      <c r="M473" t="str">
        <f>IF(OR((NHL2025_26Results[[#This Row],[Winning Team]]="")),"-",IF(Table4[[#This Row],[Predicted Winner]]=NHL2025_26Results[[#This Row],[Winning Team]],"YES","NO"))</f>
        <v>-</v>
      </c>
      <c r="N473" t="str">
        <f>IF(Table4[[#This Row],[Adjusted Correct]]="-", "",IF(Table4[[#This Row],[Adjusted Correct]]="YES",(Table4[[#This Row],[Strength of Win]]-1)^2,(Table4[[#This Row],[Strength of Win]]-0)^2))</f>
        <v/>
      </c>
      <c r="P473" s="11"/>
    </row>
    <row r="474" spans="4:16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-0.22852375643476561</v>
      </c>
      <c r="H474" t="s">
        <v>31</v>
      </c>
      <c r="I474">
        <f>VLOOKUP(Table4[[#This Row],[Visitor]],'NHL Model'!$A$6:$B$38,2,FALSE)</f>
        <v>5.8616755922628279E-2</v>
      </c>
      <c r="J474">
        <f>($B$1+Table4[[#This Row],[Home Differential]])-Table4[[#This Row],[Away Differential]]</f>
        <v>-0.20371684541837115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0.50196750477410557</v>
      </c>
      <c r="M474" t="str">
        <f>IF(OR((NHL2025_26Results[[#This Row],[Winning Team]]="")),"-",IF(Table4[[#This Row],[Predicted Winner]]=NHL2025_26Results[[#This Row],[Winning Team]],"YES","NO"))</f>
        <v>-</v>
      </c>
      <c r="N474" t="str">
        <f>IF(Table4[[#This Row],[Adjusted Correct]]="-", "",IF(Table4[[#This Row],[Adjusted Correct]]="YES",(Table4[[#This Row],[Strength of Win]]-1)^2,(Table4[[#This Row],[Strength of Win]]-0)^2))</f>
        <v/>
      </c>
      <c r="P474" s="11"/>
    </row>
    <row r="475" spans="4:16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-1.5899576513683618</v>
      </c>
      <c r="H475" t="s">
        <v>21</v>
      </c>
      <c r="I475">
        <f>VLOOKUP(Table4[[#This Row],[Visitor]],'NHL Model'!$A$6:$B$38,2,FALSE)</f>
        <v>-0.41554817552415113</v>
      </c>
      <c r="J475">
        <f>($B$1+Table4[[#This Row],[Home Differential]])-Table4[[#This Row],[Away Differential]]</f>
        <v>-1.090985808905188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0.58778807884747963</v>
      </c>
      <c r="M475" t="str">
        <f>IF(OR((NHL2025_26Results[[#This Row],[Winning Team]]="")),"-",IF(Table4[[#This Row],[Predicted Winner]]=NHL2025_26Results[[#This Row],[Winning Team]],"YES","NO"))</f>
        <v>-</v>
      </c>
      <c r="N475" t="str">
        <f>IF(Table4[[#This Row],[Adjusted Correct]]="-", "",IF(Table4[[#This Row],[Adjusted Correct]]="YES",(Table4[[#This Row],[Strength of Win]]-1)^2,(Table4[[#This Row],[Strength of Win]]-0)^2))</f>
        <v/>
      </c>
      <c r="P475" s="11"/>
    </row>
    <row r="476" spans="4:16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-0.36992241209510063</v>
      </c>
      <c r="H476" t="s">
        <v>39</v>
      </c>
      <c r="I476">
        <f>VLOOKUP(Table4[[#This Row],[Visitor]],'NHL Model'!$A$6:$B$38,2,FALSE)</f>
        <v>0.10032544630879472</v>
      </c>
      <c r="J476">
        <f>($B$1+Table4[[#This Row],[Home Differential]])-Table4[[#This Row],[Away Differential]]</f>
        <v>-0.38682419146487257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0.60433696615978749</v>
      </c>
      <c r="M476" t="str">
        <f>IF(OR((NHL2025_26Results[[#This Row],[Winning Team]]="")),"-",IF(Table4[[#This Row],[Predicted Winner]]=NHL2025_26Results[[#This Row],[Winning Team]],"YES","NO"))</f>
        <v>-</v>
      </c>
      <c r="N476" t="str">
        <f>IF(Table4[[#This Row],[Adjusted Correct]]="-", "",IF(Table4[[#This Row],[Adjusted Correct]]="YES",(Table4[[#This Row],[Strength of Win]]-1)^2,(Table4[[#This Row],[Strength of Win]]-0)^2))</f>
        <v/>
      </c>
      <c r="P476" s="11"/>
    </row>
    <row r="477" spans="4:16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-1.2612222633157453</v>
      </c>
      <c r="H477" t="s">
        <v>26</v>
      </c>
      <c r="I477">
        <f>VLOOKUP(Table4[[#This Row],[Visitor]],'NHL Model'!$A$6:$B$38,2,FALSE)</f>
        <v>-1.0708320987334559</v>
      </c>
      <c r="J477">
        <f>($B$1+Table4[[#This Row],[Home Differential]])-Table4[[#This Row],[Away Differential]]</f>
        <v>-0.10696649764326671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0.49321697770932071</v>
      </c>
      <c r="M477" t="str">
        <f>IF(OR((NHL2025_26Results[[#This Row],[Winning Team]]="")),"-",IF(Table4[[#This Row],[Predicted Winner]]=NHL2025_26Results[[#This Row],[Winning Team]],"YES","NO"))</f>
        <v>-</v>
      </c>
      <c r="N477" t="str">
        <f>IF(Table4[[#This Row],[Adjusted Correct]]="-", "",IF(Table4[[#This Row],[Adjusted Correct]]="YES",(Table4[[#This Row],[Strength of Win]]-1)^2,(Table4[[#This Row],[Strength of Win]]-0)^2))</f>
        <v/>
      </c>
      <c r="P477" s="11"/>
    </row>
    <row r="478" spans="4:16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-0.43769530535874146</v>
      </c>
      <c r="H478" t="s">
        <v>15</v>
      </c>
      <c r="I478">
        <f>VLOOKUP(Table4[[#This Row],[Visitor]],'NHL Model'!$A$6:$B$38,2,FALSE)</f>
        <v>-0.39090512874251965</v>
      </c>
      <c r="J478">
        <f>($B$1+Table4[[#This Row],[Home Differential]])-Table4[[#This Row],[Away Differential]]</f>
        <v>3.6633490322800888E-2</v>
      </c>
      <c r="K478" t="str">
        <f>IF(Table4[[#This Row],[HomeIce Differential]]&gt;0,Table4[[#This Row],[Home]],Table4[[#This Row],[Visitor]])</f>
        <v>Chicago Blackhawks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0.44418159191863438</v>
      </c>
      <c r="M478" t="str">
        <f>IF(OR((NHL2025_26Results[[#This Row],[Winning Team]]="")),"-",IF(Table4[[#This Row],[Predicted Winner]]=NHL2025_26Results[[#This Row],[Winning Team]],"YES","NO"))</f>
        <v>-</v>
      </c>
      <c r="N478" t="str">
        <f>IF(Table4[[#This Row],[Adjusted Correct]]="-", "",IF(Table4[[#This Row],[Adjusted Correct]]="YES",(Table4[[#This Row],[Strength of Win]]-1)^2,(Table4[[#This Row],[Strength of Win]]-0)^2))</f>
        <v/>
      </c>
      <c r="P478" s="11"/>
    </row>
    <row r="479" spans="4:16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-0.64744265535741874</v>
      </c>
      <c r="H479" t="s">
        <v>13</v>
      </c>
      <c r="I479">
        <f>VLOOKUP(Table4[[#This Row],[Visitor]],'NHL Model'!$A$6:$B$38,2,FALSE)</f>
        <v>-0.50197808897650842</v>
      </c>
      <c r="J479">
        <f>($B$1+Table4[[#This Row],[Home Differential]])-Table4[[#This Row],[Away Differential]]</f>
        <v>-6.204089944188762E-2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0.53102925553116709</v>
      </c>
      <c r="M479" t="str">
        <f>IF(OR((NHL2025_26Results[[#This Row],[Winning Team]]="")),"-",IF(Table4[[#This Row],[Predicted Winner]]=NHL2025_26Results[[#This Row],[Winning Team]],"YES","NO"))</f>
        <v>-</v>
      </c>
      <c r="N479" t="str">
        <f>IF(Table4[[#This Row],[Adjusted Correct]]="-", "",IF(Table4[[#This Row],[Adjusted Correct]]="YES",(Table4[[#This Row],[Strength of Win]]-1)^2,(Table4[[#This Row],[Strength of Win]]-0)^2))</f>
        <v/>
      </c>
      <c r="P479" s="11"/>
    </row>
    <row r="480" spans="4:16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-0.40521943828179341</v>
      </c>
      <c r="H480" t="s">
        <v>11</v>
      </c>
      <c r="I480">
        <f>VLOOKUP(Table4[[#This Row],[Visitor]],'NHL Model'!$A$6:$B$38,2,FALSE)</f>
        <v>-0.57335522029781161</v>
      </c>
      <c r="J480">
        <f>($B$1+Table4[[#This Row],[Home Differential]])-Table4[[#This Row],[Away Differential]]</f>
        <v>0.2515594489550409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0.60970528130078705</v>
      </c>
      <c r="M480" t="str">
        <f>IF(OR((NHL2025_26Results[[#This Row],[Winning Team]]="")),"-",IF(Table4[[#This Row],[Predicted Winner]]=NHL2025_26Results[[#This Row],[Winning Team]],"YES","NO"))</f>
        <v>-</v>
      </c>
      <c r="N480" t="str">
        <f>IF(Table4[[#This Row],[Adjusted Correct]]="-", "",IF(Table4[[#This Row],[Adjusted Correct]]="YES",(Table4[[#This Row],[Strength of Win]]-1)^2,(Table4[[#This Row],[Strength of Win]]-0)^2))</f>
        <v/>
      </c>
      <c r="P480" s="11"/>
    </row>
    <row r="481" spans="4:16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-0.9065542839469537</v>
      </c>
      <c r="H481" t="s">
        <v>36</v>
      </c>
      <c r="I481">
        <f>VLOOKUP(Table4[[#This Row],[Visitor]],'NHL Model'!$A$6:$B$38,2,FALSE)</f>
        <v>-0.53959086519270005</v>
      </c>
      <c r="J481">
        <f>($B$1+Table4[[#This Row],[Home Differential]])-Table4[[#This Row],[Away Differential]]</f>
        <v>-0.28353975181523094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0.49382516141188254</v>
      </c>
      <c r="M481" t="str">
        <f>IF(OR((NHL2025_26Results[[#This Row],[Winning Team]]="")),"-",IF(Table4[[#This Row],[Predicted Winner]]=NHL2025_26Results[[#This Row],[Winning Team]],"YES","NO"))</f>
        <v>-</v>
      </c>
      <c r="N481" t="str">
        <f>IF(Table4[[#This Row],[Adjusted Correct]]="-", "",IF(Table4[[#This Row],[Adjusted Correct]]="YES",(Table4[[#This Row],[Strength of Win]]-1)^2,(Table4[[#This Row],[Strength of Win]]-0)^2))</f>
        <v/>
      </c>
      <c r="P481" s="11"/>
    </row>
    <row r="482" spans="4:16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1.339787395621115</v>
      </c>
      <c r="H482" t="s">
        <v>11</v>
      </c>
      <c r="I482">
        <f>VLOOKUP(Table4[[#This Row],[Visitor]],'NHL Model'!$A$6:$B$38,2,FALSE)</f>
        <v>-0.57335522029781161</v>
      </c>
      <c r="J482">
        <f>($B$1+Table4[[#This Row],[Home Differential]])-Table4[[#This Row],[Away Differential]]</f>
        <v>1.9965662828579493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0.87245525431213244</v>
      </c>
      <c r="M482" t="str">
        <f>IF(OR((NHL2025_26Results[[#This Row],[Winning Team]]="")),"-",IF(Table4[[#This Row],[Predicted Winner]]=NHL2025_26Results[[#This Row],[Winning Team]],"YES","NO"))</f>
        <v>-</v>
      </c>
      <c r="N482" t="str">
        <f>IF(Table4[[#This Row],[Adjusted Correct]]="-", "",IF(Table4[[#This Row],[Adjusted Correct]]="YES",(Table4[[#This Row],[Strength of Win]]-1)^2,(Table4[[#This Row],[Strength of Win]]-0)^2))</f>
        <v/>
      </c>
      <c r="P482" s="11"/>
    </row>
    <row r="483" spans="4:16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-1.1577943512279505</v>
      </c>
      <c r="H483" t="s">
        <v>26</v>
      </c>
      <c r="I483">
        <f>VLOOKUP(Table4[[#This Row],[Visitor]],'NHL Model'!$A$6:$B$38,2,FALSE)</f>
        <v>-1.0708320987334559</v>
      </c>
      <c r="J483">
        <f>($B$1+Table4[[#This Row],[Home Differential]])-Table4[[#This Row],[Away Differential]]</f>
        <v>-3.5385855554719292E-3</v>
      </c>
      <c r="K483" t="str">
        <f>IF(Table4[[#This Row],[HomeIce Differential]]&gt;0,Table4[[#This Row],[Home]],Table4[[#This Row],[Visitor]])</f>
        <v>Detroit Red Wings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0.47409599756703269</v>
      </c>
      <c r="M483" t="str">
        <f>IF(OR((NHL2025_26Results[[#This Row],[Winning Team]]="")),"-",IF(Table4[[#This Row],[Predicted Winner]]=NHL2025_26Results[[#This Row],[Winning Team]],"YES","NO"))</f>
        <v>-</v>
      </c>
      <c r="N483" t="str">
        <f>IF(Table4[[#This Row],[Adjusted Correct]]="-", "",IF(Table4[[#This Row],[Adjusted Correct]]="YES",(Table4[[#This Row],[Strength of Win]]-1)^2,(Table4[[#This Row],[Strength of Win]]-0)^2))</f>
        <v/>
      </c>
      <c r="P483" s="11"/>
    </row>
    <row r="484" spans="4:16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-0.15603426337582751</v>
      </c>
      <c r="H484" t="s">
        <v>39</v>
      </c>
      <c r="I484">
        <f>VLOOKUP(Table4[[#This Row],[Visitor]],'NHL Model'!$A$6:$B$38,2,FALSE)</f>
        <v>0.10032544630879472</v>
      </c>
      <c r="J484">
        <f>($B$1+Table4[[#This Row],[Home Differential]])-Table4[[#This Row],[Away Differential]]</f>
        <v>-0.17293604274559951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0.56795074415617086</v>
      </c>
      <c r="M484" t="str">
        <f>IF(OR((NHL2025_26Results[[#This Row],[Winning Team]]="")),"-",IF(Table4[[#This Row],[Predicted Winner]]=NHL2025_26Results[[#This Row],[Winning Team]],"YES","NO"))</f>
        <v>-</v>
      </c>
      <c r="N484" t="str">
        <f>IF(Table4[[#This Row],[Adjusted Correct]]="-", "",IF(Table4[[#This Row],[Adjusted Correct]]="YES",(Table4[[#This Row],[Strength of Win]]-1)^2,(Table4[[#This Row],[Strength of Win]]-0)^2))</f>
        <v/>
      </c>
      <c r="P484" s="11"/>
    </row>
    <row r="485" spans="4:16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2.3143316481494557E-3</v>
      </c>
      <c r="H485" t="s">
        <v>37</v>
      </c>
      <c r="I485">
        <f>VLOOKUP(Table4[[#This Row],[Visitor]],'NHL Model'!$A$6:$B$38,2,FALSE)</f>
        <v>0.23616512594450029</v>
      </c>
      <c r="J485">
        <f>($B$1+Table4[[#This Row],[Home Differential]])-Table4[[#This Row],[Away Differential]]</f>
        <v>-0.15042712735732811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0.43170646644601779</v>
      </c>
      <c r="M485" t="str">
        <f>IF(OR((NHL2025_26Results[[#This Row],[Winning Team]]="")),"-",IF(Table4[[#This Row],[Predicted Winner]]=NHL2025_26Results[[#This Row],[Winning Team]],"YES","NO"))</f>
        <v>-</v>
      </c>
      <c r="N485" t="str">
        <f>IF(Table4[[#This Row],[Adjusted Correct]]="-", "",IF(Table4[[#This Row],[Adjusted Correct]]="YES",(Table4[[#This Row],[Strength of Win]]-1)^2,(Table4[[#This Row],[Strength of Win]]-0)^2))</f>
        <v/>
      </c>
      <c r="P485" s="11"/>
    </row>
    <row r="486" spans="4:16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-1.4782515386602066</v>
      </c>
      <c r="H486" t="s">
        <v>35</v>
      </c>
      <c r="I486">
        <f>VLOOKUP(Table4[[#This Row],[Visitor]],'NHL Model'!$A$6:$B$38,2,FALSE)</f>
        <v>-1.5899576513683618</v>
      </c>
      <c r="J486">
        <f>($B$1+Table4[[#This Row],[Home Differential]])-Table4[[#This Row],[Away Differential]]</f>
        <v>0.19512977964717781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0.56270735390088278</v>
      </c>
      <c r="M486" t="str">
        <f>IF(OR((NHL2025_26Results[[#This Row],[Winning Team]]="")),"-",IF(Table4[[#This Row],[Predicted Winner]]=NHL2025_26Results[[#This Row],[Winning Team]],"YES","NO"))</f>
        <v>-</v>
      </c>
      <c r="N486" t="str">
        <f>IF(Table4[[#This Row],[Adjusted Correct]]="-", "",IF(Table4[[#This Row],[Adjusted Correct]]="YES",(Table4[[#This Row],[Strength of Win]]-1)^2,(Table4[[#This Row],[Strength of Win]]-0)^2))</f>
        <v/>
      </c>
      <c r="P486" s="11"/>
    </row>
    <row r="487" spans="4:16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-0.30740058470151932</v>
      </c>
      <c r="H487" t="s">
        <v>31</v>
      </c>
      <c r="I487">
        <f>VLOOKUP(Table4[[#This Row],[Visitor]],'NHL Model'!$A$6:$B$38,2,FALSE)</f>
        <v>5.8616755922628279E-2</v>
      </c>
      <c r="J487">
        <f>($B$1+Table4[[#This Row],[Home Differential]])-Table4[[#This Row],[Away Differential]]</f>
        <v>-0.28259367368512489</v>
      </c>
      <c r="K487" t="str">
        <f>IF(Table4[[#This Row],[HomeIce Differential]]&gt;0,Table4[[#This Row],[Home]],Table4[[#This Row],[Visitor]])</f>
        <v>Anaheim Ducks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0.51365480348971171</v>
      </c>
      <c r="M487" t="str">
        <f>IF(OR((NHL2025_26Results[[#This Row],[Winning Team]]="")),"-",IF(Table4[[#This Row],[Predicted Winner]]=NHL2025_26Results[[#This Row],[Winning Team]],"YES","NO"))</f>
        <v>-</v>
      </c>
      <c r="N487" t="str">
        <f>IF(Table4[[#This Row],[Adjusted Correct]]="-", "",IF(Table4[[#This Row],[Adjusted Correct]]="YES",(Table4[[#This Row],[Strength of Win]]-1)^2,(Table4[[#This Row],[Strength of Win]]-0)^2))</f>
        <v/>
      </c>
      <c r="P487" s="11"/>
    </row>
    <row r="488" spans="4:16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-0.46667677612181552</v>
      </c>
      <c r="H488" t="s">
        <v>20</v>
      </c>
      <c r="I488">
        <f>VLOOKUP(Table4[[#This Row],[Visitor]],'NHL Model'!$A$6:$B$38,2,FALSE)</f>
        <v>-0.42180143360631367</v>
      </c>
      <c r="J488">
        <f>($B$1+Table4[[#This Row],[Home Differential]])-Table4[[#This Row],[Away Differential]]</f>
        <v>3.8548324423520908E-2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0.57673195436182156</v>
      </c>
      <c r="M488" t="str">
        <f>IF(OR((NHL2025_26Results[[#This Row],[Winning Team]]="")),"-",IF(Table4[[#This Row],[Predicted Winner]]=NHL2025_26Results[[#This Row],[Winning Team]],"YES","NO"))</f>
        <v>-</v>
      </c>
      <c r="N488" t="str">
        <f>IF(Table4[[#This Row],[Adjusted Correct]]="-", "",IF(Table4[[#This Row],[Adjusted Correct]]="YES",(Table4[[#This Row],[Strength of Win]]-1)^2,(Table4[[#This Row],[Strength of Win]]-0)^2))</f>
        <v/>
      </c>
      <c r="P488" s="11"/>
    </row>
    <row r="489" spans="4:16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-0.22852375643476561</v>
      </c>
      <c r="H489" t="s">
        <v>18</v>
      </c>
      <c r="I489">
        <f>VLOOKUP(Table4[[#This Row],[Visitor]],'NHL Model'!$A$6:$B$38,2,FALSE)</f>
        <v>-0.65770380103775494</v>
      </c>
      <c r="J489">
        <f>($B$1+Table4[[#This Row],[Home Differential]])-Table4[[#This Row],[Away Differential]]</f>
        <v>0.51260371154201212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0.52119042194110743</v>
      </c>
      <c r="M489" t="str">
        <f>IF(OR((NHL2025_26Results[[#This Row],[Winning Team]]="")),"-",IF(Table4[[#This Row],[Predicted Winner]]=NHL2025_26Results[[#This Row],[Winning Team]],"YES","NO"))</f>
        <v>-</v>
      </c>
      <c r="N489" t="str">
        <f>IF(Table4[[#This Row],[Adjusted Correct]]="-", "",IF(Table4[[#This Row],[Adjusted Correct]]="YES",(Table4[[#This Row],[Strength of Win]]-1)^2,(Table4[[#This Row],[Strength of Win]]-0)^2))</f>
        <v/>
      </c>
      <c r="P489" s="11"/>
    </row>
    <row r="490" spans="4:16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-1.054674343910232</v>
      </c>
      <c r="H490" t="s">
        <v>33</v>
      </c>
      <c r="I490">
        <f>VLOOKUP(Table4[[#This Row],[Visitor]],'NHL Model'!$A$6:$B$38,2,FALSE)</f>
        <v>-0.6620483089622381</v>
      </c>
      <c r="J490">
        <f>($B$1+Table4[[#This Row],[Home Differential]])-Table4[[#This Row],[Away Differential]]</f>
        <v>-0.30920236800897116</v>
      </c>
      <c r="K490" t="str">
        <f>IF(Table4[[#This Row],[HomeIce Differential]]&gt;0,Table4[[#This Row],[Home]],Table4[[#This Row],[Visitor]])</f>
        <v>San Jose Sharks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0.49598204031217558</v>
      </c>
      <c r="M490" t="str">
        <f>IF(OR((NHL2025_26Results[[#This Row],[Winning Team]]="")),"-",IF(Table4[[#This Row],[Predicted Winner]]=NHL2025_26Results[[#This Row],[Winning Team]],"YES","NO"))</f>
        <v>-</v>
      </c>
      <c r="N490" t="str">
        <f>IF(Table4[[#This Row],[Adjusted Correct]]="-", "",IF(Table4[[#This Row],[Adjusted Correct]]="YES",(Table4[[#This Row],[Strength of Win]]-1)^2,(Table4[[#This Row],[Strength of Win]]-0)^2))</f>
        <v/>
      </c>
      <c r="P490" s="11"/>
    </row>
    <row r="491" spans="4:16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-1.1317546087271064</v>
      </c>
      <c r="H491" t="s">
        <v>23</v>
      </c>
      <c r="I491">
        <f>VLOOKUP(Table4[[#This Row],[Visitor]],'NHL Model'!$A$6:$B$38,2,FALSE)</f>
        <v>-0.90742746858300449</v>
      </c>
      <c r="J491">
        <f>($B$1+Table4[[#This Row],[Home Differential]])-Table4[[#This Row],[Away Differential]]</f>
        <v>-0.14090347320507923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0.4763970104292462</v>
      </c>
      <c r="M491" t="str">
        <f>IF(OR((NHL2025_26Results[[#This Row],[Winning Team]]="")),"-",IF(Table4[[#This Row],[Predicted Winner]]=NHL2025_26Results[[#This Row],[Winning Team]],"YES","NO"))</f>
        <v>-</v>
      </c>
      <c r="N491" t="str">
        <f>IF(Table4[[#This Row],[Adjusted Correct]]="-", "",IF(Table4[[#This Row],[Adjusted Correct]]="YES",(Table4[[#This Row],[Strength of Win]]-1)^2,(Table4[[#This Row],[Strength of Win]]-0)^2))</f>
        <v/>
      </c>
      <c r="P491" s="11"/>
    </row>
    <row r="492" spans="4:16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-0.36992241209510063</v>
      </c>
      <c r="H492" t="s">
        <v>21</v>
      </c>
      <c r="I492">
        <f>VLOOKUP(Table4[[#This Row],[Visitor]],'NHL Model'!$A$6:$B$38,2,FALSE)</f>
        <v>-0.41554817552415113</v>
      </c>
      <c r="J492">
        <f>($B$1+Table4[[#This Row],[Home Differential]])-Table4[[#This Row],[Away Differential]]</f>
        <v>0.12904943036807326</v>
      </c>
      <c r="K492" t="str">
        <f>IF(Table4[[#This Row],[HomeIce Differential]]&gt;0,Table4[[#This Row],[Home]],Table4[[#This Row],[Visitor]])</f>
        <v>Winnipeg Jets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0.55668421596833495</v>
      </c>
      <c r="M492" t="str">
        <f>IF(OR((NHL2025_26Results[[#This Row],[Winning Team]]="")),"-",IF(Table4[[#This Row],[Predicted Winner]]=NHL2025_26Results[[#This Row],[Winning Team]],"YES","NO"))</f>
        <v>-</v>
      </c>
      <c r="N492" t="str">
        <f>IF(Table4[[#This Row],[Adjusted Correct]]="-", "",IF(Table4[[#This Row],[Adjusted Correct]]="YES",(Table4[[#This Row],[Strength of Win]]-1)^2,(Table4[[#This Row],[Strength of Win]]-0)^2))</f>
        <v/>
      </c>
      <c r="P492" s="11"/>
    </row>
    <row r="493" spans="4:16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0.15604658591703846</v>
      </c>
      <c r="H493" t="s">
        <v>25</v>
      </c>
      <c r="I493">
        <f>VLOOKUP(Table4[[#This Row],[Visitor]],'NHL Model'!$A$6:$B$38,2,FALSE)</f>
        <v>0.25962865313068506</v>
      </c>
      <c r="J493">
        <f>($B$1+Table4[[#This Row],[Home Differential]])-Table4[[#This Row],[Away Differential]]</f>
        <v>-2.0158400274623872E-2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0.50867495744388236</v>
      </c>
      <c r="M493" t="str">
        <f>IF(OR((NHL2025_26Results[[#This Row],[Winning Team]]="")),"-",IF(Table4[[#This Row],[Predicted Winner]]=NHL2025_26Results[[#This Row],[Winning Team]],"YES","NO"))</f>
        <v>-</v>
      </c>
      <c r="N493" t="str">
        <f>IF(Table4[[#This Row],[Adjusted Correct]]="-", "",IF(Table4[[#This Row],[Adjusted Correct]]="YES",(Table4[[#This Row],[Strength of Win]]-1)^2,(Table4[[#This Row],[Strength of Win]]-0)^2))</f>
        <v/>
      </c>
      <c r="P493" s="11"/>
    </row>
    <row r="494" spans="4:16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-1.5899576513683618</v>
      </c>
      <c r="H494" t="s">
        <v>10</v>
      </c>
      <c r="I494">
        <f>VLOOKUP(Table4[[#This Row],[Visitor]],'NHL Model'!$A$6:$B$38,2,FALSE)</f>
        <v>-0.43769530535874146</v>
      </c>
      <c r="J494">
        <f>($B$1+Table4[[#This Row],[Home Differential]])-Table4[[#This Row],[Away Differential]]</f>
        <v>-1.0688386790705975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0.58438131274730365</v>
      </c>
      <c r="M494" t="str">
        <f>IF(OR((NHL2025_26Results[[#This Row],[Winning Team]]="")),"-",IF(Table4[[#This Row],[Predicted Winner]]=NHL2025_26Results[[#This Row],[Winning Team]],"YES","NO"))</f>
        <v>-</v>
      </c>
      <c r="N494" t="str">
        <f>IF(Table4[[#This Row],[Adjusted Correct]]="-", "",IF(Table4[[#This Row],[Adjusted Correct]]="YES",(Table4[[#This Row],[Strength of Win]]-1)^2,(Table4[[#This Row],[Strength of Win]]-0)^2))</f>
        <v/>
      </c>
      <c r="P494" s="11"/>
    </row>
    <row r="495" spans="4:16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-0.40521943828179341</v>
      </c>
      <c r="H495" t="s">
        <v>32</v>
      </c>
      <c r="I495">
        <f>VLOOKUP(Table4[[#This Row],[Visitor]],'NHL Model'!$A$6:$B$38,2,FALSE)</f>
        <v>-0.64744265535741874</v>
      </c>
      <c r="J495">
        <f>($B$1+Table4[[#This Row],[Home Differential]])-Table4[[#This Row],[Away Differential]]</f>
        <v>0.32564688401464803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0.61832687463497249</v>
      </c>
      <c r="M495" t="str">
        <f>IF(OR((NHL2025_26Results[[#This Row],[Winning Team]]="")),"-",IF(Table4[[#This Row],[Predicted Winner]]=NHL2025_26Results[[#This Row],[Winning Team]],"YES","NO"))</f>
        <v>-</v>
      </c>
      <c r="N495" t="str">
        <f>IF(Table4[[#This Row],[Adjusted Correct]]="-", "",IF(Table4[[#This Row],[Adjusted Correct]]="YES",(Table4[[#This Row],[Strength of Win]]-1)^2,(Table4[[#This Row],[Strength of Win]]-0)^2))</f>
        <v/>
      </c>
      <c r="P495" s="11"/>
    </row>
    <row r="496" spans="4:16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-0.9065542839469537</v>
      </c>
      <c r="H496" t="s">
        <v>20</v>
      </c>
      <c r="I496">
        <f>VLOOKUP(Table4[[#This Row],[Visitor]],'NHL Model'!$A$6:$B$38,2,FALSE)</f>
        <v>-0.42180143360631367</v>
      </c>
      <c r="J496">
        <f>($B$1+Table4[[#This Row],[Home Differential]])-Table4[[#This Row],[Away Differential]]</f>
        <v>-0.40132918340161733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0.50670288571396238</v>
      </c>
      <c r="M496" t="str">
        <f>IF(OR((NHL2025_26Results[[#This Row],[Winning Team]]="")),"-",IF(Table4[[#This Row],[Predicted Winner]]=NHL2025_26Results[[#This Row],[Winning Team]],"YES","NO"))</f>
        <v>-</v>
      </c>
      <c r="N496" t="str">
        <f>IF(Table4[[#This Row],[Adjusted Correct]]="-", "",IF(Table4[[#This Row],[Adjusted Correct]]="YES",(Table4[[#This Row],[Strength of Win]]-1)^2,(Table4[[#This Row],[Strength of Win]]-0)^2))</f>
        <v/>
      </c>
      <c r="P496" s="11"/>
    </row>
    <row r="497" spans="4:16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-0.43769530535874146</v>
      </c>
      <c r="H497" t="s">
        <v>26</v>
      </c>
      <c r="I497">
        <f>VLOOKUP(Table4[[#This Row],[Visitor]],'NHL Model'!$A$6:$B$38,2,FALSE)</f>
        <v>-1.0708320987334559</v>
      </c>
      <c r="J497">
        <f>($B$1+Table4[[#This Row],[Home Differential]])-Table4[[#This Row],[Away Differential]]</f>
        <v>0.7165604603137371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0.60261728252025315</v>
      </c>
      <c r="M497" t="str">
        <f>IF(OR((NHL2025_26Results[[#This Row],[Winning Team]]="")),"-",IF(Table4[[#This Row],[Predicted Winner]]=NHL2025_26Results[[#This Row],[Winning Team]],"YES","NO"))</f>
        <v>-</v>
      </c>
      <c r="N497" t="str">
        <f>IF(Table4[[#This Row],[Adjusted Correct]]="-", "",IF(Table4[[#This Row],[Adjusted Correct]]="YES",(Table4[[#This Row],[Strength of Win]]-1)^2,(Table4[[#This Row],[Strength of Win]]-0)^2))</f>
        <v/>
      </c>
      <c r="P497" s="11"/>
    </row>
    <row r="498" spans="4:16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1.339787395621115</v>
      </c>
      <c r="H498" t="s">
        <v>29</v>
      </c>
      <c r="I498">
        <f>VLOOKUP(Table4[[#This Row],[Visitor]],'NHL Model'!$A$6:$B$38,2,FALSE)</f>
        <v>-1.4782515386602066</v>
      </c>
      <c r="J498">
        <f>($B$1+Table4[[#This Row],[Home Differential]])-Table4[[#This Row],[Away Differential]]</f>
        <v>2.9014626012203442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0.97775850931408059</v>
      </c>
      <c r="M498" t="str">
        <f>IF(OR((NHL2025_26Results[[#This Row],[Winning Team]]="")),"-",IF(Table4[[#This Row],[Predicted Winner]]=NHL2025_26Results[[#This Row],[Winning Team]],"YES","NO"))</f>
        <v>-</v>
      </c>
      <c r="N498" t="str">
        <f>IF(Table4[[#This Row],[Adjusted Correct]]="-", "",IF(Table4[[#This Row],[Adjusted Correct]]="YES",(Table4[[#This Row],[Strength of Win]]-1)^2,(Table4[[#This Row],[Strength of Win]]-0)^2))</f>
        <v/>
      </c>
      <c r="P498" s="11"/>
    </row>
    <row r="499" spans="4:16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0.10032544630879472</v>
      </c>
      <c r="H499" t="s">
        <v>11</v>
      </c>
      <c r="I499">
        <f>VLOOKUP(Table4[[#This Row],[Visitor]],'NHL Model'!$A$6:$B$38,2,FALSE)</f>
        <v>-0.57335522029781161</v>
      </c>
      <c r="J499">
        <f>($B$1+Table4[[#This Row],[Home Differential]])-Table4[[#This Row],[Away Differential]]</f>
        <v>0.75710433354562912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0.64721005620518057</v>
      </c>
      <c r="M499" t="str">
        <f>IF(OR((NHL2025_26Results[[#This Row],[Winning Team]]="")),"-",IF(Table4[[#This Row],[Predicted Winner]]=NHL2025_26Results[[#This Row],[Winning Team]],"YES","NO"))</f>
        <v>-</v>
      </c>
      <c r="N499" t="str">
        <f>IF(Table4[[#This Row],[Adjusted Correct]]="-", "",IF(Table4[[#This Row],[Adjusted Correct]]="YES",(Table4[[#This Row],[Strength of Win]]-1)^2,(Table4[[#This Row],[Strength of Win]]-0)^2))</f>
        <v/>
      </c>
      <c r="P499" s="11"/>
    </row>
    <row r="500" spans="4:16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-0.50197808897650842</v>
      </c>
      <c r="H500" t="s">
        <v>16</v>
      </c>
      <c r="I500">
        <f>VLOOKUP(Table4[[#This Row],[Visitor]],'NHL Model'!$A$6:$B$38,2,FALSE)</f>
        <v>-1.2612222633157453</v>
      </c>
      <c r="J500">
        <f>($B$1+Table4[[#This Row],[Home Differential]])-Table4[[#This Row],[Away Differential]]</f>
        <v>0.84266784127825956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0.63806169477255936</v>
      </c>
      <c r="M500" t="str">
        <f>IF(OR((NHL2025_26Results[[#This Row],[Winning Team]]="")),"-",IF(Table4[[#This Row],[Predicted Winner]]=NHL2025_26Results[[#This Row],[Winning Team]],"YES","NO"))</f>
        <v>-</v>
      </c>
      <c r="N500" t="str">
        <f>IF(Table4[[#This Row],[Adjusted Correct]]="-", "",IF(Table4[[#This Row],[Adjusted Correct]]="YES",(Table4[[#This Row],[Strength of Win]]-1)^2,(Table4[[#This Row],[Strength of Win]]-0)^2))</f>
        <v/>
      </c>
      <c r="P500" s="11"/>
    </row>
    <row r="501" spans="4:16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-0.15603426337582751</v>
      </c>
      <c r="H501" t="s">
        <v>36</v>
      </c>
      <c r="I501">
        <f>VLOOKUP(Table4[[#This Row],[Visitor]],'NHL Model'!$A$6:$B$38,2,FALSE)</f>
        <v>-0.53959086519270005</v>
      </c>
      <c r="J501">
        <f>($B$1+Table4[[#This Row],[Home Differential]])-Table4[[#This Row],[Away Differential]]</f>
        <v>0.46698026875589527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0.60753422600878271</v>
      </c>
      <c r="M501" t="str">
        <f>IF(OR((NHL2025_26Results[[#This Row],[Winning Team]]="")),"-",IF(Table4[[#This Row],[Predicted Winner]]=NHL2025_26Results[[#This Row],[Winning Team]],"YES","NO"))</f>
        <v>-</v>
      </c>
      <c r="N501" t="str">
        <f>IF(Table4[[#This Row],[Adjusted Correct]]="-", "",IF(Table4[[#This Row],[Adjusted Correct]]="YES",(Table4[[#This Row],[Strength of Win]]-1)^2,(Table4[[#This Row],[Strength of Win]]-0)^2))</f>
        <v/>
      </c>
      <c r="P501" s="11"/>
    </row>
    <row r="502" spans="4:16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2.3143316481494557E-3</v>
      </c>
      <c r="H502" t="s">
        <v>31</v>
      </c>
      <c r="I502">
        <f>VLOOKUP(Table4[[#This Row],[Visitor]],'NHL Model'!$A$6:$B$38,2,FALSE)</f>
        <v>5.8616755922628279E-2</v>
      </c>
      <c r="J502">
        <f>($B$1+Table4[[#This Row],[Home Differential]])-Table4[[#This Row],[Away Differential]]</f>
        <v>2.7121242664543903E-2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0.64601325596570613</v>
      </c>
      <c r="M502" t="str">
        <f>IF(OR((NHL2025_26Results[[#This Row],[Winning Team]]="")),"-",IF(Table4[[#This Row],[Predicted Winner]]=NHL2025_26Results[[#This Row],[Winning Team]],"YES","NO"))</f>
        <v>-</v>
      </c>
      <c r="N502" t="str">
        <f>IF(Table4[[#This Row],[Adjusted Correct]]="-", "",IF(Table4[[#This Row],[Adjusted Correct]]="YES",(Table4[[#This Row],[Strength of Win]]-1)^2,(Table4[[#This Row],[Strength of Win]]-0)^2))</f>
        <v/>
      </c>
      <c r="P502" s="11"/>
    </row>
    <row r="503" spans="4:16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-0.30740058470151932</v>
      </c>
      <c r="H503" t="s">
        <v>37</v>
      </c>
      <c r="I503">
        <f>VLOOKUP(Table4[[#This Row],[Visitor]],'NHL Model'!$A$6:$B$38,2,FALSE)</f>
        <v>0.23616512594450029</v>
      </c>
      <c r="J503">
        <f>($B$1+Table4[[#This Row],[Home Differential]])-Table4[[#This Row],[Away Differential]]</f>
        <v>-0.46014204370699685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0.59450523777664888</v>
      </c>
      <c r="M503" t="str">
        <f>IF(OR((NHL2025_26Results[[#This Row],[Winning Team]]="")),"-",IF(Table4[[#This Row],[Predicted Winner]]=NHL2025_26Results[[#This Row],[Winning Team]],"YES","NO"))</f>
        <v>-</v>
      </c>
      <c r="N503" t="str">
        <f>IF(Table4[[#This Row],[Adjusted Correct]]="-", "",IF(Table4[[#This Row],[Adjusted Correct]]="YES",(Table4[[#This Row],[Strength of Win]]-1)^2,(Table4[[#This Row],[Strength of Win]]-0)^2))</f>
        <v/>
      </c>
      <c r="P503" s="11"/>
    </row>
    <row r="504" spans="4:16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-0.39090512874251965</v>
      </c>
      <c r="H504" t="s">
        <v>18</v>
      </c>
      <c r="I504">
        <f>VLOOKUP(Table4[[#This Row],[Visitor]],'NHL Model'!$A$6:$B$38,2,FALSE)</f>
        <v>-0.65770380103775494</v>
      </c>
      <c r="J504">
        <f>($B$1+Table4[[#This Row],[Home Differential]])-Table4[[#This Row],[Away Differential]]</f>
        <v>0.35022233923425805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0.49979728675543217</v>
      </c>
      <c r="M504" t="str">
        <f>IF(OR((NHL2025_26Results[[#This Row],[Winning Team]]="")),"-",IF(Table4[[#This Row],[Predicted Winner]]=NHL2025_26Results[[#This Row],[Winning Team]],"YES","NO"))</f>
        <v>-</v>
      </c>
      <c r="N504" t="str">
        <f>IF(Table4[[#This Row],[Adjusted Correct]]="-", "",IF(Table4[[#This Row],[Adjusted Correct]]="YES",(Table4[[#This Row],[Strength of Win]]-1)^2,(Table4[[#This Row],[Strength of Win]]-0)^2))</f>
        <v/>
      </c>
      <c r="P504" s="11"/>
    </row>
    <row r="505" spans="4:16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-0.46667677612181552</v>
      </c>
      <c r="H505" t="s">
        <v>25</v>
      </c>
      <c r="I505">
        <f>VLOOKUP(Table4[[#This Row],[Visitor]],'NHL Model'!$A$6:$B$38,2,FALSE)</f>
        <v>0.25962865313068506</v>
      </c>
      <c r="J505">
        <f>($B$1+Table4[[#This Row],[Home Differential]])-Table4[[#This Row],[Away Differential]]</f>
        <v>-0.64288176231347782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0.57481248489938752</v>
      </c>
      <c r="M505" t="str">
        <f>IF(OR((NHL2025_26Results[[#This Row],[Winning Team]]="")),"-",IF(Table4[[#This Row],[Predicted Winner]]=NHL2025_26Results[[#This Row],[Winning Team]],"YES","NO"))</f>
        <v>-</v>
      </c>
      <c r="N505" t="str">
        <f>IF(Table4[[#This Row],[Adjusted Correct]]="-", "",IF(Table4[[#This Row],[Adjusted Correct]]="YES",(Table4[[#This Row],[Strength of Win]]-1)^2,(Table4[[#This Row],[Strength of Win]]-0)^2))</f>
        <v/>
      </c>
      <c r="P505" s="11"/>
    </row>
    <row r="506" spans="4:16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-0.22852375643476561</v>
      </c>
      <c r="H506" t="s">
        <v>33</v>
      </c>
      <c r="I506">
        <f>VLOOKUP(Table4[[#This Row],[Visitor]],'NHL Model'!$A$6:$B$38,2,FALSE)</f>
        <v>-0.6620483089622381</v>
      </c>
      <c r="J506">
        <f>($B$1+Table4[[#This Row],[Home Differential]])-Table4[[#This Row],[Away Differential]]</f>
        <v>0.51694821946649516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0.60265301225276446</v>
      </c>
      <c r="M506" t="str">
        <f>IF(OR((NHL2025_26Results[[#This Row],[Winning Team]]="")),"-",IF(Table4[[#This Row],[Predicted Winner]]=NHL2025_26Results[[#This Row],[Winning Team]],"YES","NO"))</f>
        <v>-</v>
      </c>
      <c r="N506" t="str">
        <f>IF(Table4[[#This Row],[Adjusted Correct]]="-", "",IF(Table4[[#This Row],[Adjusted Correct]]="YES",(Table4[[#This Row],[Strength of Win]]-1)^2,(Table4[[#This Row],[Strength of Win]]-0)^2))</f>
        <v/>
      </c>
      <c r="P506" s="11"/>
    </row>
    <row r="507" spans="4:16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-1.054674343910232</v>
      </c>
      <c r="H507" t="s">
        <v>17</v>
      </c>
      <c r="I507">
        <f>VLOOKUP(Table4[[#This Row],[Visitor]],'NHL Model'!$A$6:$B$38,2,FALSE)</f>
        <v>-1.1577943512279505</v>
      </c>
      <c r="J507">
        <f>($B$1+Table4[[#This Row],[Home Differential]])-Table4[[#This Row],[Away Differential]]</f>
        <v>0.18654367425674123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0.56170818435288528</v>
      </c>
      <c r="M507" t="str">
        <f>IF(OR((NHL2025_26Results[[#This Row],[Winning Team]]="")),"-",IF(Table4[[#This Row],[Predicted Winner]]=NHL2025_26Results[[#This Row],[Winning Team]],"YES","NO"))</f>
        <v>-</v>
      </c>
      <c r="N507" t="str">
        <f>IF(Table4[[#This Row],[Adjusted Correct]]="-", "",IF(Table4[[#This Row],[Adjusted Correct]]="YES",(Table4[[#This Row],[Strength of Win]]-1)^2,(Table4[[#This Row],[Strength of Win]]-0)^2))</f>
        <v/>
      </c>
      <c r="P507" s="11"/>
    </row>
    <row r="508" spans="4:16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-0.36992241209510063</v>
      </c>
      <c r="H508" t="s">
        <v>22</v>
      </c>
      <c r="I508">
        <f>VLOOKUP(Table4[[#This Row],[Visitor]],'NHL Model'!$A$6:$B$38,2,FALSE)</f>
        <v>0.15604658591703846</v>
      </c>
      <c r="J508">
        <f>($B$1+Table4[[#This Row],[Home Differential]])-Table4[[#This Row],[Away Differential]]</f>
        <v>-0.44254533107311633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0.52976009981100891</v>
      </c>
      <c r="M508" t="str">
        <f>IF(OR((NHL2025_26Results[[#This Row],[Winning Team]]="")),"-",IF(Table4[[#This Row],[Predicted Winner]]=NHL2025_26Results[[#This Row],[Winning Team]],"YES","NO"))</f>
        <v>-</v>
      </c>
      <c r="N508" t="str">
        <f>IF(Table4[[#This Row],[Adjusted Correct]]="-", "",IF(Table4[[#This Row],[Adjusted Correct]]="YES",(Table4[[#This Row],[Strength of Win]]-1)^2,(Table4[[#This Row],[Strength of Win]]-0)^2))</f>
        <v/>
      </c>
      <c r="P508" s="11"/>
    </row>
    <row r="509" spans="4:16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0.25962865313068506</v>
      </c>
      <c r="H509" t="s">
        <v>27</v>
      </c>
      <c r="I509">
        <f>VLOOKUP(Table4[[#This Row],[Visitor]],'NHL Model'!$A$6:$B$38,2,FALSE)</f>
        <v>-0.46667677612181552</v>
      </c>
      <c r="J509">
        <f>($B$1+Table4[[#This Row],[Home Differential]])-Table4[[#This Row],[Away Differential]]</f>
        <v>0.80972909619152333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0.65422859588274418</v>
      </c>
      <c r="M509" t="str">
        <f>IF(OR((NHL2025_26Results[[#This Row],[Winning Team]]="")),"-",IF(Table4[[#This Row],[Predicted Winner]]=NHL2025_26Results[[#This Row],[Winning Team]],"YES","NO"))</f>
        <v>-</v>
      </c>
      <c r="N509" t="str">
        <f>IF(Table4[[#This Row],[Adjusted Correct]]="-", "",IF(Table4[[#This Row],[Adjusted Correct]]="YES",(Table4[[#This Row],[Strength of Win]]-1)^2,(Table4[[#This Row],[Strength of Win]]-0)^2))</f>
        <v/>
      </c>
      <c r="P509" s="11"/>
    </row>
    <row r="510" spans="4:16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-0.15603426337582751</v>
      </c>
      <c r="H510" t="s">
        <v>21</v>
      </c>
      <c r="I510">
        <f>VLOOKUP(Table4[[#This Row],[Visitor]],'NHL Model'!$A$6:$B$38,2,FALSE)</f>
        <v>-0.41554817552415113</v>
      </c>
      <c r="J510">
        <f>($B$1+Table4[[#This Row],[Home Differential]])-Table4[[#This Row],[Away Differential]]</f>
        <v>0.34293757908734634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0.59309931372520375</v>
      </c>
      <c r="M510" t="str">
        <f>IF(OR((NHL2025_26Results[[#This Row],[Winning Team]]="")),"-",IF(Table4[[#This Row],[Predicted Winner]]=NHL2025_26Results[[#This Row],[Winning Team]],"YES","NO"))</f>
        <v>-</v>
      </c>
      <c r="N510" t="str">
        <f>IF(Table4[[#This Row],[Adjusted Correct]]="-", "",IF(Table4[[#This Row],[Adjusted Correct]]="YES",(Table4[[#This Row],[Strength of Win]]-1)^2,(Table4[[#This Row],[Strength of Win]]-0)^2))</f>
        <v/>
      </c>
      <c r="P510" s="11"/>
    </row>
    <row r="511" spans="4:16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-0.65770380103775494</v>
      </c>
      <c r="H511" t="s">
        <v>17</v>
      </c>
      <c r="I511">
        <f>VLOOKUP(Table4[[#This Row],[Visitor]],'NHL Model'!$A$6:$B$38,2,FALSE)</f>
        <v>-1.1577943512279505</v>
      </c>
      <c r="J511">
        <f>($B$1+Table4[[#This Row],[Home Differential]])-Table4[[#This Row],[Away Differential]]</f>
        <v>0.58351421712921825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0.6079038528025178</v>
      </c>
      <c r="M511" t="str">
        <f>IF(OR((NHL2025_26Results[[#This Row],[Winning Team]]="")),"-",IF(Table4[[#This Row],[Predicted Winner]]=NHL2025_26Results[[#This Row],[Winning Team]],"YES","NO"))</f>
        <v>-</v>
      </c>
      <c r="N511" t="str">
        <f>IF(Table4[[#This Row],[Adjusted Correct]]="-", "",IF(Table4[[#This Row],[Adjusted Correct]]="YES",(Table4[[#This Row],[Strength of Win]]-1)^2,(Table4[[#This Row],[Strength of Win]]-0)^2))</f>
        <v/>
      </c>
      <c r="P511" s="11"/>
    </row>
    <row r="512" spans="4:16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2.3143316481494557E-3</v>
      </c>
      <c r="H512" t="s">
        <v>38</v>
      </c>
      <c r="I512">
        <f>VLOOKUP(Table4[[#This Row],[Visitor]],'NHL Model'!$A$6:$B$38,2,FALSE)</f>
        <v>-1.1317546087271064</v>
      </c>
      <c r="J512">
        <f>($B$1+Table4[[#This Row],[Home Differential]])-Table4[[#This Row],[Away Differential]]</f>
        <v>1.2174926073142787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0.78453739051581239</v>
      </c>
      <c r="M512" t="str">
        <f>IF(OR((NHL2025_26Results[[#This Row],[Winning Team]]="")),"-",IF(Table4[[#This Row],[Predicted Winner]]=NHL2025_26Results[[#This Row],[Winning Team]],"YES","NO"))</f>
        <v>-</v>
      </c>
      <c r="N512" t="str">
        <f>IF(Table4[[#This Row],[Adjusted Correct]]="-", "",IF(Table4[[#This Row],[Adjusted Correct]]="YES",(Table4[[#This Row],[Strength of Win]]-1)^2,(Table4[[#This Row],[Strength of Win]]-0)^2))</f>
        <v/>
      </c>
      <c r="P512" s="11"/>
    </row>
    <row r="513" spans="4:16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-0.22852375643476561</v>
      </c>
      <c r="H513" t="s">
        <v>55</v>
      </c>
      <c r="I513">
        <f>VLOOKUP(Table4[[#This Row],[Visitor]],'NHL Model'!$A$6:$B$38,2,FALSE)</f>
        <v>-0.40521943828179341</v>
      </c>
      <c r="J513">
        <f>($B$1+Table4[[#This Row],[Home Differential]])-Table4[[#This Row],[Away Differential]]</f>
        <v>0.26011934878605053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0.57276570305244756</v>
      </c>
      <c r="M513" t="str">
        <f>IF(OR((NHL2025_26Results[[#This Row],[Winning Team]]="")),"-",IF(Table4[[#This Row],[Predicted Winner]]=NHL2025_26Results[[#This Row],[Winning Team]],"YES","NO"))</f>
        <v>-</v>
      </c>
      <c r="N513" t="str">
        <f>IF(Table4[[#This Row],[Adjusted Correct]]="-", "",IF(Table4[[#This Row],[Adjusted Correct]]="YES",(Table4[[#This Row],[Strength of Win]]-1)^2,(Table4[[#This Row],[Strength of Win]]-0)^2))</f>
        <v/>
      </c>
      <c r="P513" s="11"/>
    </row>
    <row r="514" spans="4:16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-0.64744265535741874</v>
      </c>
      <c r="H514" t="s">
        <v>23</v>
      </c>
      <c r="I514">
        <f>VLOOKUP(Table4[[#This Row],[Visitor]],'NHL Model'!$A$6:$B$38,2,FALSE)</f>
        <v>-0.90742746858300449</v>
      </c>
      <c r="J514">
        <f>($B$1+Table4[[#This Row],[Home Differential]])-Table4[[#This Row],[Away Differential]]</f>
        <v>0.34340848016460845</v>
      </c>
      <c r="K514" t="str">
        <f>IF(Table4[[#This Row],[HomeIce Differential]]&gt;0,Table4[[#This Row],[Home]],Table4[[#This Row],[Visitor]])</f>
        <v>Seattle Kraken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0.58245810257101271</v>
      </c>
      <c r="M514" t="str">
        <f>IF(OR((NHL2025_26Results[[#This Row],[Winning Team]]="")),"-",IF(Table4[[#This Row],[Predicted Winner]]=NHL2025_26Results[[#This Row],[Winning Team]],"YES","NO"))</f>
        <v>-</v>
      </c>
      <c r="N514" t="str">
        <f>IF(Table4[[#This Row],[Adjusted Correct]]="-", "",IF(Table4[[#This Row],[Adjusted Correct]]="YES",(Table4[[#This Row],[Strength of Win]]-1)^2,(Table4[[#This Row],[Strength of Win]]-0)^2))</f>
        <v/>
      </c>
      <c r="P514" s="11"/>
    </row>
    <row r="515" spans="4:16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0.10032544630879472</v>
      </c>
      <c r="H515" t="s">
        <v>13</v>
      </c>
      <c r="I515">
        <f>VLOOKUP(Table4[[#This Row],[Visitor]],'NHL Model'!$A$6:$B$38,2,FALSE)</f>
        <v>-0.50197808897650842</v>
      </c>
      <c r="J515">
        <f>($B$1+Table4[[#This Row],[Home Differential]])-Table4[[#This Row],[Away Differential]]</f>
        <v>0.68572720222432593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0.5727561774950134</v>
      </c>
      <c r="M515" t="str">
        <f>IF(OR((NHL2025_26Results[[#This Row],[Winning Team]]="")),"-",IF(Table4[[#This Row],[Predicted Winner]]=NHL2025_26Results[[#This Row],[Winning Team]],"YES","NO"))</f>
        <v>-</v>
      </c>
      <c r="N515" t="str">
        <f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6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-0.39090512874251965</v>
      </c>
      <c r="H516" t="s">
        <v>31</v>
      </c>
      <c r="I516">
        <f>VLOOKUP(Table4[[#This Row],[Visitor]],'NHL Model'!$A$6:$B$38,2,FALSE)</f>
        <v>5.8616755922628279E-2</v>
      </c>
      <c r="J516">
        <f>($B$1+Table4[[#This Row],[Home Differential]])-Table4[[#This Row],[Away Differential]]</f>
        <v>-0.36609821772612516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0.52337227069179326</v>
      </c>
      <c r="M516" t="str">
        <f>IF(OR((NHL2025_26Results[[#This Row],[Winning Team]]="")),"-",IF(Table4[[#This Row],[Predicted Winner]]=NHL2025_26Results[[#This Row],[Winning Team]],"YES","NO"))</f>
        <v>-</v>
      </c>
      <c r="N516" t="str">
        <f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6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-1.5899576513683618</v>
      </c>
      <c r="H517" t="s">
        <v>29</v>
      </c>
      <c r="I517">
        <f>VLOOKUP(Table4[[#This Row],[Visitor]],'NHL Model'!$A$6:$B$38,2,FALSE)</f>
        <v>-1.4782515386602066</v>
      </c>
      <c r="J517">
        <f>($B$1+Table4[[#This Row],[Home Differential]])-Table4[[#This Row],[Away Differential]]</f>
        <v>-2.8282445769132414E-2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0.46329124291752616</v>
      </c>
      <c r="M517" t="str">
        <f>IF(OR((NHL2025_26Results[[#This Row],[Winning Team]]="")),"-",IF(Table4[[#This Row],[Predicted Winner]]=NHL2025_26Results[[#This Row],[Winning Team]],"YES","NO"))</f>
        <v>-</v>
      </c>
      <c r="N517" t="str">
        <f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6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0.23616512594450029</v>
      </c>
      <c r="H518" t="s">
        <v>11</v>
      </c>
      <c r="I518">
        <f>VLOOKUP(Table4[[#This Row],[Visitor]],'NHL Model'!$A$6:$B$38,2,FALSE)</f>
        <v>-0.57335522029781161</v>
      </c>
      <c r="J518">
        <f>($B$1+Table4[[#This Row],[Home Differential]])-Table4[[#This Row],[Away Differential]]</f>
        <v>0.89294401318133465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0.67615842484260613</v>
      </c>
      <c r="M518" t="str">
        <f>IF(OR((NHL2025_26Results[[#This Row],[Winning Team]]="")),"-",IF(Table4[[#This Row],[Predicted Winner]]=NHL2025_26Results[[#This Row],[Winning Team]],"YES","NO"))</f>
        <v>-</v>
      </c>
      <c r="N518" t="str">
        <f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6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-0.36992241209510063</v>
      </c>
      <c r="H519" t="s">
        <v>36</v>
      </c>
      <c r="I519">
        <f>VLOOKUP(Table4[[#This Row],[Visitor]],'NHL Model'!$A$6:$B$38,2,FALSE)</f>
        <v>-0.53959086519270005</v>
      </c>
      <c r="J519">
        <f>($B$1+Table4[[#This Row],[Home Differential]])-Table4[[#This Row],[Away Differential]]</f>
        <v>0.25309212003662218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0.57111912825191391</v>
      </c>
      <c r="M519" t="str">
        <f>IF(OR((NHL2025_26Results[[#This Row],[Winning Team]]="")),"-",IF(Table4[[#This Row],[Predicted Winner]]=NHL2025_26Results[[#This Row],[Winning Team]],"YES","NO"))</f>
        <v>-</v>
      </c>
      <c r="N519" t="str">
        <f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6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-0.41554817552415113</v>
      </c>
      <c r="H520" t="s">
        <v>55</v>
      </c>
      <c r="I520">
        <f>VLOOKUP(Table4[[#This Row],[Visitor]],'NHL Model'!$A$6:$B$38,2,FALSE)</f>
        <v>-0.40521943828179341</v>
      </c>
      <c r="J520">
        <f>($B$1+Table4[[#This Row],[Home Differential]])-Table4[[#This Row],[Away Differential]]</f>
        <v>7.3094929696664979E-2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0.58075216077741743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6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-0.9065542839469537</v>
      </c>
      <c r="H521" t="s">
        <v>31</v>
      </c>
      <c r="I521">
        <f>VLOOKUP(Table4[[#This Row],[Visitor]],'NHL Model'!$A$6:$B$38,2,FALSE)</f>
        <v>5.8616755922628279E-2</v>
      </c>
      <c r="J521">
        <f>($B$1+Table4[[#This Row],[Home Differential]])-Table4[[#This Row],[Away Differential]]</f>
        <v>-0.88174737293055927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0.58337863095668907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6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-1.0708320987334559</v>
      </c>
      <c r="H522" t="s">
        <v>30</v>
      </c>
      <c r="I522">
        <f>VLOOKUP(Table4[[#This Row],[Visitor]],'NHL Model'!$A$6:$B$38,2,FALSE)</f>
        <v>-0.30740058470151932</v>
      </c>
      <c r="J522">
        <f>($B$1+Table4[[#This Row],[Home Differential]])-Table4[[#This Row],[Away Differential]]</f>
        <v>-0.68000784709291384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0.61175603579399696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6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-0.15603426337582751</v>
      </c>
      <c r="H523" t="s">
        <v>22</v>
      </c>
      <c r="I523">
        <f>VLOOKUP(Table4[[#This Row],[Visitor]],'NHL Model'!$A$6:$B$38,2,FALSE)</f>
        <v>0.15604658591703846</v>
      </c>
      <c r="J523">
        <f>($B$1+Table4[[#This Row],[Home Differential]])-Table4[[#This Row],[Away Differential]]</f>
        <v>-0.22865718235384325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0.4932756218506249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6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-0.65770380103775494</v>
      </c>
      <c r="H524" t="s">
        <v>27</v>
      </c>
      <c r="I524">
        <f>VLOOKUP(Table4[[#This Row],[Visitor]],'NHL Model'!$A$6:$B$38,2,FALSE)</f>
        <v>-0.46667677612181552</v>
      </c>
      <c r="J524">
        <f>($B$1+Table4[[#This Row],[Home Differential]])-Table4[[#This Row],[Away Differential]]</f>
        <v>-0.10760335797691672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0.49329108947743616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6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-0.39090512874251965</v>
      </c>
      <c r="H525" t="s">
        <v>38</v>
      </c>
      <c r="I525">
        <f>VLOOKUP(Table4[[#This Row],[Visitor]],'NHL Model'!$A$6:$B$38,2,FALSE)</f>
        <v>-1.1317546087271064</v>
      </c>
      <c r="J525">
        <f>($B$1+Table4[[#This Row],[Home Differential]])-Table4[[#This Row],[Away Differential]]</f>
        <v>0.82427314692360953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0.615151863858313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6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-0.22852375643476561</v>
      </c>
      <c r="H526" t="s">
        <v>17</v>
      </c>
      <c r="I526">
        <f>VLOOKUP(Table4[[#This Row],[Visitor]],'NHL Model'!$A$6:$B$38,2,FALSE)</f>
        <v>-1.1577943512279505</v>
      </c>
      <c r="J526">
        <f>($B$1+Table4[[#This Row],[Home Differential]])-Table4[[#This Row],[Away Differential]]</f>
        <v>1.0126942617322077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0.66034323691782526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6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-0.64744265535741874</v>
      </c>
      <c r="H527" t="s">
        <v>12</v>
      </c>
      <c r="I527">
        <f>VLOOKUP(Table4[[#This Row],[Visitor]],'NHL Model'!$A$6:$B$38,2,FALSE)</f>
        <v>1.339787395621115</v>
      </c>
      <c r="J527">
        <f>($B$1+Table4[[#This Row],[Home Differential]])-Table4[[#This Row],[Away Differential]]</f>
        <v>-1.9038063840395112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0.7516674205821372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6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-0.6620483089622381</v>
      </c>
      <c r="H528" t="s">
        <v>16</v>
      </c>
      <c r="I528">
        <f>VLOOKUP(Table4[[#This Row],[Visitor]],'NHL Model'!$A$6:$B$38,2,FALSE)</f>
        <v>-1.2612222633157453</v>
      </c>
      <c r="J528">
        <f>($B$1+Table4[[#This Row],[Home Differential]])-Table4[[#This Row],[Away Differential]]</f>
        <v>0.68259762129252988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0.61943424005611225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-1.054674343910232</v>
      </c>
      <c r="H529" t="s">
        <v>10</v>
      </c>
      <c r="I529">
        <f>VLOOKUP(Table4[[#This Row],[Visitor]],'NHL Model'!$A$6:$B$38,2,FALSE)</f>
        <v>-0.43769530535874146</v>
      </c>
      <c r="J529">
        <f>($B$1+Table4[[#This Row],[Home Differential]])-Table4[[#This Row],[Away Differential]]</f>
        <v>-0.5335553716124678</v>
      </c>
      <c r="K529" t="str">
        <f>IF(Table4[[#This Row],[HomeIce Differential]]&gt;0,Table4[[#This Row],[Home]],Table4[[#This Row],[Visitor]])</f>
        <v>Chicago Blackhawks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0.52209011597731558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-1.0708320987334559</v>
      </c>
      <c r="H530" t="s">
        <v>55</v>
      </c>
      <c r="I530">
        <f>VLOOKUP(Table4[[#This Row],[Visitor]],'NHL Model'!$A$6:$B$38,2,FALSE)</f>
        <v>-0.40521943828179341</v>
      </c>
      <c r="J530">
        <f>($B$1+Table4[[#This Row],[Home Differential]])-Table4[[#This Row],[Away Differential]]</f>
        <v>-0.58218899351263975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0.52774963584130419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-0.57335522029781161</v>
      </c>
      <c r="H531" t="s">
        <v>13</v>
      </c>
      <c r="I531">
        <f>VLOOKUP(Table4[[#This Row],[Visitor]],'NHL Model'!$A$6:$B$38,2,FALSE)</f>
        <v>-0.50197808897650842</v>
      </c>
      <c r="J531">
        <f>($B$1+Table4[[#This Row],[Home Differential]])-Table4[[#This Row],[Away Differential]]</f>
        <v>1.2046535617719512E-2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0.4892067396613225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-1.4782515386602066</v>
      </c>
      <c r="H532" t="s">
        <v>25</v>
      </c>
      <c r="I532">
        <f>VLOOKUP(Table4[[#This Row],[Visitor]],'NHL Model'!$A$6:$B$38,2,FALSE)</f>
        <v>0.25962865313068506</v>
      </c>
      <c r="J532">
        <f>($B$1+Table4[[#This Row],[Home Differential]])-Table4[[#This Row],[Away Differential]]</f>
        <v>-1.654456524851869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0.72515313501754364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-1.5899576513683618</v>
      </c>
      <c r="H533" t="s">
        <v>40</v>
      </c>
      <c r="I533">
        <f>VLOOKUP(Table4[[#This Row],[Visitor]],'NHL Model'!$A$6:$B$38,2,FALSE)</f>
        <v>-0.36992241209510063</v>
      </c>
      <c r="J533">
        <f>($B$1+Table4[[#This Row],[Home Differential]])-Table4[[#This Row],[Away Differential]]</f>
        <v>-1.1366115723342385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0.61303731033914277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-0.42180143360631367</v>
      </c>
      <c r="H534" t="s">
        <v>24</v>
      </c>
      <c r="I534">
        <f>VLOOKUP(Table4[[#This Row],[Visitor]],'NHL Model'!$A$6:$B$38,2,FALSE)</f>
        <v>2.3143316481494557E-3</v>
      </c>
      <c r="J534">
        <f>($B$1+Table4[[#This Row],[Home Differential]])-Table4[[#This Row],[Away Differential]]</f>
        <v>-0.34069209831544039</v>
      </c>
      <c r="K534" t="str">
        <f>IF(Table4[[#This Row],[HomeIce Differential]]&gt;0,Table4[[#This Row],[Home]],Table4[[#This Row],[Visitor]])</f>
        <v>New Jersey Devils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0.52041574736793339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-0.41554817552415113</v>
      </c>
      <c r="H535" t="s">
        <v>17</v>
      </c>
      <c r="I535">
        <f>VLOOKUP(Table4[[#This Row],[Visitor]],'NHL Model'!$A$6:$B$38,2,FALSE)</f>
        <v>-1.1577943512279505</v>
      </c>
      <c r="J535">
        <f>($B$1+Table4[[#This Row],[Home Differential]])-Table4[[#This Row],[Away Differential]]</f>
        <v>0.82566984264282206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0.66832969464279512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-0.90742746858300449</v>
      </c>
      <c r="H536" t="s">
        <v>27</v>
      </c>
      <c r="I536">
        <f>VLOOKUP(Table4[[#This Row],[Visitor]],'NHL Model'!$A$6:$B$38,2,FALSE)</f>
        <v>-0.46667677612181552</v>
      </c>
      <c r="J536">
        <f>($B$1+Table4[[#This Row],[Home Differential]])-Table4[[#This Row],[Away Differential]]</f>
        <v>-0.35732702552216628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0.52235156249508385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-0.9065542839469537</v>
      </c>
      <c r="H537" t="s">
        <v>34</v>
      </c>
      <c r="I537">
        <f>VLOOKUP(Table4[[#This Row],[Visitor]],'NHL Model'!$A$6:$B$38,2,FALSE)</f>
        <v>-0.15603426337582751</v>
      </c>
      <c r="J537">
        <f>($B$1+Table4[[#This Row],[Home Differential]])-Table4[[#This Row],[Away Differential]]</f>
        <v>-0.66709635363210351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0.58014291229379755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-1.2612222633157453</v>
      </c>
      <c r="H538" t="s">
        <v>32</v>
      </c>
      <c r="I538">
        <f>VLOOKUP(Table4[[#This Row],[Visitor]],'NHL Model'!$A$6:$B$38,2,FALSE)</f>
        <v>-0.64744265535741874</v>
      </c>
      <c r="J538">
        <f>($B$1+Table4[[#This Row],[Home Differential]])-Table4[[#This Row],[Away Differential]]</f>
        <v>-0.53035594101930383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0.52171779657588113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-0.65770380103775494</v>
      </c>
      <c r="H539" t="s">
        <v>10</v>
      </c>
      <c r="I539">
        <f>VLOOKUP(Table4[[#This Row],[Visitor]],'NHL Model'!$A$6:$B$38,2,FALSE)</f>
        <v>-0.43769530535874146</v>
      </c>
      <c r="J539">
        <f>($B$1+Table4[[#This Row],[Home Differential]])-Table4[[#This Row],[Away Differential]]</f>
        <v>-0.13658482873999078</v>
      </c>
      <c r="K539" t="str">
        <f>IF(Table4[[#This Row],[HomeIce Differential]]&gt;0,Table4[[#This Row],[Home]],Table4[[#This Row],[Visitor]])</f>
        <v>Chicago Blackhawks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0.47589444752768312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-0.53959086519270005</v>
      </c>
      <c r="H540" t="s">
        <v>14</v>
      </c>
      <c r="I540">
        <f>VLOOKUP(Table4[[#This Row],[Visitor]],'NHL Model'!$A$6:$B$38,2,FALSE)</f>
        <v>-0.22852375643476561</v>
      </c>
      <c r="J540">
        <f>($B$1+Table4[[#This Row],[Home Differential]])-Table4[[#This Row],[Away Differential]]</f>
        <v>-0.22764344181891175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0.504751855236106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-0.6620483089622381</v>
      </c>
      <c r="H541" t="s">
        <v>39</v>
      </c>
      <c r="I541">
        <f>VLOOKUP(Table4[[#This Row],[Visitor]],'NHL Model'!$A$6:$B$38,2,FALSE)</f>
        <v>0.10032544630879472</v>
      </c>
      <c r="J541">
        <f>($B$1+Table4[[#This Row],[Home Differential]])-Table4[[#This Row],[Away Differential]]</f>
        <v>-0.67895008833201009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0.64080752755821935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-1.5899576513683618</v>
      </c>
      <c r="H542" t="s">
        <v>15</v>
      </c>
      <c r="I542">
        <f>VLOOKUP(Table4[[#This Row],[Visitor]],'NHL Model'!$A$6:$B$38,2,FALSE)</f>
        <v>-0.39090512874251965</v>
      </c>
      <c r="J542">
        <f>($B$1+Table4[[#This Row],[Home Differential]])-Table4[[#This Row],[Away Differential]]</f>
        <v>-1.1156288556868195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0.68990777632034761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0.23616512594450029</v>
      </c>
      <c r="H543" t="s">
        <v>13</v>
      </c>
      <c r="I543">
        <f>VLOOKUP(Table4[[#This Row],[Visitor]],'NHL Model'!$A$6:$B$38,2,FALSE)</f>
        <v>-0.50197808897650842</v>
      </c>
      <c r="J543">
        <f>($B$1+Table4[[#This Row],[Home Differential]])-Table4[[#This Row],[Away Differential]]</f>
        <v>0.82156688186003146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0.60193527907922273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0.15604658591703846</v>
      </c>
      <c r="H544" t="s">
        <v>19</v>
      </c>
      <c r="I544">
        <f>VLOOKUP(Table4[[#This Row],[Visitor]],'NHL Model'!$A$6:$B$38,2,FALSE)</f>
        <v>-1.054674343910232</v>
      </c>
      <c r="J544">
        <f>($B$1+Table4[[#This Row],[Home Differential]])-Table4[[#This Row],[Away Differential]]</f>
        <v>1.2941445967662932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0.71663801536980687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5.8616755922628279E-2</v>
      </c>
      <c r="H545" t="s">
        <v>39</v>
      </c>
      <c r="I545">
        <f>VLOOKUP(Table4[[#This Row],[Visitor]],'NHL Model'!$A$6:$B$38,2,FALSE)</f>
        <v>0.10032544630879472</v>
      </c>
      <c r="J545">
        <f>($B$1+Table4[[#This Row],[Home Differential]])-Table4[[#This Row],[Away Differential]]</f>
        <v>4.1714976552856275E-2</v>
      </c>
      <c r="K545" t="str">
        <f>IF(Table4[[#This Row],[HomeIce Differential]]&gt;0,Table4[[#This Row],[Home]],Table4[[#This Row],[Visitor]])</f>
        <v>Anaheim Ducks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0.52485439350808205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1.339787395621115</v>
      </c>
      <c r="H546" t="s">
        <v>40</v>
      </c>
      <c r="I546">
        <f>VLOOKUP(Table4[[#This Row],[Visitor]],'NHL Model'!$A$6:$B$38,2,FALSE)</f>
        <v>-0.36992241209510063</v>
      </c>
      <c r="J546">
        <f>($B$1+Table4[[#This Row],[Home Differential]])-Table4[[#This Row],[Away Differential]]</f>
        <v>1.7931334746552383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0.82935752982557365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-0.57335522029781161</v>
      </c>
      <c r="H547" t="s">
        <v>25</v>
      </c>
      <c r="I547">
        <f>VLOOKUP(Table4[[#This Row],[Visitor]],'NHL Model'!$A$6:$B$38,2,FALSE)</f>
        <v>0.25962865313068506</v>
      </c>
      <c r="J547">
        <f>($B$1+Table4[[#This Row],[Home Differential]])-Table4[[#This Row],[Away Differential]]</f>
        <v>-0.74956020648947397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0.60574522942625775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-0.30740058470151932</v>
      </c>
      <c r="H548" t="s">
        <v>38</v>
      </c>
      <c r="I548">
        <f>VLOOKUP(Table4[[#This Row],[Visitor]],'NHL Model'!$A$6:$B$38,2,FALSE)</f>
        <v>-1.1317546087271064</v>
      </c>
      <c r="J548">
        <f>($B$1+Table4[[#This Row],[Home Differential]])-Table4[[#This Row],[Away Differential]]</f>
        <v>0.90777769096460981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0.62486933106039455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-0.40521943828179341</v>
      </c>
      <c r="H549" t="s">
        <v>24</v>
      </c>
      <c r="I549">
        <f>VLOOKUP(Table4[[#This Row],[Visitor]],'NHL Model'!$A$6:$B$38,2,FALSE)</f>
        <v>2.3143316481494557E-3</v>
      </c>
      <c r="J549">
        <f>($B$1+Table4[[#This Row],[Home Differential]])-Table4[[#This Row],[Away Differential]]</f>
        <v>-0.32411010299092019</v>
      </c>
      <c r="K549" t="str">
        <f>IF(Table4[[#This Row],[HomeIce Differential]]&gt;0,Table4[[#This Row],[Home]],Table4[[#This Row],[Visitor]])</f>
        <v>New Jersey Devils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0.47771686118220258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5.8616755922628279E-2</v>
      </c>
      <c r="H550" t="s">
        <v>28</v>
      </c>
      <c r="I550">
        <f>VLOOKUP(Table4[[#This Row],[Visitor]],'NHL Model'!$A$6:$B$38,2,FALSE)</f>
        <v>-0.9065542839469537</v>
      </c>
      <c r="J550">
        <f>($B$1+Table4[[#This Row],[Home Differential]])-Table4[[#This Row],[Away Differential]]</f>
        <v>1.0485947068086048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0.74186022191461665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-0.41554817552415113</v>
      </c>
      <c r="H551" t="s">
        <v>38</v>
      </c>
      <c r="I551">
        <f>VLOOKUP(Table4[[#This Row],[Visitor]],'NHL Model'!$A$6:$B$38,2,FALSE)</f>
        <v>-1.1317546087271064</v>
      </c>
      <c r="J551">
        <f>($B$1+Table4[[#This Row],[Home Differential]])-Table4[[#This Row],[Away Differential]]</f>
        <v>0.799630100141978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0.64477750839326475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-0.90742746858300449</v>
      </c>
      <c r="H552" t="s">
        <v>30</v>
      </c>
      <c r="I552">
        <f>VLOOKUP(Table4[[#This Row],[Visitor]],'NHL Model'!$A$6:$B$38,2,FALSE)</f>
        <v>-0.30740058470151932</v>
      </c>
      <c r="J552">
        <f>($B$1+Table4[[#This Row],[Home Differential]])-Table4[[#This Row],[Away Differential]]</f>
        <v>-0.51660321694246247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0.59274055403320047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-1.2612222633157453</v>
      </c>
      <c r="H553" t="s">
        <v>20</v>
      </c>
      <c r="I553">
        <f>VLOOKUP(Table4[[#This Row],[Visitor]],'NHL Model'!$A$6:$B$38,2,FALSE)</f>
        <v>-0.42180143360631367</v>
      </c>
      <c r="J553">
        <f>($B$1+Table4[[#This Row],[Home Differential]])-Table4[[#This Row],[Away Differential]]</f>
        <v>-0.75599716277040896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0.54797578285657234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-0.57335522029781161</v>
      </c>
      <c r="H554" t="s">
        <v>35</v>
      </c>
      <c r="I554">
        <f>VLOOKUP(Table4[[#This Row],[Visitor]],'NHL Model'!$A$6:$B$38,2,FALSE)</f>
        <v>-1.5899576513683618</v>
      </c>
      <c r="J554">
        <f>($B$1+Table4[[#This Row],[Home Differential]])-Table4[[#This Row],[Away Differential]]</f>
        <v>1.1000260980095729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0.682027229401446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-0.15603426337582751</v>
      </c>
      <c r="H555" t="s">
        <v>17</v>
      </c>
      <c r="I555">
        <f>VLOOKUP(Table4[[#This Row],[Visitor]],'NHL Model'!$A$6:$B$38,2,FALSE)</f>
        <v>-1.1577943512279505</v>
      </c>
      <c r="J555">
        <f>($B$1+Table4[[#This Row],[Home Differential]])-Table4[[#This Row],[Away Differential]]</f>
        <v>1.0851837547911458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0.68030001820493569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-0.65770380103775494</v>
      </c>
      <c r="H556" t="s">
        <v>14</v>
      </c>
      <c r="I556">
        <f>VLOOKUP(Table4[[#This Row],[Visitor]],'NHL Model'!$A$6:$B$38,2,FALSE)</f>
        <v>-0.22852375643476561</v>
      </c>
      <c r="J556">
        <f>($B$1+Table4[[#This Row],[Home Differential]])-Table4[[#This Row],[Away Differential]]</f>
        <v>-0.34575637766396661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0.5210050801885201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-1.4782515386602066</v>
      </c>
      <c r="H557" t="s">
        <v>19</v>
      </c>
      <c r="I557">
        <f>VLOOKUP(Table4[[#This Row],[Visitor]],'NHL Model'!$A$6:$B$38,2,FALSE)</f>
        <v>-1.054674343910232</v>
      </c>
      <c r="J557">
        <f>($B$1+Table4[[#This Row],[Home Differential]])-Table4[[#This Row],[Away Differential]]</f>
        <v>-0.34015352781095198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0.4995838428691054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-0.39090512874251965</v>
      </c>
      <c r="H558" t="s">
        <v>27</v>
      </c>
      <c r="I558">
        <f>VLOOKUP(Table4[[#This Row],[Visitor]],'NHL Model'!$A$6:$B$38,2,FALSE)</f>
        <v>-0.46667677612181552</v>
      </c>
      <c r="J558">
        <f>($B$1+Table4[[#This Row],[Home Differential]])-Table4[[#This Row],[Away Differential]]</f>
        <v>0.15919531431831863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0.53775641071985714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-0.53959086519270005</v>
      </c>
      <c r="H559" t="s">
        <v>10</v>
      </c>
      <c r="I559">
        <f>VLOOKUP(Table4[[#This Row],[Visitor]],'NHL Model'!$A$6:$B$38,2,FALSE)</f>
        <v>-0.43769530535874146</v>
      </c>
      <c r="J559">
        <f>($B$1+Table4[[#This Row],[Home Differential]])-Table4[[#This Row],[Away Differential]]</f>
        <v>-1.8471892894935893E-2</v>
      </c>
      <c r="K559" t="str">
        <f>IF(Table4[[#This Row],[HomeIce Differential]]&gt;0,Table4[[#This Row],[Home]],Table4[[#This Row],[Visitor]])</f>
        <v>Chicago Blackhawks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0.45965410457494238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-0.6620483089622381</v>
      </c>
      <c r="H560" t="s">
        <v>32</v>
      </c>
      <c r="I560">
        <f>VLOOKUP(Table4[[#This Row],[Visitor]],'NHL Model'!$A$6:$B$38,2,FALSE)</f>
        <v>-0.64744265535741874</v>
      </c>
      <c r="J560">
        <f>($B$1+Table4[[#This Row],[Home Differential]])-Table4[[#This Row],[Away Differential]]</f>
        <v>6.8818013334203343E-2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0.54800838798855289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0.23616512594450029</v>
      </c>
      <c r="H561" t="s">
        <v>25</v>
      </c>
      <c r="I561">
        <f>VLOOKUP(Table4[[#This Row],[Visitor]],'NHL Model'!$A$6:$B$38,2,FALSE)</f>
        <v>0.25962865313068506</v>
      </c>
      <c r="J561">
        <f>($B$1+Table4[[#This Row],[Home Differential]])-Table4[[#This Row],[Away Differential]]</f>
        <v>5.9960139752837982E-2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0.50697759263489117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0.15604658591703846</v>
      </c>
      <c r="H562" t="s">
        <v>26</v>
      </c>
      <c r="I562">
        <f>VLOOKUP(Table4[[#This Row],[Visitor]],'NHL Model'!$A$6:$B$38,2,FALSE)</f>
        <v>-1.0708320987334559</v>
      </c>
      <c r="J562">
        <f>($B$1+Table4[[#This Row],[Home Differential]])-Table4[[#This Row],[Away Differential]]</f>
        <v>1.3103023515895171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0.69793511130410746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-0.41554817552415113</v>
      </c>
      <c r="H563" t="s">
        <v>36</v>
      </c>
      <c r="I563">
        <f>VLOOKUP(Table4[[#This Row],[Visitor]],'NHL Model'!$A$6:$B$38,2,FALSE)</f>
        <v>-0.53959086519270005</v>
      </c>
      <c r="J563">
        <f>($B$1+Table4[[#This Row],[Home Differential]])-Table4[[#This Row],[Away Differential]]</f>
        <v>0.20746635660757162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0.59557153920382866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0.10032544630879472</v>
      </c>
      <c r="H564" t="s">
        <v>19</v>
      </c>
      <c r="I564">
        <f>VLOOKUP(Table4[[#This Row],[Visitor]],'NHL Model'!$A$6:$B$38,2,FALSE)</f>
        <v>-1.054674343910232</v>
      </c>
      <c r="J564">
        <f>($B$1+Table4[[#This Row],[Home Differential]])-Table4[[#This Row],[Away Differential]]</f>
        <v>1.2384234571580495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0.70322141284634521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-1.0708320987334559</v>
      </c>
      <c r="H565" t="s">
        <v>22</v>
      </c>
      <c r="I565">
        <f>VLOOKUP(Table4[[#This Row],[Visitor]],'NHL Model'!$A$6:$B$38,2,FALSE)</f>
        <v>0.15604658591703846</v>
      </c>
      <c r="J565">
        <f>($B$1+Table4[[#This Row],[Home Differential]])-Table4[[#This Row],[Away Differential]]</f>
        <v>-1.1434550177114717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0.61383368563543617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-1.1577943512279505</v>
      </c>
      <c r="H566" t="s">
        <v>20</v>
      </c>
      <c r="I566">
        <f>VLOOKUP(Table4[[#This Row],[Visitor]],'NHL Model'!$A$6:$B$38,2,FALSE)</f>
        <v>-0.42180143360631367</v>
      </c>
      <c r="J566">
        <f>($B$1+Table4[[#This Row],[Home Differential]])-Table4[[#This Row],[Away Differential]]</f>
        <v>-0.65256925068261418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0.52889387109724306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-0.15603426337582751</v>
      </c>
      <c r="H567" t="s">
        <v>12</v>
      </c>
      <c r="I567">
        <f>VLOOKUP(Table4[[#This Row],[Visitor]],'NHL Model'!$A$6:$B$38,2,FALSE)</f>
        <v>1.339787395621115</v>
      </c>
      <c r="J567">
        <f>($B$1+Table4[[#This Row],[Home Differential]])-Table4[[#This Row],[Away Differential]]</f>
        <v>-1.4123979920579197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0.68288000712648866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2.3143316481494557E-3</v>
      </c>
      <c r="H568" t="s">
        <v>23</v>
      </c>
      <c r="I568">
        <f>VLOOKUP(Table4[[#This Row],[Visitor]],'NHL Model'!$A$6:$B$38,2,FALSE)</f>
        <v>-0.90742746858300449</v>
      </c>
      <c r="J568">
        <f>($B$1+Table4[[#This Row],[Home Differential]])-Table4[[#This Row],[Away Differential]]</f>
        <v>0.99316546717017662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0.77733988762009798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-1.4782515386602066</v>
      </c>
      <c r="H569" t="s">
        <v>15</v>
      </c>
      <c r="I569">
        <f>VLOOKUP(Table4[[#This Row],[Visitor]],'NHL Model'!$A$6:$B$38,2,FALSE)</f>
        <v>-0.39090512874251965</v>
      </c>
      <c r="J569">
        <f>($B$1+Table4[[#This Row],[Home Differential]])-Table4[[#This Row],[Away Differential]]</f>
        <v>-1.0039227429786644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0.67690847791114317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-0.22852375643476561</v>
      </c>
      <c r="H570" t="s">
        <v>18</v>
      </c>
      <c r="I570">
        <f>VLOOKUP(Table4[[#This Row],[Visitor]],'NHL Model'!$A$6:$B$38,2,FALSE)</f>
        <v>-0.65770380103775494</v>
      </c>
      <c r="J570">
        <f>($B$1+Table4[[#This Row],[Home Differential]])-Table4[[#This Row],[Away Differential]]</f>
        <v>0.51260371154201212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0.52119042194110743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-0.40521943828179341</v>
      </c>
      <c r="H571" t="s">
        <v>40</v>
      </c>
      <c r="I571">
        <f>VLOOKUP(Table4[[#This Row],[Visitor]],'NHL Model'!$A$6:$B$38,2,FALSE)</f>
        <v>-0.36992241209510063</v>
      </c>
      <c r="J571">
        <f>($B$1+Table4[[#This Row],[Home Differential]])-Table4[[#This Row],[Away Differential]]</f>
        <v>4.8126640752329919E-2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0.56560052220424684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5.8616755922628279E-2</v>
      </c>
      <c r="H572" t="s">
        <v>32</v>
      </c>
      <c r="I572">
        <f>VLOOKUP(Table4[[#This Row],[Visitor]],'NHL Model'!$A$6:$B$38,2,FALSE)</f>
        <v>-0.64744265535741874</v>
      </c>
      <c r="J572">
        <f>($B$1+Table4[[#This Row],[Home Differential]])-Table4[[#This Row],[Away Differential]]</f>
        <v>0.78948307821906971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0.71170726698966724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-0.50197808897650842</v>
      </c>
      <c r="H573" t="s">
        <v>28</v>
      </c>
      <c r="I573">
        <f>VLOOKUP(Table4[[#This Row],[Visitor]],'NHL Model'!$A$6:$B$38,2,FALSE)</f>
        <v>-0.9065542839469537</v>
      </c>
      <c r="J573">
        <f>($B$1+Table4[[#This Row],[Home Differential]])-Table4[[#This Row],[Away Differential]]</f>
        <v>0.48799986190946798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0.59678879762994941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-0.46667677612181552</v>
      </c>
      <c r="H574" t="s">
        <v>38</v>
      </c>
      <c r="I574">
        <f>VLOOKUP(Table4[[#This Row],[Visitor]],'NHL Model'!$A$6:$B$38,2,FALSE)</f>
        <v>-1.1317546087271064</v>
      </c>
      <c r="J574">
        <f>($B$1+Table4[[#This Row],[Home Differential]])-Table4[[#This Row],[Away Differential]]</f>
        <v>0.74850149954431366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0.63882764656116864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0.23616512594450029</v>
      </c>
      <c r="H575" t="s">
        <v>35</v>
      </c>
      <c r="I575">
        <f>VLOOKUP(Table4[[#This Row],[Visitor]],'NHL Model'!$A$6:$B$38,2,FALSE)</f>
        <v>-1.5899576513683618</v>
      </c>
      <c r="J575">
        <f>($B$1+Table4[[#This Row],[Home Differential]])-Table4[[#This Row],[Away Differential]]</f>
        <v>1.9095464442518848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0.79446097825375894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-0.41554817552415113</v>
      </c>
      <c r="H576" t="s">
        <v>18</v>
      </c>
      <c r="I576">
        <f>VLOOKUP(Table4[[#This Row],[Visitor]],'NHL Model'!$A$6:$B$38,2,FALSE)</f>
        <v>-0.65770380103775494</v>
      </c>
      <c r="J576">
        <f>($B$1+Table4[[#This Row],[Home Differential]])-Table4[[#This Row],[Away Differential]]</f>
        <v>0.32557929245262651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0.52950794325550166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0.25962865313068506</v>
      </c>
      <c r="H577" t="s">
        <v>11</v>
      </c>
      <c r="I577">
        <f>VLOOKUP(Table4[[#This Row],[Visitor]],'NHL Model'!$A$6:$B$38,2,FALSE)</f>
        <v>-0.57335522029781161</v>
      </c>
      <c r="J577">
        <f>($B$1+Table4[[#This Row],[Home Differential]])-Table4[[#This Row],[Away Differential]]</f>
        <v>0.91640754036751937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0.68707399933719837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-0.43769530535874146</v>
      </c>
      <c r="H578" t="s">
        <v>27</v>
      </c>
      <c r="I578">
        <f>VLOOKUP(Table4[[#This Row],[Visitor]],'NHL Model'!$A$6:$B$38,2,FALSE)</f>
        <v>-0.46667677612181552</v>
      </c>
      <c r="J578">
        <f>($B$1+Table4[[#This Row],[Home Differential]])-Table4[[#This Row],[Away Differential]]</f>
        <v>0.11240513770209676</v>
      </c>
      <c r="K578" t="str">
        <f>IF(Table4[[#This Row],[HomeIce Differential]]&gt;0,Table4[[#This Row],[Home]],Table4[[#This Row],[Visitor]])</f>
        <v>Chicago Blackhawks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0.53231141354192524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1.339787395621115</v>
      </c>
      <c r="H579" t="s">
        <v>55</v>
      </c>
      <c r="I579">
        <f>VLOOKUP(Table4[[#This Row],[Visitor]],'NHL Model'!$A$6:$B$38,2,FALSE)</f>
        <v>-0.40521943828179341</v>
      </c>
      <c r="J579">
        <f>($B$1+Table4[[#This Row],[Home Differential]])-Table4[[#This Row],[Away Differential]]</f>
        <v>1.828430500841931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0.85288920594912632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-1.0708320987334559</v>
      </c>
      <c r="H580" t="s">
        <v>39</v>
      </c>
      <c r="I580">
        <f>VLOOKUP(Table4[[#This Row],[Visitor]],'NHL Model'!$A$6:$B$38,2,FALSE)</f>
        <v>0.10032544630879472</v>
      </c>
      <c r="J580">
        <f>($B$1+Table4[[#This Row],[Home Differential]])-Table4[[#This Row],[Away Differential]]</f>
        <v>-1.087733878103228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0.68837790969088508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-1.1577943512279505</v>
      </c>
      <c r="H581" t="s">
        <v>16</v>
      </c>
      <c r="I581">
        <f>VLOOKUP(Table4[[#This Row],[Visitor]],'NHL Model'!$A$6:$B$38,2,FALSE)</f>
        <v>-1.2612222633157453</v>
      </c>
      <c r="J581">
        <f>($B$1+Table4[[#This Row],[Home Differential]])-Table4[[#This Row],[Away Differential]]</f>
        <v>0.18685157902681748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0.56878996725100772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-0.50197808897650842</v>
      </c>
      <c r="H582" t="s">
        <v>32</v>
      </c>
      <c r="I582">
        <f>VLOOKUP(Table4[[#This Row],[Visitor]],'NHL Model'!$A$6:$B$38,2,FALSE)</f>
        <v>-0.64744265535741874</v>
      </c>
      <c r="J582">
        <f>($B$1+Table4[[#This Row],[Home Differential]])-Table4[[#This Row],[Away Differential]]</f>
        <v>0.22888823331993302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0.566635842705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-0.15603426337582751</v>
      </c>
      <c r="H583" t="s">
        <v>29</v>
      </c>
      <c r="I583">
        <f>VLOOKUP(Table4[[#This Row],[Visitor]],'NHL Model'!$A$6:$B$38,2,FALSE)</f>
        <v>-1.4782515386602066</v>
      </c>
      <c r="J583">
        <f>($B$1+Table4[[#This Row],[Home Differential]])-Table4[[#This Row],[Away Differential]]</f>
        <v>1.405640942223402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0.71759178770451248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-0.30740058470151932</v>
      </c>
      <c r="H584" t="s">
        <v>24</v>
      </c>
      <c r="I584">
        <f>VLOOKUP(Table4[[#This Row],[Visitor]],'NHL Model'!$A$6:$B$38,2,FALSE)</f>
        <v>2.3143316481494557E-3</v>
      </c>
      <c r="J584">
        <f>($B$1+Table4[[#This Row],[Home Differential]])-Table4[[#This Row],[Away Differential]]</f>
        <v>-0.22629124941064604</v>
      </c>
      <c r="K584" t="str">
        <f>IF(Table4[[#This Row],[HomeIce Differential]]&gt;0,Table4[[#This Row],[Home]],Table4[[#This Row],[Visitor]])</f>
        <v>New Jersey Devils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0.50710286110659675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-0.53959086519270005</v>
      </c>
      <c r="H585" t="s">
        <v>23</v>
      </c>
      <c r="I585">
        <f>VLOOKUP(Table4[[#This Row],[Visitor]],'NHL Model'!$A$6:$B$38,2,FALSE)</f>
        <v>-0.90742746858300449</v>
      </c>
      <c r="J585">
        <f>($B$1+Table4[[#This Row],[Home Differential]])-Table4[[#This Row],[Away Differential]]</f>
        <v>0.45126027032932714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0.59500887146206671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-1.054674343910232</v>
      </c>
      <c r="H586" t="s">
        <v>14</v>
      </c>
      <c r="I586">
        <f>VLOOKUP(Table4[[#This Row],[Visitor]],'NHL Model'!$A$6:$B$38,2,FALSE)</f>
        <v>-0.22852375643476561</v>
      </c>
      <c r="J586">
        <f>($B$1+Table4[[#This Row],[Home Differential]])-Table4[[#This Row],[Away Differential]]</f>
        <v>-0.74272692053644362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0.56720074863815251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-0.42180143360631367</v>
      </c>
      <c r="H587" t="s">
        <v>33</v>
      </c>
      <c r="I587">
        <f>VLOOKUP(Table4[[#This Row],[Visitor]],'NHL Model'!$A$6:$B$38,2,FALSE)</f>
        <v>-0.6620483089622381</v>
      </c>
      <c r="J587">
        <f>($B$1+Table4[[#This Row],[Home Differential]])-Table4[[#This Row],[Away Differential]]</f>
        <v>0.32367054229494718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0.57766570927549499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0.15604658591703846</v>
      </c>
      <c r="H588" t="s">
        <v>15</v>
      </c>
      <c r="I588">
        <f>VLOOKUP(Table4[[#This Row],[Visitor]],'NHL Model'!$A$6:$B$38,2,FALSE)</f>
        <v>-0.39090512874251965</v>
      </c>
      <c r="J588">
        <f>($B$1+Table4[[#This Row],[Home Differential]])-Table4[[#This Row],[Away Differential]]</f>
        <v>0.63037538159858086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0.53937652834955263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-0.90742746858300449</v>
      </c>
      <c r="H589" t="s">
        <v>21</v>
      </c>
      <c r="I589">
        <f>VLOOKUP(Table4[[#This Row],[Visitor]],'NHL Model'!$A$6:$B$38,2,FALSE)</f>
        <v>-0.41554817552415113</v>
      </c>
      <c r="J589">
        <f>($B$1+Table4[[#This Row],[Home Differential]])-Table4[[#This Row],[Away Differential]]</f>
        <v>-0.40845562611983066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0.50836168664550674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0.25962865313068506</v>
      </c>
      <c r="H590" t="s">
        <v>26</v>
      </c>
      <c r="I590">
        <f>VLOOKUP(Table4[[#This Row],[Visitor]],'NHL Model'!$A$6:$B$38,2,FALSE)</f>
        <v>-1.0708320987334559</v>
      </c>
      <c r="J590">
        <f>($B$1+Table4[[#This Row],[Home Differential]])-Table4[[#This Row],[Away Differential]]</f>
        <v>1.4138844188031636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0.7245344648610722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-1.2612222633157453</v>
      </c>
      <c r="H591" t="s">
        <v>17</v>
      </c>
      <c r="I591">
        <f>VLOOKUP(Table4[[#This Row],[Visitor]],'NHL Model'!$A$6:$B$38,2,FALSE)</f>
        <v>-1.1577943512279505</v>
      </c>
      <c r="J591">
        <f>($B$1+Table4[[#This Row],[Home Differential]])-Table4[[#This Row],[Away Differential]]</f>
        <v>-2.0004245148772082E-2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0.46232790440769483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0.10032544630879472</v>
      </c>
      <c r="H592" t="s">
        <v>10</v>
      </c>
      <c r="I592">
        <f>VLOOKUP(Table4[[#This Row],[Visitor]],'NHL Model'!$A$6:$B$38,2,FALSE)</f>
        <v>-0.43769530535874146</v>
      </c>
      <c r="J592">
        <f>($B$1+Table4[[#This Row],[Home Differential]])-Table4[[#This Row],[Away Differential]]</f>
        <v>0.62144441860655886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0.6314232413773514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-0.57335522029781161</v>
      </c>
      <c r="H593" t="s">
        <v>37</v>
      </c>
      <c r="I593">
        <f>VLOOKUP(Table4[[#This Row],[Visitor]],'NHL Model'!$A$6:$B$38,2,FALSE)</f>
        <v>0.23616512594450029</v>
      </c>
      <c r="J593">
        <f>($B$1+Table4[[#This Row],[Home Differential]])-Table4[[#This Row],[Away Differential]]</f>
        <v>-0.72609667930328925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0.61137796848105952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-0.50197808897650842</v>
      </c>
      <c r="H594" t="s">
        <v>31</v>
      </c>
      <c r="I594">
        <f>VLOOKUP(Table4[[#This Row],[Visitor]],'NHL Model'!$A$6:$B$38,2,FALSE)</f>
        <v>5.8616755922628279E-2</v>
      </c>
      <c r="J594">
        <f>($B$1+Table4[[#This Row],[Home Differential]])-Table4[[#This Row],[Away Differential]]</f>
        <v>-0.47717117796011399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0.536297888818418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2.3143316481494557E-3</v>
      </c>
      <c r="H595" t="s">
        <v>22</v>
      </c>
      <c r="I595">
        <f>VLOOKUP(Table4[[#This Row],[Visitor]],'NHL Model'!$A$6:$B$38,2,FALSE)</f>
        <v>0.15604658591703846</v>
      </c>
      <c r="J595">
        <f>($B$1+Table4[[#This Row],[Home Differential]])-Table4[[#This Row],[Away Differential]]</f>
        <v>-7.0308587329866279E-2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0.36532470400219935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-0.30740058470151932</v>
      </c>
      <c r="H596" t="s">
        <v>15</v>
      </c>
      <c r="I596">
        <f>VLOOKUP(Table4[[#This Row],[Visitor]],'NHL Model'!$A$6:$B$38,2,FALSE)</f>
        <v>-0.39090512874251965</v>
      </c>
      <c r="J596">
        <f>($B$1+Table4[[#This Row],[Home Differential]])-Table4[[#This Row],[Away Differential]]</f>
        <v>0.16692821098002306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0.45934405629864777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-1.5899576513683618</v>
      </c>
      <c r="H597" t="s">
        <v>29</v>
      </c>
      <c r="I597">
        <f>VLOOKUP(Table4[[#This Row],[Visitor]],'NHL Model'!$A$6:$B$38,2,FALSE)</f>
        <v>-1.4782515386602066</v>
      </c>
      <c r="J597">
        <f>($B$1+Table4[[#This Row],[Home Differential]])-Table4[[#This Row],[Away Differential]]</f>
        <v>-2.8282445769132414E-2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0.46329124291752616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-1.054674343910232</v>
      </c>
      <c r="H598" t="s">
        <v>36</v>
      </c>
      <c r="I598">
        <f>VLOOKUP(Table4[[#This Row],[Visitor]],'NHL Model'!$A$6:$B$38,2,FALSE)</f>
        <v>-0.53959086519270005</v>
      </c>
      <c r="J598">
        <f>($B$1+Table4[[#This Row],[Home Differential]])-Table4[[#This Row],[Away Differential]]</f>
        <v>-0.43165981177850921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0.5110619697939125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-1.1317546087271064</v>
      </c>
      <c r="H599" t="s">
        <v>33</v>
      </c>
      <c r="I599">
        <f>VLOOKUP(Table4[[#This Row],[Visitor]],'NHL Model'!$A$6:$B$38,2,FALSE)</f>
        <v>-0.6620483089622381</v>
      </c>
      <c r="J599">
        <f>($B$1+Table4[[#This Row],[Home Differential]])-Table4[[#This Row],[Away Differential]]</f>
        <v>-0.38628263282584563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0.50495191080111534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-0.42180143360631367</v>
      </c>
      <c r="H600" t="s">
        <v>12</v>
      </c>
      <c r="I600">
        <f>VLOOKUP(Table4[[#This Row],[Visitor]],'NHL Model'!$A$6:$B$38,2,FALSE)</f>
        <v>1.339787395621115</v>
      </c>
      <c r="J600">
        <f>($B$1+Table4[[#This Row],[Home Differential]])-Table4[[#This Row],[Away Differential]]</f>
        <v>-1.678165162288406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0.72791212148159135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-0.36992241209510063</v>
      </c>
      <c r="H601" t="s">
        <v>34</v>
      </c>
      <c r="I601">
        <f>VLOOKUP(Table4[[#This Row],[Visitor]],'NHL Model'!$A$6:$B$38,2,FALSE)</f>
        <v>-0.15603426337582751</v>
      </c>
      <c r="J601">
        <f>($B$1+Table4[[#This Row],[Home Differential]])-Table4[[#This Row],[Away Differential]]</f>
        <v>-0.13046448178025036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0.51518221957015498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-0.9065542839469537</v>
      </c>
      <c r="H602" t="s">
        <v>30</v>
      </c>
      <c r="I602">
        <f>VLOOKUP(Table4[[#This Row],[Visitor]],'NHL Model'!$A$6:$B$38,2,FALSE)</f>
        <v>-0.30740058470151932</v>
      </c>
      <c r="J602">
        <f>($B$1+Table4[[#This Row],[Home Differential]])-Table4[[#This Row],[Away Differential]]</f>
        <v>-0.51573003230641168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0.59263894108315529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-0.43769530535874146</v>
      </c>
      <c r="H603" t="s">
        <v>14</v>
      </c>
      <c r="I603">
        <f>VLOOKUP(Table4[[#This Row],[Visitor]],'NHL Model'!$A$6:$B$38,2,FALSE)</f>
        <v>-0.22852375643476561</v>
      </c>
      <c r="J603">
        <f>($B$1+Table4[[#This Row],[Home Differential]])-Table4[[#This Row],[Away Differential]]</f>
        <v>-0.12574788198495315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0.4954025771691587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-1.0708320987334559</v>
      </c>
      <c r="H604" t="s">
        <v>19</v>
      </c>
      <c r="I604">
        <f>VLOOKUP(Table4[[#This Row],[Visitor]],'NHL Model'!$A$6:$B$38,2,FALSE)</f>
        <v>-1.054674343910232</v>
      </c>
      <c r="J604">
        <f>($B$1+Table4[[#This Row],[Home Differential]])-Table4[[#This Row],[Away Differential]]</f>
        <v>6.7265912115798798E-2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0.54782776916286657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-0.64744265535741874</v>
      </c>
      <c r="H605" t="s">
        <v>27</v>
      </c>
      <c r="I605">
        <f>VLOOKUP(Table4[[#This Row],[Visitor]],'NHL Model'!$A$6:$B$38,2,FALSE)</f>
        <v>-0.46667677612181552</v>
      </c>
      <c r="J605">
        <f>($B$1+Table4[[#This Row],[Home Differential]])-Table4[[#This Row],[Away Differential]]</f>
        <v>-9.7342212296580521E-2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0.48958863341607606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0.23616512594450029</v>
      </c>
      <c r="H606" t="s">
        <v>18</v>
      </c>
      <c r="I606">
        <f>VLOOKUP(Table4[[#This Row],[Visitor]],'NHL Model'!$A$6:$B$38,2,FALSE)</f>
        <v>-0.65770380103775494</v>
      </c>
      <c r="J606">
        <f>($B$1+Table4[[#This Row],[Home Differential]])-Table4[[#This Row],[Away Differential]]</f>
        <v>0.97729259392127799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0.60534815895768435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5.8616755922628279E-2</v>
      </c>
      <c r="H607" t="s">
        <v>33</v>
      </c>
      <c r="I607">
        <f>VLOOKUP(Table4[[#This Row],[Visitor]],'NHL Model'!$A$6:$B$38,2,FALSE)</f>
        <v>-0.6620483089622381</v>
      </c>
      <c r="J607">
        <f>($B$1+Table4[[#This Row],[Home Differential]])-Table4[[#This Row],[Away Differential]]</f>
        <v>0.80408873182388907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0.71340693449279269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0.25962865313068506</v>
      </c>
      <c r="H608" t="s">
        <v>15</v>
      </c>
      <c r="I608">
        <f>VLOOKUP(Table4[[#This Row],[Visitor]],'NHL Model'!$A$6:$B$38,2,FALSE)</f>
        <v>-0.39090512874251965</v>
      </c>
      <c r="J608">
        <f>($B$1+Table4[[#This Row],[Home Differential]])-Table4[[#This Row],[Away Differential]]</f>
        <v>0.73395744881222735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0.56609770516430458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-1.2612222633157453</v>
      </c>
      <c r="H609" t="s">
        <v>21</v>
      </c>
      <c r="I609">
        <f>VLOOKUP(Table4[[#This Row],[Visitor]],'NHL Model'!$A$6:$B$38,2,FALSE)</f>
        <v>-0.41554817552415113</v>
      </c>
      <c r="J609">
        <f>($B$1+Table4[[#This Row],[Home Differential]])-Table4[[#This Row],[Away Differential]]</f>
        <v>-0.76225042085257144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0.54953297083807151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1.339787395621115</v>
      </c>
      <c r="H610" t="s">
        <v>13</v>
      </c>
      <c r="I610">
        <f>VLOOKUP(Table4[[#This Row],[Visitor]],'NHL Model'!$A$6:$B$38,2,FALSE)</f>
        <v>-0.50197808897650842</v>
      </c>
      <c r="J610">
        <f>($B$1+Table4[[#This Row],[Home Differential]])-Table4[[#This Row],[Away Differential]]</f>
        <v>1.9251891515366462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0.80095833934753813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-0.57335522029781161</v>
      </c>
      <c r="H611" t="s">
        <v>22</v>
      </c>
      <c r="I611">
        <f>VLOOKUP(Table4[[#This Row],[Visitor]],'NHL Model'!$A$6:$B$38,2,FALSE)</f>
        <v>0.15604658591703846</v>
      </c>
      <c r="J611">
        <f>($B$1+Table4[[#This Row],[Home Differential]])-Table4[[#This Row],[Away Differential]]</f>
        <v>-0.64597813927582737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0.54183947856289572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-0.53959086519270005</v>
      </c>
      <c r="H612" t="s">
        <v>28</v>
      </c>
      <c r="I612">
        <f>VLOOKUP(Table4[[#This Row],[Visitor]],'NHL Model'!$A$6:$B$38,2,FALSE)</f>
        <v>-0.9065542839469537</v>
      </c>
      <c r="J612">
        <f>($B$1+Table4[[#This Row],[Home Differential]])-Table4[[#This Row],[Away Differential]]</f>
        <v>0.45038708569327635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0.59490725851202153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-0.64744265535741874</v>
      </c>
      <c r="H613" t="s">
        <v>38</v>
      </c>
      <c r="I613">
        <f>VLOOKUP(Table4[[#This Row],[Visitor]],'NHL Model'!$A$6:$B$38,2,FALSE)</f>
        <v>-1.1317546087271064</v>
      </c>
      <c r="J613">
        <f>($B$1+Table4[[#This Row],[Home Differential]])-Table4[[#This Row],[Away Differential]]</f>
        <v>0.56773562030871039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0.58780681972237991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-1.5899576513683618</v>
      </c>
      <c r="H614" t="s">
        <v>23</v>
      </c>
      <c r="I614">
        <f>VLOOKUP(Table4[[#This Row],[Visitor]],'NHL Model'!$A$6:$B$38,2,FALSE)</f>
        <v>-0.90742746858300449</v>
      </c>
      <c r="J614">
        <f>($B$1+Table4[[#This Row],[Home Differential]])-Table4[[#This Row],[Away Differential]]</f>
        <v>-0.59910651584633456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0.52971833671029456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-0.40521943828179341</v>
      </c>
      <c r="H615" t="s">
        <v>29</v>
      </c>
      <c r="I615">
        <f>VLOOKUP(Table4[[#This Row],[Visitor]],'NHL Model'!$A$6:$B$38,2,FALSE)</f>
        <v>-1.4782515386602066</v>
      </c>
      <c r="J615">
        <f>($B$1+Table4[[#This Row],[Home Differential]])-Table4[[#This Row],[Away Differential]]</f>
        <v>1.156455767317436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0.71500853630273542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-0.42180143360631367</v>
      </c>
      <c r="H616" t="s">
        <v>34</v>
      </c>
      <c r="I616">
        <f>VLOOKUP(Table4[[#This Row],[Visitor]],'NHL Model'!$A$6:$B$38,2,FALSE)</f>
        <v>-0.15603426337582751</v>
      </c>
      <c r="J616">
        <f>($B$1+Table4[[#This Row],[Home Differential]])-Table4[[#This Row],[Away Differential]]</f>
        <v>-0.1823435032914634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0.52373197108815694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-0.36992241209510063</v>
      </c>
      <c r="H617" t="s">
        <v>17</v>
      </c>
      <c r="I617">
        <f>VLOOKUP(Table4[[#This Row],[Visitor]],'NHL Model'!$A$6:$B$38,2,FALSE)</f>
        <v>-1.1577943512279505</v>
      </c>
      <c r="J617">
        <f>($B$1+Table4[[#This Row],[Home Differential]])-Table4[[#This Row],[Away Differential]]</f>
        <v>0.87129560607187262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0.64388860184882746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-0.43769530535874146</v>
      </c>
      <c r="H618" t="s">
        <v>30</v>
      </c>
      <c r="I618">
        <f>VLOOKUP(Table4[[#This Row],[Visitor]],'NHL Model'!$A$6:$B$38,2,FALSE)</f>
        <v>-0.30740058470151932</v>
      </c>
      <c r="J618">
        <f>($B$1+Table4[[#This Row],[Home Differential]])-Table4[[#This Row],[Away Differential]]</f>
        <v>-4.687105371819944E-2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0.53807757799619138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-0.57335522029781161</v>
      </c>
      <c r="H619" t="s">
        <v>18</v>
      </c>
      <c r="I619">
        <f>VLOOKUP(Table4[[#This Row],[Visitor]],'NHL Model'!$A$6:$B$38,2,FALSE)</f>
        <v>-0.65770380103775494</v>
      </c>
      <c r="J619">
        <f>($B$1+Table4[[#This Row],[Home Differential]])-Table4[[#This Row],[Away Differential]]</f>
        <v>0.16777224767896604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0.49264202325310286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-0.22852375643476561</v>
      </c>
      <c r="H620" t="s">
        <v>25</v>
      </c>
      <c r="I620">
        <f>VLOOKUP(Table4[[#This Row],[Visitor]],'NHL Model'!$A$6:$B$38,2,FALSE)</f>
        <v>0.25962865313068506</v>
      </c>
      <c r="J620">
        <f>($B$1+Table4[[#This Row],[Home Differential]])-Table4[[#This Row],[Away Differential]]</f>
        <v>-0.40472874262642794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0.57721897611601458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-1.054674343910232</v>
      </c>
      <c r="H621" t="s">
        <v>24</v>
      </c>
      <c r="I621">
        <f>VLOOKUP(Table4[[#This Row],[Visitor]],'NHL Model'!$A$6:$B$38,2,FALSE)</f>
        <v>2.3143316481494557E-3</v>
      </c>
      <c r="J621">
        <f>($B$1+Table4[[#This Row],[Home Differential]])-Table4[[#This Row],[Away Differential]]</f>
        <v>-0.97356500861935868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0.59406349695560401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-1.1317546087271064</v>
      </c>
      <c r="H622" t="s">
        <v>27</v>
      </c>
      <c r="I622">
        <f>VLOOKUP(Table4[[#This Row],[Visitor]],'NHL Model'!$A$6:$B$38,2,FALSE)</f>
        <v>-0.46667677612181552</v>
      </c>
      <c r="J622">
        <f>($B$1+Table4[[#This Row],[Home Differential]])-Table4[[#This Row],[Away Differential]]</f>
        <v>-0.58165416566626815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0.5484566284160084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5.8616755922628279E-2</v>
      </c>
      <c r="H623" t="s">
        <v>37</v>
      </c>
      <c r="I623">
        <f>VLOOKUP(Table4[[#This Row],[Visitor]],'NHL Model'!$A$6:$B$38,2,FALSE)</f>
        <v>0.23616512594450029</v>
      </c>
      <c r="J623">
        <f>($B$1+Table4[[#This Row],[Home Differential]])-Table4[[#This Row],[Away Differential]]</f>
        <v>-9.4124703082849287E-2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0.46996973407357301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-0.9065542839469537</v>
      </c>
      <c r="H624" t="s">
        <v>24</v>
      </c>
      <c r="I624">
        <f>VLOOKUP(Table4[[#This Row],[Visitor]],'NHL Model'!$A$6:$B$38,2,FALSE)</f>
        <v>2.3143316481494557E-3</v>
      </c>
      <c r="J624">
        <f>($B$1+Table4[[#This Row],[Home Differential]])-Table4[[#This Row],[Away Differential]]</f>
        <v>-0.82544494865608042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0.576826688573574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-1.2612222633157453</v>
      </c>
      <c r="H625" t="s">
        <v>27</v>
      </c>
      <c r="I625">
        <f>VLOOKUP(Table4[[#This Row],[Visitor]],'NHL Model'!$A$6:$B$38,2,FALSE)</f>
        <v>-0.46667677612181552</v>
      </c>
      <c r="J625">
        <f>($B$1+Table4[[#This Row],[Home Differential]])-Table4[[#This Row],[Away Differential]]</f>
        <v>-0.711121820254907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0.56352284668764874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1.339787395621115</v>
      </c>
      <c r="H626" t="s">
        <v>35</v>
      </c>
      <c r="I626">
        <f>VLOOKUP(Table4[[#This Row],[Visitor]],'NHL Model'!$A$6:$B$38,2,FALSE)</f>
        <v>-1.5899576513683618</v>
      </c>
      <c r="J626">
        <f>($B$1+Table4[[#This Row],[Home Differential]])-Table4[[#This Row],[Away Differential]]</f>
        <v>3.0131687139284997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0.99075780772328514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0.10032544630879472</v>
      </c>
      <c r="H627" t="s">
        <v>23</v>
      </c>
      <c r="I627">
        <f>VLOOKUP(Table4[[#This Row],[Visitor]],'NHL Model'!$A$6:$B$38,2,FALSE)</f>
        <v>-0.90742746858300449</v>
      </c>
      <c r="J627">
        <f>($B$1+Table4[[#This Row],[Home Differential]])-Table4[[#This Row],[Away Differential]]</f>
        <v>1.0911765818308219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0.68608621741436049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-1.0708320987334559</v>
      </c>
      <c r="H628" t="s">
        <v>40</v>
      </c>
      <c r="I628">
        <f>VLOOKUP(Table4[[#This Row],[Visitor]],'NHL Model'!$A$6:$B$38,2,FALSE)</f>
        <v>-0.36992241209510063</v>
      </c>
      <c r="J628">
        <f>($B$1+Table4[[#This Row],[Home Differential]])-Table4[[#This Row],[Away Differential]]</f>
        <v>-0.61748601969933259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0.55262639989796647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-1.1577943512279505</v>
      </c>
      <c r="H629" t="s">
        <v>21</v>
      </c>
      <c r="I629">
        <f>VLOOKUP(Table4[[#This Row],[Visitor]],'NHL Model'!$A$6:$B$38,2,FALSE)</f>
        <v>-0.41554817552415113</v>
      </c>
      <c r="J629">
        <f>($B$1+Table4[[#This Row],[Home Differential]])-Table4[[#This Row],[Away Differential]]</f>
        <v>-0.65882250876477666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0.53044903045618297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-0.6620483089622381</v>
      </c>
      <c r="H630" t="s">
        <v>34</v>
      </c>
      <c r="I630">
        <f>VLOOKUP(Table4[[#This Row],[Visitor]],'NHL Model'!$A$6:$B$38,2,FALSE)</f>
        <v>-0.15603426337582751</v>
      </c>
      <c r="J630">
        <f>($B$1+Table4[[#This Row],[Home Differential]])-Table4[[#This Row],[Away Differential]]</f>
        <v>-0.42259037864738791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0.55168962487197371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-0.42180143360631367</v>
      </c>
      <c r="H631" t="s">
        <v>29</v>
      </c>
      <c r="I631">
        <f>VLOOKUP(Table4[[#This Row],[Visitor]],'NHL Model'!$A$6:$B$38,2,FALSE)</f>
        <v>-1.4782515386602066</v>
      </c>
      <c r="J631">
        <f>($B$1+Table4[[#This Row],[Home Differential]])-Table4[[#This Row],[Away Differential]]</f>
        <v>1.1398737719929157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0.67264770344013247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0.15604658591703846</v>
      </c>
      <c r="H632" t="s">
        <v>15</v>
      </c>
      <c r="I632">
        <f>VLOOKUP(Table4[[#This Row],[Visitor]],'NHL Model'!$A$6:$B$38,2,FALSE)</f>
        <v>-0.39090512874251965</v>
      </c>
      <c r="J632">
        <f>($B$1+Table4[[#This Row],[Home Differential]])-Table4[[#This Row],[Away Differential]]</f>
        <v>0.63037538159858086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0.53937652834955263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0.25962865313068506</v>
      </c>
      <c r="H633" t="s">
        <v>18</v>
      </c>
      <c r="I633">
        <f>VLOOKUP(Table4[[#This Row],[Visitor]],'NHL Model'!$A$6:$B$38,2,FALSE)</f>
        <v>-0.65770380103775494</v>
      </c>
      <c r="J633">
        <f>($B$1+Table4[[#This Row],[Home Differential]])-Table4[[#This Row],[Away Differential]]</f>
        <v>1.0007561211074627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0.61645851008262786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-0.43769530535874146</v>
      </c>
      <c r="H634" t="s">
        <v>39</v>
      </c>
      <c r="I634">
        <f>VLOOKUP(Table4[[#This Row],[Visitor]],'NHL Model'!$A$6:$B$38,2,FALSE)</f>
        <v>0.10032544630879472</v>
      </c>
      <c r="J634">
        <f>($B$1+Table4[[#This Row],[Home Differential]])-Table4[[#This Row],[Away Differential]]</f>
        <v>-0.45459708472851346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0.6146994518930794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-0.50197808897650842</v>
      </c>
      <c r="H635" t="s">
        <v>37</v>
      </c>
      <c r="I635">
        <f>VLOOKUP(Table4[[#This Row],[Visitor]],'NHL Model'!$A$6:$B$38,2,FALSE)</f>
        <v>0.23616512594450029</v>
      </c>
      <c r="J635">
        <f>($B$1+Table4[[#This Row],[Home Differential]])-Table4[[#This Row],[Away Differential]]</f>
        <v>-0.65471954798198606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0.61714832310535517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-0.30740058470151932</v>
      </c>
      <c r="H636" t="s">
        <v>55</v>
      </c>
      <c r="I636">
        <f>VLOOKUP(Table4[[#This Row],[Visitor]],'NHL Model'!$A$6:$B$38,2,FALSE)</f>
        <v>-0.40521943828179341</v>
      </c>
      <c r="J636">
        <f>($B$1+Table4[[#This Row],[Home Differential]])-Table4[[#This Row],[Away Differential]]</f>
        <v>0.18124252051929682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0.56109128633651484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-0.53959086519270005</v>
      </c>
      <c r="H637" t="s">
        <v>22</v>
      </c>
      <c r="I637">
        <f>VLOOKUP(Table4[[#This Row],[Visitor]],'NHL Model'!$A$6:$B$38,2,FALSE)</f>
        <v>0.15604658591703846</v>
      </c>
      <c r="J637">
        <f>($B$1+Table4[[#This Row],[Home Differential]])-Table4[[#This Row],[Away Differential]]</f>
        <v>-0.61221378417071581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0.54950450590457789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-0.22852375643476561</v>
      </c>
      <c r="H638" t="s">
        <v>26</v>
      </c>
      <c r="I638">
        <f>VLOOKUP(Table4[[#This Row],[Visitor]],'NHL Model'!$A$6:$B$38,2,FALSE)</f>
        <v>-1.0708320987334559</v>
      </c>
      <c r="J638">
        <f>($B$1+Table4[[#This Row],[Home Differential]])-Table4[[#This Row],[Away Differential]]</f>
        <v>0.92573200923771304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0.62946704561587274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-0.64744265535741874</v>
      </c>
      <c r="H639" t="s">
        <v>29</v>
      </c>
      <c r="I639">
        <f>VLOOKUP(Table4[[#This Row],[Visitor]],'NHL Model'!$A$6:$B$38,2,FALSE)</f>
        <v>-1.4782515386602066</v>
      </c>
      <c r="J639">
        <f>($B$1+Table4[[#This Row],[Home Differential]])-Table4[[#This Row],[Away Differential]]</f>
        <v>0.9142325502418106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0.64888519636378117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-1.054674343910232</v>
      </c>
      <c r="H640" t="s">
        <v>40</v>
      </c>
      <c r="I640">
        <f>VLOOKUP(Table4[[#This Row],[Visitor]],'NHL Model'!$A$6:$B$38,2,FALSE)</f>
        <v>-0.36992241209510063</v>
      </c>
      <c r="J640">
        <f>($B$1+Table4[[#This Row],[Home Differential]])-Table4[[#This Row],[Away Differential]]</f>
        <v>-0.60132826487610869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0.5507461135691547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5.8616755922628279E-2</v>
      </c>
      <c r="H641" t="s">
        <v>34</v>
      </c>
      <c r="I641">
        <f>VLOOKUP(Table4[[#This Row],[Visitor]],'NHL Model'!$A$6:$B$38,2,FALSE)</f>
        <v>-0.15603426337582751</v>
      </c>
      <c r="J641">
        <f>($B$1+Table4[[#This Row],[Home Differential]])-Table4[[#This Row],[Away Differential]]</f>
        <v>0.29807468623747851</v>
      </c>
      <c r="K641" t="str">
        <f>IF(Table4[[#This Row],[HomeIce Differential]]&gt;0,Table4[[#This Row],[Home]],Table4[[#This Row],[Visitor]])</f>
        <v>Anaheim Ducks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0.61363447462046206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-0.57335522029781161</v>
      </c>
      <c r="H642" t="s">
        <v>15</v>
      </c>
      <c r="I642">
        <f>VLOOKUP(Table4[[#This Row],[Visitor]],'NHL Model'!$A$6:$B$38,2,FALSE)</f>
        <v>-0.39090512874251965</v>
      </c>
      <c r="J642">
        <f>($B$1+Table4[[#This Row],[Home Differential]])-Table4[[#This Row],[Away Differential]]</f>
        <v>-9.902642461626926E-2</v>
      </c>
      <c r="K642" t="str">
        <f>IF(Table4[[#This Row],[HomeIce Differential]]&gt;0,Table4[[#This Row],[Home]],Table4[[#This Row],[Visitor]])</f>
        <v>New York Rangers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0.55762304729422463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-1.5899576513683618</v>
      </c>
      <c r="H643" t="s">
        <v>20</v>
      </c>
      <c r="I643">
        <f>VLOOKUP(Table4[[#This Row],[Visitor]],'NHL Model'!$A$6:$B$38,2,FALSE)</f>
        <v>-0.42180143360631367</v>
      </c>
      <c r="J643">
        <f>($B$1+Table4[[#This Row],[Home Differential]])-Table4[[#This Row],[Away Differential]]</f>
        <v>-1.0847325508230254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0.58623089086598035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-1.1317546087271064</v>
      </c>
      <c r="H644" t="s">
        <v>32</v>
      </c>
      <c r="I644">
        <f>VLOOKUP(Table4[[#This Row],[Visitor]],'NHL Model'!$A$6:$B$38,2,FALSE)</f>
        <v>-0.64744265535741874</v>
      </c>
      <c r="J644">
        <f>($B$1+Table4[[#This Row],[Home Differential]])-Table4[[#This Row],[Away Differential]]</f>
        <v>-0.40088828643066499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0.50665157830424068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0.25962865313068506</v>
      </c>
      <c r="H645" t="s">
        <v>12</v>
      </c>
      <c r="I645">
        <f>VLOOKUP(Table4[[#This Row],[Visitor]],'NHL Model'!$A$6:$B$38,2,FALSE)</f>
        <v>1.339787395621115</v>
      </c>
      <c r="J645">
        <f>($B$1+Table4[[#This Row],[Home Differential]])-Table4[[#This Row],[Away Differential]]</f>
        <v>-0.99673507555140728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0.60761069065266715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-0.9065542839469537</v>
      </c>
      <c r="H646" t="s">
        <v>23</v>
      </c>
      <c r="I646">
        <f>VLOOKUP(Table4[[#This Row],[Visitor]],'NHL Model'!$A$6:$B$38,2,FALSE)</f>
        <v>-0.90742746858300449</v>
      </c>
      <c r="J646">
        <f>($B$1+Table4[[#This Row],[Home Differential]])-Table4[[#This Row],[Away Differential]]</f>
        <v>8.4296851575073495E-2</v>
      </c>
      <c r="K646" t="str">
        <f>IF(Table4[[#This Row],[HomeIce Differential]]&gt;0,Table4[[#This Row],[Home]],Table4[[#This Row],[Visitor]])</f>
        <v>Columbus Blue Jackets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0.54980966844172352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-1.2612222633157453</v>
      </c>
      <c r="H647" t="s">
        <v>29</v>
      </c>
      <c r="I647">
        <f>VLOOKUP(Table4[[#This Row],[Visitor]],'NHL Model'!$A$6:$B$38,2,FALSE)</f>
        <v>-1.4782515386602066</v>
      </c>
      <c r="J647">
        <f>($B$1+Table4[[#This Row],[Home Differential]])-Table4[[#This Row],[Away Differential]]</f>
        <v>0.30045294228348407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0.57496386509188191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-1.0708320987334559</v>
      </c>
      <c r="H648" t="s">
        <v>14</v>
      </c>
      <c r="I648">
        <f>VLOOKUP(Table4[[#This Row],[Visitor]],'NHL Model'!$A$6:$B$38,2,FALSE)</f>
        <v>-0.22852375643476561</v>
      </c>
      <c r="J648">
        <f>($B$1+Table4[[#This Row],[Home Differential]])-Table4[[#This Row],[Away Differential]]</f>
        <v>-0.75888467535966753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0.56908103496696427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-1.1577943512279505</v>
      </c>
      <c r="H649" t="s">
        <v>27</v>
      </c>
      <c r="I649">
        <f>VLOOKUP(Table4[[#This Row],[Visitor]],'NHL Model'!$A$6:$B$38,2,FALSE)</f>
        <v>-0.46667677612181552</v>
      </c>
      <c r="J649">
        <f>($B$1+Table4[[#This Row],[Home Differential]])-Table4[[#This Row],[Away Differential]]</f>
        <v>-0.60769390816711222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0.5444018665453606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-0.50197808897650842</v>
      </c>
      <c r="H650" t="s">
        <v>34</v>
      </c>
      <c r="I650">
        <f>VLOOKUP(Table4[[#This Row],[Visitor]],'NHL Model'!$A$6:$B$38,2,FALSE)</f>
        <v>-0.15603426337582751</v>
      </c>
      <c r="J650">
        <f>($B$1+Table4[[#This Row],[Home Differential]])-Table4[[#This Row],[Away Differential]]</f>
        <v>-0.26252015866165823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0.53306217015552648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2.3143316481494557E-3</v>
      </c>
      <c r="H651" t="s">
        <v>55</v>
      </c>
      <c r="I651">
        <f>VLOOKUP(Table4[[#This Row],[Visitor]],'NHL Model'!$A$6:$B$38,2,FALSE)</f>
        <v>-0.40521943828179341</v>
      </c>
      <c r="J651">
        <f>($B$1+Table4[[#This Row],[Home Differential]])-Table4[[#This Row],[Away Differential]]</f>
        <v>0.49095743686896559</v>
      </c>
      <c r="K651" t="str">
        <f>IF(Table4[[#This Row],[HomeIce Differential]]&gt;0,Table4[[#This Row],[Home]],Table4[[#This Row],[Visitor]])</f>
        <v>New Jersey Devils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0.71889767804791205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-0.30740058470151932</v>
      </c>
      <c r="H652" t="s">
        <v>19</v>
      </c>
      <c r="I652">
        <f>VLOOKUP(Table4[[#This Row],[Visitor]],'NHL Model'!$A$6:$B$38,2,FALSE)</f>
        <v>-1.054674343910232</v>
      </c>
      <c r="J652">
        <f>($B$1+Table4[[#This Row],[Home Differential]])-Table4[[#This Row],[Away Differential]]</f>
        <v>0.83069742614773534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0.6366686913406856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-0.53959086519270005</v>
      </c>
      <c r="H653" t="s">
        <v>40</v>
      </c>
      <c r="I653">
        <f>VLOOKUP(Table4[[#This Row],[Visitor]],'NHL Model'!$A$6:$B$38,2,FALSE)</f>
        <v>-0.36992241209510063</v>
      </c>
      <c r="J653">
        <f>($B$1+Table4[[#This Row],[Home Differential]])-Table4[[#This Row],[Away Differential]]</f>
        <v>-8.6244786158576725E-2</v>
      </c>
      <c r="K653" t="str">
        <f>IF(Table4[[#This Row],[HomeIce Differential]]&gt;0,Table4[[#This Row],[Home]],Table4[[#This Row],[Visitor]])</f>
        <v>Winnipeg Jets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0.48829722016710814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-0.6620483089622381</v>
      </c>
      <c r="H654" t="s">
        <v>37</v>
      </c>
      <c r="I654">
        <f>VLOOKUP(Table4[[#This Row],[Visitor]],'NHL Model'!$A$6:$B$38,2,FALSE)</f>
        <v>0.23616512594450029</v>
      </c>
      <c r="J654">
        <f>($B$1+Table4[[#This Row],[Home Differential]])-Table4[[#This Row],[Away Differential]]</f>
        <v>-0.81478976796771563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0.63577577782180228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-1.5899576513683618</v>
      </c>
      <c r="H655" t="s">
        <v>18</v>
      </c>
      <c r="I655">
        <f>VLOOKUP(Table4[[#This Row],[Visitor]],'NHL Model'!$A$6:$B$38,2,FALSE)</f>
        <v>-0.65770380103775494</v>
      </c>
      <c r="J655">
        <f>($B$1+Table4[[#This Row],[Home Differential]])-Table4[[#This Row],[Away Differential]]</f>
        <v>-0.84883018339158411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0.63973707866148177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-1.1317546087271064</v>
      </c>
      <c r="H656" t="s">
        <v>21</v>
      </c>
      <c r="I656">
        <f>VLOOKUP(Table4[[#This Row],[Visitor]],'NHL Model'!$A$6:$B$38,2,FALSE)</f>
        <v>-0.41554817552415113</v>
      </c>
      <c r="J656">
        <f>($B$1+Table4[[#This Row],[Home Differential]])-Table4[[#This Row],[Away Differential]]</f>
        <v>-0.63278276626393259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0.53446675256643117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0.15604658591703846</v>
      </c>
      <c r="H657" t="s">
        <v>10</v>
      </c>
      <c r="I657">
        <f>VLOOKUP(Table4[[#This Row],[Visitor]],'NHL Model'!$A$6:$B$38,2,FALSE)</f>
        <v>-0.43769530535874146</v>
      </c>
      <c r="J657">
        <f>($B$1+Table4[[#This Row],[Home Differential]])-Table4[[#This Row],[Away Differential]]</f>
        <v>0.67716555821480262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0.64483984390081295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-0.9065542839469537</v>
      </c>
      <c r="H658" t="s">
        <v>14</v>
      </c>
      <c r="I658">
        <f>VLOOKUP(Table4[[#This Row],[Visitor]],'NHL Model'!$A$6:$B$38,2,FALSE)</f>
        <v>-0.22852375643476561</v>
      </c>
      <c r="J658">
        <f>($B$1+Table4[[#This Row],[Home Differential]])-Table4[[#This Row],[Away Differential]]</f>
        <v>-0.59460686057316536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0.54996394025612261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-0.43769530535874146</v>
      </c>
      <c r="H659" t="s">
        <v>20</v>
      </c>
      <c r="I659">
        <f>VLOOKUP(Table4[[#This Row],[Visitor]],'NHL Model'!$A$6:$B$38,2,FALSE)</f>
        <v>-0.42180143360631367</v>
      </c>
      <c r="J659">
        <f>($B$1+Table4[[#This Row],[Home Differential]])-Table4[[#This Row],[Away Differential]]</f>
        <v>6.752979518659491E-2</v>
      </c>
      <c r="K659" t="str">
        <f>IF(Table4[[#This Row],[HomeIce Differential]]&gt;0,Table4[[#This Row],[Home]],Table4[[#This Row],[Visitor]])</f>
        <v>Chicago Blackhawks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0.54785847737300164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0.10032544630879472</v>
      </c>
      <c r="H660" t="s">
        <v>18</v>
      </c>
      <c r="I660">
        <f>VLOOKUP(Table4[[#This Row],[Visitor]],'NHL Model'!$A$6:$B$38,2,FALSE)</f>
        <v>-0.65770380103775494</v>
      </c>
      <c r="J660">
        <f>($B$1+Table4[[#This Row],[Home Differential]])-Table4[[#This Row],[Away Differential]]</f>
        <v>0.84145291428557245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0.576181182652026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-0.57335522029781161</v>
      </c>
      <c r="H661" t="s">
        <v>12</v>
      </c>
      <c r="I661">
        <f>VLOOKUP(Table4[[#This Row],[Visitor]],'NHL Model'!$A$6:$B$38,2,FALSE)</f>
        <v>1.339787395621115</v>
      </c>
      <c r="J661">
        <f>($B$1+Table4[[#This Row],[Home Differential]])-Table4[[#This Row],[Away Differential]]</f>
        <v>-1.8297189489799039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0.73144386383875959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2.3143316481494557E-3</v>
      </c>
      <c r="H662" t="s">
        <v>25</v>
      </c>
      <c r="I662">
        <f>VLOOKUP(Table4[[#This Row],[Visitor]],'NHL Model'!$A$6:$B$38,2,FALSE)</f>
        <v>0.25962865313068506</v>
      </c>
      <c r="J662">
        <f>($B$1+Table4[[#This Row],[Home Differential]])-Table4[[#This Row],[Away Differential]]</f>
        <v>-0.17389065454351288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0.42632711642922794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-1.2612222633157453</v>
      </c>
      <c r="H663" t="s">
        <v>32</v>
      </c>
      <c r="I663">
        <f>VLOOKUP(Table4[[#This Row],[Visitor]],'NHL Model'!$A$6:$B$38,2,FALSE)</f>
        <v>-0.64744265535741874</v>
      </c>
      <c r="J663">
        <f>($B$1+Table4[[#This Row],[Home Differential]])-Table4[[#This Row],[Away Differential]]</f>
        <v>-0.53035594101930383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0.52171779657588113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-0.50197808897650842</v>
      </c>
      <c r="H664" t="s">
        <v>34</v>
      </c>
      <c r="I664">
        <f>VLOOKUP(Table4[[#This Row],[Visitor]],'NHL Model'!$A$6:$B$38,2,FALSE)</f>
        <v>-0.15603426337582751</v>
      </c>
      <c r="J664">
        <f>($B$1+Table4[[#This Row],[Home Differential]])-Table4[[#This Row],[Away Differential]]</f>
        <v>-0.26252015866165823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0.53306217015552648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-0.39090512874251965</v>
      </c>
      <c r="H665" t="s">
        <v>55</v>
      </c>
      <c r="I665">
        <f>VLOOKUP(Table4[[#This Row],[Visitor]],'NHL Model'!$A$6:$B$38,2,FALSE)</f>
        <v>-0.40521943828179341</v>
      </c>
      <c r="J665">
        <f>($B$1+Table4[[#This Row],[Home Differential]])-Table4[[#This Row],[Away Differential]]</f>
        <v>9.7737976478296518E-2</v>
      </c>
      <c r="K665" t="str">
        <f>IF(Table4[[#This Row],[HomeIce Differential]]&gt;0,Table4[[#This Row],[Home]],Table4[[#This Row],[Visitor]])</f>
        <v>New York Rangers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0.5513738191344334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-0.53959086519270005</v>
      </c>
      <c r="H666" t="s">
        <v>26</v>
      </c>
      <c r="I666">
        <f>VLOOKUP(Table4[[#This Row],[Visitor]],'NHL Model'!$A$6:$B$38,2,FALSE)</f>
        <v>-1.0708320987334559</v>
      </c>
      <c r="J666">
        <f>($B$1+Table4[[#This Row],[Home Differential]])-Table4[[#This Row],[Away Differential]]</f>
        <v>0.61466490047977851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0.59326800445330585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0.15604658591703846</v>
      </c>
      <c r="H667" t="s">
        <v>31</v>
      </c>
      <c r="I667">
        <f>VLOOKUP(Table4[[#This Row],[Visitor]],'NHL Model'!$A$6:$B$38,2,FALSE)</f>
        <v>5.8616755922628279E-2</v>
      </c>
      <c r="J667">
        <f>($B$1+Table4[[#This Row],[Home Differential]])-Table4[[#This Row],[Away Differential]]</f>
        <v>0.18085349693343292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0.56650056091412915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-0.90742746858300449</v>
      </c>
      <c r="H668" t="s">
        <v>38</v>
      </c>
      <c r="I668">
        <f>VLOOKUP(Table4[[#This Row],[Visitor]],'NHL Model'!$A$6:$B$38,2,FALSE)</f>
        <v>-1.1317546087271064</v>
      </c>
      <c r="J668">
        <f>($B$1+Table4[[#This Row],[Home Differential]])-Table4[[#This Row],[Away Differential]]</f>
        <v>0.30775080708312463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0.55504389064337201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0.25962865313068506</v>
      </c>
      <c r="H669" t="s">
        <v>39</v>
      </c>
      <c r="I669">
        <f>VLOOKUP(Table4[[#This Row],[Visitor]],'NHL Model'!$A$6:$B$38,2,FALSE)</f>
        <v>0.10032544630879472</v>
      </c>
      <c r="J669">
        <f>($B$1+Table4[[#This Row],[Home Differential]])-Table4[[#This Row],[Away Differential]]</f>
        <v>0.24272687376091304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0.50719362090855002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-1.1577943512279505</v>
      </c>
      <c r="H670" t="s">
        <v>29</v>
      </c>
      <c r="I670">
        <f>VLOOKUP(Table4[[#This Row],[Visitor]],'NHL Model'!$A$6:$B$38,2,FALSE)</f>
        <v>-1.4782515386602066</v>
      </c>
      <c r="J670">
        <f>($B$1+Table4[[#This Row],[Home Differential]])-Table4[[#This Row],[Away Differential]]</f>
        <v>0.40388085437127885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0.59404577685121129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-0.30740058470151932</v>
      </c>
      <c r="H671" t="s">
        <v>24</v>
      </c>
      <c r="I671">
        <f>VLOOKUP(Table4[[#This Row],[Visitor]],'NHL Model'!$A$6:$B$38,2,FALSE)</f>
        <v>2.3143316481494557E-3</v>
      </c>
      <c r="J671">
        <f>($B$1+Table4[[#This Row],[Home Differential]])-Table4[[#This Row],[Away Differential]]</f>
        <v>-0.22629124941064604</v>
      </c>
      <c r="K671" t="str">
        <f>IF(Table4[[#This Row],[HomeIce Differential]]&gt;0,Table4[[#This Row],[Home]],Table4[[#This Row],[Visitor]])</f>
        <v>New Jersey Devils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0.50710286110659675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-0.46667677612181552</v>
      </c>
      <c r="H672" t="s">
        <v>31</v>
      </c>
      <c r="I672">
        <f>VLOOKUP(Table4[[#This Row],[Visitor]],'NHL Model'!$A$6:$B$38,2,FALSE)</f>
        <v>5.8616755922628279E-2</v>
      </c>
      <c r="J672">
        <f>($B$1+Table4[[#This Row],[Home Differential]])-Table4[[#This Row],[Away Differential]]</f>
        <v>-0.44186986510542103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0.49969648798893757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-0.64744265535741874</v>
      </c>
      <c r="H673" t="s">
        <v>21</v>
      </c>
      <c r="I673">
        <f>VLOOKUP(Table4[[#This Row],[Visitor]],'NHL Model'!$A$6:$B$38,2,FALSE)</f>
        <v>-0.41554817552415113</v>
      </c>
      <c r="J673">
        <f>($B$1+Table4[[#This Row],[Home Differential]])-Table4[[#This Row],[Away Differential]]</f>
        <v>-0.14847081289424491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0.47561095901628797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-0.6620483089622381</v>
      </c>
      <c r="H674" t="s">
        <v>28</v>
      </c>
      <c r="I674">
        <f>VLOOKUP(Table4[[#This Row],[Visitor]],'NHL Model'!$A$6:$B$38,2,FALSE)</f>
        <v>-0.9065542839469537</v>
      </c>
      <c r="J674">
        <f>($B$1+Table4[[#This Row],[Home Differential]])-Table4[[#This Row],[Away Differential]]</f>
        <v>0.3279296419237383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0.57816134291350219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0.23616512594450029</v>
      </c>
      <c r="H675" t="s">
        <v>12</v>
      </c>
      <c r="I675">
        <f>VLOOKUP(Table4[[#This Row],[Visitor]],'NHL Model'!$A$6:$B$38,2,FALSE)</f>
        <v>1.339787395621115</v>
      </c>
      <c r="J675">
        <f>($B$1+Table4[[#This Row],[Home Differential]])-Table4[[#This Row],[Away Differential]]</f>
        <v>-1.020198602737592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0.61872104177761067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-1.054674343910232</v>
      </c>
      <c r="H676" t="s">
        <v>11</v>
      </c>
      <c r="I676">
        <f>VLOOKUP(Table4[[#This Row],[Visitor]],'NHL Model'!$A$6:$B$38,2,FALSE)</f>
        <v>-0.57335522029781161</v>
      </c>
      <c r="J676">
        <f>($B$1+Table4[[#This Row],[Home Differential]])-Table4[[#This Row],[Away Differential]]</f>
        <v>-0.39789545667339765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0.50630330114948641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-0.36992241209510063</v>
      </c>
      <c r="H677" t="s">
        <v>20</v>
      </c>
      <c r="I677">
        <f>VLOOKUP(Table4[[#This Row],[Visitor]],'NHL Model'!$A$6:$B$38,2,FALSE)</f>
        <v>-0.42180143360631367</v>
      </c>
      <c r="J677">
        <f>($B$1+Table4[[#This Row],[Home Differential]])-Table4[[#This Row],[Away Differential]]</f>
        <v>0.1353026884502358</v>
      </c>
      <c r="K677" t="str">
        <f>IF(Table4[[#This Row],[HomeIce Differential]]&gt;0,Table4[[#This Row],[Home]],Table4[[#This Row],[Visitor]])</f>
        <v>Winnipeg Jets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0.5582407233999499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-0.43769530535874146</v>
      </c>
      <c r="H678" t="s">
        <v>35</v>
      </c>
      <c r="I678">
        <f>VLOOKUP(Table4[[#This Row],[Visitor]],'NHL Model'!$A$6:$B$38,2,FALSE)</f>
        <v>-1.5899576513683618</v>
      </c>
      <c r="J678">
        <f>($B$1+Table4[[#This Row],[Home Differential]])-Table4[[#This Row],[Away Differential]]</f>
        <v>1.2356860129486429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0.68379742373066033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-0.50197808897650842</v>
      </c>
      <c r="H679" t="s">
        <v>33</v>
      </c>
      <c r="I679">
        <f>VLOOKUP(Table4[[#This Row],[Visitor]],'NHL Model'!$A$6:$B$38,2,FALSE)</f>
        <v>-0.6620483089622381</v>
      </c>
      <c r="J679">
        <f>($B$1+Table4[[#This Row],[Home Differential]])-Table4[[#This Row],[Away Differential]]</f>
        <v>0.24349388692475238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0.56833551020812545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-0.65770380103775494</v>
      </c>
      <c r="H680" t="s">
        <v>16</v>
      </c>
      <c r="I680">
        <f>VLOOKUP(Table4[[#This Row],[Visitor]],'NHL Model'!$A$6:$B$38,2,FALSE)</f>
        <v>-1.2612222633157453</v>
      </c>
      <c r="J680">
        <f>($B$1+Table4[[#This Row],[Home Differential]])-Table4[[#This Row],[Away Differential]]</f>
        <v>0.68694212921701303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0.61993981270189091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-0.40521943828179341</v>
      </c>
      <c r="H681" t="s">
        <v>36</v>
      </c>
      <c r="I681">
        <f>VLOOKUP(Table4[[#This Row],[Visitor]],'NHL Model'!$A$6:$B$38,2,FALSE)</f>
        <v>-0.53959086519270005</v>
      </c>
      <c r="J681">
        <f>($B$1+Table4[[#This Row],[Home Differential]])-Table4[[#This Row],[Away Differential]]</f>
        <v>0.21779509384992934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0.6049627626927202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0.15604658591703846</v>
      </c>
      <c r="H682" t="s">
        <v>39</v>
      </c>
      <c r="I682">
        <f>VLOOKUP(Table4[[#This Row],[Visitor]],'NHL Model'!$A$6:$B$38,2,FALSE)</f>
        <v>0.10032544630879472</v>
      </c>
      <c r="J682">
        <f>($B$1+Table4[[#This Row],[Home Differential]])-Table4[[#This Row],[Away Differential]]</f>
        <v>0.13914480654726646</v>
      </c>
      <c r="K682" t="str">
        <f>IF(Table4[[#This Row],[HomeIce Differential]]&gt;0,Table4[[#This Row],[Home]],Table4[[#This Row],[Visitor]])</f>
        <v>Washington Capitals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0.48047806776170177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-0.41554817552415113</v>
      </c>
      <c r="H683" t="s">
        <v>16</v>
      </c>
      <c r="I683">
        <f>VLOOKUP(Table4[[#This Row],[Visitor]],'NHL Model'!$A$6:$B$38,2,FALSE)</f>
        <v>-1.2612222633157453</v>
      </c>
      <c r="J683">
        <f>($B$1+Table4[[#This Row],[Home Differential]])-Table4[[#This Row],[Away Differential]]</f>
        <v>0.92909775473061684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0.68036565454216824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0.25962865313068506</v>
      </c>
      <c r="H684" t="s">
        <v>31</v>
      </c>
      <c r="I684">
        <f>VLOOKUP(Table4[[#This Row],[Visitor]],'NHL Model'!$A$6:$B$38,2,FALSE)</f>
        <v>5.8616755922628279E-2</v>
      </c>
      <c r="J684">
        <f>($B$1+Table4[[#This Row],[Home Differential]])-Table4[[#This Row],[Away Differential]]</f>
        <v>0.28443556414707949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0.59309991447109389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1.339787395621115</v>
      </c>
      <c r="H685" t="s">
        <v>36</v>
      </c>
      <c r="I685">
        <f>VLOOKUP(Table4[[#This Row],[Visitor]],'NHL Model'!$A$6:$B$38,2,FALSE)</f>
        <v>-0.53959086519270005</v>
      </c>
      <c r="J685">
        <f>($B$1+Table4[[#This Row],[Home Differential]])-Table4[[#This Row],[Away Differential]]</f>
        <v>1.9628019277528379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0.86775654304181093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-1.0708320987334559</v>
      </c>
      <c r="H686" t="s">
        <v>38</v>
      </c>
      <c r="I686">
        <f>VLOOKUP(Table4[[#This Row],[Visitor]],'NHL Model'!$A$6:$B$38,2,FALSE)</f>
        <v>-1.1317546087271064</v>
      </c>
      <c r="J686">
        <f>($B$1+Table4[[#This Row],[Home Differential]])-Table4[[#This Row],[Away Differential]]</f>
        <v>0.14434617693267326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0.53602840888257552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-0.65770380103775494</v>
      </c>
      <c r="H687" t="s">
        <v>11</v>
      </c>
      <c r="I687">
        <f>VLOOKUP(Table4[[#This Row],[Visitor]],'NHL Model'!$A$6:$B$38,2,FALSE)</f>
        <v>-0.57335522029781161</v>
      </c>
      <c r="J687">
        <f>($B$1+Table4[[#This Row],[Home Differential]])-Table4[[#This Row],[Away Differential]]</f>
        <v>-9.249138009206348E-4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0.46010763269985389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-1.4782515386602066</v>
      </c>
      <c r="H688" t="s">
        <v>30</v>
      </c>
      <c r="I688">
        <f>VLOOKUP(Table4[[#This Row],[Visitor]],'NHL Model'!$A$6:$B$38,2,FALSE)</f>
        <v>-0.30740058470151932</v>
      </c>
      <c r="J688">
        <f>($B$1+Table4[[#This Row],[Home Differential]])-Table4[[#This Row],[Away Differential]]</f>
        <v>-1.0874272870196646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0.65916764782596893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-0.39090512874251965</v>
      </c>
      <c r="H689" t="s">
        <v>23</v>
      </c>
      <c r="I689">
        <f>VLOOKUP(Table4[[#This Row],[Visitor]],'NHL Model'!$A$6:$B$38,2,FALSE)</f>
        <v>-0.90742746858300449</v>
      </c>
      <c r="J689">
        <f>($B$1+Table4[[#This Row],[Home Differential]])-Table4[[#This Row],[Away Differential]]</f>
        <v>0.5999460067795076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0.60981602870661933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-0.46667677612181552</v>
      </c>
      <c r="H690" t="s">
        <v>19</v>
      </c>
      <c r="I690">
        <f>VLOOKUP(Table4[[#This Row],[Visitor]],'NHL Model'!$A$6:$B$38,2,FALSE)</f>
        <v>-1.054674343910232</v>
      </c>
      <c r="J690">
        <f>($B$1+Table4[[#This Row],[Home Differential]])-Table4[[#This Row],[Away Differential]]</f>
        <v>0.6714212347274392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0.65037970394949207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-0.22852375643476561</v>
      </c>
      <c r="H691" t="s">
        <v>24</v>
      </c>
      <c r="I691">
        <f>VLOOKUP(Table4[[#This Row],[Visitor]],'NHL Model'!$A$6:$B$38,2,FALSE)</f>
        <v>2.3143316481494557E-3</v>
      </c>
      <c r="J691">
        <f>($B$1+Table4[[#This Row],[Home Differential]])-Table4[[#This Row],[Away Differential]]</f>
        <v>-0.14741442114389233</v>
      </c>
      <c r="K691" t="str">
        <f>IF(Table4[[#This Row],[HomeIce Differential]]&gt;0,Table4[[#This Row],[Home]],Table4[[#This Row],[Visitor]])</f>
        <v>New Jersey Devils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0.49541556239099055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-0.64744265535741874</v>
      </c>
      <c r="H692" t="s">
        <v>34</v>
      </c>
      <c r="I692">
        <f>VLOOKUP(Table4[[#This Row],[Visitor]],'NHL Model'!$A$6:$B$38,2,FALSE)</f>
        <v>-0.15603426337582751</v>
      </c>
      <c r="J692">
        <f>($B$1+Table4[[#This Row],[Home Differential]])-Table4[[#This Row],[Away Differential]]</f>
        <v>-0.40798472504256855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0.54747739455477795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-0.42180143360631367</v>
      </c>
      <c r="H693" t="s">
        <v>28</v>
      </c>
      <c r="I693">
        <f>VLOOKUP(Table4[[#This Row],[Visitor]],'NHL Model'!$A$6:$B$38,2,FALSE)</f>
        <v>-0.9065542839469537</v>
      </c>
      <c r="J693">
        <f>($B$1+Table4[[#This Row],[Home Differential]])-Table4[[#This Row],[Away Differential]]</f>
        <v>0.56817651727966278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0.60611899669731895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-0.36992241209510063</v>
      </c>
      <c r="H694" t="s">
        <v>17</v>
      </c>
      <c r="I694">
        <f>VLOOKUP(Table4[[#This Row],[Visitor]],'NHL Model'!$A$6:$B$38,2,FALSE)</f>
        <v>-1.1577943512279505</v>
      </c>
      <c r="J694">
        <f>($B$1+Table4[[#This Row],[Home Differential]])-Table4[[#This Row],[Away Differential]]</f>
        <v>0.87129560607187262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0.64388860184882746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-0.43769530535874146</v>
      </c>
      <c r="H695" t="s">
        <v>22</v>
      </c>
      <c r="I695">
        <f>VLOOKUP(Table4[[#This Row],[Visitor]],'NHL Model'!$A$6:$B$38,2,FALSE)</f>
        <v>0.15604658591703846</v>
      </c>
      <c r="J695">
        <f>($B$1+Table4[[#This Row],[Home Differential]])-Table4[[#This Row],[Away Differential]]</f>
        <v>-0.51031822433675722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0.54015522783763059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-0.40521943828179341</v>
      </c>
      <c r="H696" t="s">
        <v>35</v>
      </c>
      <c r="I696">
        <f>VLOOKUP(Table4[[#This Row],[Visitor]],'NHL Model'!$A$6:$B$38,2,FALSE)</f>
        <v>-1.5899576513683618</v>
      </c>
      <c r="J696">
        <f>($B$1+Table4[[#This Row],[Home Differential]])-Table4[[#This Row],[Away Differential]]</f>
        <v>1.2681618800255912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0.72800783471193986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-0.36992241209510063</v>
      </c>
      <c r="H697" t="s">
        <v>13</v>
      </c>
      <c r="I697">
        <f>VLOOKUP(Table4[[#This Row],[Visitor]],'NHL Model'!$A$6:$B$38,2,FALSE)</f>
        <v>-0.50197808897650842</v>
      </c>
      <c r="J697">
        <f>($B$1+Table4[[#This Row],[Home Differential]])-Table4[[#This Row],[Away Differential]]</f>
        <v>0.21547934382043055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0.50126591945345567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-0.41554817552415113</v>
      </c>
      <c r="H698" t="s">
        <v>15</v>
      </c>
      <c r="I698">
        <f>VLOOKUP(Table4[[#This Row],[Visitor]],'NHL Model'!$A$6:$B$38,2,FALSE)</f>
        <v>-0.39090512874251965</v>
      </c>
      <c r="J698">
        <f>($B$1+Table4[[#This Row],[Home Differential]])-Table4[[#This Row],[Away Differential]]</f>
        <v>5.8780620157391217E-2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0.4791650545735972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-0.90742746858300449</v>
      </c>
      <c r="H699" t="s">
        <v>31</v>
      </c>
      <c r="I699">
        <f>VLOOKUP(Table4[[#This Row],[Visitor]],'NHL Model'!$A$6:$B$38,2,FALSE)</f>
        <v>5.8616755922628279E-2</v>
      </c>
      <c r="J699">
        <f>($B$1+Table4[[#This Row],[Home Differential]])-Table4[[#This Row],[Away Differential]]</f>
        <v>-0.88262055756661006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0.58348024390673425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0.25962865313068506</v>
      </c>
      <c r="H700" t="s">
        <v>32</v>
      </c>
      <c r="I700">
        <f>VLOOKUP(Table4[[#This Row],[Visitor]],'NHL Model'!$A$6:$B$38,2,FALSE)</f>
        <v>-0.64744265535741874</v>
      </c>
      <c r="J700">
        <f>($B$1+Table4[[#This Row],[Home Differential]])-Table4[[#This Row],[Away Differential]]</f>
        <v>0.9904949754271265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0.69569559267138381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1.339787395621115</v>
      </c>
      <c r="H701" t="s">
        <v>28</v>
      </c>
      <c r="I701">
        <f>VLOOKUP(Table4[[#This Row],[Visitor]],'NHL Model'!$A$6:$B$38,2,FALSE)</f>
        <v>-0.9065542839469537</v>
      </c>
      <c r="J701">
        <f>($B$1+Table4[[#This Row],[Home Differential]])-Table4[[#This Row],[Away Differential]]</f>
        <v>2.3297653465070916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0.91122980257126707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-1.1577943512279505</v>
      </c>
      <c r="H702" t="s">
        <v>13</v>
      </c>
      <c r="I702">
        <f>VLOOKUP(Table4[[#This Row],[Visitor]],'NHL Model'!$A$6:$B$38,2,FALSE)</f>
        <v>-0.50197808897650842</v>
      </c>
      <c r="J702">
        <f>($B$1+Table4[[#This Row],[Home Differential]])-Table4[[#This Row],[Away Differential]]</f>
        <v>-0.57239259531241937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0.58584039312059888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-0.15603426337582751</v>
      </c>
      <c r="H703" t="s">
        <v>30</v>
      </c>
      <c r="I703">
        <f>VLOOKUP(Table4[[#This Row],[Visitor]],'NHL Model'!$A$6:$B$38,2,FALSE)</f>
        <v>-0.30740058470151932</v>
      </c>
      <c r="J703">
        <f>($B$1+Table4[[#This Row],[Home Differential]])-Table4[[#This Row],[Away Differential]]</f>
        <v>0.23478998826471453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0.508804114477588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-0.65770380103775494</v>
      </c>
      <c r="H704" t="s">
        <v>26</v>
      </c>
      <c r="I704">
        <f>VLOOKUP(Table4[[#This Row],[Visitor]],'NHL Model'!$A$6:$B$38,2,FALSE)</f>
        <v>-1.0708320987334559</v>
      </c>
      <c r="J704">
        <f>($B$1+Table4[[#This Row],[Home Differential]])-Table4[[#This Row],[Away Differential]]</f>
        <v>0.49655196463472362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0.57701477950089186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-1.4782515386602066</v>
      </c>
      <c r="H705" t="s">
        <v>10</v>
      </c>
      <c r="I705">
        <f>VLOOKUP(Table4[[#This Row],[Visitor]],'NHL Model'!$A$6:$B$38,2,FALSE)</f>
        <v>-0.43769530535874146</v>
      </c>
      <c r="J705">
        <f>($B$1+Table4[[#This Row],[Home Differential]])-Table4[[#This Row],[Away Differential]]</f>
        <v>-0.95713256636244248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0.57138201433809921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-0.53959086519270005</v>
      </c>
      <c r="H706" t="s">
        <v>11</v>
      </c>
      <c r="I706">
        <f>VLOOKUP(Table4[[#This Row],[Visitor]],'NHL Model'!$A$6:$B$38,2,FALSE)</f>
        <v>-0.57335522029781161</v>
      </c>
      <c r="J706">
        <f>($B$1+Table4[[#This Row],[Home Differential]])-Table4[[#This Row],[Away Differential]]</f>
        <v>0.11718802204413425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0.5561327102528868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-0.46667677612181552</v>
      </c>
      <c r="H707" t="s">
        <v>37</v>
      </c>
      <c r="I707">
        <f>VLOOKUP(Table4[[#This Row],[Visitor]],'NHL Model'!$A$6:$B$38,2,FALSE)</f>
        <v>0.23616512594450029</v>
      </c>
      <c r="J707">
        <f>($B$1+Table4[[#This Row],[Home Differential]])-Table4[[#This Row],[Away Differential]]</f>
        <v>-0.61941823512729299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0.58046191031075689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-0.22852375643476561</v>
      </c>
      <c r="H708" t="s">
        <v>16</v>
      </c>
      <c r="I708">
        <f>VLOOKUP(Table4[[#This Row],[Visitor]],'NHL Model'!$A$6:$B$38,2,FALSE)</f>
        <v>-1.2612222633157453</v>
      </c>
      <c r="J708">
        <f>($B$1+Table4[[#This Row],[Home Differential]])-Table4[[#This Row],[Away Differential]]</f>
        <v>1.1161221738200025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0.67237919681719838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-0.6620483089622381</v>
      </c>
      <c r="H709" t="s">
        <v>39</v>
      </c>
      <c r="I709">
        <f>VLOOKUP(Table4[[#This Row],[Visitor]],'NHL Model'!$A$6:$B$38,2,FALSE)</f>
        <v>0.10032544630879472</v>
      </c>
      <c r="J709">
        <f>($B$1+Table4[[#This Row],[Home Differential]])-Table4[[#This Row],[Away Differential]]</f>
        <v>-0.67895008833201009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0.64080752755821935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-1.054674343910232</v>
      </c>
      <c r="H710" t="s">
        <v>38</v>
      </c>
      <c r="I710">
        <f>VLOOKUP(Table4[[#This Row],[Visitor]],'NHL Model'!$A$6:$B$38,2,FALSE)</f>
        <v>-1.1317546087271064</v>
      </c>
      <c r="J710">
        <f>($B$1+Table4[[#This Row],[Home Differential]])-Table4[[#This Row],[Away Differential]]</f>
        <v>0.16050393175589717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0.53790869521138729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-0.42180143360631367</v>
      </c>
      <c r="H711" t="s">
        <v>35</v>
      </c>
      <c r="I711">
        <f>VLOOKUP(Table4[[#This Row],[Visitor]],'NHL Model'!$A$6:$B$38,2,FALSE)</f>
        <v>-1.5899576513683618</v>
      </c>
      <c r="J711">
        <f>($B$1+Table4[[#This Row],[Home Differential]])-Table4[[#This Row],[Away Differential]]</f>
        <v>1.2515798847010708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0.68564700184933691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-0.41554817552415113</v>
      </c>
      <c r="H712" t="s">
        <v>14</v>
      </c>
      <c r="I712">
        <f>VLOOKUP(Table4[[#This Row],[Visitor]],'NHL Model'!$A$6:$B$38,2,FALSE)</f>
        <v>-0.22852375643476561</v>
      </c>
      <c r="J712">
        <f>($B$1+Table4[[#This Row],[Home Differential]])-Table4[[#This Row],[Away Differential]]</f>
        <v>-0.10360075215036282</v>
      </c>
      <c r="K712" t="str">
        <f>IF(Table4[[#This Row],[HomeIce Differential]]&gt;0,Table4[[#This Row],[Home]],Table4[[#This Row],[Visitor]])</f>
        <v>Pittsburgh Penguins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0.4603319354562751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-1.4782515386602066</v>
      </c>
      <c r="H713" t="s">
        <v>22</v>
      </c>
      <c r="I713">
        <f>VLOOKUP(Table4[[#This Row],[Visitor]],'NHL Model'!$A$6:$B$38,2,FALSE)</f>
        <v>0.15604658591703846</v>
      </c>
      <c r="J713">
        <f>($B$1+Table4[[#This Row],[Home Differential]])-Table4[[#This Row],[Away Differential]]</f>
        <v>-1.5508744576382223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0.66124529766740814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-0.6620483089622381</v>
      </c>
      <c r="H714" t="s">
        <v>20</v>
      </c>
      <c r="I714">
        <f>VLOOKUP(Table4[[#This Row],[Visitor]],'NHL Model'!$A$6:$B$38,2,FALSE)</f>
        <v>-0.42180143360631367</v>
      </c>
      <c r="J714">
        <f>($B$1+Table4[[#This Row],[Home Differential]])-Table4[[#This Row],[Away Differential]]</f>
        <v>-0.15682320841690173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0.47824959829213842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-0.40521943828179341</v>
      </c>
      <c r="H715" t="s">
        <v>28</v>
      </c>
      <c r="I715">
        <f>VLOOKUP(Table4[[#This Row],[Visitor]],'NHL Model'!$A$6:$B$38,2,FALSE)</f>
        <v>-0.9065542839469537</v>
      </c>
      <c r="J715">
        <f>($B$1+Table4[[#This Row],[Home Differential]])-Table4[[#This Row],[Away Differential]]</f>
        <v>0.58475851260418299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0.64847982955992178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-0.36992241209510063</v>
      </c>
      <c r="H716" t="s">
        <v>24</v>
      </c>
      <c r="I716">
        <f>VLOOKUP(Table4[[#This Row],[Visitor]],'NHL Model'!$A$6:$B$38,2,FALSE)</f>
        <v>2.3143316481494557E-3</v>
      </c>
      <c r="J716">
        <f>($B$1+Table4[[#This Row],[Home Differential]])-Table4[[#This Row],[Away Differential]]</f>
        <v>-0.28881307680422735</v>
      </c>
      <c r="K716" t="str">
        <f>IF(Table4[[#This Row],[HomeIce Differential]]&gt;0,Table4[[#This Row],[Home]],Table4[[#This Row],[Visitor]])</f>
        <v>New Jersey Devils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0.51187019745998841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-0.90742746858300449</v>
      </c>
      <c r="H717" t="s">
        <v>11</v>
      </c>
      <c r="I717">
        <f>VLOOKUP(Table4[[#This Row],[Visitor]],'NHL Model'!$A$6:$B$38,2,FALSE)</f>
        <v>-0.57335522029781161</v>
      </c>
      <c r="J717">
        <f>($B$1+Table4[[#This Row],[Home Differential]])-Table4[[#This Row],[Away Differential]]</f>
        <v>-0.25064858134617019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0.48916810571750163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-0.43769530535874146</v>
      </c>
      <c r="H718" t="s">
        <v>17</v>
      </c>
      <c r="I718">
        <f>VLOOKUP(Table4[[#This Row],[Visitor]],'NHL Model'!$A$6:$B$38,2,FALSE)</f>
        <v>-1.1577943512279505</v>
      </c>
      <c r="J718">
        <f>($B$1+Table4[[#This Row],[Home Differential]])-Table4[[#This Row],[Away Differential]]</f>
        <v>0.80352271280823173</v>
      </c>
      <c r="K718" t="str">
        <f>IF(Table4[[#This Row],[HomeIce Differential]]&gt;0,Table4[[#This Row],[Home]],Table4[[#This Row],[Visitor]])</f>
        <v>Chicago Blackhawks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0.63350635582187909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1.339787395621115</v>
      </c>
      <c r="H719" t="s">
        <v>19</v>
      </c>
      <c r="I719">
        <f>VLOOKUP(Table4[[#This Row],[Visitor]],'NHL Model'!$A$6:$B$38,2,FALSE)</f>
        <v>-1.054674343910232</v>
      </c>
      <c r="J719">
        <f>($B$1+Table4[[#This Row],[Home Differential]])-Table4[[#This Row],[Away Differential]]</f>
        <v>2.4778854064703699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0.92846661095329708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-1.0708320987334559</v>
      </c>
      <c r="H720" t="s">
        <v>25</v>
      </c>
      <c r="I720">
        <f>VLOOKUP(Table4[[#This Row],[Visitor]],'NHL Model'!$A$6:$B$38,2,FALSE)</f>
        <v>0.25962865313068506</v>
      </c>
      <c r="J720">
        <f>($B$1+Table4[[#This Row],[Home Differential]])-Table4[[#This Row],[Away Differential]]</f>
        <v>-1.2470370849251182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0.67774152298557178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-0.50197808897650842</v>
      </c>
      <c r="H721" t="s">
        <v>39</v>
      </c>
      <c r="I721">
        <f>VLOOKUP(Table4[[#This Row],[Visitor]],'NHL Model'!$A$6:$B$38,2,FALSE)</f>
        <v>0.10032544630879472</v>
      </c>
      <c r="J721">
        <f>($B$1+Table4[[#This Row],[Home Differential]])-Table4[[#This Row],[Away Differential]]</f>
        <v>-0.51887986834628042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0.62218007284177224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-0.15603426337582751</v>
      </c>
      <c r="H722" t="s">
        <v>24</v>
      </c>
      <c r="I722">
        <f>VLOOKUP(Table4[[#This Row],[Visitor]],'NHL Model'!$A$6:$B$38,2,FALSE)</f>
        <v>2.3143316481494557E-3</v>
      </c>
      <c r="J722">
        <f>($B$1+Table4[[#This Row],[Home Differential]])-Table4[[#This Row],[Away Differential]]</f>
        <v>-7.492492808495424E-2</v>
      </c>
      <c r="K722" t="str">
        <f>IF(Table4[[#This Row],[HomeIce Differential]]&gt;0,Table4[[#This Row],[Home]],Table4[[#This Row],[Visitor]])</f>
        <v>New Jersey Devils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0.4753857194996044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-0.65770380103775494</v>
      </c>
      <c r="H723" t="s">
        <v>38</v>
      </c>
      <c r="I723">
        <f>VLOOKUP(Table4[[#This Row],[Visitor]],'NHL Model'!$A$6:$B$38,2,FALSE)</f>
        <v>-1.1317546087271064</v>
      </c>
      <c r="J723">
        <f>($B$1+Table4[[#This Row],[Home Differential]])-Table4[[#This Row],[Away Differential]]</f>
        <v>0.55747447462837418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0.58410436366101981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-0.39090512874251965</v>
      </c>
      <c r="H724" t="s">
        <v>32</v>
      </c>
      <c r="I724">
        <f>VLOOKUP(Table4[[#This Row],[Visitor]],'NHL Model'!$A$6:$B$38,2,FALSE)</f>
        <v>-0.64744265535741874</v>
      </c>
      <c r="J724">
        <f>($B$1+Table4[[#This Row],[Home Differential]])-Table4[[#This Row],[Away Differential]]</f>
        <v>0.33996119355392185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0.57956146083162474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-0.46667677612181552</v>
      </c>
      <c r="H725" t="s">
        <v>37</v>
      </c>
      <c r="I725">
        <f>VLOOKUP(Table4[[#This Row],[Visitor]],'NHL Model'!$A$6:$B$38,2,FALSE)</f>
        <v>0.23616512594450029</v>
      </c>
      <c r="J725">
        <f>($B$1+Table4[[#This Row],[Home Differential]])-Table4[[#This Row],[Away Differential]]</f>
        <v>-0.61941823512729299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0.58046191031075689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5.8616755922628279E-2</v>
      </c>
      <c r="H726" t="s">
        <v>39</v>
      </c>
      <c r="I726">
        <f>VLOOKUP(Table4[[#This Row],[Visitor]],'NHL Model'!$A$6:$B$38,2,FALSE)</f>
        <v>0.10032544630879472</v>
      </c>
      <c r="J726">
        <f>($B$1+Table4[[#This Row],[Home Differential]])-Table4[[#This Row],[Away Differential]]</f>
        <v>4.1714976552856275E-2</v>
      </c>
      <c r="K726" t="str">
        <f>IF(Table4[[#This Row],[HomeIce Differential]]&gt;0,Table4[[#This Row],[Home]],Table4[[#This Row],[Visitor]])</f>
        <v>Anaheim Ducks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0.52485439350808205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-0.41554817552415113</v>
      </c>
      <c r="H727" t="s">
        <v>26</v>
      </c>
      <c r="I727">
        <f>VLOOKUP(Table4[[#This Row],[Visitor]],'NHL Model'!$A$6:$B$38,2,FALSE)</f>
        <v>-1.0708320987334559</v>
      </c>
      <c r="J727">
        <f>($B$1+Table4[[#This Row],[Home Differential]])-Table4[[#This Row],[Away Differential]]</f>
        <v>0.73870759014832743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0.6376879242331368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-0.9065542839469537</v>
      </c>
      <c r="H728" t="s">
        <v>16</v>
      </c>
      <c r="I728">
        <f>VLOOKUP(Table4[[#This Row],[Visitor]],'NHL Model'!$A$6:$B$38,2,FALSE)</f>
        <v>-1.2612222633157453</v>
      </c>
      <c r="J728">
        <f>($B$1+Table4[[#This Row],[Home Differential]])-Table4[[#This Row],[Away Differential]]</f>
        <v>0.43809164630781428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0.59098095263428829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-1.4782515386602066</v>
      </c>
      <c r="H729" t="s">
        <v>17</v>
      </c>
      <c r="I729">
        <f>VLOOKUP(Table4[[#This Row],[Visitor]],'NHL Model'!$A$6:$B$38,2,FALSE)</f>
        <v>-1.1577943512279505</v>
      </c>
      <c r="J729">
        <f>($B$1+Table4[[#This Row],[Home Differential]])-Table4[[#This Row],[Away Differential]]</f>
        <v>-0.23703352049323345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0.48758371400789846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-0.53959086519270005</v>
      </c>
      <c r="H730" t="s">
        <v>38</v>
      </c>
      <c r="I730">
        <f>VLOOKUP(Table4[[#This Row],[Visitor]],'NHL Model'!$A$6:$B$38,2,FALSE)</f>
        <v>-1.1317546087271064</v>
      </c>
      <c r="J730">
        <f>($B$1+Table4[[#This Row],[Home Differential]])-Table4[[#This Row],[Away Differential]]</f>
        <v>0.67558741047342907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0.6003575886134338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-0.22852375643476561</v>
      </c>
      <c r="H731" t="s">
        <v>37</v>
      </c>
      <c r="I731">
        <f>VLOOKUP(Table4[[#This Row],[Visitor]],'NHL Model'!$A$6:$B$38,2,FALSE)</f>
        <v>0.23616512594450029</v>
      </c>
      <c r="J731">
        <f>($B$1+Table4[[#This Row],[Home Differential]])-Table4[[#This Row],[Away Differential]]</f>
        <v>-0.38126521544024317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0.582829569793055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-1.5899576513683618</v>
      </c>
      <c r="H732" t="s">
        <v>25</v>
      </c>
      <c r="I732">
        <f>VLOOKUP(Table4[[#This Row],[Visitor]],'NHL Model'!$A$6:$B$38,2,FALSE)</f>
        <v>0.25962865313068506</v>
      </c>
      <c r="J732">
        <f>($B$1+Table4[[#This Row],[Home Differential]])-Table4[[#This Row],[Away Differential]]</f>
        <v>-1.7661626375600241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0.73815243342674808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-0.40521943828179341</v>
      </c>
      <c r="H733" t="s">
        <v>19</v>
      </c>
      <c r="I733">
        <f>VLOOKUP(Table4[[#This Row],[Visitor]],'NHL Model'!$A$6:$B$38,2,FALSE)</f>
        <v>-1.054674343910232</v>
      </c>
      <c r="J733">
        <f>($B$1+Table4[[#This Row],[Home Differential]])-Table4[[#This Row],[Away Differential]]</f>
        <v>0.73287857256746125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0.66571663794195168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-0.36992241209510063</v>
      </c>
      <c r="H734" t="s">
        <v>30</v>
      </c>
      <c r="I734">
        <f>VLOOKUP(Table4[[#This Row],[Visitor]],'NHL Model'!$A$6:$B$38,2,FALSE)</f>
        <v>-0.30740058470151932</v>
      </c>
      <c r="J734">
        <f>($B$1+Table4[[#This Row],[Home Differential]])-Table4[[#This Row],[Away Differential]]</f>
        <v>2.0901839545441447E-2</v>
      </c>
      <c r="K734" t="str">
        <f>IF(Table4[[#This Row],[HomeIce Differential]]&gt;0,Table4[[#This Row],[Home]],Table4[[#This Row],[Visitor]])</f>
        <v>Winnipeg Jets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0.47231187600656238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0.15604658591703846</v>
      </c>
      <c r="H735" t="s">
        <v>18</v>
      </c>
      <c r="I735">
        <f>VLOOKUP(Table4[[#This Row],[Visitor]],'NHL Model'!$A$6:$B$38,2,FALSE)</f>
        <v>-0.65770380103775494</v>
      </c>
      <c r="J735">
        <f>($B$1+Table4[[#This Row],[Home Differential]])-Table4[[#This Row],[Away Differential]]</f>
        <v>0.8971740538938161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0.58969872871817663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-0.90742746858300449</v>
      </c>
      <c r="H736" t="s">
        <v>27</v>
      </c>
      <c r="I736">
        <f>VLOOKUP(Table4[[#This Row],[Visitor]],'NHL Model'!$A$6:$B$38,2,FALSE)</f>
        <v>-0.46667677612181552</v>
      </c>
      <c r="J736">
        <f>($B$1+Table4[[#This Row],[Home Differential]])-Table4[[#This Row],[Away Differential]]</f>
        <v>-0.35732702552216628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0.52235156249508385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-0.50197808897650842</v>
      </c>
      <c r="H737" t="s">
        <v>20</v>
      </c>
      <c r="I737">
        <f>VLOOKUP(Table4[[#This Row],[Visitor]],'NHL Model'!$A$6:$B$38,2,FALSE)</f>
        <v>-0.42180143360631367</v>
      </c>
      <c r="J737">
        <f>($B$1+Table4[[#This Row],[Home Differential]])-Table4[[#This Row],[Away Differential]]</f>
        <v>3.2470115688279511E-3</v>
      </c>
      <c r="K737" t="str">
        <f>IF(Table4[[#This Row],[HomeIce Differential]]&gt;0,Table4[[#This Row],[Home]],Table4[[#This Row],[Visitor]])</f>
        <v>Los Angeles Kings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0.5403778564243088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2.3143316481494557E-3</v>
      </c>
      <c r="H738" t="s">
        <v>32</v>
      </c>
      <c r="I738">
        <f>VLOOKUP(Table4[[#This Row],[Visitor]],'NHL Model'!$A$6:$B$38,2,FALSE)</f>
        <v>-0.64744265535741874</v>
      </c>
      <c r="J738">
        <f>($B$1+Table4[[#This Row],[Home Differential]])-Table4[[#This Row],[Away Differential]]</f>
        <v>0.73318065394459087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0.74708531974510339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-0.39090512874251965</v>
      </c>
      <c r="H739" t="s">
        <v>36</v>
      </c>
      <c r="I739">
        <f>VLOOKUP(Table4[[#This Row],[Visitor]],'NHL Model'!$A$6:$B$38,2,FALSE)</f>
        <v>-0.53959086519270005</v>
      </c>
      <c r="J739">
        <f>($B$1+Table4[[#This Row],[Home Differential]])-Table4[[#This Row],[Away Differential]]</f>
        <v>0.23210940338920316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0.56618119885301321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-0.41554817552415113</v>
      </c>
      <c r="H740" t="s">
        <v>32</v>
      </c>
      <c r="I740">
        <f>VLOOKUP(Table4[[#This Row],[Visitor]],'NHL Model'!$A$6:$B$38,2,FALSE)</f>
        <v>-0.64744265535741874</v>
      </c>
      <c r="J740">
        <f>($B$1+Table4[[#This Row],[Home Differential]])-Table4[[#This Row],[Away Differential]]</f>
        <v>0.31531814677229031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0.60893980247460888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-0.90742746858300449</v>
      </c>
      <c r="H741" t="s">
        <v>18</v>
      </c>
      <c r="I741">
        <f>VLOOKUP(Table4[[#This Row],[Visitor]],'NHL Model'!$A$6:$B$38,2,FALSE)</f>
        <v>-0.65770380103775494</v>
      </c>
      <c r="J741">
        <f>($B$1+Table4[[#This Row],[Home Differential]])-Table4[[#This Row],[Away Differential]]</f>
        <v>-0.16630000060622685</v>
      </c>
      <c r="K741" t="str">
        <f>IF(Table4[[#This Row],[HomeIce Differential]]&gt;0,Table4[[#This Row],[Home]],Table4[[#This Row],[Visitor]])</f>
        <v>Montreal Canadiens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0.56031068645950899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-0.9065542839469537</v>
      </c>
      <c r="H742" t="s">
        <v>38</v>
      </c>
      <c r="I742">
        <f>VLOOKUP(Table4[[#This Row],[Visitor]],'NHL Model'!$A$6:$B$38,2,FALSE)</f>
        <v>-1.1317546087271064</v>
      </c>
      <c r="J742">
        <f>($B$1+Table4[[#This Row],[Home Differential]])-Table4[[#This Row],[Away Differential]]</f>
        <v>0.30862399171917543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0.55514550359341719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-0.43769530535874146</v>
      </c>
      <c r="H743" t="s">
        <v>16</v>
      </c>
      <c r="I743">
        <f>VLOOKUP(Table4[[#This Row],[Visitor]],'NHL Model'!$A$6:$B$38,2,FALSE)</f>
        <v>-1.2612222633157453</v>
      </c>
      <c r="J743">
        <f>($B$1+Table4[[#This Row],[Home Differential]])-Table4[[#This Row],[Away Differential]]</f>
        <v>0.90695062489602651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0.6455423157212522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-1.1577943512279505</v>
      </c>
      <c r="H744" t="s">
        <v>30</v>
      </c>
      <c r="I744">
        <f>VLOOKUP(Table4[[#This Row],[Visitor]],'NHL Model'!$A$6:$B$38,2,FALSE)</f>
        <v>-0.30740058470151932</v>
      </c>
      <c r="J744">
        <f>($B$1+Table4[[#This Row],[Home Differential]])-Table4[[#This Row],[Away Differential]]</f>
        <v>-0.76697009958740847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0.61480015447401037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-0.15603426337582751</v>
      </c>
      <c r="H745" t="s">
        <v>40</v>
      </c>
      <c r="I745">
        <f>VLOOKUP(Table4[[#This Row],[Visitor]],'NHL Model'!$A$6:$B$38,2,FALSE)</f>
        <v>-0.36992241209510063</v>
      </c>
      <c r="J745">
        <f>($B$1+Table4[[#This Row],[Home Differential]])-Table4[[#This Row],[Away Differential]]</f>
        <v>0.29731181565829584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0.56793166388684491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-0.22852375643476561</v>
      </c>
      <c r="H746" t="s">
        <v>27</v>
      </c>
      <c r="I746">
        <f>VLOOKUP(Table4[[#This Row],[Visitor]],'NHL Model'!$A$6:$B$38,2,FALSE)</f>
        <v>-0.46667677612181552</v>
      </c>
      <c r="J746">
        <f>($B$1+Table4[[#This Row],[Home Differential]])-Table4[[#This Row],[Away Differential]]</f>
        <v>0.32157668662607264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0.55916117663754483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-0.40521943828179341</v>
      </c>
      <c r="H747" t="s">
        <v>39</v>
      </c>
      <c r="I747">
        <f>VLOOKUP(Table4[[#This Row],[Visitor]],'NHL Model'!$A$6:$B$38,2,FALSE)</f>
        <v>0.10032544630879472</v>
      </c>
      <c r="J747">
        <f>($B$1+Table4[[#This Row],[Home Differential]])-Table4[[#This Row],[Away Differential]]</f>
        <v>-0.42212121765156541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0.57017509712786119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-0.42180143360631367</v>
      </c>
      <c r="H748" t="s">
        <v>19</v>
      </c>
      <c r="I748">
        <f>VLOOKUP(Table4[[#This Row],[Visitor]],'NHL Model'!$A$6:$B$38,2,FALSE)</f>
        <v>-1.054674343910232</v>
      </c>
      <c r="J748">
        <f>($B$1+Table4[[#This Row],[Home Differential]])-Table4[[#This Row],[Away Differential]]</f>
        <v>0.71629657724294105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0.62335580507934885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0.15604658591703846</v>
      </c>
      <c r="H749" t="s">
        <v>33</v>
      </c>
      <c r="I749">
        <f>VLOOKUP(Table4[[#This Row],[Visitor]],'NHL Model'!$A$6:$B$38,2,FALSE)</f>
        <v>-0.6620483089622381</v>
      </c>
      <c r="J749">
        <f>($B$1+Table4[[#This Row],[Home Differential]])-Table4[[#This Row],[Away Differential]]</f>
        <v>0.90151856181829926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0.67094791956595301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0.25962865313068506</v>
      </c>
      <c r="H750" t="s">
        <v>11</v>
      </c>
      <c r="I750">
        <f>VLOOKUP(Table4[[#This Row],[Visitor]],'NHL Model'!$A$6:$B$38,2,FALSE)</f>
        <v>-0.57335522029781161</v>
      </c>
      <c r="J750">
        <f>($B$1+Table4[[#This Row],[Home Differential]])-Table4[[#This Row],[Away Differential]]</f>
        <v>0.91640754036751937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0.68707399933719837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1.339787395621115</v>
      </c>
      <c r="H751" t="s">
        <v>29</v>
      </c>
      <c r="I751">
        <f>VLOOKUP(Table4[[#This Row],[Visitor]],'NHL Model'!$A$6:$B$38,2,FALSE)</f>
        <v>-1.4782515386602066</v>
      </c>
      <c r="J751">
        <f>($B$1+Table4[[#This Row],[Home Differential]])-Table4[[#This Row],[Away Differential]]</f>
        <v>2.9014626012203442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0.97775850931408059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-1.0708320987334559</v>
      </c>
      <c r="H752" t="s">
        <v>33</v>
      </c>
      <c r="I752">
        <f>VLOOKUP(Table4[[#This Row],[Visitor]],'NHL Model'!$A$6:$B$38,2,FALSE)</f>
        <v>-0.6620483089622381</v>
      </c>
      <c r="J752">
        <f>($B$1+Table4[[#This Row],[Home Differential]])-Table4[[#This Row],[Away Differential]]</f>
        <v>-0.32536012283219506</v>
      </c>
      <c r="K752" t="str">
        <f>IF(Table4[[#This Row],[HomeIce Differential]]&gt;0,Table4[[#This Row],[Home]],Table4[[#This Row],[Visitor]])</f>
        <v>San Jose Sharks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0.49786232664098734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-0.50197808897650842</v>
      </c>
      <c r="H753" t="s">
        <v>31</v>
      </c>
      <c r="I753">
        <f>VLOOKUP(Table4[[#This Row],[Visitor]],'NHL Model'!$A$6:$B$38,2,FALSE)</f>
        <v>5.8616755922628279E-2</v>
      </c>
      <c r="J753">
        <f>($B$1+Table4[[#This Row],[Home Differential]])-Table4[[#This Row],[Away Differential]]</f>
        <v>-0.47717117796011399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0.536297888818418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-1.5899576513683618</v>
      </c>
      <c r="H754" t="s">
        <v>37</v>
      </c>
      <c r="I754">
        <f>VLOOKUP(Table4[[#This Row],[Visitor]],'NHL Model'!$A$6:$B$38,2,FALSE)</f>
        <v>0.23616512594450029</v>
      </c>
      <c r="J754">
        <f>($B$1+Table4[[#This Row],[Home Differential]])-Table4[[#This Row],[Away Differential]]</f>
        <v>-1.7426991103738394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0.7437570703956442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5.8616755922628279E-2</v>
      </c>
      <c r="H755" t="s">
        <v>13</v>
      </c>
      <c r="I755">
        <f>VLOOKUP(Table4[[#This Row],[Visitor]],'NHL Model'!$A$6:$B$38,2,FALSE)</f>
        <v>-0.50197808897650842</v>
      </c>
      <c r="J755">
        <f>($B$1+Table4[[#This Row],[Home Differential]])-Table4[[#This Row],[Away Differential]]</f>
        <v>0.64401851183815939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0.63050032458809935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-0.90742746858300449</v>
      </c>
      <c r="H756" t="s">
        <v>34</v>
      </c>
      <c r="I756">
        <f>VLOOKUP(Table4[[#This Row],[Visitor]],'NHL Model'!$A$6:$B$38,2,FALSE)</f>
        <v>-0.15603426337582751</v>
      </c>
      <c r="J756">
        <f>($B$1+Table4[[#This Row],[Home Differential]])-Table4[[#This Row],[Away Differential]]</f>
        <v>-0.66796953826815431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0.58024452524384273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-1.2612222633157453</v>
      </c>
      <c r="H757" t="s">
        <v>30</v>
      </c>
      <c r="I757">
        <f>VLOOKUP(Table4[[#This Row],[Visitor]],'NHL Model'!$A$6:$B$38,2,FALSE)</f>
        <v>-0.30740058470151932</v>
      </c>
      <c r="J757">
        <f>($B$1+Table4[[#This Row],[Home Differential]])-Table4[[#This Row],[Away Differential]]</f>
        <v>-0.87039801167520325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0.63391183822576525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-0.43769530535874146</v>
      </c>
      <c r="H758" t="s">
        <v>21</v>
      </c>
      <c r="I758">
        <f>VLOOKUP(Table4[[#This Row],[Visitor]],'NHL Model'!$A$6:$B$38,2,FALSE)</f>
        <v>-0.41554817552415113</v>
      </c>
      <c r="J758">
        <f>($B$1+Table4[[#This Row],[Home Differential]])-Table4[[#This Row],[Away Differential]]</f>
        <v>6.1276537104432371E-2</v>
      </c>
      <c r="K758" t="str">
        <f>IF(Table4[[#This Row],[HomeIce Differential]]&gt;0,Table4[[#This Row],[Home]],Table4[[#This Row],[Visitor]])</f>
        <v>Chicago Blackhawks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0.54630128939150235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2.3143316481494557E-3</v>
      </c>
      <c r="H759" t="s">
        <v>25</v>
      </c>
      <c r="I759">
        <f>VLOOKUP(Table4[[#This Row],[Visitor]],'NHL Model'!$A$6:$B$38,2,FALSE)</f>
        <v>0.25962865313068506</v>
      </c>
      <c r="J759">
        <f>($B$1+Table4[[#This Row],[Home Differential]])-Table4[[#This Row],[Away Differential]]</f>
        <v>-0.17389065454351288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0.42632711642922794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-0.53959086519270005</v>
      </c>
      <c r="H760" t="s">
        <v>18</v>
      </c>
      <c r="I760">
        <f>VLOOKUP(Table4[[#This Row],[Visitor]],'NHL Model'!$A$6:$B$38,2,FALSE)</f>
        <v>-0.65770380103775494</v>
      </c>
      <c r="J760">
        <f>($B$1+Table4[[#This Row],[Home Differential]])-Table4[[#This Row],[Away Differential]]</f>
        <v>0.20153660278407759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0.48499138077854059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-0.46667677612181552</v>
      </c>
      <c r="H761" t="s">
        <v>15</v>
      </c>
      <c r="I761">
        <f>VLOOKUP(Table4[[#This Row],[Visitor]],'NHL Model'!$A$6:$B$38,2,FALSE)</f>
        <v>-0.39090512874251965</v>
      </c>
      <c r="J761">
        <f>($B$1+Table4[[#This Row],[Home Differential]])-Table4[[#This Row],[Away Differential]]</f>
        <v>7.6520195597268859E-3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0.4732151927415012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-0.22852375643476561</v>
      </c>
      <c r="H762" t="s">
        <v>28</v>
      </c>
      <c r="I762">
        <f>VLOOKUP(Table4[[#This Row],[Visitor]],'NHL Model'!$A$6:$B$38,2,FALSE)</f>
        <v>-0.9065542839469537</v>
      </c>
      <c r="J762">
        <f>($B$1+Table4[[#This Row],[Home Differential]])-Table4[[#This Row],[Away Differential]]</f>
        <v>0.76145419445121076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0.63110629967458842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-0.40521943828179341</v>
      </c>
      <c r="H763" t="s">
        <v>32</v>
      </c>
      <c r="I763">
        <f>VLOOKUP(Table4[[#This Row],[Visitor]],'NHL Model'!$A$6:$B$38,2,FALSE)</f>
        <v>-0.64744265535741874</v>
      </c>
      <c r="J763">
        <f>($B$1+Table4[[#This Row],[Home Differential]])-Table4[[#This Row],[Away Differential]]</f>
        <v>0.32564688401464803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0.61832687463497249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-1.1317546087271064</v>
      </c>
      <c r="H764" t="s">
        <v>17</v>
      </c>
      <c r="I764">
        <f>VLOOKUP(Table4[[#This Row],[Visitor]],'NHL Model'!$A$6:$B$38,2,FALSE)</f>
        <v>-1.1577943512279505</v>
      </c>
      <c r="J764">
        <f>($B$1+Table4[[#This Row],[Home Differential]])-Table4[[#This Row],[Away Differential]]</f>
        <v>0.10946340943986677</v>
      </c>
      <c r="K764" t="str">
        <f>IF(Table4[[#This Row],[HomeIce Differential]]&gt;0,Table4[[#This Row],[Home]],Table4[[#This Row],[Visitor]])</f>
        <v>Vancouver Canucks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0.55273831386394556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-0.42180143360631367</v>
      </c>
      <c r="H765" t="s">
        <v>29</v>
      </c>
      <c r="I765">
        <f>VLOOKUP(Table4[[#This Row],[Visitor]],'NHL Model'!$A$6:$B$38,2,FALSE)</f>
        <v>-1.4782515386602066</v>
      </c>
      <c r="J765">
        <f>($B$1+Table4[[#This Row],[Home Differential]])-Table4[[#This Row],[Away Differential]]</f>
        <v>1.1398737719929157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0.67264770344013247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-0.36992241209510063</v>
      </c>
      <c r="H766" t="s">
        <v>19</v>
      </c>
      <c r="I766">
        <f>VLOOKUP(Table4[[#This Row],[Visitor]],'NHL Model'!$A$6:$B$38,2,FALSE)</f>
        <v>-1.054674343910232</v>
      </c>
      <c r="J766">
        <f>($B$1+Table4[[#This Row],[Home Differential]])-Table4[[#This Row],[Away Differential]]</f>
        <v>0.76817559875415409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0.63188847298762041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0.15604658591703846</v>
      </c>
      <c r="H767" t="s">
        <v>11</v>
      </c>
      <c r="I767">
        <f>VLOOKUP(Table4[[#This Row],[Visitor]],'NHL Model'!$A$6:$B$38,2,FALSE)</f>
        <v>-0.57335522029781161</v>
      </c>
      <c r="J767">
        <f>($B$1+Table4[[#This Row],[Home Differential]])-Table4[[#This Row],[Away Differential]]</f>
        <v>0.81282547315387277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0.66062665872864224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0.10032544630879472</v>
      </c>
      <c r="H768" t="s">
        <v>37</v>
      </c>
      <c r="I768">
        <f>VLOOKUP(Table4[[#This Row],[Visitor]],'NHL Model'!$A$6:$B$38,2,FALSE)</f>
        <v>0.23616512594450029</v>
      </c>
      <c r="J768">
        <f>($B$1+Table4[[#This Row],[Home Differential]])-Table4[[#This Row],[Away Differential]]</f>
        <v>-5.2416012696682834E-2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0.52783880908213643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-1.0708320987334559</v>
      </c>
      <c r="H769" t="s">
        <v>36</v>
      </c>
      <c r="I769">
        <f>VLOOKUP(Table4[[#This Row],[Visitor]],'NHL Model'!$A$6:$B$38,2,FALSE)</f>
        <v>-0.53959086519270005</v>
      </c>
      <c r="J769">
        <f>($B$1+Table4[[#This Row],[Home Differential]])-Table4[[#This Row],[Away Differential]]</f>
        <v>-0.44781756660173311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0.51294225612272426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-1.1577943512279505</v>
      </c>
      <c r="H770" t="s">
        <v>35</v>
      </c>
      <c r="I770">
        <f>VLOOKUP(Table4[[#This Row],[Visitor]],'NHL Model'!$A$6:$B$38,2,FALSE)</f>
        <v>-1.5899576513683618</v>
      </c>
      <c r="J770">
        <f>($B$1+Table4[[#This Row],[Home Differential]])-Table4[[#This Row],[Away Differential]]</f>
        <v>0.51558696707943397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0.60704507526041573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5.8616755922628279E-2</v>
      </c>
      <c r="H771" t="s">
        <v>15</v>
      </c>
      <c r="I771">
        <f>VLOOKUP(Table4[[#This Row],[Visitor]],'NHL Model'!$A$6:$B$38,2,FALSE)</f>
        <v>-0.39090512874251965</v>
      </c>
      <c r="J771">
        <f>($B$1+Table4[[#This Row],[Home Differential]])-Table4[[#This Row],[Away Differential]]</f>
        <v>0.53294555160417068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0.58375828134070173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0.25962865313068506</v>
      </c>
      <c r="H772" t="s">
        <v>23</v>
      </c>
      <c r="I772">
        <f>VLOOKUP(Table4[[#This Row],[Visitor]],'NHL Model'!$A$6:$B$38,2,FALSE)</f>
        <v>-0.90742746858300449</v>
      </c>
      <c r="J772">
        <f>($B$1+Table4[[#This Row],[Home Differential]])-Table4[[#This Row],[Away Differential]]</f>
        <v>1.2504797886527124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0.72595016054637829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-1.2612222633157453</v>
      </c>
      <c r="H773" t="s">
        <v>24</v>
      </c>
      <c r="I773">
        <f>VLOOKUP(Table4[[#This Row],[Visitor]],'NHL Model'!$A$6:$B$38,2,FALSE)</f>
        <v>2.3143316481494557E-3</v>
      </c>
      <c r="J773">
        <f>($B$1+Table4[[#This Row],[Home Differential]])-Table4[[#This Row],[Away Differential]]</f>
        <v>-1.1801129280248721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0.61809958571618406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-0.43769530535874146</v>
      </c>
      <c r="H774" t="s">
        <v>40</v>
      </c>
      <c r="I774">
        <f>VLOOKUP(Table4[[#This Row],[Visitor]],'NHL Model'!$A$6:$B$38,2,FALSE)</f>
        <v>-0.36992241209510063</v>
      </c>
      <c r="J774">
        <f>($B$1+Table4[[#This Row],[Home Differential]])-Table4[[#This Row],[Away Differential]]</f>
        <v>1.5650773675381868E-2</v>
      </c>
      <c r="K774" t="str">
        <f>IF(Table4[[#This Row],[HomeIce Differential]]&gt;0,Table4[[#This Row],[Home]],Table4[[#This Row],[Visitor]])</f>
        <v>Chicago Blackhawks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0.52105205789983922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1.339787395621115</v>
      </c>
      <c r="H775" t="s">
        <v>22</v>
      </c>
      <c r="I775">
        <f>VLOOKUP(Table4[[#This Row],[Visitor]],'NHL Model'!$A$6:$B$38,2,FALSE)</f>
        <v>0.15604658591703846</v>
      </c>
      <c r="J775">
        <f>($B$1+Table4[[#This Row],[Home Differential]])-Table4[[#This Row],[Away Differential]]</f>
        <v>1.2671644766430994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0.76815024408810384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-0.57335522029781161</v>
      </c>
      <c r="H776" t="s">
        <v>33</v>
      </c>
      <c r="I776">
        <f>VLOOKUP(Table4[[#This Row],[Visitor]],'NHL Model'!$A$6:$B$38,2,FALSE)</f>
        <v>-0.6620483089622381</v>
      </c>
      <c r="J776">
        <f>($B$1+Table4[[#This Row],[Home Differential]])-Table4[[#This Row],[Away Differential]]</f>
        <v>0.17211675560344919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0.57404593682760408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-0.64744265535741874</v>
      </c>
      <c r="H777" t="s">
        <v>14</v>
      </c>
      <c r="I777">
        <f>VLOOKUP(Table4[[#This Row],[Visitor]],'NHL Model'!$A$6:$B$38,2,FALSE)</f>
        <v>-0.22852375643476561</v>
      </c>
      <c r="J777">
        <f>($B$1+Table4[[#This Row],[Home Differential]])-Table4[[#This Row],[Away Differential]]</f>
        <v>-0.3354952319836304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0.51730262412715988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-1.054674343910232</v>
      </c>
      <c r="H778" t="s">
        <v>34</v>
      </c>
      <c r="I778">
        <f>VLOOKUP(Table4[[#This Row],[Visitor]],'NHL Model'!$A$6:$B$38,2,FALSE)</f>
        <v>-0.15603426337582751</v>
      </c>
      <c r="J778">
        <f>($B$1+Table4[[#This Row],[Home Differential]])-Table4[[#This Row],[Away Differential]]</f>
        <v>-0.81521641359538177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0.59737972067582756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-1.1317546087271064</v>
      </c>
      <c r="H779" t="s">
        <v>30</v>
      </c>
      <c r="I779">
        <f>VLOOKUP(Table4[[#This Row],[Visitor]],'NHL Model'!$A$6:$B$38,2,FALSE)</f>
        <v>-0.30740058470151932</v>
      </c>
      <c r="J779">
        <f>($B$1+Table4[[#This Row],[Home Differential]])-Table4[[#This Row],[Away Differential]]</f>
        <v>-0.74093035708656441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0.6188456199541249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-0.42180143360631367</v>
      </c>
      <c r="H780" t="s">
        <v>27</v>
      </c>
      <c r="I780">
        <f>VLOOKUP(Table4[[#This Row],[Visitor]],'NHL Model'!$A$6:$B$38,2,FALSE)</f>
        <v>-0.46667677612181552</v>
      </c>
      <c r="J780">
        <f>($B$1+Table4[[#This Row],[Home Differential]])-Table4[[#This Row],[Away Differential]]</f>
        <v>0.1282990094545246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0.53416099166060194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-0.9065542839469537</v>
      </c>
      <c r="H781" t="s">
        <v>36</v>
      </c>
      <c r="I781">
        <f>VLOOKUP(Table4[[#This Row],[Visitor]],'NHL Model'!$A$6:$B$38,2,FALSE)</f>
        <v>-0.53959086519270005</v>
      </c>
      <c r="J781">
        <f>($B$1+Table4[[#This Row],[Home Differential]])-Table4[[#This Row],[Away Differential]]</f>
        <v>-0.28353975181523094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0.49382516141188254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0.10032544630879472</v>
      </c>
      <c r="H782" t="s">
        <v>21</v>
      </c>
      <c r="I782">
        <f>VLOOKUP(Table4[[#This Row],[Visitor]],'NHL Model'!$A$6:$B$38,2,FALSE)</f>
        <v>-0.41554817552415113</v>
      </c>
      <c r="J782">
        <f>($B$1+Table4[[#This Row],[Home Differential]])-Table4[[#This Row],[Away Differential]]</f>
        <v>0.59929728877196853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0.62802274564378591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-1.1577943512279505</v>
      </c>
      <c r="H783" t="s">
        <v>24</v>
      </c>
      <c r="I783">
        <f>VLOOKUP(Table4[[#This Row],[Visitor]],'NHL Model'!$A$6:$B$38,2,FALSE)</f>
        <v>2.3143316481494557E-3</v>
      </c>
      <c r="J783">
        <f>($B$1+Table4[[#This Row],[Home Differential]])-Table4[[#This Row],[Away Differential]]</f>
        <v>-1.0766850159370773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0.59897860557389593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-0.50197808897650842</v>
      </c>
      <c r="H784" t="s">
        <v>15</v>
      </c>
      <c r="I784">
        <f>VLOOKUP(Table4[[#This Row],[Visitor]],'NHL Model'!$A$6:$B$38,2,FALSE)</f>
        <v>-0.39090512874251965</v>
      </c>
      <c r="J784">
        <f>($B$1+Table4[[#This Row],[Home Differential]])-Table4[[#This Row],[Away Differential]]</f>
        <v>-2.7649293294966071E-2</v>
      </c>
      <c r="K784" t="str">
        <f>IF(Table4[[#This Row],[HomeIce Differential]]&gt;0,Table4[[#This Row],[Home]],Table4[[#This Row],[Visitor]])</f>
        <v>New York Rangers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0.56329902903005846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-0.65770380103775494</v>
      </c>
      <c r="H785" t="s">
        <v>34</v>
      </c>
      <c r="I785">
        <f>VLOOKUP(Table4[[#This Row],[Visitor]],'NHL Model'!$A$6:$B$38,2,FALSE)</f>
        <v>-0.15603426337582751</v>
      </c>
      <c r="J785">
        <f>($B$1+Table4[[#This Row],[Home Differential]])-Table4[[#This Row],[Away Differential]]</f>
        <v>-0.41824587072290476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0.55118405222619504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-1.4782515386602066</v>
      </c>
      <c r="H786" t="s">
        <v>23</v>
      </c>
      <c r="I786">
        <f>VLOOKUP(Table4[[#This Row],[Visitor]],'NHL Model'!$A$6:$B$38,2,FALSE)</f>
        <v>-0.90742746858300449</v>
      </c>
      <c r="J786">
        <f>($B$1+Table4[[#This Row],[Home Differential]])-Table4[[#This Row],[Away Differential]]</f>
        <v>-0.48740040313817945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0.51671903830109012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0.23616512594450029</v>
      </c>
      <c r="H787" t="s">
        <v>33</v>
      </c>
      <c r="I787">
        <f>VLOOKUP(Table4[[#This Row],[Visitor]],'NHL Model'!$A$6:$B$38,2,FALSE)</f>
        <v>-0.6620483089622381</v>
      </c>
      <c r="J787">
        <f>($B$1+Table4[[#This Row],[Home Differential]])-Table4[[#This Row],[Away Differential]]</f>
        <v>0.98163710184576114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0.68647968567991702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-0.36992241209510063</v>
      </c>
      <c r="H788" t="s">
        <v>35</v>
      </c>
      <c r="I788">
        <f>VLOOKUP(Table4[[#This Row],[Visitor]],'NHL Model'!$A$6:$B$38,2,FALSE)</f>
        <v>-1.5899576513683618</v>
      </c>
      <c r="J788">
        <f>($B$1+Table4[[#This Row],[Home Differential]])-Table4[[#This Row],[Away Differential]]</f>
        <v>1.3034589062122839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0.69417966975760859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-1.2612222633157453</v>
      </c>
      <c r="H789" t="s">
        <v>14</v>
      </c>
      <c r="I789">
        <f>VLOOKUP(Table4[[#This Row],[Visitor]],'NHL Model'!$A$6:$B$38,2,FALSE)</f>
        <v>-0.22852375643476561</v>
      </c>
      <c r="J789">
        <f>($B$1+Table4[[#This Row],[Home Differential]])-Table4[[#This Row],[Away Differential]]</f>
        <v>-0.94927483994195694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0.59123683739873256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1.339787395621115</v>
      </c>
      <c r="H790" t="s">
        <v>31</v>
      </c>
      <c r="I790">
        <f>VLOOKUP(Table4[[#This Row],[Visitor]],'NHL Model'!$A$6:$B$38,2,FALSE)</f>
        <v>5.8616755922628279E-2</v>
      </c>
      <c r="J790">
        <f>($B$1+Table4[[#This Row],[Home Differential]])-Table4[[#This Row],[Away Differential]]</f>
        <v>1.3645943066375095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0.77948820405600938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-0.64744265535741874</v>
      </c>
      <c r="H791" t="s">
        <v>30</v>
      </c>
      <c r="I791">
        <f>VLOOKUP(Table4[[#This Row],[Visitor]],'NHL Model'!$A$6:$B$38,2,FALSE)</f>
        <v>-0.30740058470151932</v>
      </c>
      <c r="J791">
        <f>($B$1+Table4[[#This Row],[Home Differential]])-Table4[[#This Row],[Away Differential]]</f>
        <v>-0.25661840371687672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0.55998329897806054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-1.054674343910232</v>
      </c>
      <c r="H792" t="s">
        <v>26</v>
      </c>
      <c r="I792">
        <f>VLOOKUP(Table4[[#This Row],[Visitor]],'NHL Model'!$A$6:$B$38,2,FALSE)</f>
        <v>-1.0708320987334559</v>
      </c>
      <c r="J792">
        <f>($B$1+Table4[[#This Row],[Home Differential]])-Table4[[#This Row],[Away Differential]]</f>
        <v>9.9581421762246602E-2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0.53081911105125934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-0.40521943828179341</v>
      </c>
      <c r="H793" t="s">
        <v>27</v>
      </c>
      <c r="I793">
        <f>VLOOKUP(Table4[[#This Row],[Visitor]],'NHL Model'!$A$6:$B$38,2,FALSE)</f>
        <v>-0.46667677612181552</v>
      </c>
      <c r="J793">
        <f>($B$1+Table4[[#This Row],[Home Differential]])-Table4[[#This Row],[Away Differential]]</f>
        <v>0.14488100477904481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0.57685987784633286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-1.1317546087271064</v>
      </c>
      <c r="H794" t="s">
        <v>22</v>
      </c>
      <c r="I794">
        <f>VLOOKUP(Table4[[#This Row],[Visitor]],'NHL Model'!$A$6:$B$38,2,FALSE)</f>
        <v>0.15604658591703846</v>
      </c>
      <c r="J794">
        <f>($B$1+Table4[[#This Row],[Home Differential]])-Table4[[#This Row],[Away Differential]]</f>
        <v>-1.2043775277051223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0.62092326979556411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-0.41554817552415113</v>
      </c>
      <c r="H795" t="s">
        <v>20</v>
      </c>
      <c r="I795">
        <f>VLOOKUP(Table4[[#This Row],[Visitor]],'NHL Model'!$A$6:$B$38,2,FALSE)</f>
        <v>-0.42180143360631367</v>
      </c>
      <c r="J795">
        <f>($B$1+Table4[[#This Row],[Home Differential]])-Table4[[#This Row],[Away Differential]]</f>
        <v>8.9676925021185239E-2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0.58268181619391757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0.25962865313068506</v>
      </c>
      <c r="H796" t="s">
        <v>10</v>
      </c>
      <c r="I796">
        <f>VLOOKUP(Table4[[#This Row],[Visitor]],'NHL Model'!$A$6:$B$38,2,FALSE)</f>
        <v>-0.43769530535874146</v>
      </c>
      <c r="J796">
        <f>($B$1+Table4[[#This Row],[Home Differential]])-Table4[[#This Row],[Away Differential]]</f>
        <v>0.78074762542844922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0.67128718450936919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-0.9065542839469537</v>
      </c>
      <c r="H797" t="s">
        <v>39</v>
      </c>
      <c r="I797">
        <f>VLOOKUP(Table4[[#This Row],[Visitor]],'NHL Model'!$A$6:$B$38,2,FALSE)</f>
        <v>0.10032544630879472</v>
      </c>
      <c r="J797">
        <f>($B$1+Table4[[#This Row],[Home Differential]])-Table4[[#This Row],[Away Differential]]</f>
        <v>-0.92345606331672569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0.66926081498004331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-1.1577943512279505</v>
      </c>
      <c r="H798" t="s">
        <v>14</v>
      </c>
      <c r="I798">
        <f>VLOOKUP(Table4[[#This Row],[Visitor]],'NHL Model'!$A$6:$B$38,2,FALSE)</f>
        <v>-0.22852375643476561</v>
      </c>
      <c r="J798">
        <f>($B$1+Table4[[#This Row],[Home Differential]])-Table4[[#This Row],[Away Differential]]</f>
        <v>-0.84584692785416216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0.57211585725644454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-0.15603426337582751</v>
      </c>
      <c r="H799" t="s">
        <v>26</v>
      </c>
      <c r="I799">
        <f>VLOOKUP(Table4[[#This Row],[Visitor]],'NHL Model'!$A$6:$B$38,2,FALSE)</f>
        <v>-1.0708320987334559</v>
      </c>
      <c r="J799">
        <f>($B$1+Table4[[#This Row],[Home Differential]])-Table4[[#This Row],[Away Differential]]</f>
        <v>0.99822150229665108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0.64949688850725884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-0.65770380103775494</v>
      </c>
      <c r="H800" t="s">
        <v>23</v>
      </c>
      <c r="I800">
        <f>VLOOKUP(Table4[[#This Row],[Visitor]],'NHL Model'!$A$6:$B$38,2,FALSE)</f>
        <v>-0.90742746858300449</v>
      </c>
      <c r="J800">
        <f>($B$1+Table4[[#This Row],[Home Differential]])-Table4[[#This Row],[Away Differential]]</f>
        <v>0.33314733448427225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0.57876852850932603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-1.4782515386602066</v>
      </c>
      <c r="H801" t="s">
        <v>36</v>
      </c>
      <c r="I801">
        <f>VLOOKUP(Table4[[#This Row],[Visitor]],'NHL Model'!$A$6:$B$38,2,FALSE)</f>
        <v>-0.53959086519270005</v>
      </c>
      <c r="J801">
        <f>($B$1+Table4[[#This Row],[Home Differential]])-Table4[[#This Row],[Away Differential]]</f>
        <v>-0.85523700652848389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0.56035386815469612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-0.36992241209510063</v>
      </c>
      <c r="H802" t="s">
        <v>11</v>
      </c>
      <c r="I802">
        <f>VLOOKUP(Table4[[#This Row],[Visitor]],'NHL Model'!$A$6:$B$38,2,FALSE)</f>
        <v>-0.57335522029781161</v>
      </c>
      <c r="J802">
        <f>($B$1+Table4[[#This Row],[Home Differential]])-Table4[[#This Row],[Away Differential]]</f>
        <v>0.28685647514173374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0.57587711634645578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-1.2612222633157453</v>
      </c>
      <c r="H803" t="s">
        <v>22</v>
      </c>
      <c r="I803">
        <f>VLOOKUP(Table4[[#This Row],[Visitor]],'NHL Model'!$A$6:$B$38,2,FALSE)</f>
        <v>0.15604658591703846</v>
      </c>
      <c r="J803">
        <f>($B$1+Table4[[#This Row],[Home Differential]])-Table4[[#This Row],[Away Differential]]</f>
        <v>-1.3338451822937611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0.63598948806720457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-0.43769530535874146</v>
      </c>
      <c r="H804" t="s">
        <v>37</v>
      </c>
      <c r="I804">
        <f>VLOOKUP(Table4[[#This Row],[Visitor]],'NHL Model'!$A$6:$B$38,2,FALSE)</f>
        <v>0.23616512594450029</v>
      </c>
      <c r="J804">
        <f>($B$1+Table4[[#This Row],[Home Differential]])-Table4[[#This Row],[Away Differential]]</f>
        <v>-0.59043676436421899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0.60966770215666222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1.339787395621115</v>
      </c>
      <c r="H805" t="s">
        <v>27</v>
      </c>
      <c r="I805">
        <f>VLOOKUP(Table4[[#This Row],[Visitor]],'NHL Model'!$A$6:$B$38,2,FALSE)</f>
        <v>-0.46667677612181552</v>
      </c>
      <c r="J805">
        <f>($B$1+Table4[[#This Row],[Home Differential]])-Table4[[#This Row],[Away Differential]]</f>
        <v>1.8898878386819533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0.84061688546765967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0.10032544630879472</v>
      </c>
      <c r="H806" t="s">
        <v>35</v>
      </c>
      <c r="I806">
        <f>VLOOKUP(Table4[[#This Row],[Visitor]],'NHL Model'!$A$6:$B$38,2,FALSE)</f>
        <v>-1.5899576513683618</v>
      </c>
      <c r="J806">
        <f>($B$1+Table4[[#This Row],[Home Differential]])-Table4[[#This Row],[Away Differential]]</f>
        <v>1.7737067646161793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0.76551260961633327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-0.64744265535741874</v>
      </c>
      <c r="H807" t="s">
        <v>31</v>
      </c>
      <c r="I807">
        <f>VLOOKUP(Table4[[#This Row],[Visitor]],'NHL Model'!$A$6:$B$38,2,FALSE)</f>
        <v>5.8616755922628279E-2</v>
      </c>
      <c r="J807">
        <f>($B$1+Table4[[#This Row],[Home Differential]])-Table4[[#This Row],[Away Differential]]</f>
        <v>-0.62263574434102431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0.55071731482772635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-0.6620483089622381</v>
      </c>
      <c r="H808" t="s">
        <v>15</v>
      </c>
      <c r="I808">
        <f>VLOOKUP(Table4[[#This Row],[Visitor]],'NHL Model'!$A$6:$B$38,2,FALSE)</f>
        <v>-0.39090512874251965</v>
      </c>
      <c r="J808">
        <f>($B$1+Table4[[#This Row],[Home Differential]])-Table4[[#This Row],[Away Differential]]</f>
        <v>-0.18771951328069575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0.58192648374650568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-1.054674343910232</v>
      </c>
      <c r="H809" t="s">
        <v>20</v>
      </c>
      <c r="I809">
        <f>VLOOKUP(Table4[[#This Row],[Visitor]],'NHL Model'!$A$6:$B$38,2,FALSE)</f>
        <v>-0.42180143360631367</v>
      </c>
      <c r="J809">
        <f>($B$1+Table4[[#This Row],[Home Differential]])-Table4[[#This Row],[Away Differential]]</f>
        <v>-0.54944924336489565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0.52393969409599228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-1.1317546087271064</v>
      </c>
      <c r="H810" t="s">
        <v>24</v>
      </c>
      <c r="I810">
        <f>VLOOKUP(Table4[[#This Row],[Visitor]],'NHL Model'!$A$6:$B$38,2,FALSE)</f>
        <v>2.3143316481494557E-3</v>
      </c>
      <c r="J810">
        <f>($B$1+Table4[[#This Row],[Home Differential]])-Table4[[#This Row],[Away Differential]]</f>
        <v>-1.0506452734362333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0.60303336744454372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-0.41554817552415113</v>
      </c>
      <c r="H811" t="s">
        <v>18</v>
      </c>
      <c r="I811">
        <f>VLOOKUP(Table4[[#This Row],[Visitor]],'NHL Model'!$A$6:$B$38,2,FALSE)</f>
        <v>-0.65770380103775494</v>
      </c>
      <c r="J811">
        <f>($B$1+Table4[[#This Row],[Home Differential]])-Table4[[#This Row],[Away Differential]]</f>
        <v>0.32557929245262651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0.52950794325550166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-0.9065542839469537</v>
      </c>
      <c r="H812" t="s">
        <v>37</v>
      </c>
      <c r="I812">
        <f>VLOOKUP(Table4[[#This Row],[Visitor]],'NHL Model'!$A$6:$B$38,2,FALSE)</f>
        <v>0.23616512594450029</v>
      </c>
      <c r="J812">
        <f>($B$1+Table4[[#This Row],[Home Differential]])-Table4[[#This Row],[Away Differential]]</f>
        <v>-1.0592957429524312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0.66422906524362613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-1.1577943512279505</v>
      </c>
      <c r="H813" t="s">
        <v>22</v>
      </c>
      <c r="I813">
        <f>VLOOKUP(Table4[[#This Row],[Visitor]],'NHL Model'!$A$6:$B$38,2,FALSE)</f>
        <v>0.15604658591703846</v>
      </c>
      <c r="J813">
        <f>($B$1+Table4[[#This Row],[Home Differential]])-Table4[[#This Row],[Away Differential]]</f>
        <v>-1.2304172702059661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0.61686850792491643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-0.15603426337582751</v>
      </c>
      <c r="H814" t="s">
        <v>11</v>
      </c>
      <c r="I814">
        <f>VLOOKUP(Table4[[#This Row],[Visitor]],'NHL Model'!$A$6:$B$38,2,FALSE)</f>
        <v>-0.57335522029781161</v>
      </c>
      <c r="J814">
        <f>($B$1+Table4[[#This Row],[Home Differential]])-Table4[[#This Row],[Away Differential]]</f>
        <v>0.50074462386100682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0.61228853270256411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-1.4782515386602066</v>
      </c>
      <c r="H815" t="s">
        <v>55</v>
      </c>
      <c r="I815">
        <f>VLOOKUP(Table4[[#This Row],[Visitor]],'NHL Model'!$A$6:$B$38,2,FALSE)</f>
        <v>-0.40521943828179341</v>
      </c>
      <c r="J815">
        <f>($B$1+Table4[[#This Row],[Home Differential]])-Table4[[#This Row],[Away Differential]]</f>
        <v>-0.98960843343939053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0.57516124787327616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-0.30740058470151932</v>
      </c>
      <c r="H816" t="s">
        <v>23</v>
      </c>
      <c r="I816">
        <f>VLOOKUP(Table4[[#This Row],[Visitor]],'NHL Model'!$A$6:$B$38,2,FALSE)</f>
        <v>-0.90742746858300449</v>
      </c>
      <c r="J816">
        <f>($B$1+Table4[[#This Row],[Home Differential]])-Table4[[#This Row],[Away Differential]]</f>
        <v>0.68345055082050787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0.61953349590870088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-0.53959086519270005</v>
      </c>
      <c r="H817" t="s">
        <v>25</v>
      </c>
      <c r="I817">
        <f>VLOOKUP(Table4[[#This Row],[Visitor]],'NHL Model'!$A$6:$B$38,2,FALSE)</f>
        <v>0.25962865313068506</v>
      </c>
      <c r="J817">
        <f>($B$1+Table4[[#This Row],[Home Differential]])-Table4[[#This Row],[Away Differential]]</f>
        <v>-0.71579585138436241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0.61341801727858147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-1.5899576513683618</v>
      </c>
      <c r="H818" t="s">
        <v>13</v>
      </c>
      <c r="I818">
        <f>VLOOKUP(Table4[[#This Row],[Visitor]],'NHL Model'!$A$6:$B$38,2,FALSE)</f>
        <v>-0.50197808897650842</v>
      </c>
      <c r="J818">
        <f>($B$1+Table4[[#This Row],[Home Differential]])-Table4[[#This Row],[Away Differential]]</f>
        <v>-1.0045558954528306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0.64321648127229503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-0.36992241209510063</v>
      </c>
      <c r="H819" t="s">
        <v>26</v>
      </c>
      <c r="I819">
        <f>VLOOKUP(Table4[[#This Row],[Visitor]],'NHL Model'!$A$6:$B$38,2,FALSE)</f>
        <v>-1.0708320987334559</v>
      </c>
      <c r="J819">
        <f>($B$1+Table4[[#This Row],[Home Differential]])-Table4[[#This Row],[Away Differential]]</f>
        <v>0.78433335357737799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0.61301241054687483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-1.2612222633157453</v>
      </c>
      <c r="H820" t="s">
        <v>31</v>
      </c>
      <c r="I820">
        <f>VLOOKUP(Table4[[#This Row],[Visitor]],'NHL Model'!$A$6:$B$38,2,FALSE)</f>
        <v>5.8616755922628279E-2</v>
      </c>
      <c r="J820">
        <f>($B$1+Table4[[#This Row],[Home Differential]])-Table4[[#This Row],[Away Differential]]</f>
        <v>-1.2364153522993508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0.62465152809929902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-0.43769530535874146</v>
      </c>
      <c r="H821" t="s">
        <v>11</v>
      </c>
      <c r="I821">
        <f>VLOOKUP(Table4[[#This Row],[Visitor]],'NHL Model'!$A$6:$B$38,2,FALSE)</f>
        <v>-0.57335522029781161</v>
      </c>
      <c r="J821">
        <f>($B$1+Table4[[#This Row],[Home Differential]])-Table4[[#This Row],[Away Differential]]</f>
        <v>0.21908358187809285</v>
      </c>
      <c r="K821" t="str">
        <f>IF(Table4[[#This Row],[HomeIce Differential]]&gt;0,Table4[[#This Row],[Home]],Table4[[#This Row],[Visitor]])</f>
        <v>Chicago Blackhawks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0.56549487031950751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-0.53959086519270005</v>
      </c>
      <c r="H822" t="s">
        <v>20</v>
      </c>
      <c r="I822">
        <f>VLOOKUP(Table4[[#This Row],[Visitor]],'NHL Model'!$A$6:$B$38,2,FALSE)</f>
        <v>-0.42180143360631367</v>
      </c>
      <c r="J822">
        <f>($B$1+Table4[[#This Row],[Home Differential]])-Table4[[#This Row],[Away Differential]]</f>
        <v>-3.4365764647363684E-2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0.46150368269361908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-0.64744265535741874</v>
      </c>
      <c r="H823" t="s">
        <v>24</v>
      </c>
      <c r="I823">
        <f>VLOOKUP(Table4[[#This Row],[Visitor]],'NHL Model'!$A$6:$B$38,2,FALSE)</f>
        <v>2.3143316481494557E-3</v>
      </c>
      <c r="J823">
        <f>($B$1+Table4[[#This Row],[Home Differential]])-Table4[[#This Row],[Away Differential]]</f>
        <v>-0.56633332006654546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0.54416537244461138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-1.054674343910232</v>
      </c>
      <c r="H824" t="s">
        <v>12</v>
      </c>
      <c r="I824">
        <f>VLOOKUP(Table4[[#This Row],[Visitor]],'NHL Model'!$A$6:$B$38,2,FALSE)</f>
        <v>1.339787395621115</v>
      </c>
      <c r="J824">
        <f>($B$1+Table4[[#This Row],[Home Differential]])-Table4[[#This Row],[Away Differential]]</f>
        <v>-2.3110380725923241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0.80155987106926174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-1.1317546087271064</v>
      </c>
      <c r="H825" t="s">
        <v>14</v>
      </c>
      <c r="I825">
        <f>VLOOKUP(Table4[[#This Row],[Visitor]],'NHL Model'!$A$6:$B$38,2,FALSE)</f>
        <v>-0.22852375643476561</v>
      </c>
      <c r="J825">
        <f>($B$1+Table4[[#This Row],[Home Differential]])-Table4[[#This Row],[Away Differential]]</f>
        <v>-0.81980718535331809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0.57617061912709222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-0.9065542839469537</v>
      </c>
      <c r="H826" t="s">
        <v>13</v>
      </c>
      <c r="I826">
        <f>VLOOKUP(Table4[[#This Row],[Visitor]],'NHL Model'!$A$6:$B$38,2,FALSE)</f>
        <v>-0.50197808897650842</v>
      </c>
      <c r="J826">
        <f>($B$1+Table4[[#This Row],[Home Differential]])-Table4[[#This Row],[Away Differential]]</f>
        <v>-0.32115252803142258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0.56368847612027695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-1.1577943512279505</v>
      </c>
      <c r="H827" t="s">
        <v>31</v>
      </c>
      <c r="I827">
        <f>VLOOKUP(Table4[[#This Row],[Visitor]],'NHL Model'!$A$6:$B$38,2,FALSE)</f>
        <v>5.8616755922628279E-2</v>
      </c>
      <c r="J827">
        <f>($B$1+Table4[[#This Row],[Home Differential]])-Table4[[#This Row],[Away Differential]]</f>
        <v>-1.1329874402115561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0.605530547957011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-0.39090512874251965</v>
      </c>
      <c r="H828" t="s">
        <v>21</v>
      </c>
      <c r="I828">
        <f>VLOOKUP(Table4[[#This Row],[Visitor]],'NHL Model'!$A$6:$B$38,2,FALSE)</f>
        <v>-0.41554817552415113</v>
      </c>
      <c r="J828">
        <f>($B$1+Table4[[#This Row],[Home Differential]])-Table4[[#This Row],[Away Differential]]</f>
        <v>0.10806671372065424</v>
      </c>
      <c r="K828" t="str">
        <f>IF(Table4[[#This Row],[HomeIce Differential]]&gt;0,Table4[[#This Row],[Home]],Table4[[#This Row],[Visitor]])</f>
        <v>New York Rangers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0.55174628656943425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-0.46667677612181552</v>
      </c>
      <c r="H829" t="s">
        <v>30</v>
      </c>
      <c r="I829">
        <f>VLOOKUP(Table4[[#This Row],[Visitor]],'NHL Model'!$A$6:$B$38,2,FALSE)</f>
        <v>-0.30740058470151932</v>
      </c>
      <c r="J829">
        <f>($B$1+Table4[[#This Row],[Home Differential]])-Table4[[#This Row],[Away Differential]]</f>
        <v>-7.5852524481273442E-2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0.50882699770781281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0.23616512594450029</v>
      </c>
      <c r="H830" t="s">
        <v>55</v>
      </c>
      <c r="I830">
        <f>VLOOKUP(Table4[[#This Row],[Visitor]],'NHL Model'!$A$6:$B$38,2,FALSE)</f>
        <v>-0.40521943828179341</v>
      </c>
      <c r="J830">
        <f>($B$1+Table4[[#This Row],[Home Differential]])-Table4[[#This Row],[Away Differential]]</f>
        <v>0.72480823116531645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0.65659237647960011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-0.41554817552415113</v>
      </c>
      <c r="H831" t="s">
        <v>29</v>
      </c>
      <c r="I831">
        <f>VLOOKUP(Table4[[#This Row],[Visitor]],'NHL Model'!$A$6:$B$38,2,FALSE)</f>
        <v>-1.4782515386602066</v>
      </c>
      <c r="J831">
        <f>($B$1+Table4[[#This Row],[Home Differential]])-Table4[[#This Row],[Away Differential]]</f>
        <v>1.1461270300750783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0.70562146414237181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-1.0708320987334559</v>
      </c>
      <c r="H832" t="s">
        <v>13</v>
      </c>
      <c r="I832">
        <f>VLOOKUP(Table4[[#This Row],[Visitor]],'NHL Model'!$A$6:$B$38,2,FALSE)</f>
        <v>-0.50197808897650842</v>
      </c>
      <c r="J832">
        <f>($B$1+Table4[[#This Row],[Home Differential]])-Table4[[#This Row],[Away Differential]]</f>
        <v>-0.48543034281792474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0.58280557083111861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-0.57335522029781161</v>
      </c>
      <c r="H833" t="s">
        <v>55</v>
      </c>
      <c r="I833">
        <f>VLOOKUP(Table4[[#This Row],[Visitor]],'NHL Model'!$A$6:$B$38,2,FALSE)</f>
        <v>-0.40521943828179341</v>
      </c>
      <c r="J833">
        <f>($B$1+Table4[[#This Row],[Home Differential]])-Table4[[#This Row],[Away Differential]]</f>
        <v>-8.4712115076995498E-2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0.45584137237271288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-0.15603426337582751</v>
      </c>
      <c r="H834" t="s">
        <v>10</v>
      </c>
      <c r="I834">
        <f>VLOOKUP(Table4[[#This Row],[Visitor]],'NHL Model'!$A$6:$B$38,2,FALSE)</f>
        <v>-0.43769530535874146</v>
      </c>
      <c r="J834">
        <f>($B$1+Table4[[#This Row],[Home Differential]])-Table4[[#This Row],[Away Differential]]</f>
        <v>0.36508470892193667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0.59650171787473494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-0.65770380103775494</v>
      </c>
      <c r="H835" t="s">
        <v>20</v>
      </c>
      <c r="I835">
        <f>VLOOKUP(Table4[[#This Row],[Visitor]],'NHL Model'!$A$6:$B$38,2,FALSE)</f>
        <v>-0.42180143360631367</v>
      </c>
      <c r="J835">
        <f>($B$1+Table4[[#This Row],[Home Differential]])-Table4[[#This Row],[Away Differential]]</f>
        <v>-0.15247870049241857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0.47774402564635976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2.3143316481494557E-3</v>
      </c>
      <c r="H836" t="s">
        <v>40</v>
      </c>
      <c r="I836">
        <f>VLOOKUP(Table4[[#This Row],[Visitor]],'NHL Model'!$A$6:$B$38,2,FALSE)</f>
        <v>-0.36992241209510063</v>
      </c>
      <c r="J836">
        <f>($B$1+Table4[[#This Row],[Home Differential]])-Table4[[#This Row],[Away Differential]]</f>
        <v>0.45566041068227281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0.69588258173527051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-0.64744265535741874</v>
      </c>
      <c r="H837" t="s">
        <v>22</v>
      </c>
      <c r="I837">
        <f>VLOOKUP(Table4[[#This Row],[Visitor]],'NHL Model'!$A$6:$B$38,2,FALSE)</f>
        <v>0.15604658591703846</v>
      </c>
      <c r="J837">
        <f>($B$1+Table4[[#This Row],[Home Differential]])-Table4[[#This Row],[Away Differential]]</f>
        <v>-0.7200655743354345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0.56205527479563178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-1.5899576513683618</v>
      </c>
      <c r="H838" t="s">
        <v>39</v>
      </c>
      <c r="I838">
        <f>VLOOKUP(Table4[[#This Row],[Visitor]],'NHL Model'!$A$6:$B$38,2,FALSE)</f>
        <v>0.10032544630879472</v>
      </c>
      <c r="J838">
        <f>($B$1+Table4[[#This Row],[Home Differential]])-Table4[[#This Row],[Away Differential]]</f>
        <v>-1.6068594307381339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0.74878882013206138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-1.054674343910232</v>
      </c>
      <c r="H839" t="s">
        <v>23</v>
      </c>
      <c r="I839">
        <f>VLOOKUP(Table4[[#This Row],[Visitor]],'NHL Model'!$A$6:$B$38,2,FALSE)</f>
        <v>-0.90742746858300449</v>
      </c>
      <c r="J839">
        <f>($B$1+Table4[[#This Row],[Home Differential]])-Table4[[#This Row],[Away Differential]]</f>
        <v>-6.3823208388204766E-2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0.46742713994030649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-1.1317546087271064</v>
      </c>
      <c r="H840" t="s">
        <v>33</v>
      </c>
      <c r="I840">
        <f>VLOOKUP(Table4[[#This Row],[Visitor]],'NHL Model'!$A$6:$B$38,2,FALSE)</f>
        <v>-0.6620483089622381</v>
      </c>
      <c r="J840">
        <f>($B$1+Table4[[#This Row],[Home Differential]])-Table4[[#This Row],[Away Differential]]</f>
        <v>-0.38628263282584563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0.50495191080111534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-0.9065542839469537</v>
      </c>
      <c r="H841" t="s">
        <v>27</v>
      </c>
      <c r="I841">
        <f>VLOOKUP(Table4[[#This Row],[Visitor]],'NHL Model'!$A$6:$B$38,2,FALSE)</f>
        <v>-0.46667677612181552</v>
      </c>
      <c r="J841">
        <f>($B$1+Table4[[#This Row],[Home Differential]])-Table4[[#This Row],[Away Differential]]</f>
        <v>-0.35645384088611548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0.52224994954503867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-0.30740058470151932</v>
      </c>
      <c r="H842" t="s">
        <v>15</v>
      </c>
      <c r="I842">
        <f>VLOOKUP(Table4[[#This Row],[Visitor]],'NHL Model'!$A$6:$B$38,2,FALSE)</f>
        <v>-0.39090512874251965</v>
      </c>
      <c r="J842">
        <f>($B$1+Table4[[#This Row],[Home Differential]])-Table4[[#This Row],[Away Differential]]</f>
        <v>0.16692821098002306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0.45934405629864777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-0.53959086519270005</v>
      </c>
      <c r="H843" t="s">
        <v>12</v>
      </c>
      <c r="I843">
        <f>VLOOKUP(Table4[[#This Row],[Visitor]],'NHL Model'!$A$6:$B$38,2,FALSE)</f>
        <v>1.339787395621115</v>
      </c>
      <c r="J843">
        <f>($B$1+Table4[[#This Row],[Home Differential]])-Table4[[#This Row],[Away Differential]]</f>
        <v>-1.7959545938747925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0.7391166516910832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-0.41554817552415113</v>
      </c>
      <c r="H844" t="s">
        <v>27</v>
      </c>
      <c r="I844">
        <f>VLOOKUP(Table4[[#This Row],[Visitor]],'NHL Model'!$A$6:$B$38,2,FALSE)</f>
        <v>-0.46667677612181552</v>
      </c>
      <c r="J844">
        <f>($B$1+Table4[[#This Row],[Home Differential]])-Table4[[#This Row],[Away Differential]]</f>
        <v>0.13455226753668709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0.56738205525480878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-0.90742746858300449</v>
      </c>
      <c r="H845" t="s">
        <v>13</v>
      </c>
      <c r="I845">
        <f>VLOOKUP(Table4[[#This Row],[Visitor]],'NHL Model'!$A$6:$B$38,2,FALSE)</f>
        <v>-0.50197808897650842</v>
      </c>
      <c r="J845">
        <f>($B$1+Table4[[#This Row],[Home Differential]])-Table4[[#This Row],[Away Differential]]</f>
        <v>-0.32202571266747337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0.56379008907032213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0.25962865313068506</v>
      </c>
      <c r="H846" t="s">
        <v>55</v>
      </c>
      <c r="I846">
        <f>VLOOKUP(Table4[[#This Row],[Visitor]],'NHL Model'!$A$6:$B$38,2,FALSE)</f>
        <v>-0.40521943828179341</v>
      </c>
      <c r="J846">
        <f>($B$1+Table4[[#This Row],[Home Differential]])-Table4[[#This Row],[Away Differential]]</f>
        <v>0.74827175835150117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0.66750795097419235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-1.0708320987334559</v>
      </c>
      <c r="H847" t="s">
        <v>22</v>
      </c>
      <c r="I847">
        <f>VLOOKUP(Table4[[#This Row],[Visitor]],'NHL Model'!$A$6:$B$38,2,FALSE)</f>
        <v>0.15604658591703846</v>
      </c>
      <c r="J847">
        <f>($B$1+Table4[[#This Row],[Home Differential]])-Table4[[#This Row],[Away Differential]]</f>
        <v>-1.1434550177114717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0.61383368563543617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-1.1577943512279505</v>
      </c>
      <c r="H848" t="s">
        <v>33</v>
      </c>
      <c r="I848">
        <f>VLOOKUP(Table4[[#This Row],[Visitor]],'NHL Model'!$A$6:$B$38,2,FALSE)</f>
        <v>-0.6620483089622381</v>
      </c>
      <c r="J848">
        <f>($B$1+Table4[[#This Row],[Home Differential]])-Table4[[#This Row],[Away Differential]]</f>
        <v>-0.41232237532668969</v>
      </c>
      <c r="K848" t="str">
        <f>IF(Table4[[#This Row],[HomeIce Differential]]&gt;0,Table4[[#This Row],[Home]],Table4[[#This Row],[Visitor]])</f>
        <v>San Jose Sharks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0.5009362173134263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-0.15603426337582751</v>
      </c>
      <c r="H849" t="s">
        <v>16</v>
      </c>
      <c r="I849">
        <f>VLOOKUP(Table4[[#This Row],[Visitor]],'NHL Model'!$A$6:$B$38,2,FALSE)</f>
        <v>-1.2612222633157453</v>
      </c>
      <c r="J849">
        <f>($B$1+Table4[[#This Row],[Home Differential]])-Table4[[#This Row],[Away Differential]]</f>
        <v>1.1886116668789404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0.6923359781043088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-0.65770380103775494</v>
      </c>
      <c r="H850" t="s">
        <v>12</v>
      </c>
      <c r="I850">
        <f>VLOOKUP(Table4[[#This Row],[Visitor]],'NHL Model'!$A$6:$B$38,2,FALSE)</f>
        <v>1.339787395621115</v>
      </c>
      <c r="J850">
        <f>($B$1+Table4[[#This Row],[Home Differential]])-Table4[[#This Row],[Away Differential]]</f>
        <v>-1.9140675297198473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0.75536420261962933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2.3143316481494557E-3</v>
      </c>
      <c r="H851" t="s">
        <v>29</v>
      </c>
      <c r="I851">
        <f>VLOOKUP(Table4[[#This Row],[Visitor]],'NHL Model'!$A$6:$B$38,2,FALSE)</f>
        <v>-1.4782515386602066</v>
      </c>
      <c r="J851">
        <f>($B$1+Table4[[#This Row],[Home Differential]])-Table4[[#This Row],[Away Differential]]</f>
        <v>1.5639895372473789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0.84376698141286643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-0.39090512874251965</v>
      </c>
      <c r="H852" t="s">
        <v>30</v>
      </c>
      <c r="I852">
        <f>VLOOKUP(Table4[[#This Row],[Visitor]],'NHL Model'!$A$6:$B$38,2,FALSE)</f>
        <v>-0.30740058470151932</v>
      </c>
      <c r="J852">
        <f>($B$1+Table4[[#This Row],[Home Differential]])-Table4[[#This Row],[Away Differential]]</f>
        <v>-8.0877101977572252E-5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0.53263258081825948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-0.22852375643476561</v>
      </c>
      <c r="H853" t="s">
        <v>10</v>
      </c>
      <c r="I853">
        <f>VLOOKUP(Table4[[#This Row],[Visitor]],'NHL Model'!$A$6:$B$38,2,FALSE)</f>
        <v>-0.43769530535874146</v>
      </c>
      <c r="J853">
        <f>($B$1+Table4[[#This Row],[Home Differential]])-Table4[[#This Row],[Away Differential]]</f>
        <v>0.29259521586299858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0.57654493658762451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-0.64744265535741874</v>
      </c>
      <c r="H854" t="s">
        <v>19</v>
      </c>
      <c r="I854">
        <f>VLOOKUP(Table4[[#This Row],[Visitor]],'NHL Model'!$A$6:$B$38,2,FALSE)</f>
        <v>-1.054674343910232</v>
      </c>
      <c r="J854">
        <f>($B$1+Table4[[#This Row],[Home Differential]])-Table4[[#This Row],[Away Differential]]</f>
        <v>0.49065535549183592</v>
      </c>
      <c r="K854" t="str">
        <f>IF(Table4[[#This Row],[HomeIce Differential]]&gt;0,Table4[[#This Row],[Home]],Table4[[#This Row],[Visitor]])</f>
        <v>Seattle Kraken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0.59959329800299754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-1.5899576513683618</v>
      </c>
      <c r="H855" t="s">
        <v>11</v>
      </c>
      <c r="I855">
        <f>VLOOKUP(Table4[[#This Row],[Visitor]],'NHL Model'!$A$6:$B$38,2,FALSE)</f>
        <v>-0.57335522029781161</v>
      </c>
      <c r="J855">
        <f>($B$1+Table4[[#This Row],[Home Differential]])-Table4[[#This Row],[Away Differential]]</f>
        <v>-0.93317876413152745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0.56859449791947447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0.23616512594450029</v>
      </c>
      <c r="H856" t="s">
        <v>40</v>
      </c>
      <c r="I856">
        <f>VLOOKUP(Table4[[#This Row],[Visitor]],'NHL Model'!$A$6:$B$38,2,FALSE)</f>
        <v>-0.36992241209510063</v>
      </c>
      <c r="J856">
        <f>($B$1+Table4[[#This Row],[Home Differential]])-Table4[[#This Row],[Away Differential]]</f>
        <v>0.68951120497862362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0.63196291531490545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-1.1317546087271064</v>
      </c>
      <c r="H857" t="s">
        <v>31</v>
      </c>
      <c r="I857">
        <f>VLOOKUP(Table4[[#This Row],[Visitor]],'NHL Model'!$A$6:$B$38,2,FALSE)</f>
        <v>5.8616755922628279E-2</v>
      </c>
      <c r="J857">
        <f>($B$1+Table4[[#This Row],[Home Differential]])-Table4[[#This Row],[Away Differential]]</f>
        <v>-1.106947697710712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0.60958530982765868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-0.42180143360631367</v>
      </c>
      <c r="H858" t="s">
        <v>39</v>
      </c>
      <c r="I858">
        <f>VLOOKUP(Table4[[#This Row],[Visitor]],'NHL Model'!$A$6:$B$38,2,FALSE)</f>
        <v>0.10032544630879472</v>
      </c>
      <c r="J858">
        <f>($B$1+Table4[[#This Row],[Home Differential]])-Table4[[#This Row],[Away Differential]]</f>
        <v>-0.43870321297608561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0.6128498737744027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-0.43769530535874146</v>
      </c>
      <c r="H859" t="s">
        <v>28</v>
      </c>
      <c r="I859">
        <f>VLOOKUP(Table4[[#This Row],[Visitor]],'NHL Model'!$A$6:$B$38,2,FALSE)</f>
        <v>-0.9065542839469537</v>
      </c>
      <c r="J859">
        <f>($B$1+Table4[[#This Row],[Home Differential]])-Table4[[#This Row],[Away Differential]]</f>
        <v>0.55228264552723494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0.60426941857864225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-0.90742746858300449</v>
      </c>
      <c r="H860" t="s">
        <v>18</v>
      </c>
      <c r="I860">
        <f>VLOOKUP(Table4[[#This Row],[Visitor]],'NHL Model'!$A$6:$B$38,2,FALSE)</f>
        <v>-0.65770380103775494</v>
      </c>
      <c r="J860">
        <f>($B$1+Table4[[#This Row],[Home Differential]])-Table4[[#This Row],[Away Differential]]</f>
        <v>-0.16630000060622685</v>
      </c>
      <c r="K860" t="str">
        <f>IF(Table4[[#This Row],[HomeIce Differential]]&gt;0,Table4[[#This Row],[Home]],Table4[[#This Row],[Visitor]])</f>
        <v>Montreal Canadiens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0.56031068645950899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-1.2612222633157453</v>
      </c>
      <c r="H861" t="s">
        <v>33</v>
      </c>
      <c r="I861">
        <f>VLOOKUP(Table4[[#This Row],[Visitor]],'NHL Model'!$A$6:$B$38,2,FALSE)</f>
        <v>-0.6620483089622381</v>
      </c>
      <c r="J861">
        <f>($B$1+Table4[[#This Row],[Home Differential]])-Table4[[#This Row],[Away Differential]]</f>
        <v>-0.51575028741448448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0.52001812907275569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-1.0708320987334559</v>
      </c>
      <c r="H862" t="s">
        <v>12</v>
      </c>
      <c r="I862">
        <f>VLOOKUP(Table4[[#This Row],[Visitor]],'NHL Model'!$A$6:$B$38,2,FALSE)</f>
        <v>1.339787395621115</v>
      </c>
      <c r="J862">
        <f>($B$1+Table4[[#This Row],[Home Differential]])-Table4[[#This Row],[Away Differential]]</f>
        <v>-2.3271958274155482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0.80344015739807362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-1.1577943512279505</v>
      </c>
      <c r="H863" t="s">
        <v>34</v>
      </c>
      <c r="I863">
        <f>VLOOKUP(Table4[[#This Row],[Visitor]],'NHL Model'!$A$6:$B$38,2,FALSE)</f>
        <v>-0.15603426337582751</v>
      </c>
      <c r="J863">
        <f>($B$1+Table4[[#This Row],[Home Differential]])-Table4[[#This Row],[Away Differential]]</f>
        <v>-0.9183364209131003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0.60228013075966136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-0.57335522029781161</v>
      </c>
      <c r="H864" t="s">
        <v>40</v>
      </c>
      <c r="I864">
        <f>VLOOKUP(Table4[[#This Row],[Visitor]],'NHL Model'!$A$6:$B$38,2,FALSE)</f>
        <v>-0.36992241209510063</v>
      </c>
      <c r="J864">
        <f>($B$1+Table4[[#This Row],[Home Differential]])-Table4[[#This Row],[Away Differential]]</f>
        <v>-0.12000914126368828</v>
      </c>
      <c r="K864" t="str">
        <f>IF(Table4[[#This Row],[HomeIce Differential]]&gt;0,Table4[[#This Row],[Home]],Table4[[#This Row],[Visitor]])</f>
        <v>Winnipeg Jets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0.48063219282542596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-0.30740058470151932</v>
      </c>
      <c r="H865" t="s">
        <v>29</v>
      </c>
      <c r="I865">
        <f>VLOOKUP(Table4[[#This Row],[Visitor]],'NHL Model'!$A$6:$B$38,2,FALSE)</f>
        <v>-1.4782515386602066</v>
      </c>
      <c r="J865">
        <f>($B$1+Table4[[#This Row],[Home Differential]])-Table4[[#This Row],[Away Differential]]</f>
        <v>1.25427462089771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0.68596058970146923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-0.53959086519270005</v>
      </c>
      <c r="H866" t="s">
        <v>24</v>
      </c>
      <c r="I866">
        <f>VLOOKUP(Table4[[#This Row],[Visitor]],'NHL Model'!$A$6:$B$38,2,FALSE)</f>
        <v>2.3143316481494557E-3</v>
      </c>
      <c r="J866">
        <f>($B$1+Table4[[#This Row],[Home Differential]])-Table4[[#This Row],[Away Differential]]</f>
        <v>-0.45848152990182683</v>
      </c>
      <c r="K866" t="str">
        <f>IF(Table4[[#This Row],[HomeIce Differential]]&gt;0,Table4[[#This Row],[Home]],Table4[[#This Row],[Visitor]])</f>
        <v>New Jersey Devils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0.53161460355355739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-0.46667677612181552</v>
      </c>
      <c r="H867" t="s">
        <v>13</v>
      </c>
      <c r="I867">
        <f>VLOOKUP(Table4[[#This Row],[Visitor]],'NHL Model'!$A$6:$B$38,2,FALSE)</f>
        <v>-0.50197808897650842</v>
      </c>
      <c r="J867">
        <f>($B$1+Table4[[#This Row],[Home Differential]])-Table4[[#This Row],[Away Differential]]</f>
        <v>0.11872497979371566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0.52014520154494404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-0.22852375643476561</v>
      </c>
      <c r="H868" t="s">
        <v>15</v>
      </c>
      <c r="I868">
        <f>VLOOKUP(Table4[[#This Row],[Visitor]],'NHL Model'!$A$6:$B$38,2,FALSE)</f>
        <v>-0.39090512874251965</v>
      </c>
      <c r="J868">
        <f>($B$1+Table4[[#This Row],[Home Differential]])-Table4[[#This Row],[Away Differential]]</f>
        <v>0.24580503924677677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0.47100077356940789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-1.5899576513683618</v>
      </c>
      <c r="H869" t="s">
        <v>28</v>
      </c>
      <c r="I869">
        <f>VLOOKUP(Table4[[#This Row],[Visitor]],'NHL Model'!$A$6:$B$38,2,FALSE)</f>
        <v>-0.9065542839469537</v>
      </c>
      <c r="J869">
        <f>($B$1+Table4[[#This Row],[Home Differential]])-Table4[[#This Row],[Away Differential]]</f>
        <v>-0.59997970048238536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0.52981994966033974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-0.40521943828179341</v>
      </c>
      <c r="H870" t="s">
        <v>39</v>
      </c>
      <c r="I870">
        <f>VLOOKUP(Table4[[#This Row],[Visitor]],'NHL Model'!$A$6:$B$38,2,FALSE)</f>
        <v>0.10032544630879472</v>
      </c>
      <c r="J870">
        <f>($B$1+Table4[[#This Row],[Home Differential]])-Table4[[#This Row],[Away Differential]]</f>
        <v>-0.42212121765156541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0.57017509712786119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-1.1317546087271064</v>
      </c>
      <c r="H871" t="s">
        <v>19</v>
      </c>
      <c r="I871">
        <f>VLOOKUP(Table4[[#This Row],[Visitor]],'NHL Model'!$A$6:$B$38,2,FALSE)</f>
        <v>-1.054674343910232</v>
      </c>
      <c r="J871">
        <f>($B$1+Table4[[#This Row],[Home Differential]])-Table4[[#This Row],[Away Differential]]</f>
        <v>6.343402122148234E-3</v>
      </c>
      <c r="K871" t="str">
        <f>IF(Table4[[#This Row],[HomeIce Differential]]&gt;0,Table4[[#This Row],[Home]],Table4[[#This Row],[Visitor]])</f>
        <v>Vancouver Canucks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0.54073818500273862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-0.42180143360631367</v>
      </c>
      <c r="H872" t="s">
        <v>32</v>
      </c>
      <c r="I872">
        <f>VLOOKUP(Table4[[#This Row],[Visitor]],'NHL Model'!$A$6:$B$38,2,FALSE)</f>
        <v>-0.64744265535741874</v>
      </c>
      <c r="J872">
        <f>($B$1+Table4[[#This Row],[Home Differential]])-Table4[[#This Row],[Away Differential]]</f>
        <v>0.30906488869012783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0.57596604177236954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0.15604658591703846</v>
      </c>
      <c r="H873" t="s">
        <v>25</v>
      </c>
      <c r="I873">
        <f>VLOOKUP(Table4[[#This Row],[Visitor]],'NHL Model'!$A$6:$B$38,2,FALSE)</f>
        <v>0.25962865313068506</v>
      </c>
      <c r="J873">
        <f>($B$1+Table4[[#This Row],[Home Differential]])-Table4[[#This Row],[Away Differential]]</f>
        <v>-2.0158400274623872E-2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0.50867495744388236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5.8616755922628279E-2</v>
      </c>
      <c r="H874" t="s">
        <v>20</v>
      </c>
      <c r="I874">
        <f>VLOOKUP(Table4[[#This Row],[Visitor]],'NHL Model'!$A$6:$B$38,2,FALSE)</f>
        <v>-0.42180143360631367</v>
      </c>
      <c r="J874">
        <f>($B$1+Table4[[#This Row],[Home Differential]])-Table4[[#This Row],[Away Differential]]</f>
        <v>0.5638418564679647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0.68544928070897604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0.25962865313068506</v>
      </c>
      <c r="H875" t="s">
        <v>13</v>
      </c>
      <c r="I875">
        <f>VLOOKUP(Table4[[#This Row],[Visitor]],'NHL Model'!$A$6:$B$38,2,FALSE)</f>
        <v>-0.50197808897650842</v>
      </c>
      <c r="J875">
        <f>($B$1+Table4[[#This Row],[Home Differential]])-Table4[[#This Row],[Away Differential]]</f>
        <v>0.84503040904621618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0.61304251036490054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0.23616512594450029</v>
      </c>
      <c r="H876" t="s">
        <v>21</v>
      </c>
      <c r="I876">
        <f>VLOOKUP(Table4[[#This Row],[Visitor]],'NHL Model'!$A$6:$B$38,2,FALSE)</f>
        <v>-0.41554817552415113</v>
      </c>
      <c r="J876">
        <f>($B$1+Table4[[#This Row],[Home Differential]])-Table4[[#This Row],[Away Differential]]</f>
        <v>0.73513696840767417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0.65697684262243239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-1.2612222633157453</v>
      </c>
      <c r="H877" t="s">
        <v>19</v>
      </c>
      <c r="I877">
        <f>VLOOKUP(Table4[[#This Row],[Visitor]],'NHL Model'!$A$6:$B$38,2,FALSE)</f>
        <v>-1.054674343910232</v>
      </c>
      <c r="J877">
        <f>($B$1+Table4[[#This Row],[Home Differential]])-Table4[[#This Row],[Away Differential]]</f>
        <v>-0.12312425246649061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0.47432803326890177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-0.43769530535874146</v>
      </c>
      <c r="H878" t="s">
        <v>33</v>
      </c>
      <c r="I878">
        <f>VLOOKUP(Table4[[#This Row],[Visitor]],'NHL Model'!$A$6:$B$38,2,FALSE)</f>
        <v>-0.6620483089622381</v>
      </c>
      <c r="J878">
        <f>($B$1+Table4[[#This Row],[Home Differential]])-Table4[[#This Row],[Away Differential]]</f>
        <v>0.30777667054251934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0.57581613115681829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1.339787395621115</v>
      </c>
      <c r="H879" t="s">
        <v>26</v>
      </c>
      <c r="I879">
        <f>VLOOKUP(Table4[[#This Row],[Visitor]],'NHL Model'!$A$6:$B$38,2,FALSE)</f>
        <v>-1.0708320987334559</v>
      </c>
      <c r="J879">
        <f>($B$1+Table4[[#This Row],[Home Differential]])-Table4[[#This Row],[Away Differential]]</f>
        <v>2.4940431612935936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0.91092275444598769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0.10032544630879472</v>
      </c>
      <c r="H880" t="s">
        <v>40</v>
      </c>
      <c r="I880">
        <f>VLOOKUP(Table4[[#This Row],[Visitor]],'NHL Model'!$A$6:$B$38,2,FALSE)</f>
        <v>-0.36992241209510063</v>
      </c>
      <c r="J880">
        <f>($B$1+Table4[[#This Row],[Home Differential]])-Table4[[#This Row],[Away Differential]]</f>
        <v>0.55367152534291808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0.60289258170637738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-0.57335522029781161</v>
      </c>
      <c r="H881" t="s">
        <v>23</v>
      </c>
      <c r="I881">
        <f>VLOOKUP(Table4[[#This Row],[Visitor]],'NHL Model'!$A$6:$B$38,2,FALSE)</f>
        <v>-0.90742746858300449</v>
      </c>
      <c r="J881">
        <f>($B$1+Table4[[#This Row],[Home Differential]])-Table4[[#This Row],[Away Differential]]</f>
        <v>0.41749591522421559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0.60260083719947322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-0.15603426337582751</v>
      </c>
      <c r="H882" t="s">
        <v>18</v>
      </c>
      <c r="I882">
        <f>VLOOKUP(Table4[[#This Row],[Visitor]],'NHL Model'!$A$6:$B$38,2,FALSE)</f>
        <v>-0.65770380103775494</v>
      </c>
      <c r="J882">
        <f>($B$1+Table4[[#This Row],[Home Differential]])-Table4[[#This Row],[Away Differential]]</f>
        <v>0.58509320460095016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0.54120587996537373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-1.4782515386602066</v>
      </c>
      <c r="H883" t="s">
        <v>35</v>
      </c>
      <c r="I883">
        <f>VLOOKUP(Table4[[#This Row],[Visitor]],'NHL Model'!$A$6:$B$38,2,FALSE)</f>
        <v>-1.5899576513683618</v>
      </c>
      <c r="J883">
        <f>($B$1+Table4[[#This Row],[Home Differential]])-Table4[[#This Row],[Away Differential]]</f>
        <v>0.19512977964717781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0.56270735390088278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-0.22852375643476561</v>
      </c>
      <c r="H884" t="s">
        <v>36</v>
      </c>
      <c r="I884">
        <f>VLOOKUP(Table4[[#This Row],[Visitor]],'NHL Model'!$A$6:$B$38,2,FALSE)</f>
        <v>-0.53959086519270005</v>
      </c>
      <c r="J884">
        <f>($B$1+Table4[[#This Row],[Home Differential]])-Table4[[#This Row],[Away Differential]]</f>
        <v>0.39449077569695717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0.58757376332091182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-0.40521943828179341</v>
      </c>
      <c r="H885" t="s">
        <v>38</v>
      </c>
      <c r="I885">
        <f>VLOOKUP(Table4[[#This Row],[Visitor]],'NHL Model'!$A$6:$B$38,2,FALSE)</f>
        <v>-1.1317546087271064</v>
      </c>
      <c r="J885">
        <f>($B$1+Table4[[#This Row],[Home Differential]])-Table4[[#This Row],[Away Differential]]</f>
        <v>0.80995883738433572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0.65425533098478872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0.15604658591703846</v>
      </c>
      <c r="H886" t="s">
        <v>30</v>
      </c>
      <c r="I886">
        <f>VLOOKUP(Table4[[#This Row],[Visitor]],'NHL Model'!$A$6:$B$38,2,FALSE)</f>
        <v>-0.30740058470151932</v>
      </c>
      <c r="J886">
        <f>($B$1+Table4[[#This Row],[Home Differential]])-Table4[[#This Row],[Away Differential]]</f>
        <v>0.54687083755758048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0.55731052974769235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5.8616755922628279E-2</v>
      </c>
      <c r="H887" t="s">
        <v>32</v>
      </c>
      <c r="I887">
        <f>VLOOKUP(Table4[[#This Row],[Visitor]],'NHL Model'!$A$6:$B$38,2,FALSE)</f>
        <v>-0.64744265535741874</v>
      </c>
      <c r="J887">
        <f>($B$1+Table4[[#This Row],[Home Differential]])-Table4[[#This Row],[Away Differential]]</f>
        <v>0.78948307821906971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0.71170726698966724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0.25962865313068506</v>
      </c>
      <c r="H888" t="s">
        <v>36</v>
      </c>
      <c r="I888">
        <f>VLOOKUP(Table4[[#This Row],[Visitor]],'NHL Model'!$A$6:$B$38,2,FALSE)</f>
        <v>-0.53959086519270005</v>
      </c>
      <c r="J888">
        <f>($B$1+Table4[[#This Row],[Home Differential]])-Table4[[#This Row],[Away Differential]]</f>
        <v>0.88264318526240781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0.68233148072913152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-1.1577943512279505</v>
      </c>
      <c r="H889" t="s">
        <v>19</v>
      </c>
      <c r="I889">
        <f>VLOOKUP(Table4[[#This Row],[Visitor]],'NHL Model'!$A$6:$B$38,2,FALSE)</f>
        <v>-1.054674343910232</v>
      </c>
      <c r="J889">
        <f>($B$1+Table4[[#This Row],[Home Differential]])-Table4[[#This Row],[Away Differential]]</f>
        <v>-1.9696340378695831E-2</v>
      </c>
      <c r="K889" t="str">
        <f>IF(Table4[[#This Row],[HomeIce Differential]]&gt;0,Table4[[#This Row],[Home]],Table4[[#This Row],[Visitor]])</f>
        <v>Toronto Maple Leafs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0.4552461215095725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2.3143316481494557E-3</v>
      </c>
      <c r="H890" t="s">
        <v>28</v>
      </c>
      <c r="I890">
        <f>VLOOKUP(Table4[[#This Row],[Visitor]],'NHL Model'!$A$6:$B$38,2,FALSE)</f>
        <v>-0.9065542839469537</v>
      </c>
      <c r="J890">
        <f>($B$1+Table4[[#This Row],[Home Differential]])-Table4[[#This Row],[Away Differential]]</f>
        <v>0.99229228253412582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0.7772382746700528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-0.30740058470151932</v>
      </c>
      <c r="H891" t="s">
        <v>14</v>
      </c>
      <c r="I891">
        <f>VLOOKUP(Table4[[#This Row],[Visitor]],'NHL Model'!$A$6:$B$38,2,FALSE)</f>
        <v>-0.22852375643476561</v>
      </c>
      <c r="J891">
        <f>($B$1+Table4[[#This Row],[Home Differential]])-Table4[[#This Row],[Away Differential]]</f>
        <v>4.5468386722690157E-3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0.51975988721085475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-0.46667677612181552</v>
      </c>
      <c r="H892" t="s">
        <v>22</v>
      </c>
      <c r="I892">
        <f>VLOOKUP(Table4[[#This Row],[Visitor]],'NHL Model'!$A$6:$B$38,2,FALSE)</f>
        <v>0.15604658591703846</v>
      </c>
      <c r="J892">
        <f>($B$1+Table4[[#This Row],[Home Differential]])-Table4[[#This Row],[Away Differential]]</f>
        <v>-0.53929969509983122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0.51103444795684305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0.23616512594450029</v>
      </c>
      <c r="H893" t="s">
        <v>23</v>
      </c>
      <c r="I893">
        <f>VLOOKUP(Table4[[#This Row],[Visitor]],'NHL Model'!$A$6:$B$38,2,FALSE)</f>
        <v>-0.90742746858300449</v>
      </c>
      <c r="J893">
        <f>($B$1+Table4[[#This Row],[Home Differential]])-Table4[[#This Row],[Away Differential]]</f>
        <v>1.2270162614665274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0.71503458605178605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-0.9065542839469537</v>
      </c>
      <c r="H894" t="s">
        <v>10</v>
      </c>
      <c r="I894">
        <f>VLOOKUP(Table4[[#This Row],[Visitor]],'NHL Model'!$A$6:$B$38,2,FALSE)</f>
        <v>-0.43769530535874146</v>
      </c>
      <c r="J894">
        <f>($B$1+Table4[[#This Row],[Home Differential]])-Table4[[#This Row],[Away Differential]]</f>
        <v>-0.38543531164918954</v>
      </c>
      <c r="K894" t="str">
        <f>IF(Table4[[#This Row],[HomeIce Differential]]&gt;0,Table4[[#This Row],[Home]],Table4[[#This Row],[Visitor]])</f>
        <v>Chicago Blackhawks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0.50485330759528568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-1.2612222633157453</v>
      </c>
      <c r="H895" t="s">
        <v>17</v>
      </c>
      <c r="I895">
        <f>VLOOKUP(Table4[[#This Row],[Visitor]],'NHL Model'!$A$6:$B$38,2,FALSE)</f>
        <v>-1.1577943512279505</v>
      </c>
      <c r="J895">
        <f>($B$1+Table4[[#This Row],[Home Differential]])-Table4[[#This Row],[Away Differential]]</f>
        <v>-2.0004245148772082E-2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0.46232790440769483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1.339787395621115</v>
      </c>
      <c r="H896" t="s">
        <v>33</v>
      </c>
      <c r="I896">
        <f>VLOOKUP(Table4[[#This Row],[Visitor]],'NHL Model'!$A$6:$B$38,2,FALSE)</f>
        <v>-0.6620483089622381</v>
      </c>
      <c r="J896">
        <f>($B$1+Table4[[#This Row],[Home Differential]])-Table4[[#This Row],[Away Differential]]</f>
        <v>2.0852593715223757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0.88277651514944311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0.10032544630879472</v>
      </c>
      <c r="H897" t="s">
        <v>35</v>
      </c>
      <c r="I897">
        <f>VLOOKUP(Table4[[#This Row],[Visitor]],'NHL Model'!$A$6:$B$38,2,FALSE)</f>
        <v>-1.5899576513683618</v>
      </c>
      <c r="J897">
        <f>($B$1+Table4[[#This Row],[Home Differential]])-Table4[[#This Row],[Away Differential]]</f>
        <v>1.7737067646161793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0.76551260961633327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-0.57335522029781161</v>
      </c>
      <c r="H898" t="s">
        <v>21</v>
      </c>
      <c r="I898">
        <f>VLOOKUP(Table4[[#This Row],[Visitor]],'NHL Model'!$A$6:$B$38,2,FALSE)</f>
        <v>-0.41554817552415113</v>
      </c>
      <c r="J898">
        <f>($B$1+Table4[[#This Row],[Home Differential]])-Table4[[#This Row],[Away Differential]]</f>
        <v>-7.4383377834637776E-2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0.45546454298706723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-0.50197808897650842</v>
      </c>
      <c r="H899" t="s">
        <v>32</v>
      </c>
      <c r="I899">
        <f>VLOOKUP(Table4[[#This Row],[Visitor]],'NHL Model'!$A$6:$B$38,2,FALSE)</f>
        <v>-0.64744265535741874</v>
      </c>
      <c r="J899">
        <f>($B$1+Table4[[#This Row],[Home Differential]])-Table4[[#This Row],[Away Differential]]</f>
        <v>0.22888823331993302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0.566635842705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-1.4782515386602066</v>
      </c>
      <c r="H900" t="s">
        <v>34</v>
      </c>
      <c r="I900">
        <f>VLOOKUP(Table4[[#This Row],[Visitor]],'NHL Model'!$A$6:$B$38,2,FALSE)</f>
        <v>-0.15603426337582751</v>
      </c>
      <c r="J900">
        <f>($B$1+Table4[[#This Row],[Home Differential]])-Table4[[#This Row],[Away Differential]]</f>
        <v>-1.2387936083453563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0.64667161903661119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-0.40521943828179341</v>
      </c>
      <c r="H901" t="s">
        <v>26</v>
      </c>
      <c r="I901">
        <f>VLOOKUP(Table4[[#This Row],[Visitor]],'NHL Model'!$A$6:$B$38,2,FALSE)</f>
        <v>-1.0708320987334559</v>
      </c>
      <c r="J901">
        <f>($B$1+Table4[[#This Row],[Home Differential]])-Table4[[#This Row],[Away Differential]]</f>
        <v>0.74903632739068515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0.64716574682466077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-0.42180143360631367</v>
      </c>
      <c r="H902" t="s">
        <v>38</v>
      </c>
      <c r="I902">
        <f>VLOOKUP(Table4[[#This Row],[Visitor]],'NHL Model'!$A$6:$B$38,2,FALSE)</f>
        <v>-1.1317546087271064</v>
      </c>
      <c r="J902">
        <f>($B$1+Table4[[#This Row],[Home Differential]])-Table4[[#This Row],[Away Differential]]</f>
        <v>0.79337684205981551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0.6115564447990578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-0.36992241209510063</v>
      </c>
      <c r="H903" t="s">
        <v>18</v>
      </c>
      <c r="I903">
        <f>VLOOKUP(Table4[[#This Row],[Visitor]],'NHL Model'!$A$6:$B$38,2,FALSE)</f>
        <v>-0.65770380103775494</v>
      </c>
      <c r="J903">
        <f>($B$1+Table4[[#This Row],[Home Differential]])-Table4[[#This Row],[Away Differential]]</f>
        <v>0.37120505588167707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0.50473578687210963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-0.90742746858300449</v>
      </c>
      <c r="H904" t="s">
        <v>14</v>
      </c>
      <c r="I904">
        <f>VLOOKUP(Table4[[#This Row],[Visitor]],'NHL Model'!$A$6:$B$38,2,FALSE)</f>
        <v>-0.22852375643476561</v>
      </c>
      <c r="J904">
        <f>($B$1+Table4[[#This Row],[Home Differential]])-Table4[[#This Row],[Away Differential]]</f>
        <v>-0.59548004520921616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0.55006555320616779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2.3143316481494557E-3</v>
      </c>
      <c r="H905" t="s">
        <v>30</v>
      </c>
      <c r="I905">
        <f>VLOOKUP(Table4[[#This Row],[Visitor]],'NHL Model'!$A$6:$B$38,2,FALSE)</f>
        <v>-0.30740058470151932</v>
      </c>
      <c r="J905">
        <f>($B$1+Table4[[#This Row],[Home Differential]])-Table4[[#This Row],[Away Differential]]</f>
        <v>0.3931385832886915</v>
      </c>
      <c r="K905" t="str">
        <f>IF(Table4[[#This Row],[HomeIce Differential]]&gt;0,Table4[[#This Row],[Home]],Table4[[#This Row],[Visitor]])</f>
        <v>New Jersey Devils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0.63965837076234688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-0.39090512874251965</v>
      </c>
      <c r="H906" t="s">
        <v>25</v>
      </c>
      <c r="I906">
        <f>VLOOKUP(Table4[[#This Row],[Visitor]],'NHL Model'!$A$6:$B$38,2,FALSE)</f>
        <v>0.25962865313068506</v>
      </c>
      <c r="J906">
        <f>($B$1+Table4[[#This Row],[Home Differential]])-Table4[[#This Row],[Away Differential]]</f>
        <v>-0.56711011493418195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0.5986180680098343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-0.46667677612181552</v>
      </c>
      <c r="H907" t="s">
        <v>36</v>
      </c>
      <c r="I907">
        <f>VLOOKUP(Table4[[#This Row],[Visitor]],'NHL Model'!$A$6:$B$38,2,FALSE)</f>
        <v>-0.53959086519270005</v>
      </c>
      <c r="J907">
        <f>($B$1+Table4[[#This Row],[Home Differential]])-Table4[[#This Row],[Away Differential]]</f>
        <v>0.15633775600990729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0.58962167737173266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0.23616512594450029</v>
      </c>
      <c r="H908" t="s">
        <v>11</v>
      </c>
      <c r="I908">
        <f>VLOOKUP(Table4[[#This Row],[Visitor]],'NHL Model'!$A$6:$B$38,2,FALSE)</f>
        <v>-0.57335522029781161</v>
      </c>
      <c r="J908">
        <f>($B$1+Table4[[#This Row],[Home Differential]])-Table4[[#This Row],[Away Differential]]</f>
        <v>0.89294401318133465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0.67615842484260613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-0.42180143360631367</v>
      </c>
      <c r="H909" t="s">
        <v>13</v>
      </c>
      <c r="I909">
        <f>VLOOKUP(Table4[[#This Row],[Visitor]],'NHL Model'!$A$6:$B$38,2,FALSE)</f>
        <v>-0.50197808897650842</v>
      </c>
      <c r="J909">
        <f>($B$1+Table4[[#This Row],[Home Differential]])-Table4[[#This Row],[Away Differential]]</f>
        <v>0.16360032230921751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0.4927224650853636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0.15604658591703846</v>
      </c>
      <c r="H910" t="s">
        <v>29</v>
      </c>
      <c r="I910">
        <f>VLOOKUP(Table4[[#This Row],[Visitor]],'NHL Model'!$A$6:$B$38,2,FALSE)</f>
        <v>-1.4782515386602066</v>
      </c>
      <c r="J910">
        <f>($B$1+Table4[[#This Row],[Home Differential]])-Table4[[#This Row],[Away Differential]]</f>
        <v>1.7177217915162679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0.76592991373059049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5.8616755922628279E-2</v>
      </c>
      <c r="H911" t="s">
        <v>17</v>
      </c>
      <c r="I911">
        <f>VLOOKUP(Table4[[#This Row],[Visitor]],'NHL Model'!$A$6:$B$38,2,FALSE)</f>
        <v>-1.1577943512279505</v>
      </c>
      <c r="J911">
        <f>($B$1+Table4[[#This Row],[Home Differential]])-Table4[[#This Row],[Away Differential]]</f>
        <v>1.2998347740896015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0.77109715915785348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0.10032544630879472</v>
      </c>
      <c r="H912" t="s">
        <v>32</v>
      </c>
      <c r="I912">
        <f>VLOOKUP(Table4[[#This Row],[Visitor]],'NHL Model'!$A$6:$B$38,2,FALSE)</f>
        <v>-0.64744265535741874</v>
      </c>
      <c r="J912">
        <f>($B$1+Table4[[#This Row],[Home Differential]])-Table4[[#This Row],[Away Differential]]</f>
        <v>0.83119176860523614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0.6558316495393659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-0.50197808897650842</v>
      </c>
      <c r="H913" t="s">
        <v>20</v>
      </c>
      <c r="I913">
        <f>VLOOKUP(Table4[[#This Row],[Visitor]],'NHL Model'!$A$6:$B$38,2,FALSE)</f>
        <v>-0.42180143360631367</v>
      </c>
      <c r="J913">
        <f>($B$1+Table4[[#This Row],[Home Differential]])-Table4[[#This Row],[Away Differential]]</f>
        <v>3.2470115688279511E-3</v>
      </c>
      <c r="K913" t="str">
        <f>IF(Table4[[#This Row],[HomeIce Differential]]&gt;0,Table4[[#This Row],[Home]],Table4[[#This Row],[Visitor]])</f>
        <v>Los Angeles Kings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0.5403778564243088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2.3143316481494557E-3</v>
      </c>
      <c r="H914" t="s">
        <v>23</v>
      </c>
      <c r="I914">
        <f>VLOOKUP(Table4[[#This Row],[Visitor]],'NHL Model'!$A$6:$B$38,2,FALSE)</f>
        <v>-0.90742746858300449</v>
      </c>
      <c r="J914">
        <f>($B$1+Table4[[#This Row],[Home Differential]])-Table4[[#This Row],[Away Differential]]</f>
        <v>0.99316546717017662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0.77733988762009798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0.23616512594450029</v>
      </c>
      <c r="H915" t="s">
        <v>19</v>
      </c>
      <c r="I915">
        <f>VLOOKUP(Table4[[#This Row],[Visitor]],'NHL Model'!$A$6:$B$38,2,FALSE)</f>
        <v>-1.054674343910232</v>
      </c>
      <c r="J915">
        <f>($B$1+Table4[[#This Row],[Home Differential]])-Table4[[#This Row],[Away Differential]]</f>
        <v>1.374263136793755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0.73216978148377088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-0.40521943828179341</v>
      </c>
      <c r="H916" t="s">
        <v>12</v>
      </c>
      <c r="I916">
        <f>VLOOKUP(Table4[[#This Row],[Visitor]],'NHL Model'!$A$6:$B$38,2,FALSE)</f>
        <v>1.339787395621115</v>
      </c>
      <c r="J916">
        <f>($B$1+Table4[[#This Row],[Home Differential]])-Table4[[#This Row],[Away Differential]]</f>
        <v>-1.6615831669638856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0.68497940868907847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-1.1317546087271064</v>
      </c>
      <c r="H917" t="s">
        <v>40</v>
      </c>
      <c r="I917">
        <f>VLOOKUP(Table4[[#This Row],[Visitor]],'NHL Model'!$A$6:$B$38,2,FALSE)</f>
        <v>-0.36992241209510063</v>
      </c>
      <c r="J917">
        <f>($B$1+Table4[[#This Row],[Home Differential]])-Table4[[#This Row],[Away Differential]]</f>
        <v>-0.67840852969298315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0.55971598405809442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0.15604658591703846</v>
      </c>
      <c r="H918" t="s">
        <v>27</v>
      </c>
      <c r="I918">
        <f>VLOOKUP(Table4[[#This Row],[Visitor]],'NHL Model'!$A$6:$B$38,2,FALSE)</f>
        <v>-0.46667677612181552</v>
      </c>
      <c r="J918">
        <f>($B$1+Table4[[#This Row],[Home Differential]])-Table4[[#This Row],[Away Differential]]</f>
        <v>0.70614702897787673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0.62762924232577944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-0.41554817552415113</v>
      </c>
      <c r="H919" t="s">
        <v>28</v>
      </c>
      <c r="I919">
        <f>VLOOKUP(Table4[[#This Row],[Visitor]],'NHL Model'!$A$6:$B$38,2,FALSE)</f>
        <v>-0.9065542839469537</v>
      </c>
      <c r="J919">
        <f>($B$1+Table4[[#This Row],[Home Differential]])-Table4[[#This Row],[Away Differential]]</f>
        <v>0.57442977536182527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0.63909275739955818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0.25962865313068506</v>
      </c>
      <c r="H920" t="s">
        <v>37</v>
      </c>
      <c r="I920">
        <f>VLOOKUP(Table4[[#This Row],[Visitor]],'NHL Model'!$A$6:$B$38,2,FALSE)</f>
        <v>0.23616512594450029</v>
      </c>
      <c r="J920">
        <f>($B$1+Table4[[#This Row],[Home Differential]])-Table4[[#This Row],[Away Differential]]</f>
        <v>0.10688719412520747</v>
      </c>
      <c r="K920" t="str">
        <f>IF(Table4[[#This Row],[HomeIce Differential]]&gt;0,Table4[[#This Row],[Home]],Table4[[#This Row],[Visitor]])</f>
        <v>Carolina Hurricanes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0.51243851834846543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1.339787395621115</v>
      </c>
      <c r="H921" t="s">
        <v>34</v>
      </c>
      <c r="I921">
        <f>VLOOKUP(Table4[[#This Row],[Visitor]],'NHL Model'!$A$6:$B$38,2,FALSE)</f>
        <v>-0.15603426337582751</v>
      </c>
      <c r="J921">
        <f>($B$1+Table4[[#This Row],[Home Differential]])-Table4[[#This Row],[Away Differential]]</f>
        <v>1.5792453259359653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0.78377759959132665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-0.57335522029781161</v>
      </c>
      <c r="H922" t="s">
        <v>19</v>
      </c>
      <c r="I922">
        <f>VLOOKUP(Table4[[#This Row],[Visitor]],'NHL Model'!$A$6:$B$38,2,FALSE)</f>
        <v>-1.054674343910232</v>
      </c>
      <c r="J922">
        <f>($B$1+Table4[[#This Row],[Home Differential]])-Table4[[#This Row],[Away Differential]]</f>
        <v>0.56474279055144305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0.61973603263145793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-0.50197808897650842</v>
      </c>
      <c r="H923" t="s">
        <v>17</v>
      </c>
      <c r="I923">
        <f>VLOOKUP(Table4[[#This Row],[Visitor]],'NHL Model'!$A$6:$B$38,2,FALSE)</f>
        <v>-1.1577943512279505</v>
      </c>
      <c r="J923">
        <f>($B$1+Table4[[#This Row],[Home Differential]])-Table4[[#This Row],[Away Differential]]</f>
        <v>0.73923992919046477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0.62602573487318625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-0.65770380103775494</v>
      </c>
      <c r="H924" t="s">
        <v>30</v>
      </c>
      <c r="I924">
        <f>VLOOKUP(Table4[[#This Row],[Visitor]],'NHL Model'!$A$6:$B$38,2,FALSE)</f>
        <v>-0.30740058470151932</v>
      </c>
      <c r="J924">
        <f>($B$1+Table4[[#This Row],[Home Differential]])-Table4[[#This Row],[Away Differential]]</f>
        <v>-0.26687954939721292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0.56368008101555267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-1.4782515386602066</v>
      </c>
      <c r="H925" t="s">
        <v>10</v>
      </c>
      <c r="I925">
        <f>VLOOKUP(Table4[[#This Row],[Visitor]],'NHL Model'!$A$6:$B$38,2,FALSE)</f>
        <v>-0.43769530535874146</v>
      </c>
      <c r="J925">
        <f>($B$1+Table4[[#This Row],[Home Differential]])-Table4[[#This Row],[Away Differential]]</f>
        <v>-0.95713256636244248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0.57138201433809921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-0.39090512874251965</v>
      </c>
      <c r="H926" t="s">
        <v>27</v>
      </c>
      <c r="I926">
        <f>VLOOKUP(Table4[[#This Row],[Visitor]],'NHL Model'!$A$6:$B$38,2,FALSE)</f>
        <v>-0.46667677612181552</v>
      </c>
      <c r="J926">
        <f>($B$1+Table4[[#This Row],[Home Differential]])-Table4[[#This Row],[Away Differential]]</f>
        <v>0.15919531431831863</v>
      </c>
      <c r="K926" t="str">
        <f>IF(Table4[[#This Row],[HomeIce Differential]]&gt;0,Table4[[#This Row],[Home]],Table4[[#This Row],[Visitor]])</f>
        <v>New York Rangers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0.53775641071985714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-0.53959086519270005</v>
      </c>
      <c r="H927" t="s">
        <v>26</v>
      </c>
      <c r="I927">
        <f>VLOOKUP(Table4[[#This Row],[Visitor]],'NHL Model'!$A$6:$B$38,2,FALSE)</f>
        <v>-1.0708320987334559</v>
      </c>
      <c r="J927">
        <f>($B$1+Table4[[#This Row],[Home Differential]])-Table4[[#This Row],[Away Differential]]</f>
        <v>0.61466490047977851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0.59326800445330585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-0.22852375643476561</v>
      </c>
      <c r="H928" t="s">
        <v>24</v>
      </c>
      <c r="I928">
        <f>VLOOKUP(Table4[[#This Row],[Visitor]],'NHL Model'!$A$6:$B$38,2,FALSE)</f>
        <v>2.3143316481494557E-3</v>
      </c>
      <c r="J928">
        <f>($B$1+Table4[[#This Row],[Home Differential]])-Table4[[#This Row],[Away Differential]]</f>
        <v>-0.14741442114389233</v>
      </c>
      <c r="K928" t="str">
        <f>IF(Table4[[#This Row],[HomeIce Differential]]&gt;0,Table4[[#This Row],[Home]],Table4[[#This Row],[Visitor]])</f>
        <v>New Jersey Devils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0.49541556239099055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-0.6620483089622381</v>
      </c>
      <c r="H929" t="s">
        <v>16</v>
      </c>
      <c r="I929">
        <f>VLOOKUP(Table4[[#This Row],[Visitor]],'NHL Model'!$A$6:$B$38,2,FALSE)</f>
        <v>-1.2612222633157453</v>
      </c>
      <c r="J929">
        <f>($B$1+Table4[[#This Row],[Home Differential]])-Table4[[#This Row],[Away Differential]]</f>
        <v>0.68259762129252988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0.61943424005611225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-1.5899576513683618</v>
      </c>
      <c r="H930" t="s">
        <v>32</v>
      </c>
      <c r="I930">
        <f>VLOOKUP(Table4[[#This Row],[Visitor]],'NHL Model'!$A$6:$B$38,2,FALSE)</f>
        <v>-0.64744265535741874</v>
      </c>
      <c r="J930">
        <f>($B$1+Table4[[#This Row],[Home Differential]])-Table4[[#This Row],[Away Differential]]</f>
        <v>-0.85909132907192032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0.55997290458528914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5.8616755922628279E-2</v>
      </c>
      <c r="H931" t="s">
        <v>40</v>
      </c>
      <c r="I931">
        <f>VLOOKUP(Table4[[#This Row],[Visitor]],'NHL Model'!$A$6:$B$38,2,FALSE)</f>
        <v>-0.36992241209510063</v>
      </c>
      <c r="J931">
        <f>($B$1+Table4[[#This Row],[Home Differential]])-Table4[[#This Row],[Away Differential]]</f>
        <v>0.51196283495675166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0.65957738126124266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-0.57335522029781161</v>
      </c>
      <c r="H932" t="s">
        <v>23</v>
      </c>
      <c r="I932">
        <f>VLOOKUP(Table4[[#This Row],[Visitor]],'NHL Model'!$A$6:$B$38,2,FALSE)</f>
        <v>-0.90742746858300449</v>
      </c>
      <c r="J932">
        <f>($B$1+Table4[[#This Row],[Home Differential]])-Table4[[#This Row],[Away Differential]]</f>
        <v>0.41749591522421559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0.60260083719947322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-0.40521943828179341</v>
      </c>
      <c r="H933" t="s">
        <v>34</v>
      </c>
      <c r="I933">
        <f>VLOOKUP(Table4[[#This Row],[Visitor]],'NHL Model'!$A$6:$B$38,2,FALSE)</f>
        <v>-0.15603426337582751</v>
      </c>
      <c r="J933">
        <f>($B$1+Table4[[#This Row],[Home Differential]])-Table4[[#This Row],[Away Differential]]</f>
        <v>-0.16576150796694319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0.48082821439604806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0.15604658591703846</v>
      </c>
      <c r="H934" t="s">
        <v>20</v>
      </c>
      <c r="I934">
        <f>VLOOKUP(Table4[[#This Row],[Visitor]],'NHL Model'!$A$6:$B$38,2,FALSE)</f>
        <v>-0.42180143360631367</v>
      </c>
      <c r="J934">
        <f>($B$1+Table4[[#This Row],[Home Differential]])-Table4[[#This Row],[Away Differential]]</f>
        <v>0.66127168646237489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0.64299026578213636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0.25962865313068506</v>
      </c>
      <c r="H935" t="s">
        <v>26</v>
      </c>
      <c r="I935">
        <f>VLOOKUP(Table4[[#This Row],[Visitor]],'NHL Model'!$A$6:$B$38,2,FALSE)</f>
        <v>-1.0708320987334559</v>
      </c>
      <c r="J935">
        <f>($B$1+Table4[[#This Row],[Home Differential]])-Table4[[#This Row],[Away Differential]]</f>
        <v>1.4138844188031636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0.7245344648610722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-0.9065542839469537</v>
      </c>
      <c r="H936" t="s">
        <v>30</v>
      </c>
      <c r="I936">
        <f>VLOOKUP(Table4[[#This Row],[Visitor]],'NHL Model'!$A$6:$B$38,2,FALSE)</f>
        <v>-0.30740058470151932</v>
      </c>
      <c r="J936">
        <f>($B$1+Table4[[#This Row],[Home Differential]])-Table4[[#This Row],[Away Differential]]</f>
        <v>-0.51573003230641168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0.59263894108315529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1.339787395621115</v>
      </c>
      <c r="H937" t="s">
        <v>10</v>
      </c>
      <c r="I937">
        <f>VLOOKUP(Table4[[#This Row],[Visitor]],'NHL Model'!$A$6:$B$38,2,FALSE)</f>
        <v>-0.43769530535874146</v>
      </c>
      <c r="J937">
        <f>($B$1+Table4[[#This Row],[Home Differential]])-Table4[[#This Row],[Away Differential]]</f>
        <v>1.8609063679188793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0.85666843948430316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0.10032544630879472</v>
      </c>
      <c r="H938" t="s">
        <v>29</v>
      </c>
      <c r="I938">
        <f>VLOOKUP(Table4[[#This Row],[Visitor]],'NHL Model'!$A$6:$B$38,2,FALSE)</f>
        <v>-1.4782515386602066</v>
      </c>
      <c r="J938">
        <f>($B$1+Table4[[#This Row],[Home Differential]])-Table4[[#This Row],[Away Differential]]</f>
        <v>1.6620006519080242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0.75251331120712883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-0.50197808897650842</v>
      </c>
      <c r="H939" t="s">
        <v>16</v>
      </c>
      <c r="I939">
        <f>VLOOKUP(Table4[[#This Row],[Visitor]],'NHL Model'!$A$6:$B$38,2,FALSE)</f>
        <v>-1.2612222633157453</v>
      </c>
      <c r="J939">
        <f>($B$1+Table4[[#This Row],[Home Differential]])-Table4[[#This Row],[Away Differential]]</f>
        <v>0.84266784127825956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0.63806169477255936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-0.65770380103775494</v>
      </c>
      <c r="H940" t="s">
        <v>22</v>
      </c>
      <c r="I940">
        <f>VLOOKUP(Table4[[#This Row],[Visitor]],'NHL Model'!$A$6:$B$38,2,FALSE)</f>
        <v>0.15604658591703846</v>
      </c>
      <c r="J940">
        <f>($B$1+Table4[[#This Row],[Home Differential]])-Table4[[#This Row],[Away Differential]]</f>
        <v>-0.7303267200157707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0.56575773085699188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-0.39090512874251965</v>
      </c>
      <c r="H941" t="s">
        <v>14</v>
      </c>
      <c r="I941">
        <f>VLOOKUP(Table4[[#This Row],[Visitor]],'NHL Model'!$A$6:$B$38,2,FALSE)</f>
        <v>-0.22852375643476561</v>
      </c>
      <c r="J941">
        <f>($B$1+Table4[[#This Row],[Home Differential]])-Table4[[#This Row],[Away Differential]]</f>
        <v>-7.8957705368731285E-2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0.4899575799912268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-0.46667677612181552</v>
      </c>
      <c r="H942" t="s">
        <v>21</v>
      </c>
      <c r="I942">
        <f>VLOOKUP(Table4[[#This Row],[Visitor]],'NHL Model'!$A$6:$B$38,2,FALSE)</f>
        <v>-0.41554817552415113</v>
      </c>
      <c r="J942">
        <f>($B$1+Table4[[#This Row],[Home Differential]])-Table4[[#This Row],[Away Differential]]</f>
        <v>3.2295066341358369E-2</v>
      </c>
      <c r="K942" t="str">
        <f>IF(Table4[[#This Row],[HomeIce Differential]]&gt;0,Table4[[#This Row],[Home]],Table4[[#This Row],[Visitor]])</f>
        <v>Philadelphia Flyers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0.5751867650881537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-0.64744265535741874</v>
      </c>
      <c r="H943" t="s">
        <v>38</v>
      </c>
      <c r="I943">
        <f>VLOOKUP(Table4[[#This Row],[Visitor]],'NHL Model'!$A$6:$B$38,2,FALSE)</f>
        <v>-1.1317546087271064</v>
      </c>
      <c r="J943">
        <f>($B$1+Table4[[#This Row],[Home Differential]])-Table4[[#This Row],[Away Differential]]</f>
        <v>0.56773562030871039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0.58780681972237991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-0.6620483089622381</v>
      </c>
      <c r="H944" t="s">
        <v>17</v>
      </c>
      <c r="I944">
        <f>VLOOKUP(Table4[[#This Row],[Visitor]],'NHL Model'!$A$6:$B$38,2,FALSE)</f>
        <v>-1.1577943512279505</v>
      </c>
      <c r="J944">
        <f>($B$1+Table4[[#This Row],[Home Differential]])-Table4[[#This Row],[Away Differential]]</f>
        <v>0.57916970920473509</v>
      </c>
      <c r="K944" t="str">
        <f>IF(Table4[[#This Row],[HomeIce Differential]]&gt;0,Table4[[#This Row],[Home]],Table4[[#This Row],[Visitor]])</f>
        <v>San Jose Sharks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0.60739828015673913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-1.5899576513683618</v>
      </c>
      <c r="H945" t="s">
        <v>24</v>
      </c>
      <c r="I945">
        <f>VLOOKUP(Table4[[#This Row],[Visitor]],'NHL Model'!$A$6:$B$38,2,FALSE)</f>
        <v>2.3143316481494557E-3</v>
      </c>
      <c r="J945">
        <f>($B$1+Table4[[#This Row],[Home Differential]])-Table4[[#This Row],[Away Differential]]</f>
        <v>-1.5088483160774886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0.65635469372559208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0.23616512594450029</v>
      </c>
      <c r="H946" t="s">
        <v>23</v>
      </c>
      <c r="I946">
        <f>VLOOKUP(Table4[[#This Row],[Visitor]],'NHL Model'!$A$6:$B$38,2,FALSE)</f>
        <v>-0.90742746858300449</v>
      </c>
      <c r="J946">
        <f>($B$1+Table4[[#This Row],[Home Differential]])-Table4[[#This Row],[Away Differential]]</f>
        <v>1.2270162614665274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0.71503458605178605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-1.054674343910232</v>
      </c>
      <c r="H947" t="s">
        <v>36</v>
      </c>
      <c r="I947">
        <f>VLOOKUP(Table4[[#This Row],[Visitor]],'NHL Model'!$A$6:$B$38,2,FALSE)</f>
        <v>-0.53959086519270005</v>
      </c>
      <c r="J947">
        <f>($B$1+Table4[[#This Row],[Home Differential]])-Table4[[#This Row],[Away Differential]]</f>
        <v>-0.43165981177850921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0.5110619697939125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5.8616755922628279E-2</v>
      </c>
      <c r="H948" t="s">
        <v>16</v>
      </c>
      <c r="I948">
        <f>VLOOKUP(Table4[[#This Row],[Visitor]],'NHL Model'!$A$6:$B$38,2,FALSE)</f>
        <v>-1.2612222633157453</v>
      </c>
      <c r="J948">
        <f>($B$1+Table4[[#This Row],[Home Differential]])-Table4[[#This Row],[Away Differential]]</f>
        <v>1.4032626861773962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0.7831331190572266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-0.15603426337582751</v>
      </c>
      <c r="H949" t="s">
        <v>35</v>
      </c>
      <c r="I949">
        <f>VLOOKUP(Table4[[#This Row],[Visitor]],'NHL Model'!$A$6:$B$38,2,FALSE)</f>
        <v>-1.5899576513683618</v>
      </c>
      <c r="J949">
        <f>($B$1+Table4[[#This Row],[Home Differential]])-Table4[[#This Row],[Away Differential]]</f>
        <v>1.5173470549315571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0.73059108611371693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-0.30740058470151932</v>
      </c>
      <c r="H950" t="s">
        <v>11</v>
      </c>
      <c r="I950">
        <f>VLOOKUP(Table4[[#This Row],[Visitor]],'NHL Model'!$A$6:$B$38,2,FALSE)</f>
        <v>-0.57335522029781161</v>
      </c>
      <c r="J950">
        <f>($B$1+Table4[[#This Row],[Home Differential]])-Table4[[#This Row],[Away Differential]]</f>
        <v>0.34937830253531499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0.58065733469952097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-0.22852375643476561</v>
      </c>
      <c r="H951" t="s">
        <v>20</v>
      </c>
      <c r="I951">
        <f>VLOOKUP(Table4[[#This Row],[Visitor]],'NHL Model'!$A$6:$B$38,2,FALSE)</f>
        <v>-0.42180143360631367</v>
      </c>
      <c r="J951">
        <f>($B$1+Table4[[#This Row],[Home Differential]])-Table4[[#This Row],[Away Differential]]</f>
        <v>0.27670134411057079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0.57469535846894781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-0.6620483089622381</v>
      </c>
      <c r="H952" t="s">
        <v>40</v>
      </c>
      <c r="I952">
        <f>VLOOKUP(Table4[[#This Row],[Visitor]],'NHL Model'!$A$6:$B$38,2,FALSE)</f>
        <v>-0.36992241209510063</v>
      </c>
      <c r="J952">
        <f>($B$1+Table4[[#This Row],[Home Differential]])-Table4[[#This Row],[Away Differential]]</f>
        <v>-0.20870222992811477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0.50505601776530085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-0.40521943828179341</v>
      </c>
      <c r="H953" t="s">
        <v>10</v>
      </c>
      <c r="I953">
        <f>VLOOKUP(Table4[[#This Row],[Visitor]],'NHL Model'!$A$6:$B$38,2,FALSE)</f>
        <v>-0.43769530535874146</v>
      </c>
      <c r="J953">
        <f>($B$1+Table4[[#This Row],[Home Differential]])-Table4[[#This Row],[Away Differential]]</f>
        <v>0.11589953401597075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0.59391846647295787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-0.50197808897650842</v>
      </c>
      <c r="H954" t="s">
        <v>12</v>
      </c>
      <c r="I954">
        <f>VLOOKUP(Table4[[#This Row],[Visitor]],'NHL Model'!$A$6:$B$38,2,FALSE)</f>
        <v>1.339787395621115</v>
      </c>
      <c r="J954">
        <f>($B$1+Table4[[#This Row],[Home Differential]])-Table4[[#This Row],[Away Differential]]</f>
        <v>-1.7583418176586008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0.73724232054896088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-1.4782515386602066</v>
      </c>
      <c r="H955" t="s">
        <v>26</v>
      </c>
      <c r="I955">
        <f>VLOOKUP(Table4[[#This Row],[Visitor]],'NHL Model'!$A$6:$B$38,2,FALSE)</f>
        <v>-1.0708320987334559</v>
      </c>
      <c r="J955">
        <f>($B$1+Table4[[#This Row],[Home Differential]])-Table4[[#This Row],[Away Differential]]</f>
        <v>-0.32399577298772808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0.51847278730952429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-0.39090512874251965</v>
      </c>
      <c r="H956" t="s">
        <v>28</v>
      </c>
      <c r="I956">
        <f>VLOOKUP(Table4[[#This Row],[Visitor]],'NHL Model'!$A$6:$B$38,2,FALSE)</f>
        <v>-0.9065542839469537</v>
      </c>
      <c r="J956">
        <f>($B$1+Table4[[#This Row],[Home Differential]])-Table4[[#This Row],[Away Differential]]</f>
        <v>0.59907282214345681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0.60971441575657415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-0.64744265535741874</v>
      </c>
      <c r="H957" t="s">
        <v>25</v>
      </c>
      <c r="I957">
        <f>VLOOKUP(Table4[[#This Row],[Visitor]],'NHL Model'!$A$6:$B$38,2,FALSE)</f>
        <v>0.25962865313068506</v>
      </c>
      <c r="J957">
        <f>($B$1+Table4[[#This Row],[Home Differential]])-Table4[[#This Row],[Away Differential]]</f>
        <v>-0.8236476415490811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0.62596878616963536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-1.054674343910232</v>
      </c>
      <c r="H958" t="s">
        <v>27</v>
      </c>
      <c r="I958">
        <f>VLOOKUP(Table4[[#This Row],[Visitor]],'NHL Model'!$A$6:$B$38,2,FALSE)</f>
        <v>-0.46667677612181552</v>
      </c>
      <c r="J958">
        <f>($B$1+Table4[[#This Row],[Home Differential]])-Table4[[#This Row],[Away Differential]]</f>
        <v>-0.50457390084939369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0.53948675792706868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-1.1317546087271064</v>
      </c>
      <c r="H959" t="s">
        <v>39</v>
      </c>
      <c r="I959">
        <f>VLOOKUP(Table4[[#This Row],[Visitor]],'NHL Model'!$A$6:$B$38,2,FALSE)</f>
        <v>0.10032544630879472</v>
      </c>
      <c r="J959">
        <f>($B$1+Table4[[#This Row],[Home Differential]])-Table4[[#This Row],[Away Differential]]</f>
        <v>-1.1486563880968785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0.69546749385101303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5.8616755922628279E-2</v>
      </c>
      <c r="H960" t="s">
        <v>12</v>
      </c>
      <c r="I960">
        <f>VLOOKUP(Table4[[#This Row],[Visitor]],'NHL Model'!$A$6:$B$38,2,FALSE)</f>
        <v>1.339787395621115</v>
      </c>
      <c r="J960">
        <f>($B$1+Table4[[#This Row],[Home Differential]])-Table4[[#This Row],[Away Differential]]</f>
        <v>-1.1977469727594641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0.59008666325235171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-0.41554817552415113</v>
      </c>
      <c r="H961" t="s">
        <v>14</v>
      </c>
      <c r="I961">
        <f>VLOOKUP(Table4[[#This Row],[Visitor]],'NHL Model'!$A$6:$B$38,2,FALSE)</f>
        <v>-0.22852375643476561</v>
      </c>
      <c r="J961">
        <f>($B$1+Table4[[#This Row],[Home Differential]])-Table4[[#This Row],[Away Differential]]</f>
        <v>-0.10360075215036282</v>
      </c>
      <c r="K961" t="str">
        <f>IF(Table4[[#This Row],[HomeIce Differential]]&gt;0,Table4[[#This Row],[Home]],Table4[[#This Row],[Visitor]])</f>
        <v>Pittsburgh Penguins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0.4603319354562751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-0.90742746858300449</v>
      </c>
      <c r="H962" t="s">
        <v>20</v>
      </c>
      <c r="I962">
        <f>VLOOKUP(Table4[[#This Row],[Visitor]],'NHL Model'!$A$6:$B$38,2,FALSE)</f>
        <v>-0.42180143360631367</v>
      </c>
      <c r="J962">
        <f>($B$1+Table4[[#This Row],[Home Differential]])-Table4[[#This Row],[Away Differential]]</f>
        <v>-0.40220236803766812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0.50680449866400756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-0.9065542839469537</v>
      </c>
      <c r="H963" t="s">
        <v>29</v>
      </c>
      <c r="I963">
        <f>VLOOKUP(Table4[[#This Row],[Visitor]],'NHL Model'!$A$6:$B$38,2,FALSE)</f>
        <v>-1.4782515386602066</v>
      </c>
      <c r="J963">
        <f>($B$1+Table4[[#This Row],[Home Differential]])-Table4[[#This Row],[Away Differential]]</f>
        <v>0.65512092165227565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0.61623676223449197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-1.2612222633157453</v>
      </c>
      <c r="H964" t="s">
        <v>39</v>
      </c>
      <c r="I964">
        <f>VLOOKUP(Table4[[#This Row],[Visitor]],'NHL Model'!$A$6:$B$38,2,FALSE)</f>
        <v>0.10032544630879472</v>
      </c>
      <c r="J964">
        <f>($B$1+Table4[[#This Row],[Home Differential]])-Table4[[#This Row],[Away Differential]]</f>
        <v>-1.2781240426855174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0.71053371212265337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-1.1577943512279505</v>
      </c>
      <c r="H965" t="s">
        <v>36</v>
      </c>
      <c r="I965">
        <f>VLOOKUP(Table4[[#This Row],[Visitor]],'NHL Model'!$A$6:$B$38,2,FALSE)</f>
        <v>-0.53959086519270005</v>
      </c>
      <c r="J965">
        <f>($B$1+Table4[[#This Row],[Home Differential]])-Table4[[#This Row],[Away Differential]]</f>
        <v>-0.53477981909622774</v>
      </c>
      <c r="K965" t="str">
        <f>IF(Table4[[#This Row],[HomeIce Differential]]&gt;0,Table4[[#This Row],[Home]],Table4[[#This Row],[Visitor]])</f>
        <v>Ottawa Senators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0.51601411817260401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-0.15603426337582751</v>
      </c>
      <c r="H966" t="s">
        <v>37</v>
      </c>
      <c r="I966">
        <f>VLOOKUP(Table4[[#This Row],[Visitor]],'NHL Model'!$A$6:$B$38,2,FALSE)</f>
        <v>0.23616512594450029</v>
      </c>
      <c r="J966">
        <f>($B$1+Table4[[#This Row],[Home Differential]])-Table4[[#This Row],[Away Differential]]</f>
        <v>-0.30877572238130507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0.56281411176878859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2.3143316481494557E-3</v>
      </c>
      <c r="H967" t="s">
        <v>11</v>
      </c>
      <c r="I967">
        <f>VLOOKUP(Table4[[#This Row],[Visitor]],'NHL Model'!$A$6:$B$38,2,FALSE)</f>
        <v>-0.57335522029781161</v>
      </c>
      <c r="J967">
        <f>($B$1+Table4[[#This Row],[Home Differential]])-Table4[[#This Row],[Away Differential]]</f>
        <v>0.65909321888498384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0.73846372641091806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-0.6620483089622381</v>
      </c>
      <c r="H968" t="s">
        <v>18</v>
      </c>
      <c r="I968">
        <f>VLOOKUP(Table4[[#This Row],[Visitor]],'NHL Model'!$A$6:$B$38,2,FALSE)</f>
        <v>-0.65770380103775494</v>
      </c>
      <c r="J968">
        <f>($B$1+Table4[[#This Row],[Home Differential]])-Table4[[#This Row],[Away Differential]]</f>
        <v>7.9079159014539546E-2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0.46824421391236026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-0.36992241209510063</v>
      </c>
      <c r="H969" t="s">
        <v>10</v>
      </c>
      <c r="I969">
        <f>VLOOKUP(Table4[[#This Row],[Visitor]],'NHL Model'!$A$6:$B$38,2,FALSE)</f>
        <v>-0.43769530535874146</v>
      </c>
      <c r="J969">
        <f>($B$1+Table4[[#This Row],[Home Differential]])-Table4[[#This Row],[Away Differential]]</f>
        <v>0.15119656020266359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0.5600903015186266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0.15604658591703846</v>
      </c>
      <c r="H970" t="s">
        <v>55</v>
      </c>
      <c r="I970">
        <f>VLOOKUP(Table4[[#This Row],[Visitor]],'NHL Model'!$A$6:$B$38,2,FALSE)</f>
        <v>-0.40521943828179341</v>
      </c>
      <c r="J970">
        <f>($B$1+Table4[[#This Row],[Home Differential]])-Table4[[#This Row],[Away Differential]]</f>
        <v>0.64468969113785457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0.64106061036563611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5.8616755922628279E-2</v>
      </c>
      <c r="H971" t="s">
        <v>30</v>
      </c>
      <c r="I971">
        <f>VLOOKUP(Table4[[#This Row],[Visitor]],'NHL Model'!$A$6:$B$38,2,FALSE)</f>
        <v>-0.30740058470151932</v>
      </c>
      <c r="J971">
        <f>($B$1+Table4[[#This Row],[Home Differential]])-Table4[[#This Row],[Away Differential]]</f>
        <v>0.44944100756317029</v>
      </c>
      <c r="K971" t="str">
        <f>IF(Table4[[#This Row],[HomeIce Differential]]&gt;0,Table4[[#This Row],[Home]],Table4[[#This Row],[Visitor]])</f>
        <v>Anaheim Ducks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0.60159745835172485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-1.0708320987334559</v>
      </c>
      <c r="H972" t="s">
        <v>20</v>
      </c>
      <c r="I972">
        <f>VLOOKUP(Table4[[#This Row],[Visitor]],'NHL Model'!$A$6:$B$38,2,FALSE)</f>
        <v>-0.42180143360631367</v>
      </c>
      <c r="J972">
        <f>($B$1+Table4[[#This Row],[Home Differential]])-Table4[[#This Row],[Away Differential]]</f>
        <v>-0.56560699818811955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0.52581998042480405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2.3143316481494557E-3</v>
      </c>
      <c r="H973" t="s">
        <v>19</v>
      </c>
      <c r="I973">
        <f>VLOOKUP(Table4[[#This Row],[Visitor]],'NHL Model'!$A$6:$B$38,2,FALSE)</f>
        <v>-1.054674343910232</v>
      </c>
      <c r="J973">
        <f>($B$1+Table4[[#This Row],[Home Differential]])-Table4[[#This Row],[Away Differential]]</f>
        <v>1.1404123424974042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0.79447508305208281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-0.64744265535741874</v>
      </c>
      <c r="H974" t="s">
        <v>35</v>
      </c>
      <c r="I974">
        <f>VLOOKUP(Table4[[#This Row],[Visitor]],'NHL Model'!$A$6:$B$38,2,FALSE)</f>
        <v>-1.5899576513683618</v>
      </c>
      <c r="J974">
        <f>($B$1+Table4[[#This Row],[Home Differential]])-Table4[[#This Row],[Away Differential]]</f>
        <v>1.0259386629499656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0.66188449477298561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-1.1317546087271064</v>
      </c>
      <c r="H975" t="s">
        <v>25</v>
      </c>
      <c r="I975">
        <f>VLOOKUP(Table4[[#This Row],[Visitor]],'NHL Model'!$A$6:$B$38,2,FALSE)</f>
        <v>0.25962865313068506</v>
      </c>
      <c r="J975">
        <f>($B$1+Table4[[#This Row],[Home Differential]])-Table4[[#This Row],[Away Differential]]</f>
        <v>-1.3079595949187688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0.68483110714569972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-0.9065542839469537</v>
      </c>
      <c r="H976" t="s">
        <v>11</v>
      </c>
      <c r="I976">
        <f>VLOOKUP(Table4[[#This Row],[Visitor]],'NHL Model'!$A$6:$B$38,2,FALSE)</f>
        <v>-0.57335522029781161</v>
      </c>
      <c r="J976">
        <f>($B$1+Table4[[#This Row],[Home Differential]])-Table4[[#This Row],[Away Differential]]</f>
        <v>-0.24977539671011939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0.48906649276745645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-1.2612222633157453</v>
      </c>
      <c r="H977" t="s">
        <v>36</v>
      </c>
      <c r="I977">
        <f>VLOOKUP(Table4[[#This Row],[Visitor]],'NHL Model'!$A$6:$B$38,2,FALSE)</f>
        <v>-0.53959086519270005</v>
      </c>
      <c r="J977">
        <f>($B$1+Table4[[#This Row],[Home Differential]])-Table4[[#This Row],[Away Differential]]</f>
        <v>-0.63820773118402252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0.53509805855449255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-0.50197808897650842</v>
      </c>
      <c r="H978" t="s">
        <v>30</v>
      </c>
      <c r="I978">
        <f>VLOOKUP(Table4[[#This Row],[Visitor]],'NHL Model'!$A$6:$B$38,2,FALSE)</f>
        <v>-0.30740058470151932</v>
      </c>
      <c r="J978">
        <f>($B$1+Table4[[#This Row],[Home Differential]])-Table4[[#This Row],[Away Differential]]</f>
        <v>-0.1111538373359664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0.54555819894488422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-1.4782515386602066</v>
      </c>
      <c r="H979" t="s">
        <v>21</v>
      </c>
      <c r="I979">
        <f>VLOOKUP(Table4[[#This Row],[Visitor]],'NHL Model'!$A$6:$B$38,2,FALSE)</f>
        <v>-0.41554817552415113</v>
      </c>
      <c r="J979">
        <f>($B$1+Table4[[#This Row],[Home Differential]])-Table4[[#This Row],[Away Differential]]</f>
        <v>-0.97927969619703281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0.57478878043827519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-0.39090512874251965</v>
      </c>
      <c r="H980" t="s">
        <v>19</v>
      </c>
      <c r="I980">
        <f>VLOOKUP(Table4[[#This Row],[Visitor]],'NHL Model'!$A$6:$B$38,2,FALSE)</f>
        <v>-1.054674343910232</v>
      </c>
      <c r="J980">
        <f>($B$1+Table4[[#This Row],[Home Differential]])-Table4[[#This Row],[Away Differential]]</f>
        <v>0.74719288210673507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0.62695122413860405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-0.46667677612181552</v>
      </c>
      <c r="H981" t="s">
        <v>55</v>
      </c>
      <c r="I981">
        <f>VLOOKUP(Table4[[#This Row],[Visitor]],'NHL Model'!$A$6:$B$38,2,FALSE)</f>
        <v>-0.40521943828179341</v>
      </c>
      <c r="J981">
        <f>($B$1+Table4[[#This Row],[Home Differential]])-Table4[[#This Row],[Away Differential]]</f>
        <v>2.1966329099000648E-2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0.57480229894532142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-0.22852375643476561</v>
      </c>
      <c r="H982" t="s">
        <v>23</v>
      </c>
      <c r="I982">
        <f>VLOOKUP(Table4[[#This Row],[Visitor]],'NHL Model'!$A$6:$B$38,2,FALSE)</f>
        <v>-0.90742746858300449</v>
      </c>
      <c r="J982">
        <f>($B$1+Table4[[#This Row],[Home Differential]])-Table4[[#This Row],[Away Differential]]</f>
        <v>0.76232737908726156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0.6312079126246336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-0.36992241209510063</v>
      </c>
      <c r="H983" t="s">
        <v>37</v>
      </c>
      <c r="I983">
        <f>VLOOKUP(Table4[[#This Row],[Visitor]],'NHL Model'!$A$6:$B$38,2,FALSE)</f>
        <v>0.23616512594450029</v>
      </c>
      <c r="J983">
        <f>($B$1+Table4[[#This Row],[Home Differential]])-Table4[[#This Row],[Away Differential]]</f>
        <v>-0.52266387110057821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0.59928420486205292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5.8616755922628279E-2</v>
      </c>
      <c r="H984" t="s">
        <v>18</v>
      </c>
      <c r="I984">
        <f>VLOOKUP(Table4[[#This Row],[Visitor]],'NHL Model'!$A$6:$B$38,2,FALSE)</f>
        <v>-0.65770380103775494</v>
      </c>
      <c r="J984">
        <f>($B$1+Table4[[#This Row],[Home Differential]])-Table4[[#This Row],[Away Differential]]</f>
        <v>0.79974422389940591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0.63405025766058942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-0.43769530535874146</v>
      </c>
      <c r="H985" t="s">
        <v>38</v>
      </c>
      <c r="I985">
        <f>VLOOKUP(Table4[[#This Row],[Visitor]],'NHL Model'!$A$6:$B$38,2,FALSE)</f>
        <v>-1.1317546087271064</v>
      </c>
      <c r="J985">
        <f>($B$1+Table4[[#This Row],[Home Differential]])-Table4[[#This Row],[Away Differential]]</f>
        <v>0.77748297030738767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0.6097068666803811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0.10032544630879472</v>
      </c>
      <c r="H986" t="s">
        <v>12</v>
      </c>
      <c r="I986">
        <f>VLOOKUP(Table4[[#This Row],[Visitor]],'NHL Model'!$A$6:$B$38,2,FALSE)</f>
        <v>1.339787395621115</v>
      </c>
      <c r="J986">
        <f>($B$1+Table4[[#This Row],[Home Differential]])-Table4[[#This Row],[Away Differential]]</f>
        <v>-1.1560382823732975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0.647897759873862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-1.0708320987334559</v>
      </c>
      <c r="H987" t="s">
        <v>11</v>
      </c>
      <c r="I987">
        <f>VLOOKUP(Table4[[#This Row],[Visitor]],'NHL Model'!$A$6:$B$38,2,FALSE)</f>
        <v>-0.57335522029781161</v>
      </c>
      <c r="J987">
        <f>($B$1+Table4[[#This Row],[Home Differential]])-Table4[[#This Row],[Away Differential]]</f>
        <v>-0.41405321149662155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0.50818358747829817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-1.1577943512279505</v>
      </c>
      <c r="H988" t="s">
        <v>25</v>
      </c>
      <c r="I988">
        <f>VLOOKUP(Table4[[#This Row],[Visitor]],'NHL Model'!$A$6:$B$38,2,FALSE)</f>
        <v>0.25962865313068506</v>
      </c>
      <c r="J988">
        <f>($B$1+Table4[[#This Row],[Home Differential]])-Table4[[#This Row],[Away Differential]]</f>
        <v>-1.3339993374196129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0.68078564166558519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-0.6620483089622381</v>
      </c>
      <c r="H989" t="s">
        <v>35</v>
      </c>
      <c r="I989">
        <f>VLOOKUP(Table4[[#This Row],[Visitor]],'NHL Model'!$A$6:$B$38,2,FALSE)</f>
        <v>-1.5899576513683618</v>
      </c>
      <c r="J989">
        <f>($B$1+Table4[[#This Row],[Home Differential]])-Table4[[#This Row],[Away Differential]]</f>
        <v>1.0113330093451465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0.65768934806552026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-0.42180143360631367</v>
      </c>
      <c r="H990" t="s">
        <v>34</v>
      </c>
      <c r="I990">
        <f>VLOOKUP(Table4[[#This Row],[Visitor]],'NHL Model'!$A$6:$B$38,2,FALSE)</f>
        <v>-0.15603426337582751</v>
      </c>
      <c r="J990">
        <f>($B$1+Table4[[#This Row],[Home Differential]])-Table4[[#This Row],[Away Differential]]</f>
        <v>-0.1823435032914634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0.52373197108815694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-0.41554817552415113</v>
      </c>
      <c r="H991" t="s">
        <v>22</v>
      </c>
      <c r="I991">
        <f>VLOOKUP(Table4[[#This Row],[Visitor]],'NHL Model'!$A$6:$B$38,2,FALSE)</f>
        <v>0.15604658591703846</v>
      </c>
      <c r="J991">
        <f>($B$1+Table4[[#This Row],[Home Differential]])-Table4[[#This Row],[Away Differential]]</f>
        <v>-0.48817109450216689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0.50508458612474705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-0.90742746858300449</v>
      </c>
      <c r="H992" t="s">
        <v>29</v>
      </c>
      <c r="I992">
        <f>VLOOKUP(Table4[[#This Row],[Visitor]],'NHL Model'!$A$6:$B$38,2,FALSE)</f>
        <v>-1.4782515386602066</v>
      </c>
      <c r="J992">
        <f>($B$1+Table4[[#This Row],[Home Differential]])-Table4[[#This Row],[Away Differential]]</f>
        <v>0.65424773701622485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0.61613514928444668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-0.9065542839469537</v>
      </c>
      <c r="H993" t="s">
        <v>55</v>
      </c>
      <c r="I993">
        <f>VLOOKUP(Table4[[#This Row],[Visitor]],'NHL Model'!$A$6:$B$38,2,FALSE)</f>
        <v>-0.40521943828179341</v>
      </c>
      <c r="J993">
        <f>($B$1+Table4[[#This Row],[Home Differential]])-Table4[[#This Row],[Away Differential]]</f>
        <v>-0.41791117872613759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0.50863254113046252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-1.2612222633157453</v>
      </c>
      <c r="H994" t="s">
        <v>25</v>
      </c>
      <c r="I994">
        <f>VLOOKUP(Table4[[#This Row],[Visitor]],'NHL Model'!$A$6:$B$38,2,FALSE)</f>
        <v>0.25962865313068506</v>
      </c>
      <c r="J994">
        <f>($B$1+Table4[[#This Row],[Home Differential]])-Table4[[#This Row],[Away Differential]]</f>
        <v>-1.4374272495074076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0.69989732541734007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-0.50197808897650842</v>
      </c>
      <c r="H995" t="s">
        <v>18</v>
      </c>
      <c r="I995">
        <f>VLOOKUP(Table4[[#This Row],[Visitor]],'NHL Model'!$A$6:$B$38,2,FALSE)</f>
        <v>-0.65770380103775494</v>
      </c>
      <c r="J995">
        <f>($B$1+Table4[[#This Row],[Home Differential]])-Table4[[#This Row],[Away Differential]]</f>
        <v>0.23914937900026922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0.48687166862880743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2.3143316481494557E-3</v>
      </c>
      <c r="H996" t="s">
        <v>15</v>
      </c>
      <c r="I996">
        <f>VLOOKUP(Table4[[#This Row],[Visitor]],'NHL Model'!$A$6:$B$38,2,FALSE)</f>
        <v>-0.39090512874251965</v>
      </c>
      <c r="J996">
        <f>($B$1+Table4[[#This Row],[Home Differential]])-Table4[[#This Row],[Away Differential]]</f>
        <v>0.47664312732969183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0.62239634238107178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-0.22852375643476561</v>
      </c>
      <c r="H997" t="s">
        <v>27</v>
      </c>
      <c r="I997">
        <f>VLOOKUP(Table4[[#This Row],[Visitor]],'NHL Model'!$A$6:$B$38,2,FALSE)</f>
        <v>-0.46667677612181552</v>
      </c>
      <c r="J997">
        <f>($B$1+Table4[[#This Row],[Home Differential]])-Table4[[#This Row],[Away Differential]]</f>
        <v>0.32157668662607264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0.55916117663754483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-0.64744265535741874</v>
      </c>
      <c r="H998" t="s">
        <v>36</v>
      </c>
      <c r="I998">
        <f>VLOOKUP(Table4[[#This Row],[Visitor]],'NHL Model'!$A$6:$B$38,2,FALSE)</f>
        <v>-0.53959086519270005</v>
      </c>
      <c r="J998">
        <f>($B$1+Table4[[#This Row],[Home Differential]])-Table4[[#This Row],[Away Differential]]</f>
        <v>-2.4428123225695986E-2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0.46117604673270896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-0.6620483089622381</v>
      </c>
      <c r="H999" t="s">
        <v>30</v>
      </c>
      <c r="I999">
        <f>VLOOKUP(Table4[[#This Row],[Visitor]],'NHL Model'!$A$6:$B$38,2,FALSE)</f>
        <v>-0.30740058470151932</v>
      </c>
      <c r="J999">
        <f>($B$1+Table4[[#This Row],[Home Differential]])-Table4[[#This Row],[Away Differential]]</f>
        <v>-0.27122405732169608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0.56418565366133133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-1.054674343910232</v>
      </c>
      <c r="H1000" t="s">
        <v>37</v>
      </c>
      <c r="I1000">
        <f>VLOOKUP(Table4[[#This Row],[Visitor]],'NHL Model'!$A$6:$B$38,2,FALSE)</f>
        <v>0.23616512594450029</v>
      </c>
      <c r="J1000">
        <f>($B$1+Table4[[#This Row],[Home Differential]])-Table4[[#This Row],[Away Differential]]</f>
        <v>-1.2074158029157096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0.68146587362565614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-0.36992241209510063</v>
      </c>
      <c r="H1001" t="s">
        <v>38</v>
      </c>
      <c r="I1001">
        <f>VLOOKUP(Table4[[#This Row],[Visitor]],'NHL Model'!$A$6:$B$38,2,FALSE)</f>
        <v>-1.1317546087271064</v>
      </c>
      <c r="J1001">
        <f>($B$1+Table4[[#This Row],[Home Differential]])-Table4[[#This Row],[Away Differential]]</f>
        <v>0.84525586357102855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0.62010199470700278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5.8616755922628279E-2</v>
      </c>
      <c r="H1002" t="s">
        <v>35</v>
      </c>
      <c r="I1002">
        <f>VLOOKUP(Table4[[#This Row],[Visitor]],'NHL Model'!$A$6:$B$38,2,FALSE)</f>
        <v>-1.5899576513683618</v>
      </c>
      <c r="J1002">
        <f>($B$1+Table4[[#This Row],[Home Differential]])-Table4[[#This Row],[Away Differential]]</f>
        <v>1.7319980742300127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0.82138822706663461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-0.90742746858300449</v>
      </c>
      <c r="H1003" t="s">
        <v>37</v>
      </c>
      <c r="I1003">
        <f>VLOOKUP(Table4[[#This Row],[Visitor]],'NHL Model'!$A$6:$B$38,2,FALSE)</f>
        <v>0.23616512594450029</v>
      </c>
      <c r="J1003">
        <f>($B$1+Table4[[#This Row],[Home Differential]])-Table4[[#This Row],[Away Differential]]</f>
        <v>-1.060168927588482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0.66433067819367131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1.339787395621115</v>
      </c>
      <c r="H1004" t="s">
        <v>34</v>
      </c>
      <c r="I1004">
        <f>VLOOKUP(Table4[[#This Row],[Visitor]],'NHL Model'!$A$6:$B$38,2,FALSE)</f>
        <v>-0.15603426337582751</v>
      </c>
      <c r="J1004">
        <f>($B$1+Table4[[#This Row],[Home Differential]])-Table4[[#This Row],[Away Differential]]</f>
        <v>1.5792453259359653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0.78377759959132665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0.10032544630879472</v>
      </c>
      <c r="H1005" t="s">
        <v>10</v>
      </c>
      <c r="I1005">
        <f>VLOOKUP(Table4[[#This Row],[Visitor]],'NHL Model'!$A$6:$B$38,2,FALSE)</f>
        <v>-0.43769530535874146</v>
      </c>
      <c r="J1005">
        <f>($B$1+Table4[[#This Row],[Home Differential]])-Table4[[#This Row],[Away Differential]]</f>
        <v>0.62144441860655886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0.6314232413773514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2.3143316481494557E-3</v>
      </c>
      <c r="H1006" t="s">
        <v>26</v>
      </c>
      <c r="I1006">
        <f>VLOOKUP(Table4[[#This Row],[Visitor]],'NHL Model'!$A$6:$B$38,2,FALSE)</f>
        <v>-1.0708320987334559</v>
      </c>
      <c r="J1006">
        <f>($B$1+Table4[[#This Row],[Home Differential]])-Table4[[#This Row],[Away Differential]]</f>
        <v>1.1565700973206281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0.77744780635568445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-0.22852375643476561</v>
      </c>
      <c r="H1007" t="s">
        <v>21</v>
      </c>
      <c r="I1007">
        <f>VLOOKUP(Table4[[#This Row],[Visitor]],'NHL Model'!$A$6:$B$38,2,FALSE)</f>
        <v>-0.41554817552415113</v>
      </c>
      <c r="J1007">
        <f>($B$1+Table4[[#This Row],[Home Differential]])-Table4[[#This Row],[Away Differential]]</f>
        <v>0.27044808602840825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0.57313885103733275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-0.42180143360631367</v>
      </c>
      <c r="H1008" t="s">
        <v>17</v>
      </c>
      <c r="I1008">
        <f>VLOOKUP(Table4[[#This Row],[Visitor]],'NHL Model'!$A$6:$B$38,2,FALSE)</f>
        <v>-1.1577943512279505</v>
      </c>
      <c r="J1008">
        <f>($B$1+Table4[[#This Row],[Home Differential]])-Table4[[#This Row],[Away Differential]]</f>
        <v>0.81941658456065958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0.63535593394055578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-0.43769530535874146</v>
      </c>
      <c r="H1009" t="s">
        <v>55</v>
      </c>
      <c r="I1009">
        <f>VLOOKUP(Table4[[#This Row],[Visitor]],'NHL Model'!$A$6:$B$38,2,FALSE)</f>
        <v>-0.40521943828179341</v>
      </c>
      <c r="J1009">
        <f>($B$1+Table4[[#This Row],[Home Differential]])-Table4[[#This Row],[Away Differential]]</f>
        <v>5.094779986207465E-2</v>
      </c>
      <c r="K1009" t="str">
        <f>IF(Table4[[#This Row],[HomeIce Differential]]&gt;0,Table4[[#This Row],[Home]],Table4[[#This Row],[Visitor]])</f>
        <v>Chicago Blackhawks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0.5459288219565015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-0.46667677612181552</v>
      </c>
      <c r="H1010" t="s">
        <v>15</v>
      </c>
      <c r="I1010">
        <f>VLOOKUP(Table4[[#This Row],[Visitor]],'NHL Model'!$A$6:$B$38,2,FALSE)</f>
        <v>-0.39090512874251965</v>
      </c>
      <c r="J1010">
        <f>($B$1+Table4[[#This Row],[Home Differential]])-Table4[[#This Row],[Away Differential]]</f>
        <v>7.6520195597268859E-3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0.4732151927415012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-1.1317546087271064</v>
      </c>
      <c r="H1011" t="s">
        <v>36</v>
      </c>
      <c r="I1011">
        <f>VLOOKUP(Table4[[#This Row],[Visitor]],'NHL Model'!$A$6:$B$38,2,FALSE)</f>
        <v>-0.53959086519270005</v>
      </c>
      <c r="J1011">
        <f>($B$1+Table4[[#This Row],[Home Differential]])-Table4[[#This Row],[Away Differential]]</f>
        <v>-0.50874007659538367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0.52003184028285221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0.15604658591703846</v>
      </c>
      <c r="H1012" t="s">
        <v>16</v>
      </c>
      <c r="I1012">
        <f>VLOOKUP(Table4[[#This Row],[Visitor]],'NHL Model'!$A$6:$B$38,2,FALSE)</f>
        <v>-1.2612222633157453</v>
      </c>
      <c r="J1012">
        <f>($B$1+Table4[[#This Row],[Home Differential]])-Table4[[#This Row],[Away Differential]]</f>
        <v>1.5006925161718065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0.74067410413038692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-0.41554817552415113</v>
      </c>
      <c r="H1013" t="s">
        <v>13</v>
      </c>
      <c r="I1013">
        <f>VLOOKUP(Table4[[#This Row],[Visitor]],'NHL Model'!$A$6:$B$38,2,FALSE)</f>
        <v>-0.50197808897650842</v>
      </c>
      <c r="J1013">
        <f>($B$1+Table4[[#This Row],[Home Differential]])-Table4[[#This Row],[Away Differential]]</f>
        <v>0.16985358039137999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0.52609506337704004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-0.90742746858300449</v>
      </c>
      <c r="H1014" t="s">
        <v>33</v>
      </c>
      <c r="I1014">
        <f>VLOOKUP(Table4[[#This Row],[Visitor]],'NHL Model'!$A$6:$B$38,2,FALSE)</f>
        <v>-0.6620483089622381</v>
      </c>
      <c r="J1014">
        <f>($B$1+Table4[[#This Row],[Home Differential]])-Table4[[#This Row],[Away Differential]]</f>
        <v>-0.1619554926817437</v>
      </c>
      <c r="K1014" t="str">
        <f>IF(Table4[[#This Row],[HomeIce Differential]]&gt;0,Table4[[#This Row],[Home]],Table4[[#This Row],[Visitor]])</f>
        <v>San Jose Sharks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0.47884684488019086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0.25962865313068506</v>
      </c>
      <c r="H1015" t="s">
        <v>14</v>
      </c>
      <c r="I1015">
        <f>VLOOKUP(Table4[[#This Row],[Visitor]],'NHL Model'!$A$6:$B$38,2,FALSE)</f>
        <v>-0.22852375643476561</v>
      </c>
      <c r="J1015">
        <f>($B$1+Table4[[#This Row],[Home Differential]])-Table4[[#This Row],[Away Differential]]</f>
        <v>0.5715760765044734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0.62651460517166035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1.339787395621115</v>
      </c>
      <c r="H1016" t="s">
        <v>17</v>
      </c>
      <c r="I1016">
        <f>VLOOKUP(Table4[[#This Row],[Visitor]],'NHL Model'!$A$6:$B$38,2,FALSE)</f>
        <v>-1.1577943512279505</v>
      </c>
      <c r="J1016">
        <f>($B$1+Table4[[#This Row],[Home Differential]])-Table4[[#This Row],[Away Differential]]</f>
        <v>2.5810054137880885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0.94046673981450402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0.10032544630879472</v>
      </c>
      <c r="H1017" t="s">
        <v>20</v>
      </c>
      <c r="I1017">
        <f>VLOOKUP(Table4[[#This Row],[Visitor]],'NHL Model'!$A$6:$B$38,2,FALSE)</f>
        <v>-0.42180143360631367</v>
      </c>
      <c r="J1017">
        <f>($B$1+Table4[[#This Row],[Home Differential]])-Table4[[#This Row],[Away Differential]]</f>
        <v>0.60555054685413112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0.6295736632586747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-0.57335522029781161</v>
      </c>
      <c r="H1018" t="s">
        <v>26</v>
      </c>
      <c r="I1018">
        <f>VLOOKUP(Table4[[#This Row],[Visitor]],'NHL Model'!$A$6:$B$38,2,FALSE)</f>
        <v>-1.0708320987334559</v>
      </c>
      <c r="J1018">
        <f>($B$1+Table4[[#This Row],[Home Differential]])-Table4[[#This Row],[Away Differential]]</f>
        <v>0.58090054537466695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0.60093303179498803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-0.15603426337582751</v>
      </c>
      <c r="H1019" t="s">
        <v>55</v>
      </c>
      <c r="I1019">
        <f>VLOOKUP(Table4[[#This Row],[Visitor]],'NHL Model'!$A$6:$B$38,2,FALSE)</f>
        <v>-0.40521943828179341</v>
      </c>
      <c r="J1019">
        <f>($B$1+Table4[[#This Row],[Home Differential]])-Table4[[#This Row],[Away Differential]]</f>
        <v>0.33260884184498862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0.5927224843395581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-0.65770380103775494</v>
      </c>
      <c r="H1020" t="s">
        <v>19</v>
      </c>
      <c r="I1020">
        <f>VLOOKUP(Table4[[#This Row],[Visitor]],'NHL Model'!$A$6:$B$38,2,FALSE)</f>
        <v>-1.054674343910232</v>
      </c>
      <c r="J1020">
        <f>($B$1+Table4[[#This Row],[Home Differential]])-Table4[[#This Row],[Away Differential]]</f>
        <v>0.48039420981149972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0.59590372394131086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-0.39090512874251965</v>
      </c>
      <c r="H1021" t="s">
        <v>16</v>
      </c>
      <c r="I1021">
        <f>VLOOKUP(Table4[[#This Row],[Visitor]],'NHL Model'!$A$6:$B$38,2,FALSE)</f>
        <v>-1.2612222633157453</v>
      </c>
      <c r="J1021">
        <f>($B$1+Table4[[#This Row],[Home Differential]])-Table4[[#This Row],[Away Differential]]</f>
        <v>0.95374080151224838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0.6509873128991841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-0.64744265535741874</v>
      </c>
      <c r="H1022" t="s">
        <v>29</v>
      </c>
      <c r="I1022">
        <f>VLOOKUP(Table4[[#This Row],[Visitor]],'NHL Model'!$A$6:$B$38,2,FALSE)</f>
        <v>-1.4782515386602066</v>
      </c>
      <c r="J1022">
        <f>($B$1+Table4[[#This Row],[Home Differential]])-Table4[[#This Row],[Away Differential]]</f>
        <v>0.9142325502418106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0.64888519636378117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-1.5899576513683618</v>
      </c>
      <c r="H1023" t="s">
        <v>30</v>
      </c>
      <c r="I1023">
        <f>VLOOKUP(Table4[[#This Row],[Visitor]],'NHL Model'!$A$6:$B$38,2,FALSE)</f>
        <v>-0.30740058470151932</v>
      </c>
      <c r="J1023">
        <f>($B$1+Table4[[#This Row],[Home Differential]])-Table4[[#This Row],[Away Differential]]</f>
        <v>-1.1991333997278197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0.67216694623517337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0.23616512594450029</v>
      </c>
      <c r="H1024" t="s">
        <v>28</v>
      </c>
      <c r="I1024">
        <f>VLOOKUP(Table4[[#This Row],[Visitor]],'NHL Model'!$A$6:$B$38,2,FALSE)</f>
        <v>-0.9065542839469537</v>
      </c>
      <c r="J1024">
        <f>($B$1+Table4[[#This Row],[Home Differential]])-Table4[[#This Row],[Away Differential]]</f>
        <v>1.2261430768304766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0.71493297310174087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-0.36992241209510063</v>
      </c>
      <c r="H1025" t="s">
        <v>31</v>
      </c>
      <c r="I1025">
        <f>VLOOKUP(Table4[[#This Row],[Visitor]],'NHL Model'!$A$6:$B$38,2,FALSE)</f>
        <v>5.8616755922628279E-2</v>
      </c>
      <c r="J1025">
        <f>($B$1+Table4[[#This Row],[Home Differential]])-Table4[[#This Row],[Away Differential]]</f>
        <v>-0.34511550107870614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0.51842213984310348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-0.53959086519270005</v>
      </c>
      <c r="H1026" t="s">
        <v>18</v>
      </c>
      <c r="I1026">
        <f>VLOOKUP(Table4[[#This Row],[Visitor]],'NHL Model'!$A$6:$B$38,2,FALSE)</f>
        <v>-0.65770380103775494</v>
      </c>
      <c r="J1026">
        <f>($B$1+Table4[[#This Row],[Home Differential]])-Table4[[#This Row],[Away Differential]]</f>
        <v>0.20153660278407759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0.48499138077854059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-0.46667677612181552</v>
      </c>
      <c r="H1027" t="s">
        <v>22</v>
      </c>
      <c r="I1027">
        <f>VLOOKUP(Table4[[#This Row],[Visitor]],'NHL Model'!$A$6:$B$38,2,FALSE)</f>
        <v>0.15604658591703846</v>
      </c>
      <c r="J1027">
        <f>($B$1+Table4[[#This Row],[Home Differential]])-Table4[[#This Row],[Away Differential]]</f>
        <v>-0.53929969509983122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0.51103444795684305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-0.41554817552415113</v>
      </c>
      <c r="H1028" t="s">
        <v>33</v>
      </c>
      <c r="I1028">
        <f>VLOOKUP(Table4[[#This Row],[Visitor]],'NHL Model'!$A$6:$B$38,2,FALSE)</f>
        <v>-0.6620483089622381</v>
      </c>
      <c r="J1028">
        <f>($B$1+Table4[[#This Row],[Home Differential]])-Table4[[#This Row],[Away Differential]]</f>
        <v>0.32992380037710967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0.61063946997773433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-0.90742746858300449</v>
      </c>
      <c r="H1029" t="s">
        <v>22</v>
      </c>
      <c r="I1029">
        <f>VLOOKUP(Table4[[#This Row],[Visitor]],'NHL Model'!$A$6:$B$38,2,FALSE)</f>
        <v>0.15604658591703846</v>
      </c>
      <c r="J1029">
        <f>($B$1+Table4[[#This Row],[Home Differential]])-Table4[[#This Row],[Away Differential]]</f>
        <v>-0.98005038756102025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0.59481820387463968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0.25962865313068506</v>
      </c>
      <c r="H1030" t="s">
        <v>35</v>
      </c>
      <c r="I1030">
        <f>VLOOKUP(Table4[[#This Row],[Visitor]],'NHL Model'!$A$6:$B$38,2,FALSE)</f>
        <v>-1.5899576513683618</v>
      </c>
      <c r="J1030">
        <f>($B$1+Table4[[#This Row],[Home Differential]])-Table4[[#This Row],[Away Differential]]</f>
        <v>1.9330099714380695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0.80537655274835118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0.10032544630879472</v>
      </c>
      <c r="H1031" t="s">
        <v>17</v>
      </c>
      <c r="I1031">
        <f>VLOOKUP(Table4[[#This Row],[Visitor]],'NHL Model'!$A$6:$B$38,2,FALSE)</f>
        <v>-1.1577943512279505</v>
      </c>
      <c r="J1031">
        <f>($B$1+Table4[[#This Row],[Home Differential]])-Table4[[#This Row],[Away Differential]]</f>
        <v>1.341543464475768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0.71522154170755214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-0.57335522029781161</v>
      </c>
      <c r="H1032" t="s">
        <v>28</v>
      </c>
      <c r="I1032">
        <f>VLOOKUP(Table4[[#This Row],[Visitor]],'NHL Model'!$A$6:$B$38,2,FALSE)</f>
        <v>-0.9065542839469537</v>
      </c>
      <c r="J1032">
        <f>($B$1+Table4[[#This Row],[Home Differential]])-Table4[[#This Row],[Away Differential]]</f>
        <v>0.41662273058816479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0.60249922424942803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-0.15603426337582751</v>
      </c>
      <c r="H1033" t="s">
        <v>27</v>
      </c>
      <c r="I1033">
        <f>VLOOKUP(Table4[[#This Row],[Visitor]],'NHL Model'!$A$6:$B$38,2,FALSE)</f>
        <v>-0.46667677612181552</v>
      </c>
      <c r="J1033">
        <f>($B$1+Table4[[#This Row],[Home Differential]])-Table4[[#This Row],[Away Differential]]</f>
        <v>0.39406617968501073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0.57919101952893093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2.3143316481494557E-3</v>
      </c>
      <c r="H1034" t="s">
        <v>16</v>
      </c>
      <c r="I1034">
        <f>VLOOKUP(Table4[[#This Row],[Visitor]],'NHL Model'!$A$6:$B$38,2,FALSE)</f>
        <v>-1.2612222633157453</v>
      </c>
      <c r="J1034">
        <f>($B$1+Table4[[#This Row],[Home Differential]])-Table4[[#This Row],[Away Differential]]</f>
        <v>1.3469602619029175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0.81851117181266275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-0.64744265535741874</v>
      </c>
      <c r="H1035" t="s">
        <v>12</v>
      </c>
      <c r="I1035">
        <f>VLOOKUP(Table4[[#This Row],[Visitor]],'NHL Model'!$A$6:$B$38,2,FALSE)</f>
        <v>1.339787395621115</v>
      </c>
      <c r="J1035">
        <f>($B$1+Table4[[#This Row],[Home Differential]])-Table4[[#This Row],[Away Differential]]</f>
        <v>-1.9038063840395112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0.7516674205821372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0.23616512594450029</v>
      </c>
      <c r="H1036" t="s">
        <v>26</v>
      </c>
      <c r="I1036">
        <f>VLOOKUP(Table4[[#This Row],[Visitor]],'NHL Model'!$A$6:$B$38,2,FALSE)</f>
        <v>-1.0708320987334559</v>
      </c>
      <c r="J1036">
        <f>($B$1+Table4[[#This Row],[Home Differential]])-Table4[[#This Row],[Away Differential]]</f>
        <v>1.3904208916169789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0.71352813993531949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-1.054674343910232</v>
      </c>
      <c r="H1037" t="s">
        <v>31</v>
      </c>
      <c r="I1037">
        <f>VLOOKUP(Table4[[#This Row],[Visitor]],'NHL Model'!$A$6:$B$38,2,FALSE)</f>
        <v>5.8616755922628279E-2</v>
      </c>
      <c r="J1037">
        <f>($B$1+Table4[[#This Row],[Home Differential]])-Table4[[#This Row],[Away Differential]]</f>
        <v>-1.0298674328938375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0.60061543933871897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-0.40521943828179341</v>
      </c>
      <c r="H1038" t="s">
        <v>10</v>
      </c>
      <c r="I1038">
        <f>VLOOKUP(Table4[[#This Row],[Visitor]],'NHL Model'!$A$6:$B$38,2,FALSE)</f>
        <v>-0.43769530535874146</v>
      </c>
      <c r="J1038">
        <f>($B$1+Table4[[#This Row],[Home Differential]])-Table4[[#This Row],[Away Differential]]</f>
        <v>0.11589953401597075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0.59391846647295787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-1.1317546087271064</v>
      </c>
      <c r="H1039" t="s">
        <v>29</v>
      </c>
      <c r="I1039">
        <f>VLOOKUP(Table4[[#This Row],[Visitor]],'NHL Model'!$A$6:$B$38,2,FALSE)</f>
        <v>-1.4782515386602066</v>
      </c>
      <c r="J1039">
        <f>($B$1+Table4[[#This Row],[Home Differential]])-Table4[[#This Row],[Away Differential]]</f>
        <v>0.42992059687212292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0.59003008336352225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-0.42180143360631367</v>
      </c>
      <c r="H1040" t="s">
        <v>14</v>
      </c>
      <c r="I1040">
        <f>VLOOKUP(Table4[[#This Row],[Visitor]],'NHL Model'!$A$6:$B$38,2,FALSE)</f>
        <v>-0.22852375643476561</v>
      </c>
      <c r="J1040">
        <f>($B$1+Table4[[#This Row],[Home Differential]])-Table4[[#This Row],[Away Differential]]</f>
        <v>-0.10985401023252531</v>
      </c>
      <c r="K1040" t="str">
        <f>IF(Table4[[#This Row],[HomeIce Differential]]&gt;0,Table4[[#This Row],[Home]],Table4[[#This Row],[Visitor]])</f>
        <v>Pittsburgh Penguins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0.493552999050482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-0.36992241209510063</v>
      </c>
      <c r="H1041" t="s">
        <v>15</v>
      </c>
      <c r="I1041">
        <f>VLOOKUP(Table4[[#This Row],[Visitor]],'NHL Model'!$A$6:$B$38,2,FALSE)</f>
        <v>-0.39090512874251965</v>
      </c>
      <c r="J1041">
        <f>($B$1+Table4[[#This Row],[Home Differential]])-Table4[[#This Row],[Away Differential]]</f>
        <v>0.10440638358644178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0.45454613850041004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-0.30740058470151932</v>
      </c>
      <c r="H1042" t="s">
        <v>13</v>
      </c>
      <c r="I1042">
        <f>VLOOKUP(Table4[[#This Row],[Visitor]],'NHL Model'!$A$6:$B$38,2,FALSE)</f>
        <v>-0.50197808897650842</v>
      </c>
      <c r="J1042">
        <f>($B$1+Table4[[#This Row],[Home Differential]])-Table4[[#This Row],[Away Differential]]</f>
        <v>0.2780011712140118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0.5060353513467003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-1.5899576513683618</v>
      </c>
      <c r="H1043" t="s">
        <v>17</v>
      </c>
      <c r="I1043">
        <f>VLOOKUP(Table4[[#This Row],[Visitor]],'NHL Model'!$A$6:$B$38,2,FALSE)</f>
        <v>-1.1577943512279505</v>
      </c>
      <c r="J1043">
        <f>($B$1+Table4[[#This Row],[Home Differential]])-Table4[[#This Row],[Away Differential]]</f>
        <v>-0.34873963320138857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0.5005830124171029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-0.90742746858300449</v>
      </c>
      <c r="H1044" t="s">
        <v>19</v>
      </c>
      <c r="I1044">
        <f>VLOOKUP(Table4[[#This Row],[Visitor]],'NHL Model'!$A$6:$B$38,2,FALSE)</f>
        <v>-1.054674343910232</v>
      </c>
      <c r="J1044">
        <f>($B$1+Table4[[#This Row],[Home Differential]])-Table4[[#This Row],[Away Differential]]</f>
        <v>0.23067054226625017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0.56684325092366306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0.10032544630879472</v>
      </c>
      <c r="H1045" t="s">
        <v>26</v>
      </c>
      <c r="I1045">
        <f>VLOOKUP(Table4[[#This Row],[Visitor]],'NHL Model'!$A$6:$B$38,2,FALSE)</f>
        <v>-1.0708320987334559</v>
      </c>
      <c r="J1045">
        <f>($B$1+Table4[[#This Row],[Home Differential]])-Table4[[#This Row],[Away Differential]]</f>
        <v>1.2545812119812734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0.68445780632679132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-0.15603426337582751</v>
      </c>
      <c r="H1046" t="s">
        <v>15</v>
      </c>
      <c r="I1046">
        <f>VLOOKUP(Table4[[#This Row],[Visitor]],'NHL Model'!$A$6:$B$38,2,FALSE)</f>
        <v>-0.39090512874251965</v>
      </c>
      <c r="J1046">
        <f>($B$1+Table4[[#This Row],[Home Differential]])-Table4[[#This Row],[Away Differential]]</f>
        <v>0.31829453230571486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0.49094080941804619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-0.65770380103775494</v>
      </c>
      <c r="H1047" t="s">
        <v>33</v>
      </c>
      <c r="I1047">
        <f>VLOOKUP(Table4[[#This Row],[Visitor]],'NHL Model'!$A$6:$B$38,2,FALSE)</f>
        <v>-0.6620483089622381</v>
      </c>
      <c r="J1047">
        <f>($B$1+Table4[[#This Row],[Home Differential]])-Table4[[#This Row],[Away Differential]]</f>
        <v>8.7768174863505855E-2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0.550213628137457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2.3143316481494557E-3</v>
      </c>
      <c r="H1048" t="s">
        <v>13</v>
      </c>
      <c r="I1048">
        <f>VLOOKUP(Table4[[#This Row],[Visitor]],'NHL Model'!$A$6:$B$38,2,FALSE)</f>
        <v>-0.50197808897650842</v>
      </c>
      <c r="J1048">
        <f>($B$1+Table4[[#This Row],[Home Differential]])-Table4[[#This Row],[Away Differential]]</f>
        <v>0.58771608756368066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0.66839282664942878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-0.30740058470151932</v>
      </c>
      <c r="H1049" t="s">
        <v>16</v>
      </c>
      <c r="I1049">
        <f>VLOOKUP(Table4[[#This Row],[Visitor]],'NHL Model'!$A$6:$B$38,2,FALSE)</f>
        <v>-1.2612222633157453</v>
      </c>
      <c r="J1049">
        <f>($B$1+Table4[[#This Row],[Home Differential]])-Table4[[#This Row],[Away Differential]]</f>
        <v>1.0372453455532487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0.66070478010126565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-0.53959086519270005</v>
      </c>
      <c r="H1050" t="s">
        <v>31</v>
      </c>
      <c r="I1050">
        <f>VLOOKUP(Table4[[#This Row],[Visitor]],'NHL Model'!$A$6:$B$38,2,FALSE)</f>
        <v>5.8616755922628279E-2</v>
      </c>
      <c r="J1050">
        <f>($B$1+Table4[[#This Row],[Home Differential]])-Table4[[#This Row],[Away Differential]]</f>
        <v>-0.51478395417630562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0.53816654593667246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-0.46667677612181552</v>
      </c>
      <c r="H1051" t="s">
        <v>28</v>
      </c>
      <c r="I1051">
        <f>VLOOKUP(Table4[[#This Row],[Visitor]],'NHL Model'!$A$6:$B$38,2,FALSE)</f>
        <v>-0.9065542839469537</v>
      </c>
      <c r="J1051">
        <f>($B$1+Table4[[#This Row],[Home Differential]])-Table4[[#This Row],[Away Differential]]</f>
        <v>0.52330117476416094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0.63314289556746217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0.23616512594450029</v>
      </c>
      <c r="H1052" t="s">
        <v>25</v>
      </c>
      <c r="I1052">
        <f>VLOOKUP(Table4[[#This Row],[Visitor]],'NHL Model'!$A$6:$B$38,2,FALSE)</f>
        <v>0.25962865313068506</v>
      </c>
      <c r="J1052">
        <f>($B$1+Table4[[#This Row],[Home Differential]])-Table4[[#This Row],[Away Differential]]</f>
        <v>5.9960139752837982E-2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0.50697759263489117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-0.40521943828179341</v>
      </c>
      <c r="H1053" t="s">
        <v>14</v>
      </c>
      <c r="I1053">
        <f>VLOOKUP(Table4[[#This Row],[Visitor]],'NHL Model'!$A$6:$B$38,2,FALSE)</f>
        <v>-0.22852375643476561</v>
      </c>
      <c r="J1053">
        <f>($B$1+Table4[[#This Row],[Home Differential]])-Table4[[#This Row],[Away Differential]]</f>
        <v>-9.3272014908005102E-2</v>
      </c>
      <c r="K1053" t="str">
        <f>IF(Table4[[#This Row],[HomeIce Differential]]&gt;0,Table4[[#This Row],[Home]],Table4[[#This Row],[Visitor]])</f>
        <v>Pittsburgh Penguins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0.45085411286475119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-1.1317546087271064</v>
      </c>
      <c r="H1054" t="s">
        <v>32</v>
      </c>
      <c r="I1054">
        <f>VLOOKUP(Table4[[#This Row],[Visitor]],'NHL Model'!$A$6:$B$38,2,FALSE)</f>
        <v>-0.64744265535741874</v>
      </c>
      <c r="J1054">
        <f>($B$1+Table4[[#This Row],[Home Differential]])-Table4[[#This Row],[Away Differential]]</f>
        <v>-0.40088828643066499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0.50665157830424068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-0.42180143360631367</v>
      </c>
      <c r="H1055" t="s">
        <v>10</v>
      </c>
      <c r="I1055">
        <f>VLOOKUP(Table4[[#This Row],[Visitor]],'NHL Model'!$A$6:$B$38,2,FALSE)</f>
        <v>-0.43769530535874146</v>
      </c>
      <c r="J1055">
        <f>($B$1+Table4[[#This Row],[Home Differential]])-Table4[[#This Row],[Away Differential]]</f>
        <v>9.9317538691450546E-2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0.55155763361035504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-0.36992241209510063</v>
      </c>
      <c r="H1056" t="s">
        <v>12</v>
      </c>
      <c r="I1056">
        <f>VLOOKUP(Table4[[#This Row],[Visitor]],'NHL Model'!$A$6:$B$38,2,FALSE)</f>
        <v>1.339787395621115</v>
      </c>
      <c r="J1056">
        <f>($B$1+Table4[[#This Row],[Home Differential]])-Table4[[#This Row],[Away Differential]]</f>
        <v>-1.6262861407771929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0.71937224559751423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0.15604658591703846</v>
      </c>
      <c r="H1057" t="s">
        <v>21</v>
      </c>
      <c r="I1057">
        <f>VLOOKUP(Table4[[#This Row],[Visitor]],'NHL Model'!$A$6:$B$38,2,FALSE)</f>
        <v>-0.41554817552415113</v>
      </c>
      <c r="J1057">
        <f>($B$1+Table4[[#This Row],[Home Differential]])-Table4[[#This Row],[Away Differential]]</f>
        <v>0.65501842838021229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0.6414422263434858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-1.1577943512279505</v>
      </c>
      <c r="H1058" t="s">
        <v>29</v>
      </c>
      <c r="I1058">
        <f>VLOOKUP(Table4[[#This Row],[Visitor]],'NHL Model'!$A$6:$B$38,2,FALSE)</f>
        <v>-1.4782515386602066</v>
      </c>
      <c r="J1058">
        <f>($B$1+Table4[[#This Row],[Home Differential]])-Table4[[#This Row],[Away Differential]]</f>
        <v>0.40388085437127885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0.59404577685121129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-0.15603426337582751</v>
      </c>
      <c r="H1059" t="s">
        <v>19</v>
      </c>
      <c r="I1059">
        <f>VLOOKUP(Table4[[#This Row],[Visitor]],'NHL Model'!$A$6:$B$38,2,FALSE)</f>
        <v>-1.054674343910232</v>
      </c>
      <c r="J1059">
        <f>($B$1+Table4[[#This Row],[Home Differential]])-Table4[[#This Row],[Away Differential]]</f>
        <v>0.98206374747342717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0.66829988934372875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-0.65770380103775494</v>
      </c>
      <c r="H1060" t="s">
        <v>31</v>
      </c>
      <c r="I1060">
        <f>VLOOKUP(Table4[[#This Row],[Visitor]],'NHL Model'!$A$6:$B$38,2,FALSE)</f>
        <v>5.8616755922628279E-2</v>
      </c>
      <c r="J1060">
        <f>($B$1+Table4[[#This Row],[Home Differential]])-Table4[[#This Row],[Away Differential]]</f>
        <v>-0.63289689002136051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0.55441977088908645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-0.53959086519270005</v>
      </c>
      <c r="H1061" t="s">
        <v>33</v>
      </c>
      <c r="I1061">
        <f>VLOOKUP(Table4[[#This Row],[Visitor]],'NHL Model'!$A$6:$B$38,2,FALSE)</f>
        <v>-0.6620483089622381</v>
      </c>
      <c r="J1061">
        <f>($B$1+Table4[[#This Row],[Home Differential]])-Table4[[#This Row],[Away Differential]]</f>
        <v>0.20588111070856074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0.56645397109019757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-0.64744265535741874</v>
      </c>
      <c r="H1062" t="s">
        <v>11</v>
      </c>
      <c r="I1062">
        <f>VLOOKUP(Table4[[#This Row],[Visitor]],'NHL Model'!$A$6:$B$38,2,FALSE)</f>
        <v>-0.57335522029781161</v>
      </c>
      <c r="J1062">
        <f>($B$1+Table4[[#This Row],[Home Differential]])-Table4[[#This Row],[Away Differential]]</f>
        <v>9.3362318794155685E-3</v>
      </c>
      <c r="K1062" t="str">
        <f>IF(Table4[[#This Row],[HomeIce Differential]]&gt;0,Table4[[#This Row],[Home]],Table4[[#This Row],[Visitor]])</f>
        <v>Seattle Kraken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0.54358194136183291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-0.36992241209510063</v>
      </c>
      <c r="H1063" t="s">
        <v>35</v>
      </c>
      <c r="I1063">
        <f>VLOOKUP(Table4[[#This Row],[Visitor]],'NHL Model'!$A$6:$B$38,2,FALSE)</f>
        <v>-1.5899576513683618</v>
      </c>
      <c r="J1063">
        <f>($B$1+Table4[[#This Row],[Home Differential]])-Table4[[#This Row],[Away Differential]]</f>
        <v>1.3034589062122839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0.69417966975760859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1.339787395621115</v>
      </c>
      <c r="H1064" t="s">
        <v>14</v>
      </c>
      <c r="I1064">
        <f>VLOOKUP(Table4[[#This Row],[Visitor]],'NHL Model'!$A$6:$B$38,2,FALSE)</f>
        <v>-0.22852375643476561</v>
      </c>
      <c r="J1064">
        <f>($B$1+Table4[[#This Row],[Home Differential]])-Table4[[#This Row],[Away Differential]]</f>
        <v>1.6517348189949033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0.81290289475657573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0.10032544630879472</v>
      </c>
      <c r="H1065" t="s">
        <v>55</v>
      </c>
      <c r="I1065">
        <f>VLOOKUP(Table4[[#This Row],[Visitor]],'NHL Model'!$A$6:$B$38,2,FALSE)</f>
        <v>-0.40521943828179341</v>
      </c>
      <c r="J1065">
        <f>($B$1+Table4[[#This Row],[Home Differential]])-Table4[[#This Row],[Away Differential]]</f>
        <v>0.58896855152961081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0.62764400784217445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-1.0708320987334559</v>
      </c>
      <c r="H1066" t="s">
        <v>16</v>
      </c>
      <c r="I1066">
        <f>VLOOKUP(Table4[[#This Row],[Visitor]],'NHL Model'!$A$6:$B$38,2,FALSE)</f>
        <v>-1.2612222633157453</v>
      </c>
      <c r="J1066">
        <f>($B$1+Table4[[#This Row],[Home Differential]])-Table4[[#This Row],[Away Differential]]</f>
        <v>0.27381383152131211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0.57186385792344663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2.3143316481494557E-3</v>
      </c>
      <c r="H1067" t="s">
        <v>21</v>
      </c>
      <c r="I1067">
        <f>VLOOKUP(Table4[[#This Row],[Visitor]],'NHL Model'!$A$6:$B$38,2,FALSE)</f>
        <v>-0.41554817552415113</v>
      </c>
      <c r="J1067">
        <f>($B$1+Table4[[#This Row],[Home Differential]])-Table4[[#This Row],[Away Differential]]</f>
        <v>0.50128617411132326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0.71935188184066001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-0.39090512874251965</v>
      </c>
      <c r="H1068" t="s">
        <v>13</v>
      </c>
      <c r="I1068">
        <f>VLOOKUP(Table4[[#This Row],[Visitor]],'NHL Model'!$A$6:$B$38,2,FALSE)</f>
        <v>-0.50197808897650842</v>
      </c>
      <c r="J1068">
        <f>($B$1+Table4[[#This Row],[Home Differential]])-Table4[[#This Row],[Away Differential]]</f>
        <v>0.19449662717301153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0.4963178841446188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-0.9065542839469537</v>
      </c>
      <c r="H1069" t="s">
        <v>25</v>
      </c>
      <c r="I1069">
        <f>VLOOKUP(Table4[[#This Row],[Visitor]],'NHL Model'!$A$6:$B$38,2,FALSE)</f>
        <v>0.25962865313068506</v>
      </c>
      <c r="J1069">
        <f>($B$1+Table4[[#This Row],[Home Differential]])-Table4[[#This Row],[Away Differential]]</f>
        <v>-1.0827592701386162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0.65862442827473011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-0.43769530535874146</v>
      </c>
      <c r="H1070" t="s">
        <v>34</v>
      </c>
      <c r="I1070">
        <f>VLOOKUP(Table4[[#This Row],[Visitor]],'NHL Model'!$A$6:$B$38,2,FALSE)</f>
        <v>-0.15603426337582751</v>
      </c>
      <c r="J1070">
        <f>($B$1+Table4[[#This Row],[Home Differential]])-Table4[[#This Row],[Away Differential]]</f>
        <v>-0.19823737504389125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0.52558154920683364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-1.1577943512279505</v>
      </c>
      <c r="H1071" t="s">
        <v>33</v>
      </c>
      <c r="I1071">
        <f>VLOOKUP(Table4[[#This Row],[Visitor]],'NHL Model'!$A$6:$B$38,2,FALSE)</f>
        <v>-0.6620483089622381</v>
      </c>
      <c r="J1071">
        <f>($B$1+Table4[[#This Row],[Home Differential]])-Table4[[#This Row],[Away Differential]]</f>
        <v>-0.41232237532668969</v>
      </c>
      <c r="K1071" t="str">
        <f>IF(Table4[[#This Row],[HomeIce Differential]]&gt;0,Table4[[#This Row],[Home]],Table4[[#This Row],[Visitor]])</f>
        <v>San Jose Sharks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0.5009362173134263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-0.65770380103775494</v>
      </c>
      <c r="H1072" t="s">
        <v>21</v>
      </c>
      <c r="I1072">
        <f>VLOOKUP(Table4[[#This Row],[Visitor]],'NHL Model'!$A$6:$B$38,2,FALSE)</f>
        <v>-0.41554817552415113</v>
      </c>
      <c r="J1072">
        <f>($B$1+Table4[[#This Row],[Home Differential]])-Table4[[#This Row],[Away Differential]]</f>
        <v>-0.15873195857458111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0.47930121362785899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-0.64744265535741874</v>
      </c>
      <c r="H1073" t="s">
        <v>37</v>
      </c>
      <c r="I1073">
        <f>VLOOKUP(Table4[[#This Row],[Visitor]],'NHL Model'!$A$6:$B$38,2,FALSE)</f>
        <v>0.23616512594450029</v>
      </c>
      <c r="J1073">
        <f>($B$1+Table4[[#This Row],[Home Differential]])-Table4[[#This Row],[Away Differential]]</f>
        <v>-0.80018411436289627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0.63157937984667589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-1.054674343910232</v>
      </c>
      <c r="H1074" t="s">
        <v>30</v>
      </c>
      <c r="I1074">
        <f>VLOOKUP(Table4[[#This Row],[Visitor]],'NHL Model'!$A$6:$B$38,2,FALSE)</f>
        <v>-0.30740058470151932</v>
      </c>
      <c r="J1074">
        <f>($B$1+Table4[[#This Row],[Home Differential]])-Table4[[#This Row],[Away Differential]]</f>
        <v>-0.66385009226968994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0.60987574946518519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-1.1317546087271064</v>
      </c>
      <c r="H1075" t="s">
        <v>11</v>
      </c>
      <c r="I1075">
        <f>VLOOKUP(Table4[[#This Row],[Visitor]],'NHL Model'!$A$6:$B$38,2,FALSE)</f>
        <v>-0.57335522029781161</v>
      </c>
      <c r="J1075">
        <f>($B$1+Table4[[#This Row],[Home Differential]])-Table4[[#This Row],[Away Differential]]</f>
        <v>-0.47497572149027212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0.51527317163842612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-0.42180143360631367</v>
      </c>
      <c r="H1076" t="s">
        <v>23</v>
      </c>
      <c r="I1076">
        <f>VLOOKUP(Table4[[#This Row],[Visitor]],'NHL Model'!$A$6:$B$38,2,FALSE)</f>
        <v>-0.90742746858300449</v>
      </c>
      <c r="J1076">
        <f>($B$1+Table4[[#This Row],[Home Differential]])-Table4[[#This Row],[Away Differential]]</f>
        <v>0.56904970191571358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0.60622060964736413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-0.36992241209510063</v>
      </c>
      <c r="H1077" t="s">
        <v>29</v>
      </c>
      <c r="I1077">
        <f>VLOOKUP(Table4[[#This Row],[Visitor]],'NHL Model'!$A$6:$B$38,2,FALSE)</f>
        <v>-1.4782515386602066</v>
      </c>
      <c r="J1077">
        <f>($B$1+Table4[[#This Row],[Home Differential]])-Table4[[#This Row],[Away Differential]]</f>
        <v>1.1917527935041288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0.68118037134840415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5.8616755922628279E-2</v>
      </c>
      <c r="H1078" t="s">
        <v>27</v>
      </c>
      <c r="I1078">
        <f>VLOOKUP(Table4[[#This Row],[Visitor]],'NHL Model'!$A$6:$B$38,2,FALSE)</f>
        <v>-0.46667677612181552</v>
      </c>
      <c r="J1078">
        <f>($B$1+Table4[[#This Row],[Home Differential]])-Table4[[#This Row],[Away Differential]]</f>
        <v>0.60871719898346655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0.67083673690332857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0.25962865313068506</v>
      </c>
      <c r="H1079" t="s">
        <v>14</v>
      </c>
      <c r="I1079">
        <f>VLOOKUP(Table4[[#This Row],[Visitor]],'NHL Model'!$A$6:$B$38,2,FALSE)</f>
        <v>-0.22852375643476561</v>
      </c>
      <c r="J1079">
        <f>($B$1+Table4[[#This Row],[Home Differential]])-Table4[[#This Row],[Away Differential]]</f>
        <v>0.5715760765044734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0.62651460517166035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-1.2612222633157453</v>
      </c>
      <c r="H1080" t="s">
        <v>35</v>
      </c>
      <c r="I1080">
        <f>VLOOKUP(Table4[[#This Row],[Visitor]],'NHL Model'!$A$6:$B$38,2,FALSE)</f>
        <v>-1.5899576513683618</v>
      </c>
      <c r="J1080">
        <f>($B$1+Table4[[#This Row],[Home Differential]])-Table4[[#This Row],[Away Differential]]</f>
        <v>0.41215905499163918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0.58796316350108635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1.339787395621115</v>
      </c>
      <c r="H1081" t="s">
        <v>39</v>
      </c>
      <c r="I1081">
        <f>VLOOKUP(Table4[[#This Row],[Visitor]],'NHL Model'!$A$6:$B$38,2,FALSE)</f>
        <v>0.10032544630879472</v>
      </c>
      <c r="J1081">
        <f>($B$1+Table4[[#This Row],[Home Differential]])-Table4[[#This Row],[Away Differential]]</f>
        <v>1.3228856162513429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0.69561155356666604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-0.39090512874251965</v>
      </c>
      <c r="H1082" t="s">
        <v>24</v>
      </c>
      <c r="I1082">
        <f>VLOOKUP(Table4[[#This Row],[Visitor]],'NHL Model'!$A$6:$B$38,2,FALSE)</f>
        <v>2.3143316481494557E-3</v>
      </c>
      <c r="J1082">
        <f>($B$1+Table4[[#This Row],[Home Differential]])-Table4[[#This Row],[Away Differential]]</f>
        <v>-0.30979579345164637</v>
      </c>
      <c r="K1082" t="str">
        <f>IF(Table4[[#This Row],[HomeIce Differential]]&gt;0,Table4[[#This Row],[Home]],Table4[[#This Row],[Visitor]])</f>
        <v>New Jersey Devils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0.51682032830867819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0.15604658591703846</v>
      </c>
      <c r="H1083" t="s">
        <v>36</v>
      </c>
      <c r="I1083">
        <f>VLOOKUP(Table4[[#This Row],[Visitor]],'NHL Model'!$A$6:$B$38,2,FALSE)</f>
        <v>-0.53959086519270005</v>
      </c>
      <c r="J1083">
        <f>($B$1+Table4[[#This Row],[Home Differential]])-Table4[[#This Row],[Away Differential]]</f>
        <v>0.77906111804876121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0.65587713862706487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-0.41554817552415113</v>
      </c>
      <c r="H1084" t="s">
        <v>40</v>
      </c>
      <c r="I1084">
        <f>VLOOKUP(Table4[[#This Row],[Visitor]],'NHL Model'!$A$6:$B$38,2,FALSE)</f>
        <v>-0.36992241209510063</v>
      </c>
      <c r="J1084">
        <f>($B$1+Table4[[#This Row],[Home Differential]])-Table4[[#This Row],[Away Differential]]</f>
        <v>3.7797903509972197E-2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0.55612269961272276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-0.9065542839469537</v>
      </c>
      <c r="H1085" t="s">
        <v>15</v>
      </c>
      <c r="I1085">
        <f>VLOOKUP(Table4[[#This Row],[Visitor]],'NHL Model'!$A$6:$B$38,2,FALSE)</f>
        <v>-0.39090512874251965</v>
      </c>
      <c r="J1085">
        <f>($B$1+Table4[[#This Row],[Home Differential]])-Table4[[#This Row],[Away Differential]]</f>
        <v>-0.43222548826541135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0.61037977116832953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-1.0708320987334559</v>
      </c>
      <c r="H1086" t="s">
        <v>18</v>
      </c>
      <c r="I1086">
        <f>VLOOKUP(Table4[[#This Row],[Visitor]],'NHL Model'!$A$6:$B$38,2,FALSE)</f>
        <v>-0.65770380103775494</v>
      </c>
      <c r="J1086">
        <f>($B$1+Table4[[#This Row],[Home Differential]])-Table4[[#This Row],[Away Differential]]</f>
        <v>-0.32970463075667822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0.57932616822030547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-1.1577943512279505</v>
      </c>
      <c r="H1087" t="s">
        <v>11</v>
      </c>
      <c r="I1087">
        <f>VLOOKUP(Table4[[#This Row],[Visitor]],'NHL Model'!$A$6:$B$38,2,FALSE)</f>
        <v>-0.57335522029781161</v>
      </c>
      <c r="J1087">
        <f>($B$1+Table4[[#This Row],[Home Differential]])-Table4[[#This Row],[Away Differential]]</f>
        <v>-0.50101546399111618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0.51125747815073708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-0.50197808897650842</v>
      </c>
      <c r="H1088" t="s">
        <v>27</v>
      </c>
      <c r="I1088">
        <f>VLOOKUP(Table4[[#This Row],[Visitor]],'NHL Model'!$A$6:$B$38,2,FALSE)</f>
        <v>-0.46667677612181552</v>
      </c>
      <c r="J1088">
        <f>($B$1+Table4[[#This Row],[Home Differential]])-Table4[[#This Row],[Away Differential]]</f>
        <v>4.8122354084329799E-2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0.52483079259323229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-0.15603426337582751</v>
      </c>
      <c r="H1089" t="s">
        <v>10</v>
      </c>
      <c r="I1089">
        <f>VLOOKUP(Table4[[#This Row],[Visitor]],'NHL Model'!$A$6:$B$38,2,FALSE)</f>
        <v>-0.43769530535874146</v>
      </c>
      <c r="J1089">
        <f>($B$1+Table4[[#This Row],[Home Differential]])-Table4[[#This Row],[Away Differential]]</f>
        <v>0.36508470892193667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0.59650171787473494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-1.4782515386602066</v>
      </c>
      <c r="H1090" t="s">
        <v>32</v>
      </c>
      <c r="I1090">
        <f>VLOOKUP(Table4[[#This Row],[Visitor]],'NHL Model'!$A$6:$B$38,2,FALSE)</f>
        <v>-0.64744265535741874</v>
      </c>
      <c r="J1090">
        <f>($B$1+Table4[[#This Row],[Home Differential]])-Table4[[#This Row],[Away Differential]]</f>
        <v>-0.7473852163637652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0.5469736061760847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-0.53959086519270005</v>
      </c>
      <c r="H1091" t="s">
        <v>30</v>
      </c>
      <c r="I1091">
        <f>VLOOKUP(Table4[[#This Row],[Visitor]],'NHL Model'!$A$6:$B$38,2,FALSE)</f>
        <v>-0.30740058470151932</v>
      </c>
      <c r="J1091">
        <f>($B$1+Table4[[#This Row],[Home Differential]])-Table4[[#This Row],[Away Differential]]</f>
        <v>-0.14876661355215803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0.54743253008700665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-0.6620483089622381</v>
      </c>
      <c r="H1092" t="s">
        <v>23</v>
      </c>
      <c r="I1092">
        <f>VLOOKUP(Table4[[#This Row],[Visitor]],'NHL Model'!$A$6:$B$38,2,FALSE)</f>
        <v>-0.90742746858300449</v>
      </c>
      <c r="J1092">
        <f>($B$1+Table4[[#This Row],[Home Differential]])-Table4[[#This Row],[Away Differential]]</f>
        <v>0.3288028265597891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0.57826295586354748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-1.1317546087271064</v>
      </c>
      <c r="H1093" t="s">
        <v>37</v>
      </c>
      <c r="I1093">
        <f>VLOOKUP(Table4[[#This Row],[Visitor]],'NHL Model'!$A$6:$B$38,2,FALSE)</f>
        <v>0.23616512594450029</v>
      </c>
      <c r="J1093">
        <f>($B$1+Table4[[#This Row],[Home Differential]])-Table4[[#This Row],[Away Differential]]</f>
        <v>-1.2844960677325841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0.69043574411459585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-0.42180143360631367</v>
      </c>
      <c r="H1094" t="s">
        <v>55</v>
      </c>
      <c r="I1094">
        <f>VLOOKUP(Table4[[#This Row],[Visitor]],'NHL Model'!$A$6:$B$38,2,FALSE)</f>
        <v>-0.40521943828179341</v>
      </c>
      <c r="J1094">
        <f>($B$1+Table4[[#This Row],[Home Differential]])-Table4[[#This Row],[Away Differential]]</f>
        <v>6.6841671614502496E-2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0.5477784000751782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-1.2612222633157453</v>
      </c>
      <c r="H1095" t="s">
        <v>11</v>
      </c>
      <c r="I1095">
        <f>VLOOKUP(Table4[[#This Row],[Visitor]],'NHL Model'!$A$6:$B$38,2,FALSE)</f>
        <v>-0.57335522029781161</v>
      </c>
      <c r="J1095">
        <f>($B$1+Table4[[#This Row],[Home Differential]])-Table4[[#This Row],[Away Differential]]</f>
        <v>-0.60444337607891097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0.53033938991006646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-0.43769530535874146</v>
      </c>
      <c r="H1096" t="s">
        <v>12</v>
      </c>
      <c r="I1096">
        <f>VLOOKUP(Table4[[#This Row],[Visitor]],'NHL Model'!$A$6:$B$38,2,FALSE)</f>
        <v>1.339787395621115</v>
      </c>
      <c r="J1096">
        <f>($B$1+Table4[[#This Row],[Home Differential]])-Table4[[#This Row],[Away Differential]]</f>
        <v>-1.6940590340408339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0.72976169960026804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-1.054674343910232</v>
      </c>
      <c r="H1097" t="s">
        <v>25</v>
      </c>
      <c r="I1097">
        <f>VLOOKUP(Table4[[#This Row],[Visitor]],'NHL Model'!$A$6:$B$38,2,FALSE)</f>
        <v>0.25962865313068506</v>
      </c>
      <c r="J1097">
        <f>($B$1+Table4[[#This Row],[Home Differential]])-Table4[[#This Row],[Away Differential]]</f>
        <v>-1.2308793301018943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0.67586123665676001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-0.40521943828179341</v>
      </c>
      <c r="H1098" t="s">
        <v>31</v>
      </c>
      <c r="I1098">
        <f>VLOOKUP(Table4[[#This Row],[Visitor]],'NHL Model'!$A$6:$B$38,2,FALSE)</f>
        <v>5.8616755922628279E-2</v>
      </c>
      <c r="J1098">
        <f>($B$1+Table4[[#This Row],[Home Differential]])-Table4[[#This Row],[Away Differential]]</f>
        <v>-0.38041252726539898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0.4842688035653176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0.15604658591703846</v>
      </c>
      <c r="H1099" t="s">
        <v>24</v>
      </c>
      <c r="I1099">
        <f>VLOOKUP(Table4[[#This Row],[Visitor]],'NHL Model'!$A$6:$B$38,2,FALSE)</f>
        <v>2.3143316481494557E-3</v>
      </c>
      <c r="J1099">
        <f>($B$1+Table4[[#This Row],[Home Differential]])-Table4[[#This Row],[Away Differential]]</f>
        <v>0.23715592120791174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0.57305250329724422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-0.9065542839469537</v>
      </c>
      <c r="H1100" t="s">
        <v>32</v>
      </c>
      <c r="I1100">
        <f>VLOOKUP(Table4[[#This Row],[Visitor]],'NHL Model'!$A$6:$B$38,2,FALSE)</f>
        <v>-0.64744265535741874</v>
      </c>
      <c r="J1100">
        <f>($B$1+Table4[[#This Row],[Home Differential]])-Table4[[#This Row],[Away Differential]]</f>
        <v>-0.17568796165051226</v>
      </c>
      <c r="K1100" t="str">
        <f>IF(Table4[[#This Row],[HomeIce Differential]]&gt;0,Table4[[#This Row],[Home]],Table4[[#This Row],[Visitor]])</f>
        <v>Seattle Kraken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0.48044489943327107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-1.0708320987334559</v>
      </c>
      <c r="H1101" t="s">
        <v>21</v>
      </c>
      <c r="I1101">
        <f>VLOOKUP(Table4[[#This Row],[Visitor]],'NHL Model'!$A$6:$B$38,2,FALSE)</f>
        <v>-0.41554817552415113</v>
      </c>
      <c r="J1101">
        <f>($B$1+Table4[[#This Row],[Home Differential]])-Table4[[#This Row],[Away Differential]]</f>
        <v>-0.57186025627028203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0.52737716840630322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-1.1577943512279505</v>
      </c>
      <c r="H1102" t="s">
        <v>37</v>
      </c>
      <c r="I1102">
        <f>VLOOKUP(Table4[[#This Row],[Visitor]],'NHL Model'!$A$6:$B$38,2,FALSE)</f>
        <v>0.23616512594450029</v>
      </c>
      <c r="J1102">
        <f>($B$1+Table4[[#This Row],[Home Differential]])-Table4[[#This Row],[Away Differential]]</f>
        <v>-1.3105358102334281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0.68640603863806926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-0.50197808897650842</v>
      </c>
      <c r="H1103" t="s">
        <v>23</v>
      </c>
      <c r="I1103">
        <f>VLOOKUP(Table4[[#This Row],[Visitor]],'NHL Model'!$A$6:$B$38,2,FALSE)</f>
        <v>-0.90742746858300449</v>
      </c>
      <c r="J1103">
        <f>($B$1+Table4[[#This Row],[Home Differential]])-Table4[[#This Row],[Away Differential]]</f>
        <v>0.48887304654551877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0.59689041057999459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-0.15603426337582751</v>
      </c>
      <c r="H1104" t="s">
        <v>39</v>
      </c>
      <c r="I1104">
        <f>VLOOKUP(Table4[[#This Row],[Visitor]],'NHL Model'!$A$6:$B$38,2,FALSE)</f>
        <v>0.10032544630879472</v>
      </c>
      <c r="J1104">
        <f>($B$1+Table4[[#This Row],[Home Differential]])-Table4[[#This Row],[Away Differential]]</f>
        <v>-0.17293604274559951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0.56795074415617086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-0.65770380103775494</v>
      </c>
      <c r="H1105" t="s">
        <v>30</v>
      </c>
      <c r="I1105">
        <f>VLOOKUP(Table4[[#This Row],[Visitor]],'NHL Model'!$A$6:$B$38,2,FALSE)</f>
        <v>-0.30740058470151932</v>
      </c>
      <c r="J1105">
        <f>($B$1+Table4[[#This Row],[Home Differential]])-Table4[[#This Row],[Away Differential]]</f>
        <v>-0.26687954939721292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0.56368008101555267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-1.4782515386602066</v>
      </c>
      <c r="H1106" t="s">
        <v>20</v>
      </c>
      <c r="I1106">
        <f>VLOOKUP(Table4[[#This Row],[Visitor]],'NHL Model'!$A$6:$B$38,2,FALSE)</f>
        <v>-0.42180143360631367</v>
      </c>
      <c r="J1106">
        <f>($B$1+Table4[[#This Row],[Home Differential]])-Table4[[#This Row],[Away Differential]]</f>
        <v>-0.97302643811487033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0.57323159245677591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-0.53959086519270005</v>
      </c>
      <c r="H1107" t="s">
        <v>19</v>
      </c>
      <c r="I1107">
        <f>VLOOKUP(Table4[[#This Row],[Visitor]],'NHL Model'!$A$6:$B$38,2,FALSE)</f>
        <v>-1.054674343910232</v>
      </c>
      <c r="J1107">
        <f>($B$1+Table4[[#This Row],[Home Differential]])-Table4[[#This Row],[Away Differential]]</f>
        <v>0.59850714565655461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0.61214406689405143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-0.22852375643476561</v>
      </c>
      <c r="H1108" t="s">
        <v>40</v>
      </c>
      <c r="I1108">
        <f>VLOOKUP(Table4[[#This Row],[Visitor]],'NHL Model'!$A$6:$B$38,2,FALSE)</f>
        <v>-0.36992241209510063</v>
      </c>
      <c r="J1108">
        <f>($B$1+Table4[[#This Row],[Home Differential]])-Table4[[#This Row],[Away Differential]]</f>
        <v>0.22482232259935775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0.54790182099545881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-0.6620483089622381</v>
      </c>
      <c r="H1109" t="s">
        <v>27</v>
      </c>
      <c r="I1109">
        <f>VLOOKUP(Table4[[#This Row],[Visitor]],'NHL Model'!$A$6:$B$38,2,FALSE)</f>
        <v>-0.46667677612181552</v>
      </c>
      <c r="J1109">
        <f>($B$1+Table4[[#This Row],[Home Differential]])-Table4[[#This Row],[Away Differential]]</f>
        <v>-0.11194786590139988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0.49379666212321482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-1.1317546087271064</v>
      </c>
      <c r="H1110" t="s">
        <v>35</v>
      </c>
      <c r="I1110">
        <f>VLOOKUP(Table4[[#This Row],[Visitor]],'NHL Model'!$A$6:$B$38,2,FALSE)</f>
        <v>-1.5899576513683618</v>
      </c>
      <c r="J1110">
        <f>($B$1+Table4[[#This Row],[Home Differential]])-Table4[[#This Row],[Away Differential]]</f>
        <v>0.54162670958027803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0.60302938177272669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5.8616755922628279E-2</v>
      </c>
      <c r="H1111" t="s">
        <v>23</v>
      </c>
      <c r="I1111">
        <f>VLOOKUP(Table4[[#This Row],[Visitor]],'NHL Model'!$A$6:$B$38,2,FALSE)</f>
        <v>-0.90742746858300449</v>
      </c>
      <c r="J1111">
        <f>($B$1+Table4[[#This Row],[Home Differential]])-Table4[[#This Row],[Away Differential]]</f>
        <v>1.0494678914446556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0.74196183486466183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-1.2612222633157453</v>
      </c>
      <c r="H1112" t="s">
        <v>37</v>
      </c>
      <c r="I1112">
        <f>VLOOKUP(Table4[[#This Row],[Visitor]],'NHL Model'!$A$6:$B$38,2,FALSE)</f>
        <v>0.23616512594450029</v>
      </c>
      <c r="J1112">
        <f>($B$1+Table4[[#This Row],[Home Differential]])-Table4[[#This Row],[Away Differential]]</f>
        <v>-1.4139637223212229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0.70550196238623619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-0.43769530535874146</v>
      </c>
      <c r="H1113" t="s">
        <v>29</v>
      </c>
      <c r="I1113">
        <f>VLOOKUP(Table4[[#This Row],[Visitor]],'NHL Model'!$A$6:$B$38,2,FALSE)</f>
        <v>-1.4782515386602066</v>
      </c>
      <c r="J1113">
        <f>($B$1+Table4[[#This Row],[Home Differential]])-Table4[[#This Row],[Away Differential]]</f>
        <v>1.1239799002404878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0.67079812532145588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0.10032544630879472</v>
      </c>
      <c r="H1114" t="s">
        <v>20</v>
      </c>
      <c r="I1114">
        <f>VLOOKUP(Table4[[#This Row],[Visitor]],'NHL Model'!$A$6:$B$38,2,FALSE)</f>
        <v>-0.42180143360631367</v>
      </c>
      <c r="J1114">
        <f>($B$1+Table4[[#This Row],[Home Differential]])-Table4[[#This Row],[Away Differential]]</f>
        <v>0.60555054685413112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0.6295736632586747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-0.30740058470151932</v>
      </c>
      <c r="H1115" t="s">
        <v>28</v>
      </c>
      <c r="I1115">
        <f>VLOOKUP(Table4[[#This Row],[Visitor]],'NHL Model'!$A$6:$B$38,2,FALSE)</f>
        <v>-0.9065542839469537</v>
      </c>
      <c r="J1115">
        <f>($B$1+Table4[[#This Row],[Home Differential]])-Table4[[#This Row],[Away Differential]]</f>
        <v>0.68257736618445708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0.61943188295865559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-0.39090512874251965</v>
      </c>
      <c r="H1116" t="s">
        <v>40</v>
      </c>
      <c r="I1116">
        <f>VLOOKUP(Table4[[#This Row],[Visitor]],'NHL Model'!$A$6:$B$38,2,FALSE)</f>
        <v>-0.36992241209510063</v>
      </c>
      <c r="J1116">
        <f>($B$1+Table4[[#This Row],[Home Differential]])-Table4[[#This Row],[Away Differential]]</f>
        <v>6.2440950291603736E-2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0.52649705507777111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-0.22852375643476561</v>
      </c>
      <c r="H1117" t="s">
        <v>25</v>
      </c>
      <c r="I1117">
        <f>VLOOKUP(Table4[[#This Row],[Visitor]],'NHL Model'!$A$6:$B$38,2,FALSE)</f>
        <v>0.25962865313068506</v>
      </c>
      <c r="J1117">
        <f>($B$1+Table4[[#This Row],[Home Differential]])-Table4[[#This Row],[Away Differential]]</f>
        <v>-0.40472874262642794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0.57721897611601458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-0.40521943828179341</v>
      </c>
      <c r="H1118" t="s">
        <v>13</v>
      </c>
      <c r="I1118">
        <f>VLOOKUP(Table4[[#This Row],[Visitor]],'NHL Model'!$A$6:$B$38,2,FALSE)</f>
        <v>-0.50197808897650842</v>
      </c>
      <c r="J1118">
        <f>($B$1+Table4[[#This Row],[Home Differential]])-Table4[[#This Row],[Away Differential]]</f>
        <v>0.18018231763373771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0.53567379232848922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0.15604658591703846</v>
      </c>
      <c r="H1119" t="s">
        <v>12</v>
      </c>
      <c r="I1119">
        <f>VLOOKUP(Table4[[#This Row],[Visitor]],'NHL Model'!$A$6:$B$38,2,FALSE)</f>
        <v>1.339787395621115</v>
      </c>
      <c r="J1119">
        <f>($B$1+Table4[[#This Row],[Home Differential]])-Table4[[#This Row],[Away Differential]]</f>
        <v>-1.1003171427650538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0.6343735918563842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-0.39090512874251965</v>
      </c>
      <c r="H1120" t="s">
        <v>36</v>
      </c>
      <c r="I1120">
        <f>VLOOKUP(Table4[[#This Row],[Visitor]],'NHL Model'!$A$6:$B$38,2,FALSE)</f>
        <v>-0.53959086519270005</v>
      </c>
      <c r="J1120">
        <f>($B$1+Table4[[#This Row],[Home Differential]])-Table4[[#This Row],[Away Differential]]</f>
        <v>0.23210940338920316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0.56618119885301321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-0.41554817552415113</v>
      </c>
      <c r="H1121" t="s">
        <v>19</v>
      </c>
      <c r="I1121">
        <f>VLOOKUP(Table4[[#This Row],[Visitor]],'NHL Model'!$A$6:$B$38,2,FALSE)</f>
        <v>-1.054674343910232</v>
      </c>
      <c r="J1121">
        <f>($B$1+Table4[[#This Row],[Home Differential]])-Table4[[#This Row],[Away Differential]]</f>
        <v>0.72254983532510353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0.65632956578158819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-1.2612222633157453</v>
      </c>
      <c r="H1122" t="s">
        <v>13</v>
      </c>
      <c r="I1122">
        <f>VLOOKUP(Table4[[#This Row],[Visitor]],'NHL Model'!$A$6:$B$38,2,FALSE)</f>
        <v>-0.50197808897650842</v>
      </c>
      <c r="J1122">
        <f>($B$1+Table4[[#This Row],[Home Differential]])-Table4[[#This Row],[Away Differential]]</f>
        <v>-0.67582050740021415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0.6049613732628869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0.10032544630879472</v>
      </c>
      <c r="H1123" t="s">
        <v>24</v>
      </c>
      <c r="I1123">
        <f>VLOOKUP(Table4[[#This Row],[Visitor]],'NHL Model'!$A$6:$B$38,2,FALSE)</f>
        <v>2.3143316481494557E-3</v>
      </c>
      <c r="J1123">
        <f>($B$1+Table4[[#This Row],[Home Differential]])-Table4[[#This Row],[Away Differential]]</f>
        <v>0.181434781599668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0.55957519831992808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-1.0708320987334559</v>
      </c>
      <c r="H1124" t="s">
        <v>36</v>
      </c>
      <c r="I1124">
        <f>VLOOKUP(Table4[[#This Row],[Visitor]],'NHL Model'!$A$6:$B$38,2,FALSE)</f>
        <v>-0.53959086519270005</v>
      </c>
      <c r="J1124">
        <f>($B$1+Table4[[#This Row],[Home Differential]])-Table4[[#This Row],[Away Differential]]</f>
        <v>-0.44781756660173311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0.51294225612272426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-0.57335522029781161</v>
      </c>
      <c r="H1125" t="s">
        <v>32</v>
      </c>
      <c r="I1125">
        <f>VLOOKUP(Table4[[#This Row],[Visitor]],'NHL Model'!$A$6:$B$38,2,FALSE)</f>
        <v>-0.64744265535741874</v>
      </c>
      <c r="J1125">
        <f>($B$1+Table4[[#This Row],[Home Differential]])-Table4[[#This Row],[Away Differential]]</f>
        <v>0.15751110199862983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0.57234626932447863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-0.65770380103775494</v>
      </c>
      <c r="H1126" t="s">
        <v>25</v>
      </c>
      <c r="I1126">
        <f>VLOOKUP(Table4[[#This Row],[Visitor]],'NHL Model'!$A$6:$B$38,2,FALSE)</f>
        <v>0.25962865313068506</v>
      </c>
      <c r="J1126">
        <f>($B$1+Table4[[#This Row],[Home Differential]])-Table4[[#This Row],[Away Differential]]</f>
        <v>-0.8339087872294173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0.62966556820712749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-1.4782515386602066</v>
      </c>
      <c r="H1127" t="s">
        <v>33</v>
      </c>
      <c r="I1127">
        <f>VLOOKUP(Table4[[#This Row],[Visitor]],'NHL Model'!$A$6:$B$38,2,FALSE)</f>
        <v>-0.6620483089622381</v>
      </c>
      <c r="J1127">
        <f>($B$1+Table4[[#This Row],[Home Differential]])-Table4[[#This Row],[Away Differential]]</f>
        <v>-0.73277956275894585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0.54527393867295926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-0.30740058470151932</v>
      </c>
      <c r="H1128" t="s">
        <v>10</v>
      </c>
      <c r="I1128">
        <f>VLOOKUP(Table4[[#This Row],[Visitor]],'NHL Model'!$A$6:$B$38,2,FALSE)</f>
        <v>-0.43769530535874146</v>
      </c>
      <c r="J1128">
        <f>($B$1+Table4[[#This Row],[Home Differential]])-Table4[[#This Row],[Away Differential]]</f>
        <v>0.21371838759624487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0.56487051987169168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-0.46667677612181552</v>
      </c>
      <c r="H1129" t="s">
        <v>28</v>
      </c>
      <c r="I1129">
        <f>VLOOKUP(Table4[[#This Row],[Visitor]],'NHL Model'!$A$6:$B$38,2,FALSE)</f>
        <v>-0.9065542839469537</v>
      </c>
      <c r="J1129">
        <f>($B$1+Table4[[#This Row],[Home Differential]])-Table4[[#This Row],[Away Differential]]</f>
        <v>0.52330117476416094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0.63314289556746217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-0.22852375643476561</v>
      </c>
      <c r="H1130" t="s">
        <v>12</v>
      </c>
      <c r="I1130">
        <f>VLOOKUP(Table4[[#This Row],[Visitor]],'NHL Model'!$A$6:$B$38,2,FALSE)</f>
        <v>1.339787395621115</v>
      </c>
      <c r="J1130">
        <f>($B$1+Table4[[#This Row],[Home Differential]])-Table4[[#This Row],[Away Differential]]</f>
        <v>-1.4848874851168579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0.70291761052851642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-1.5899576513683618</v>
      </c>
      <c r="H1131" t="s">
        <v>22</v>
      </c>
      <c r="I1131">
        <f>VLOOKUP(Table4[[#This Row],[Visitor]],'NHL Model'!$A$6:$B$38,2,FALSE)</f>
        <v>0.15604658591703846</v>
      </c>
      <c r="J1131">
        <f>($B$1+Table4[[#This Row],[Home Differential]])-Table4[[#This Row],[Away Differential]]</f>
        <v>-1.6625805703463774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0.67424459607661258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0.23616512594450029</v>
      </c>
      <c r="H1132" t="s">
        <v>34</v>
      </c>
      <c r="I1132">
        <f>VLOOKUP(Table4[[#This Row],[Visitor]],'NHL Model'!$A$6:$B$38,2,FALSE)</f>
        <v>-0.15603426337582751</v>
      </c>
      <c r="J1132">
        <f>($B$1+Table4[[#This Row],[Home Differential]])-Table4[[#This Row],[Away Differential]]</f>
        <v>0.47562305625935053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0.58546898424974858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-0.40521943828179341</v>
      </c>
      <c r="H1133" t="s">
        <v>17</v>
      </c>
      <c r="I1133">
        <f>VLOOKUP(Table4[[#This Row],[Visitor]],'NHL Model'!$A$6:$B$38,2,FALSE)</f>
        <v>-1.1577943512279505</v>
      </c>
      <c r="J1133">
        <f>($B$1+Table4[[#This Row],[Home Differential]])-Table4[[#This Row],[Away Differential]]</f>
        <v>0.83599857988517978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0.67771676680315873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-1.1317546087271064</v>
      </c>
      <c r="H1134" t="s">
        <v>31</v>
      </c>
      <c r="I1134">
        <f>VLOOKUP(Table4[[#This Row],[Visitor]],'NHL Model'!$A$6:$B$38,2,FALSE)</f>
        <v>5.8616755922628279E-2</v>
      </c>
      <c r="J1134">
        <f>($B$1+Table4[[#This Row],[Home Differential]])-Table4[[#This Row],[Away Differential]]</f>
        <v>-1.106947697710712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0.60958530982765868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-0.36992241209510063</v>
      </c>
      <c r="H1135" t="s">
        <v>20</v>
      </c>
      <c r="I1135">
        <f>VLOOKUP(Table4[[#This Row],[Visitor]],'NHL Model'!$A$6:$B$38,2,FALSE)</f>
        <v>-0.42180143360631367</v>
      </c>
      <c r="J1135">
        <f>($B$1+Table4[[#This Row],[Home Differential]])-Table4[[#This Row],[Away Differential]]</f>
        <v>0.1353026884502358</v>
      </c>
      <c r="K1135" t="str">
        <f>IF(Table4[[#This Row],[HomeIce Differential]]&gt;0,Table4[[#This Row],[Home]],Table4[[#This Row],[Visitor]])</f>
        <v>Winnipeg Jets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0.5582407233999499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-0.90742746858300449</v>
      </c>
      <c r="H1136" t="s">
        <v>21</v>
      </c>
      <c r="I1136">
        <f>VLOOKUP(Table4[[#This Row],[Visitor]],'NHL Model'!$A$6:$B$38,2,FALSE)</f>
        <v>-0.41554817552415113</v>
      </c>
      <c r="J1136">
        <f>($B$1+Table4[[#This Row],[Home Differential]])-Table4[[#This Row],[Away Differential]]</f>
        <v>-0.40845562611983066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0.50836168664550674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-1.054674343910232</v>
      </c>
      <c r="H1137" t="s">
        <v>15</v>
      </c>
      <c r="I1137">
        <f>VLOOKUP(Table4[[#This Row],[Visitor]],'NHL Model'!$A$6:$B$38,2,FALSE)</f>
        <v>-0.39090512874251965</v>
      </c>
      <c r="J1137">
        <f>($B$1+Table4[[#This Row],[Home Differential]])-Table4[[#This Row],[Away Differential]]</f>
        <v>-0.58034554822868967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0.62761657955035954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-1.2612222633157453</v>
      </c>
      <c r="H1138" t="s">
        <v>31</v>
      </c>
      <c r="I1138">
        <f>VLOOKUP(Table4[[#This Row],[Visitor]],'NHL Model'!$A$6:$B$38,2,FALSE)</f>
        <v>5.8616755922628279E-2</v>
      </c>
      <c r="J1138">
        <f>($B$1+Table4[[#This Row],[Home Differential]])-Table4[[#This Row],[Away Differential]]</f>
        <v>-1.2364153522993508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0.62465152809929902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-0.57335522029781161</v>
      </c>
      <c r="H1139" t="s">
        <v>34</v>
      </c>
      <c r="I1139">
        <f>VLOOKUP(Table4[[#This Row],[Visitor]],'NHL Model'!$A$6:$B$38,2,FALSE)</f>
        <v>-0.15603426337582751</v>
      </c>
      <c r="J1139">
        <f>($B$1+Table4[[#This Row],[Home Differential]])-Table4[[#This Row],[Away Differential]]</f>
        <v>-0.33389728998296142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0.52722789424384831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-0.65770380103775494</v>
      </c>
      <c r="H1140" t="s">
        <v>28</v>
      </c>
      <c r="I1140">
        <f>VLOOKUP(Table4[[#This Row],[Visitor]],'NHL Model'!$A$6:$B$38,2,FALSE)</f>
        <v>-0.9065542839469537</v>
      </c>
      <c r="J1140">
        <f>($B$1+Table4[[#This Row],[Home Differential]])-Table4[[#This Row],[Away Differential]]</f>
        <v>0.33227414984822146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0.57866691555928085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-1.4782515386602066</v>
      </c>
      <c r="H1141" t="s">
        <v>24</v>
      </c>
      <c r="I1141">
        <f>VLOOKUP(Table4[[#This Row],[Visitor]],'NHL Model'!$A$6:$B$38,2,FALSE)</f>
        <v>2.3143316481494557E-3</v>
      </c>
      <c r="J1141">
        <f>($B$1+Table4[[#This Row],[Home Differential]])-Table4[[#This Row],[Away Differential]]</f>
        <v>-1.3971422033693335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0.64335539531638763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-0.30740058470151932</v>
      </c>
      <c r="H1142" t="s">
        <v>39</v>
      </c>
      <c r="I1142">
        <f>VLOOKUP(Table4[[#This Row],[Visitor]],'NHL Model'!$A$6:$B$38,2,FALSE)</f>
        <v>0.10032544630879472</v>
      </c>
      <c r="J1142">
        <f>($B$1+Table4[[#This Row],[Home Differential]])-Table4[[#This Row],[Away Differential]]</f>
        <v>-0.32430236407129132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0.59953698751306594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-0.53959086519270005</v>
      </c>
      <c r="H1143" t="s">
        <v>14</v>
      </c>
      <c r="I1143">
        <f>VLOOKUP(Table4[[#This Row],[Visitor]],'NHL Model'!$A$6:$B$38,2,FALSE)</f>
        <v>-0.22852375643476561</v>
      </c>
      <c r="J1143">
        <f>($B$1+Table4[[#This Row],[Home Differential]])-Table4[[#This Row],[Away Differential]]</f>
        <v>-0.22764344181891175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0.504751855236106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-0.46667677612181552</v>
      </c>
      <c r="H1144" t="s">
        <v>10</v>
      </c>
      <c r="I1144">
        <f>VLOOKUP(Table4[[#This Row],[Visitor]],'NHL Model'!$A$6:$B$38,2,FALSE)</f>
        <v>-0.43769530535874146</v>
      </c>
      <c r="J1144">
        <f>($B$1+Table4[[#This Row],[Home Differential]])-Table4[[#This Row],[Away Differential]]</f>
        <v>5.4442196175948698E-2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0.57858153248049826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-1.5899576513683618</v>
      </c>
      <c r="H1145" t="s">
        <v>33</v>
      </c>
      <c r="I1145">
        <f>VLOOKUP(Table4[[#This Row],[Visitor]],'NHL Model'!$A$6:$B$38,2,FALSE)</f>
        <v>-0.6620483089622381</v>
      </c>
      <c r="J1145">
        <f>($B$1+Table4[[#This Row],[Home Differential]])-Table4[[#This Row],[Away Differential]]</f>
        <v>-0.84448567546710096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0.5582732370821637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0.23616512594450029</v>
      </c>
      <c r="H1146" t="s">
        <v>32</v>
      </c>
      <c r="I1146">
        <f>VLOOKUP(Table4[[#This Row],[Visitor]],'NHL Model'!$A$6:$B$38,2,FALSE)</f>
        <v>-0.64744265535741874</v>
      </c>
      <c r="J1146">
        <f>($B$1+Table4[[#This Row],[Home Differential]])-Table4[[#This Row],[Away Differential]]</f>
        <v>0.96703144824094178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0.68478001817679157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-0.40521943828179341</v>
      </c>
      <c r="H1147" t="s">
        <v>22</v>
      </c>
      <c r="I1147">
        <f>VLOOKUP(Table4[[#This Row],[Visitor]],'NHL Model'!$A$6:$B$38,2,FALSE)</f>
        <v>0.15604658591703846</v>
      </c>
      <c r="J1147">
        <f>($B$1+Table4[[#This Row],[Home Differential]])-Table4[[#This Row],[Away Differential]]</f>
        <v>-0.47784235725980917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0.49560676353322303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-1.1317546087271064</v>
      </c>
      <c r="H1148" t="s">
        <v>13</v>
      </c>
      <c r="I1148">
        <f>VLOOKUP(Table4[[#This Row],[Visitor]],'NHL Model'!$A$6:$B$38,2,FALSE)</f>
        <v>-0.50197808897650842</v>
      </c>
      <c r="J1148">
        <f>($B$1+Table4[[#This Row],[Home Differential]])-Table4[[#This Row],[Away Differential]]</f>
        <v>-0.54635285281157531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0.58989515499124656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-0.42180143360631367</v>
      </c>
      <c r="H1149" t="s">
        <v>17</v>
      </c>
      <c r="I1149">
        <f>VLOOKUP(Table4[[#This Row],[Visitor]],'NHL Model'!$A$6:$B$38,2,FALSE)</f>
        <v>-1.1577943512279505</v>
      </c>
      <c r="J1149">
        <f>($B$1+Table4[[#This Row],[Home Differential]])-Table4[[#This Row],[Away Differential]]</f>
        <v>0.81941658456065958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0.63535593394055578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-0.36992241209510063</v>
      </c>
      <c r="H1150" t="s">
        <v>12</v>
      </c>
      <c r="I1150">
        <f>VLOOKUP(Table4[[#This Row],[Visitor]],'NHL Model'!$A$6:$B$38,2,FALSE)</f>
        <v>1.339787395621115</v>
      </c>
      <c r="J1150">
        <f>($B$1+Table4[[#This Row],[Home Differential]])-Table4[[#This Row],[Away Differential]]</f>
        <v>-1.6262861407771929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0.71937224559751423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-0.90742746858300449</v>
      </c>
      <c r="H1151" t="s">
        <v>26</v>
      </c>
      <c r="I1151">
        <f>VLOOKUP(Table4[[#This Row],[Visitor]],'NHL Model'!$A$6:$B$38,2,FALSE)</f>
        <v>-1.0708320987334559</v>
      </c>
      <c r="J1151">
        <f>($B$1+Table4[[#This Row],[Home Differential]])-Table4[[#This Row],[Away Differential]]</f>
        <v>0.24682829708947407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0.54795430648324406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-0.39090512874251965</v>
      </c>
      <c r="H1152" t="s">
        <v>10</v>
      </c>
      <c r="I1152">
        <f>VLOOKUP(Table4[[#This Row],[Visitor]],'NHL Model'!$A$6:$B$38,2,FALSE)</f>
        <v>-0.43769530535874146</v>
      </c>
      <c r="J1152">
        <f>($B$1+Table4[[#This Row],[Home Differential]])-Table4[[#This Row],[Away Differential]]</f>
        <v>0.13021384355524457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0.55515305266961024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-0.41554817552415113</v>
      </c>
      <c r="H1153" t="s">
        <v>34</v>
      </c>
      <c r="I1153">
        <f>VLOOKUP(Table4[[#This Row],[Visitor]],'NHL Model'!$A$6:$B$38,2,FALSE)</f>
        <v>-0.15603426337582751</v>
      </c>
      <c r="J1153">
        <f>($B$1+Table4[[#This Row],[Home Differential]])-Table4[[#This Row],[Away Differential]]</f>
        <v>-0.17609024520930092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0.49037123145243411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-0.90742746858300449</v>
      </c>
      <c r="H1154" t="s">
        <v>32</v>
      </c>
      <c r="I1154">
        <f>VLOOKUP(Table4[[#This Row],[Visitor]],'NHL Model'!$A$6:$B$38,2,FALSE)</f>
        <v>-0.64744265535741874</v>
      </c>
      <c r="J1154">
        <f>($B$1+Table4[[#This Row],[Home Differential]])-Table4[[#This Row],[Away Differential]]</f>
        <v>-0.17656114628656305</v>
      </c>
      <c r="K1154" t="str">
        <f>IF(Table4[[#This Row],[HomeIce Differential]]&gt;0,Table4[[#This Row],[Home]],Table4[[#This Row],[Visitor]])</f>
        <v>Seattle Kraken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0.4805465123833163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0.25962865313068506</v>
      </c>
      <c r="H1155" t="s">
        <v>24</v>
      </c>
      <c r="I1155">
        <f>VLOOKUP(Table4[[#This Row],[Visitor]],'NHL Model'!$A$6:$B$38,2,FALSE)</f>
        <v>2.3143316481494557E-3</v>
      </c>
      <c r="J1155">
        <f>($B$1+Table4[[#This Row],[Home Differential]])-Table4[[#This Row],[Away Differential]]</f>
        <v>0.34073798842155828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0.59965185685420885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-0.9065542839469537</v>
      </c>
      <c r="H1156" t="s">
        <v>33</v>
      </c>
      <c r="I1156">
        <f>VLOOKUP(Table4[[#This Row],[Visitor]],'NHL Model'!$A$6:$B$38,2,FALSE)</f>
        <v>-0.6620483089622381</v>
      </c>
      <c r="J1156">
        <f>($B$1+Table4[[#This Row],[Home Differential]])-Table4[[#This Row],[Away Differential]]</f>
        <v>-0.1610823080456929</v>
      </c>
      <c r="K1156" t="str">
        <f>IF(Table4[[#This Row],[HomeIce Differential]]&gt;0,Table4[[#This Row],[Home]],Table4[[#This Row],[Visitor]])</f>
        <v>San Jose Sharks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0.47874523193014562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-1.2612222633157453</v>
      </c>
      <c r="H1157" t="s">
        <v>38</v>
      </c>
      <c r="I1157">
        <f>VLOOKUP(Table4[[#This Row],[Visitor]],'NHL Model'!$A$6:$B$38,2,FALSE)</f>
        <v>-1.1317546087271064</v>
      </c>
      <c r="J1157">
        <f>($B$1+Table4[[#This Row],[Home Differential]])-Table4[[#This Row],[Away Differential]]</f>
        <v>-4.6043987649616147E-2</v>
      </c>
      <c r="K1157" t="str">
        <f>IF(Table4[[#This Row],[HomeIce Differential]]&gt;0,Table4[[#This Row],[Home]],Table4[[#This Row],[Visitor]])</f>
        <v>Vancouver Canucks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0.48612739354919277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1.339787395621115</v>
      </c>
      <c r="H1158" t="s">
        <v>40</v>
      </c>
      <c r="I1158">
        <f>VLOOKUP(Table4[[#This Row],[Visitor]],'NHL Model'!$A$6:$B$38,2,FALSE)</f>
        <v>-0.36992241209510063</v>
      </c>
      <c r="J1158">
        <f>($B$1+Table4[[#This Row],[Home Differential]])-Table4[[#This Row],[Away Differential]]</f>
        <v>1.7931334746552383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0.82935752982557365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-1.0708320987334559</v>
      </c>
      <c r="H1159" t="s">
        <v>27</v>
      </c>
      <c r="I1159">
        <f>VLOOKUP(Table4[[#This Row],[Visitor]],'NHL Model'!$A$6:$B$38,2,FALSE)</f>
        <v>-0.46667677612181552</v>
      </c>
      <c r="J1159">
        <f>($B$1+Table4[[#This Row],[Home Differential]])-Table4[[#This Row],[Away Differential]]</f>
        <v>-0.52073165567261759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0.54136704425588045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-1.1577943512279505</v>
      </c>
      <c r="H1160" t="s">
        <v>31</v>
      </c>
      <c r="I1160">
        <f>VLOOKUP(Table4[[#This Row],[Visitor]],'NHL Model'!$A$6:$B$38,2,FALSE)</f>
        <v>5.8616755922628279E-2</v>
      </c>
      <c r="J1160">
        <f>($B$1+Table4[[#This Row],[Home Differential]])-Table4[[#This Row],[Away Differential]]</f>
        <v>-1.1329874402115561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0.605530547957011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-0.50197808897650842</v>
      </c>
      <c r="H1161" t="s">
        <v>55</v>
      </c>
      <c r="I1161">
        <f>VLOOKUP(Table4[[#This Row],[Visitor]],'NHL Model'!$A$6:$B$38,2,FALSE)</f>
        <v>-0.40521943828179341</v>
      </c>
      <c r="J1161">
        <f>($B$1+Table4[[#This Row],[Home Differential]])-Table4[[#This Row],[Away Differential]]</f>
        <v>-1.3334983755692309E-2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0.46155179899219145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-1.4782515386602066</v>
      </c>
      <c r="H1162" t="s">
        <v>18</v>
      </c>
      <c r="I1162">
        <f>VLOOKUP(Table4[[#This Row],[Visitor]],'NHL Model'!$A$6:$B$38,2,FALSE)</f>
        <v>-0.65770380103775494</v>
      </c>
      <c r="J1162">
        <f>($B$1+Table4[[#This Row],[Home Differential]])-Table4[[#This Row],[Away Differential]]</f>
        <v>-0.737124070683429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0.62673778025227733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-0.30740058470151932</v>
      </c>
      <c r="H1163" t="s">
        <v>11</v>
      </c>
      <c r="I1163">
        <f>VLOOKUP(Table4[[#This Row],[Visitor]],'NHL Model'!$A$6:$B$38,2,FALSE)</f>
        <v>-0.57335522029781161</v>
      </c>
      <c r="J1163">
        <f>($B$1+Table4[[#This Row],[Home Differential]])-Table4[[#This Row],[Away Differential]]</f>
        <v>0.34937830253531499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0.58065733469952097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-0.22852375643476561</v>
      </c>
      <c r="H1164" t="s">
        <v>39</v>
      </c>
      <c r="I1164">
        <f>VLOOKUP(Table4[[#This Row],[Visitor]],'NHL Model'!$A$6:$B$38,2,FALSE)</f>
        <v>0.10032544630879472</v>
      </c>
      <c r="J1164">
        <f>($B$1+Table4[[#This Row],[Home Differential]])-Table4[[#This Row],[Away Differential]]</f>
        <v>-0.2454255358045376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0.58788233109078958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-1.5899576513683618</v>
      </c>
      <c r="H1165" t="s">
        <v>19</v>
      </c>
      <c r="I1165">
        <f>VLOOKUP(Table4[[#This Row],[Visitor]],'NHL Model'!$A$6:$B$38,2,FALSE)</f>
        <v>-1.054674343910232</v>
      </c>
      <c r="J1165">
        <f>($B$1+Table4[[#This Row],[Home Differential]])-Table4[[#This Row],[Away Differential]]</f>
        <v>-0.4518596405191071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0.51258314127830984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0.23616512594450029</v>
      </c>
      <c r="H1166" t="s">
        <v>36</v>
      </c>
      <c r="I1166">
        <f>VLOOKUP(Table4[[#This Row],[Visitor]],'NHL Model'!$A$6:$B$38,2,FALSE)</f>
        <v>-0.53959086519270005</v>
      </c>
      <c r="J1166">
        <f>($B$1+Table4[[#This Row],[Home Differential]])-Table4[[#This Row],[Away Differential]]</f>
        <v>0.8591796580762231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0.67141175490601135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-0.42180143360631367</v>
      </c>
      <c r="H1167" t="s">
        <v>22</v>
      </c>
      <c r="I1167">
        <f>VLOOKUP(Table4[[#This Row],[Visitor]],'NHL Model'!$A$6:$B$38,2,FALSE)</f>
        <v>0.15604658591703846</v>
      </c>
      <c r="J1167">
        <f>($B$1+Table4[[#This Row],[Home Differential]])-Table4[[#This Row],[Away Differential]]</f>
        <v>-0.49442435258432937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0.53830564971895389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0.25962865313068506</v>
      </c>
      <c r="H1168" t="s">
        <v>18</v>
      </c>
      <c r="I1168">
        <f>VLOOKUP(Table4[[#This Row],[Visitor]],'NHL Model'!$A$6:$B$38,2,FALSE)</f>
        <v>-0.65770380103775494</v>
      </c>
      <c r="J1168">
        <f>($B$1+Table4[[#This Row],[Home Differential]])-Table4[[#This Row],[Away Differential]]</f>
        <v>1.0007561211074627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0.61645851008262786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-0.9065542839469537</v>
      </c>
      <c r="H1169" t="s">
        <v>21</v>
      </c>
      <c r="I1169">
        <f>VLOOKUP(Table4[[#This Row],[Visitor]],'NHL Model'!$A$6:$B$38,2,FALSE)</f>
        <v>-0.41554817552415113</v>
      </c>
      <c r="J1169">
        <f>($B$1+Table4[[#This Row],[Home Differential]])-Table4[[#This Row],[Away Differential]]</f>
        <v>-0.40758244148377987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0.50826007369546156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2.3143316481494557E-3</v>
      </c>
      <c r="H1170" t="s">
        <v>10</v>
      </c>
      <c r="I1170">
        <f>VLOOKUP(Table4[[#This Row],[Visitor]],'NHL Model'!$A$6:$B$38,2,FALSE)</f>
        <v>-0.43769530535874146</v>
      </c>
      <c r="J1170">
        <f>($B$1+Table4[[#This Row],[Home Differential]])-Table4[[#This Row],[Away Differential]]</f>
        <v>0.52343330394591359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0.72267691158308889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-0.39090512874251965</v>
      </c>
      <c r="H1171" t="s">
        <v>11</v>
      </c>
      <c r="I1171">
        <f>VLOOKUP(Table4[[#This Row],[Visitor]],'NHL Model'!$A$6:$B$38,2,FALSE)</f>
        <v>-0.57335522029781161</v>
      </c>
      <c r="J1171">
        <f>($B$1+Table4[[#This Row],[Home Differential]])-Table4[[#This Row],[Away Differential]]</f>
        <v>0.26587375849431472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0.57093986749743941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-0.46667677612181552</v>
      </c>
      <c r="H1172" t="s">
        <v>39</v>
      </c>
      <c r="I1172">
        <f>VLOOKUP(Table4[[#This Row],[Visitor]],'NHL Model'!$A$6:$B$38,2,FALSE)</f>
        <v>0.10032544630879472</v>
      </c>
      <c r="J1172">
        <f>($B$1+Table4[[#This Row],[Home Differential]])-Table4[[#This Row],[Away Differential]]</f>
        <v>-0.48357855549158746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0.58568605260945072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0.23616512594450029</v>
      </c>
      <c r="H1173" t="s">
        <v>29</v>
      </c>
      <c r="I1173">
        <f>VLOOKUP(Table4[[#This Row],[Visitor]],'NHL Model'!$A$6:$B$38,2,FALSE)</f>
        <v>-1.4782515386602066</v>
      </c>
      <c r="J1173">
        <f>($B$1+Table4[[#This Row],[Home Differential]])-Table4[[#This Row],[Away Differential]]</f>
        <v>1.7978403315437297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0.7814616798445545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5.8616755922628279E-2</v>
      </c>
      <c r="H1174" t="s">
        <v>19</v>
      </c>
      <c r="I1174">
        <f>VLOOKUP(Table4[[#This Row],[Visitor]],'NHL Model'!$A$6:$B$38,2,FALSE)</f>
        <v>-1.054674343910232</v>
      </c>
      <c r="J1174">
        <f>($B$1+Table4[[#This Row],[Home Differential]])-Table4[[#This Row],[Away Differential]]</f>
        <v>1.1967147667718829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0.75909703029664655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1.339787395621115</v>
      </c>
      <c r="H1175" t="s">
        <v>16</v>
      </c>
      <c r="I1175">
        <f>VLOOKUP(Table4[[#This Row],[Visitor]],'NHL Model'!$A$6:$B$38,2,FALSE)</f>
        <v>-1.2612222633157453</v>
      </c>
      <c r="J1175">
        <f>($B$1+Table4[[#This Row],[Home Differential]])-Table4[[#This Row],[Away Differential]]</f>
        <v>2.684433325875883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0.95250269971387702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-0.30740058470151932</v>
      </c>
      <c r="H1176" t="s">
        <v>14</v>
      </c>
      <c r="I1176">
        <f>VLOOKUP(Table4[[#This Row],[Visitor]],'NHL Model'!$A$6:$B$38,2,FALSE)</f>
        <v>-0.22852375643476561</v>
      </c>
      <c r="J1176">
        <f>($B$1+Table4[[#This Row],[Home Differential]])-Table4[[#This Row],[Away Differential]]</f>
        <v>4.5468386722690157E-3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0.51975988721085475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-0.6620483089622381</v>
      </c>
      <c r="H1177" t="s">
        <v>35</v>
      </c>
      <c r="I1177">
        <f>VLOOKUP(Table4[[#This Row],[Visitor]],'NHL Model'!$A$6:$B$38,2,FALSE)</f>
        <v>-1.5899576513683618</v>
      </c>
      <c r="J1177">
        <f>($B$1+Table4[[#This Row],[Home Differential]])-Table4[[#This Row],[Away Differential]]</f>
        <v>1.0113330093451465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0.65768934806552026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-0.42180143360631367</v>
      </c>
      <c r="H1178" t="s">
        <v>38</v>
      </c>
      <c r="I1178">
        <f>VLOOKUP(Table4[[#This Row],[Visitor]],'NHL Model'!$A$6:$B$38,2,FALSE)</f>
        <v>-1.1317546087271064</v>
      </c>
      <c r="J1178">
        <f>($B$1+Table4[[#This Row],[Home Differential]])-Table4[[#This Row],[Away Differential]]</f>
        <v>0.79337684205981551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0.6115564447990578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-0.41554817552415113</v>
      </c>
      <c r="H1179" t="s">
        <v>39</v>
      </c>
      <c r="I1179">
        <f>VLOOKUP(Table4[[#This Row],[Visitor]],'NHL Model'!$A$6:$B$38,2,FALSE)</f>
        <v>0.10032544630879472</v>
      </c>
      <c r="J1179">
        <f>($B$1+Table4[[#This Row],[Home Differential]])-Table4[[#This Row],[Away Differential]]</f>
        <v>-0.43244995489392313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0.57973619077735472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-0.90742746858300449</v>
      </c>
      <c r="H1180" t="s">
        <v>30</v>
      </c>
      <c r="I1180">
        <f>VLOOKUP(Table4[[#This Row],[Visitor]],'NHL Model'!$A$6:$B$38,2,FALSE)</f>
        <v>-0.30740058470151932</v>
      </c>
      <c r="J1180">
        <f>($B$1+Table4[[#This Row],[Home Differential]])-Table4[[#This Row],[Away Differential]]</f>
        <v>-0.51660321694246247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0.59274055403320047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-0.9065542839469537</v>
      </c>
      <c r="H1181" t="s">
        <v>25</v>
      </c>
      <c r="I1181">
        <f>VLOOKUP(Table4[[#This Row],[Visitor]],'NHL Model'!$A$6:$B$38,2,FALSE)</f>
        <v>0.25962865313068506</v>
      </c>
      <c r="J1181">
        <f>($B$1+Table4[[#This Row],[Home Differential]])-Table4[[#This Row],[Away Differential]]</f>
        <v>-1.0827592701386162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0.65862442827473011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-0.43769530535874146</v>
      </c>
      <c r="H1182" t="s">
        <v>40</v>
      </c>
      <c r="I1182">
        <f>VLOOKUP(Table4[[#This Row],[Visitor]],'NHL Model'!$A$6:$B$38,2,FALSE)</f>
        <v>-0.36992241209510063</v>
      </c>
      <c r="J1182">
        <f>($B$1+Table4[[#This Row],[Home Differential]])-Table4[[#This Row],[Away Differential]]</f>
        <v>1.5650773675381868E-2</v>
      </c>
      <c r="K1182" t="str">
        <f>IF(Table4[[#This Row],[HomeIce Differential]]&gt;0,Table4[[#This Row],[Home]],Table4[[#This Row],[Visitor]])</f>
        <v>Chicago Blackhawks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0.52105205789983922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-1.1577943512279505</v>
      </c>
      <c r="H1183" t="s">
        <v>32</v>
      </c>
      <c r="I1183">
        <f>VLOOKUP(Table4[[#This Row],[Visitor]],'NHL Model'!$A$6:$B$38,2,FALSE)</f>
        <v>-0.64744265535741874</v>
      </c>
      <c r="J1183">
        <f>($B$1+Table4[[#This Row],[Home Differential]])-Table4[[#This Row],[Away Differential]]</f>
        <v>-0.42692802893150905</v>
      </c>
      <c r="K1183" t="str">
        <f>IF(Table4[[#This Row],[HomeIce Differential]]&gt;0,Table4[[#This Row],[Home]],Table4[[#This Row],[Visitor]])</f>
        <v>Seattle Kraken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0.50263588481655175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-0.57335522029781161</v>
      </c>
      <c r="H1184" t="s">
        <v>36</v>
      </c>
      <c r="I1184">
        <f>VLOOKUP(Table4[[#This Row],[Visitor]],'NHL Model'!$A$6:$B$38,2,FALSE)</f>
        <v>-0.53959086519270005</v>
      </c>
      <c r="J1184">
        <f>($B$1+Table4[[#This Row],[Home Differential]])-Table4[[#This Row],[Away Differential]]</f>
        <v>4.9659311833911146E-2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0.55897036929651189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-0.39090512874251965</v>
      </c>
      <c r="H1185" t="s">
        <v>24</v>
      </c>
      <c r="I1185">
        <f>VLOOKUP(Table4[[#This Row],[Visitor]],'NHL Model'!$A$6:$B$38,2,FALSE)</f>
        <v>2.3143316481494557E-3</v>
      </c>
      <c r="J1185">
        <f>($B$1+Table4[[#This Row],[Home Differential]])-Table4[[#This Row],[Away Differential]]</f>
        <v>-0.30979579345164637</v>
      </c>
      <c r="K1185" t="str">
        <f>IF(Table4[[#This Row],[HomeIce Differential]]&gt;0,Table4[[#This Row],[Home]],Table4[[#This Row],[Visitor]])</f>
        <v>New Jersey Devils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0.51682032830867819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-0.22852375643476561</v>
      </c>
      <c r="H1186" t="s">
        <v>26</v>
      </c>
      <c r="I1186">
        <f>VLOOKUP(Table4[[#This Row],[Visitor]],'NHL Model'!$A$6:$B$38,2,FALSE)</f>
        <v>-1.0708320987334559</v>
      </c>
      <c r="J1186">
        <f>($B$1+Table4[[#This Row],[Home Differential]])-Table4[[#This Row],[Away Differential]]</f>
        <v>0.92573200923771304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0.62946704561587274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0.23616512594450029</v>
      </c>
      <c r="H1187" t="s">
        <v>18</v>
      </c>
      <c r="I1187">
        <f>VLOOKUP(Table4[[#This Row],[Visitor]],'NHL Model'!$A$6:$B$38,2,FALSE)</f>
        <v>-0.65770380103775494</v>
      </c>
      <c r="J1187">
        <f>($B$1+Table4[[#This Row],[Home Differential]])-Table4[[#This Row],[Away Differential]]</f>
        <v>0.97729259392127799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0.60534815895768435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0.15604658591703846</v>
      </c>
      <c r="H1188" t="s">
        <v>27</v>
      </c>
      <c r="I1188">
        <f>VLOOKUP(Table4[[#This Row],[Visitor]],'NHL Model'!$A$6:$B$38,2,FALSE)</f>
        <v>-0.46667677612181552</v>
      </c>
      <c r="J1188">
        <f>($B$1+Table4[[#This Row],[Home Differential]])-Table4[[#This Row],[Away Differential]]</f>
        <v>0.70614702897787673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0.62762924232577944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1.339787395621115</v>
      </c>
      <c r="H1189" t="s">
        <v>38</v>
      </c>
      <c r="I1189">
        <f>VLOOKUP(Table4[[#This Row],[Visitor]],'NHL Model'!$A$6:$B$38,2,FALSE)</f>
        <v>-1.1317546087271064</v>
      </c>
      <c r="J1189">
        <f>($B$1+Table4[[#This Row],[Home Differential]])-Table4[[#This Row],[Away Differential]]</f>
        <v>2.5549656712872442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0.91801233860611564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-0.50197808897650842</v>
      </c>
      <c r="H1190" t="s">
        <v>35</v>
      </c>
      <c r="I1190">
        <f>VLOOKUP(Table4[[#This Row],[Visitor]],'NHL Model'!$A$6:$B$38,2,FALSE)</f>
        <v>-1.5899576513683618</v>
      </c>
      <c r="J1190">
        <f>($B$1+Table4[[#This Row],[Home Differential]])-Table4[[#This Row],[Away Differential]]</f>
        <v>1.171403229330876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0.67631680278196737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-0.6620483089622381</v>
      </c>
      <c r="H1191" t="s">
        <v>31</v>
      </c>
      <c r="I1191">
        <f>VLOOKUP(Table4[[#This Row],[Visitor]],'NHL Model'!$A$6:$B$38,2,FALSE)</f>
        <v>5.8616755922628279E-2</v>
      </c>
      <c r="J1191">
        <f>($B$1+Table4[[#This Row],[Home Differential]])-Table4[[#This Row],[Away Differential]]</f>
        <v>-0.63724139794584367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0.55492534353486511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0.25962865313068506</v>
      </c>
      <c r="H1192" t="s">
        <v>28</v>
      </c>
      <c r="I1192">
        <f>VLOOKUP(Table4[[#This Row],[Visitor]],'NHL Model'!$A$6:$B$38,2,FALSE)</f>
        <v>-0.9065542839469537</v>
      </c>
      <c r="J1192">
        <f>($B$1+Table4[[#This Row],[Home Differential]])-Table4[[#This Row],[Away Differential]]</f>
        <v>1.2496066040166616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0.72584854759633322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0.10032544630879472</v>
      </c>
      <c r="H1193" t="s">
        <v>40</v>
      </c>
      <c r="I1193">
        <f>VLOOKUP(Table4[[#This Row],[Visitor]],'NHL Model'!$A$6:$B$38,2,FALSE)</f>
        <v>-0.36992241209510063</v>
      </c>
      <c r="J1193">
        <f>($B$1+Table4[[#This Row],[Home Differential]])-Table4[[#This Row],[Away Differential]]</f>
        <v>0.55367152534291808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0.60289258170637738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-1.1577943512279505</v>
      </c>
      <c r="H1194" t="s">
        <v>10</v>
      </c>
      <c r="I1194">
        <f>VLOOKUP(Table4[[#This Row],[Visitor]],'NHL Model'!$A$6:$B$38,2,FALSE)</f>
        <v>-0.43769530535874146</v>
      </c>
      <c r="J1194">
        <f>($B$1+Table4[[#This Row],[Home Differential]])-Table4[[#This Row],[Away Differential]]</f>
        <v>-0.63667537893018633</v>
      </c>
      <c r="K1194" t="str">
        <f>IF(Table4[[#This Row],[HomeIce Differential]]&gt;0,Table4[[#This Row],[Home]],Table4[[#This Row],[Visitor]])</f>
        <v>Chicago Blackhawks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0.52704429297856636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-0.57335522029781161</v>
      </c>
      <c r="H1195" t="s">
        <v>21</v>
      </c>
      <c r="I1195">
        <f>VLOOKUP(Table4[[#This Row],[Visitor]],'NHL Model'!$A$6:$B$38,2,FALSE)</f>
        <v>-0.41554817552415113</v>
      </c>
      <c r="J1195">
        <f>($B$1+Table4[[#This Row],[Home Differential]])-Table4[[#This Row],[Away Differential]]</f>
        <v>-7.4383377834637776E-2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0.45546454298706723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-0.50197808897650842</v>
      </c>
      <c r="H1196" t="s">
        <v>29</v>
      </c>
      <c r="I1196">
        <f>VLOOKUP(Table4[[#This Row],[Visitor]],'NHL Model'!$A$6:$B$38,2,FALSE)</f>
        <v>-1.4782515386602066</v>
      </c>
      <c r="J1196">
        <f>($B$1+Table4[[#This Row],[Home Differential]])-Table4[[#This Row],[Away Differential]]</f>
        <v>1.0596971166227209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0.66331750437276293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-0.15603426337582751</v>
      </c>
      <c r="H1197" t="s">
        <v>38</v>
      </c>
      <c r="I1197">
        <f>VLOOKUP(Table4[[#This Row],[Visitor]],'NHL Model'!$A$6:$B$38,2,FALSE)</f>
        <v>-1.1317546087271064</v>
      </c>
      <c r="J1197">
        <f>($B$1+Table4[[#This Row],[Home Differential]])-Table4[[#This Row],[Away Differential]]</f>
        <v>1.0591440122903015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0.65658647266738679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2.3143316481494557E-3</v>
      </c>
      <c r="H1198" t="s">
        <v>22</v>
      </c>
      <c r="I1198">
        <f>VLOOKUP(Table4[[#This Row],[Visitor]],'NHL Model'!$A$6:$B$38,2,FALSE)</f>
        <v>0.15604658591703846</v>
      </c>
      <c r="J1198">
        <f>($B$1+Table4[[#This Row],[Home Differential]])-Table4[[#This Row],[Away Differential]]</f>
        <v>-7.0308587329866279E-2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0.36532470400219935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-0.39090512874251965</v>
      </c>
      <c r="H1199" t="s">
        <v>18</v>
      </c>
      <c r="I1199">
        <f>VLOOKUP(Table4[[#This Row],[Visitor]],'NHL Model'!$A$6:$B$38,2,FALSE)</f>
        <v>-0.65770380103775494</v>
      </c>
      <c r="J1199">
        <f>($B$1+Table4[[#This Row],[Home Differential]])-Table4[[#This Row],[Away Differential]]</f>
        <v>0.35022233923425805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0.49979728675543217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-0.53959086519270005</v>
      </c>
      <c r="H1200" t="s">
        <v>23</v>
      </c>
      <c r="I1200">
        <f>VLOOKUP(Table4[[#This Row],[Visitor]],'NHL Model'!$A$6:$B$38,2,FALSE)</f>
        <v>-0.90742746858300449</v>
      </c>
      <c r="J1200">
        <f>($B$1+Table4[[#This Row],[Home Differential]])-Table4[[#This Row],[Away Differential]]</f>
        <v>0.45126027032932714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0.59500887146206671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-0.46667677612181552</v>
      </c>
      <c r="H1201" t="s">
        <v>26</v>
      </c>
      <c r="I1201">
        <f>VLOOKUP(Table4[[#This Row],[Visitor]],'NHL Model'!$A$6:$B$38,2,FALSE)</f>
        <v>-1.0708320987334559</v>
      </c>
      <c r="J1201">
        <f>($B$1+Table4[[#This Row],[Home Differential]])-Table4[[#This Row],[Away Differential]]</f>
        <v>0.6875789895506631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0.63173806240104069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-0.64744265535741874</v>
      </c>
      <c r="H1202" t="s">
        <v>55</v>
      </c>
      <c r="I1202">
        <f>VLOOKUP(Table4[[#This Row],[Visitor]],'NHL Model'!$A$6:$B$38,2,FALSE)</f>
        <v>-0.40521943828179341</v>
      </c>
      <c r="J1202">
        <f>($B$1+Table4[[#This Row],[Home Differential]])-Table4[[#This Row],[Away Differential]]</f>
        <v>-0.15879955013660263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0.47598410700117322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-0.6620483089622381</v>
      </c>
      <c r="H1203" t="s">
        <v>19</v>
      </c>
      <c r="I1203">
        <f>VLOOKUP(Table4[[#This Row],[Visitor]],'NHL Model'!$A$6:$B$38,2,FALSE)</f>
        <v>-1.054674343910232</v>
      </c>
      <c r="J1203">
        <f>($B$1+Table4[[#This Row],[Home Differential]])-Table4[[#This Row],[Away Differential]]</f>
        <v>0.47604970188701656</v>
      </c>
      <c r="K1203" t="str">
        <f>IF(Table4[[#This Row],[HomeIce Differential]]&gt;0,Table4[[#This Row],[Home]],Table4[[#This Row],[Visitor]])</f>
        <v>San Jose Sharks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0.5953981512955322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0.23616512594450029</v>
      </c>
      <c r="H1204" t="s">
        <v>14</v>
      </c>
      <c r="I1204">
        <f>VLOOKUP(Table4[[#This Row],[Visitor]],'NHL Model'!$A$6:$B$38,2,FALSE)</f>
        <v>-0.22852375643476561</v>
      </c>
      <c r="J1204">
        <f>($B$1+Table4[[#This Row],[Home Differential]])-Table4[[#This Row],[Away Differential]]</f>
        <v>0.54811254931828868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0.61550828024590754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-0.42180143360631367</v>
      </c>
      <c r="H1205" t="s">
        <v>16</v>
      </c>
      <c r="I1205">
        <f>VLOOKUP(Table4[[#This Row],[Visitor]],'NHL Model'!$A$6:$B$38,2,FALSE)</f>
        <v>-1.2612222633157453</v>
      </c>
      <c r="J1205">
        <f>($B$1+Table4[[#This Row],[Home Differential]])-Table4[[#This Row],[Away Differential]]</f>
        <v>0.92284449664845436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0.6473918938399289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5.8616755922628279E-2</v>
      </c>
      <c r="H1206" t="s">
        <v>35</v>
      </c>
      <c r="I1206">
        <f>VLOOKUP(Table4[[#This Row],[Visitor]],'NHL Model'!$A$6:$B$38,2,FALSE)</f>
        <v>-1.5899576513683618</v>
      </c>
      <c r="J1206">
        <f>($B$1+Table4[[#This Row],[Home Differential]])-Table4[[#This Row],[Away Differential]]</f>
        <v>1.7319980742300127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0.82138822706663461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-0.30740058470151932</v>
      </c>
      <c r="H1207" t="s">
        <v>27</v>
      </c>
      <c r="I1207">
        <f>VLOOKUP(Table4[[#This Row],[Visitor]],'NHL Model'!$A$6:$B$38,2,FALSE)</f>
        <v>-0.46667677612181552</v>
      </c>
      <c r="J1207">
        <f>($B$1+Table4[[#This Row],[Home Differential]])-Table4[[#This Row],[Away Differential]]</f>
        <v>0.24269985835931893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0.54747387792193858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5.8616755922628279E-2</v>
      </c>
      <c r="H1208" t="s">
        <v>16</v>
      </c>
      <c r="I1208">
        <f>VLOOKUP(Table4[[#This Row],[Visitor]],'NHL Model'!$A$6:$B$38,2,FALSE)</f>
        <v>-1.2612222633157453</v>
      </c>
      <c r="J1208">
        <f>($B$1+Table4[[#This Row],[Home Differential]])-Table4[[#This Row],[Away Differential]]</f>
        <v>1.4032626861773962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0.7831331190572266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0.25962865313068506</v>
      </c>
      <c r="H1209" t="s">
        <v>30</v>
      </c>
      <c r="I1209">
        <f>VLOOKUP(Table4[[#This Row],[Visitor]],'NHL Model'!$A$6:$B$38,2,FALSE)</f>
        <v>-0.30740058470151932</v>
      </c>
      <c r="J1209">
        <f>($B$1+Table4[[#This Row],[Home Differential]])-Table4[[#This Row],[Away Differential]]</f>
        <v>0.65045290477122708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0.58407343095140962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-0.9065542839469537</v>
      </c>
      <c r="H1210" t="s">
        <v>40</v>
      </c>
      <c r="I1210">
        <f>VLOOKUP(Table4[[#This Row],[Visitor]],'NHL Model'!$A$6:$B$38,2,FALSE)</f>
        <v>-0.36992241209510063</v>
      </c>
      <c r="J1210">
        <f>($B$1+Table4[[#This Row],[Home Differential]])-Table4[[#This Row],[Away Differential]]</f>
        <v>-0.45320820491283037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0.53350930518712469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0.10032544630879472</v>
      </c>
      <c r="H1211" t="s">
        <v>12</v>
      </c>
      <c r="I1211">
        <f>VLOOKUP(Table4[[#This Row],[Visitor]],'NHL Model'!$A$6:$B$38,2,FALSE)</f>
        <v>1.339787395621115</v>
      </c>
      <c r="J1211">
        <f>($B$1+Table4[[#This Row],[Home Differential]])-Table4[[#This Row],[Away Differential]]</f>
        <v>-1.1560382823732975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0.647897759873862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-1.1577943512279505</v>
      </c>
      <c r="H1212" t="s">
        <v>20</v>
      </c>
      <c r="I1212">
        <f>VLOOKUP(Table4[[#This Row],[Visitor]],'NHL Model'!$A$6:$B$38,2,FALSE)</f>
        <v>-0.42180143360631367</v>
      </c>
      <c r="J1212">
        <f>($B$1+Table4[[#This Row],[Home Differential]])-Table4[[#This Row],[Away Differential]]</f>
        <v>-0.65256925068261418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0.52889387109724306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-0.50197808897650842</v>
      </c>
      <c r="H1213" t="s">
        <v>19</v>
      </c>
      <c r="I1213">
        <f>VLOOKUP(Table4[[#This Row],[Visitor]],'NHL Model'!$A$6:$B$38,2,FALSE)</f>
        <v>-1.054674343910232</v>
      </c>
      <c r="J1213">
        <f>($B$1+Table4[[#This Row],[Home Differential]])-Table4[[#This Row],[Away Differential]]</f>
        <v>0.63611992187274624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0.61402560601197931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2.3143316481494557E-3</v>
      </c>
      <c r="H1214" t="s">
        <v>18</v>
      </c>
      <c r="I1214">
        <f>VLOOKUP(Table4[[#This Row],[Visitor]],'NHL Model'!$A$6:$B$38,2,FALSE)</f>
        <v>-0.65770380103775494</v>
      </c>
      <c r="J1214">
        <f>($B$1+Table4[[#This Row],[Home Differential]])-Table4[[#This Row],[Away Differential]]</f>
        <v>0.74344179962492718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0.6723135252881447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-0.39090512874251965</v>
      </c>
      <c r="H1215" t="s">
        <v>26</v>
      </c>
      <c r="I1215">
        <f>VLOOKUP(Table4[[#This Row],[Visitor]],'NHL Model'!$A$6:$B$38,2,FALSE)</f>
        <v>-1.0708320987334559</v>
      </c>
      <c r="J1215">
        <f>($B$1+Table4[[#This Row],[Home Differential]])-Table4[[#This Row],[Away Differential]]</f>
        <v>0.76335063692995897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0.60806227969818505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-0.53959086519270005</v>
      </c>
      <c r="H1216" t="s">
        <v>34</v>
      </c>
      <c r="I1216">
        <f>VLOOKUP(Table4[[#This Row],[Visitor]],'NHL Model'!$A$6:$B$38,2,FALSE)</f>
        <v>-0.15603426337582751</v>
      </c>
      <c r="J1216">
        <f>($B$1+Table4[[#This Row],[Home Differential]])-Table4[[#This Row],[Away Differential]]</f>
        <v>-0.30013293487784987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0.53492662566372395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-0.22852375643476561</v>
      </c>
      <c r="H1217" t="s">
        <v>11</v>
      </c>
      <c r="I1217">
        <f>VLOOKUP(Table4[[#This Row],[Visitor]],'NHL Model'!$A$6:$B$38,2,FALSE)</f>
        <v>-0.57335522029781161</v>
      </c>
      <c r="J1217">
        <f>($B$1+Table4[[#This Row],[Home Differential]])-Table4[[#This Row],[Away Differential]]</f>
        <v>0.42825513080206873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0.59233175141545369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-0.64744265535741874</v>
      </c>
      <c r="H1218" t="s">
        <v>10</v>
      </c>
      <c r="I1218">
        <f>VLOOKUP(Table4[[#This Row],[Visitor]],'NHL Model'!$A$6:$B$38,2,FALSE)</f>
        <v>-0.43769530535874146</v>
      </c>
      <c r="J1218">
        <f>($B$1+Table4[[#This Row],[Home Differential]])-Table4[[#This Row],[Away Differential]]</f>
        <v>-0.12632368305965458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0.47220487346599632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-0.6620483089622381</v>
      </c>
      <c r="H1219" t="s">
        <v>29</v>
      </c>
      <c r="I1219">
        <f>VLOOKUP(Table4[[#This Row],[Visitor]],'NHL Model'!$A$6:$B$38,2,FALSE)</f>
        <v>-1.4782515386602066</v>
      </c>
      <c r="J1219">
        <f>($B$1+Table4[[#This Row],[Home Differential]])-Table4[[#This Row],[Away Differential]]</f>
        <v>0.89962689663699125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0.64469004965631582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0.23616512594450029</v>
      </c>
      <c r="H1220" t="s">
        <v>21</v>
      </c>
      <c r="I1220">
        <f>VLOOKUP(Table4[[#This Row],[Visitor]],'NHL Model'!$A$6:$B$38,2,FALSE)</f>
        <v>-0.41554817552415113</v>
      </c>
      <c r="J1220">
        <f>($B$1+Table4[[#This Row],[Home Differential]])-Table4[[#This Row],[Away Differential]]</f>
        <v>0.73513696840767417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0.65697684262243239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-1.1317546087271064</v>
      </c>
      <c r="H1221" t="s">
        <v>55</v>
      </c>
      <c r="I1221">
        <f>VLOOKUP(Table4[[#This Row],[Visitor]],'NHL Model'!$A$6:$B$38,2,FALSE)</f>
        <v>-0.40521943828179341</v>
      </c>
      <c r="J1221">
        <f>($B$1+Table4[[#This Row],[Home Differential]])-Table4[[#This Row],[Away Differential]]</f>
        <v>-0.64311150350629032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0.53483922000143214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0.15604658591703846</v>
      </c>
      <c r="H1222" t="s">
        <v>23</v>
      </c>
      <c r="I1222">
        <f>VLOOKUP(Table4[[#This Row],[Visitor]],'NHL Model'!$A$6:$B$38,2,FALSE)</f>
        <v>-0.90742746858300449</v>
      </c>
      <c r="J1222">
        <f>($B$1+Table4[[#This Row],[Home Differential]])-Table4[[#This Row],[Away Differential]]</f>
        <v>1.1468977214390657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0.69950281993782215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1.339787395621115</v>
      </c>
      <c r="H1223" t="s">
        <v>35</v>
      </c>
      <c r="I1223">
        <f>VLOOKUP(Table4[[#This Row],[Visitor]],'NHL Model'!$A$6:$B$38,2,FALSE)</f>
        <v>-1.5899576513683618</v>
      </c>
      <c r="J1223">
        <f>($B$1+Table4[[#This Row],[Home Differential]])-Table4[[#This Row],[Away Differential]]</f>
        <v>3.0131687139284997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0.99075780772328514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-1.0708320987334559</v>
      </c>
      <c r="H1224" t="s">
        <v>34</v>
      </c>
      <c r="I1224">
        <f>VLOOKUP(Table4[[#This Row],[Visitor]],'NHL Model'!$A$6:$B$38,2,FALSE)</f>
        <v>-0.15603426337582751</v>
      </c>
      <c r="J1224">
        <f>($B$1+Table4[[#This Row],[Home Differential]])-Table4[[#This Row],[Away Differential]]</f>
        <v>-0.83137416841860567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0.59926000700463933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-0.65770380103775494</v>
      </c>
      <c r="H1225" t="s">
        <v>24</v>
      </c>
      <c r="I1225">
        <f>VLOOKUP(Table4[[#This Row],[Visitor]],'NHL Model'!$A$6:$B$38,2,FALSE)</f>
        <v>2.3143316481494557E-3</v>
      </c>
      <c r="J1225">
        <f>($B$1+Table4[[#This Row],[Home Differential]])-Table4[[#This Row],[Away Differential]]</f>
        <v>-0.57659446574688167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0.54786782850597149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-0.39090512874251965</v>
      </c>
      <c r="H1226" t="s">
        <v>22</v>
      </c>
      <c r="I1226">
        <f>VLOOKUP(Table4[[#This Row],[Visitor]],'NHL Model'!$A$6:$B$38,2,FALSE)</f>
        <v>0.15604658591703846</v>
      </c>
      <c r="J1226">
        <f>($B$1+Table4[[#This Row],[Home Differential]])-Table4[[#This Row],[Away Differential]]</f>
        <v>-0.46352804772053535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0.53471023065969869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-0.53959086519270005</v>
      </c>
      <c r="H1227" t="s">
        <v>25</v>
      </c>
      <c r="I1227">
        <f>VLOOKUP(Table4[[#This Row],[Visitor]],'NHL Model'!$A$6:$B$38,2,FALSE)</f>
        <v>0.25962865313068506</v>
      </c>
      <c r="J1227">
        <f>($B$1+Table4[[#This Row],[Home Differential]])-Table4[[#This Row],[Away Differential]]</f>
        <v>-0.71579585138436241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0.61341801727858147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-0.46667677612181552</v>
      </c>
      <c r="H1228" t="s">
        <v>21</v>
      </c>
      <c r="I1228">
        <f>VLOOKUP(Table4[[#This Row],[Visitor]],'NHL Model'!$A$6:$B$38,2,FALSE)</f>
        <v>-0.41554817552415113</v>
      </c>
      <c r="J1228">
        <f>($B$1+Table4[[#This Row],[Home Differential]])-Table4[[#This Row],[Away Differential]]</f>
        <v>3.2295066341358369E-2</v>
      </c>
      <c r="K1228" t="str">
        <f>IF(Table4[[#This Row],[HomeIce Differential]]&gt;0,Table4[[#This Row],[Home]],Table4[[#This Row],[Visitor]])</f>
        <v>Philadelphia Flyers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0.5751867650881537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-0.22852375643476561</v>
      </c>
      <c r="H1229" t="s">
        <v>11</v>
      </c>
      <c r="I1229">
        <f>VLOOKUP(Table4[[#This Row],[Visitor]],'NHL Model'!$A$6:$B$38,2,FALSE)</f>
        <v>-0.57335522029781161</v>
      </c>
      <c r="J1229">
        <f>($B$1+Table4[[#This Row],[Home Differential]])-Table4[[#This Row],[Away Differential]]</f>
        <v>0.42825513080206873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0.59233175141545369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-0.90742746858300449</v>
      </c>
      <c r="H1230" t="s">
        <v>37</v>
      </c>
      <c r="I1230">
        <f>VLOOKUP(Table4[[#This Row],[Visitor]],'NHL Model'!$A$6:$B$38,2,FALSE)</f>
        <v>0.23616512594450029</v>
      </c>
      <c r="J1230">
        <f>($B$1+Table4[[#This Row],[Home Differential]])-Table4[[#This Row],[Away Differential]]</f>
        <v>-1.060168927588482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0.66433067819367131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-0.50197808897650842</v>
      </c>
      <c r="H1231" t="s">
        <v>29</v>
      </c>
      <c r="I1231">
        <f>VLOOKUP(Table4[[#This Row],[Visitor]],'NHL Model'!$A$6:$B$38,2,FALSE)</f>
        <v>-1.4782515386602066</v>
      </c>
      <c r="J1231">
        <f>($B$1+Table4[[#This Row],[Home Differential]])-Table4[[#This Row],[Away Differential]]</f>
        <v>1.0596971166227209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0.66331750437276293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-0.6620483089622381</v>
      </c>
      <c r="H1232" t="s">
        <v>10</v>
      </c>
      <c r="I1232">
        <f>VLOOKUP(Table4[[#This Row],[Visitor]],'NHL Model'!$A$6:$B$38,2,FALSE)</f>
        <v>-0.43769530535874146</v>
      </c>
      <c r="J1232">
        <f>($B$1+Table4[[#This Row],[Home Differential]])-Table4[[#This Row],[Away Differential]]</f>
        <v>-0.14092933666447394</v>
      </c>
      <c r="K1232" t="str">
        <f>IF(Table4[[#This Row],[HomeIce Differential]]&gt;0,Table4[[#This Row],[Home]],Table4[[#This Row],[Visitor]])</f>
        <v>Chicago Blackhawks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0.47640002017346172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-0.36992241209510063</v>
      </c>
      <c r="H1233" t="s">
        <v>32</v>
      </c>
      <c r="I1233">
        <f>VLOOKUP(Table4[[#This Row],[Visitor]],'NHL Model'!$A$6:$B$38,2,FALSE)</f>
        <v>-0.64744265535741874</v>
      </c>
      <c r="J1233">
        <f>($B$1+Table4[[#This Row],[Home Differential]])-Table4[[#This Row],[Away Differential]]</f>
        <v>0.36094391020134087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0.5844987096806411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5.8616755922628279E-2</v>
      </c>
      <c r="H1234" t="s">
        <v>29</v>
      </c>
      <c r="I1234">
        <f>VLOOKUP(Table4[[#This Row],[Visitor]],'NHL Model'!$A$6:$B$38,2,FALSE)</f>
        <v>-1.4782515386602066</v>
      </c>
      <c r="J1234">
        <f>($B$1+Table4[[#This Row],[Home Differential]])-Table4[[#This Row],[Away Differential]]</f>
        <v>1.6202919615218576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0.80838892865743017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0.25962865313068506</v>
      </c>
      <c r="H1235" t="s">
        <v>21</v>
      </c>
      <c r="I1235">
        <f>VLOOKUP(Table4[[#This Row],[Visitor]],'NHL Model'!$A$6:$B$38,2,FALSE)</f>
        <v>-0.41554817552415113</v>
      </c>
      <c r="J1235">
        <f>($B$1+Table4[[#This Row],[Home Differential]])-Table4[[#This Row],[Away Differential]]</f>
        <v>0.75860049559385889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0.66789656844555256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0.10032544630879472</v>
      </c>
      <c r="H1236" t="s">
        <v>16</v>
      </c>
      <c r="I1236">
        <f>VLOOKUP(Table4[[#This Row],[Visitor]],'NHL Model'!$A$6:$B$38,2,FALSE)</f>
        <v>-1.2612222633157453</v>
      </c>
      <c r="J1236">
        <f>($B$1+Table4[[#This Row],[Home Differential]])-Table4[[#This Row],[Away Differential]]</f>
        <v>1.4449713765635628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0.72725750160692526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-1.0708320987334559</v>
      </c>
      <c r="H1237" t="s">
        <v>28</v>
      </c>
      <c r="I1237">
        <f>VLOOKUP(Table4[[#This Row],[Visitor]],'NHL Model'!$A$6:$B$38,2,FALSE)</f>
        <v>-0.9065542839469537</v>
      </c>
      <c r="J1237">
        <f>($B$1+Table4[[#This Row],[Home Differential]])-Table4[[#This Row],[Away Differential]]</f>
        <v>-8.0854147847479463E-2</v>
      </c>
      <c r="K1237" t="str">
        <f>IF(Table4[[#This Row],[HomeIce Differential]]&gt;0,Table4[[#This Row],[Home]],Table4[[#This Row],[Visitor]])</f>
        <v>Columbus Blue Jackets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0.46940903921916344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-0.15603426337582751</v>
      </c>
      <c r="H1238" t="s">
        <v>32</v>
      </c>
      <c r="I1238">
        <f>VLOOKUP(Table4[[#This Row],[Visitor]],'NHL Model'!$A$6:$B$38,2,FALSE)</f>
        <v>-0.64744265535741874</v>
      </c>
      <c r="J1238">
        <f>($B$1+Table4[[#This Row],[Home Differential]])-Table4[[#This Row],[Away Differential]]</f>
        <v>0.57483205892061395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0.62091012603674944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-0.65770380103775494</v>
      </c>
      <c r="H1239" t="s">
        <v>11</v>
      </c>
      <c r="I1239">
        <f>VLOOKUP(Table4[[#This Row],[Visitor]],'NHL Model'!$A$6:$B$38,2,FALSE)</f>
        <v>-0.57335522029781161</v>
      </c>
      <c r="J1239">
        <f>($B$1+Table4[[#This Row],[Home Differential]])-Table4[[#This Row],[Away Differential]]</f>
        <v>-9.249138009206348E-4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0.46010763269985389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2.3143316481494557E-3</v>
      </c>
      <c r="H1240" t="s">
        <v>27</v>
      </c>
      <c r="I1240">
        <f>VLOOKUP(Table4[[#This Row],[Visitor]],'NHL Model'!$A$6:$B$38,2,FALSE)</f>
        <v>-0.46667677612181552</v>
      </c>
      <c r="J1240">
        <f>($B$1+Table4[[#This Row],[Home Differential]])-Table4[[#This Row],[Away Differential]]</f>
        <v>0.5524147747089877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0.70714193737735653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-0.53959086519270005</v>
      </c>
      <c r="H1241" t="s">
        <v>37</v>
      </c>
      <c r="I1241">
        <f>VLOOKUP(Table4[[#This Row],[Visitor]],'NHL Model'!$A$6:$B$38,2,FALSE)</f>
        <v>0.23616512594450029</v>
      </c>
      <c r="J1241">
        <f>($B$1+Table4[[#This Row],[Home Differential]])-Table4[[#This Row],[Away Differential]]</f>
        <v>-0.69233232419817758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0.61902861095562189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-1.5899576513683618</v>
      </c>
      <c r="H1242" t="s">
        <v>12</v>
      </c>
      <c r="I1242">
        <f>VLOOKUP(Table4[[#This Row],[Visitor]],'NHL Model'!$A$6:$B$38,2,FALSE)</f>
        <v>1.339787395621115</v>
      </c>
      <c r="J1242">
        <f>($B$1+Table4[[#This Row],[Home Differential]])-Table4[[#This Row],[Away Differential]]</f>
        <v>-2.8463213800504539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0.86385106783924992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-0.40521943828179341</v>
      </c>
      <c r="H1243" t="s">
        <v>17</v>
      </c>
      <c r="I1243">
        <f>VLOOKUP(Table4[[#This Row],[Visitor]],'NHL Model'!$A$6:$B$38,2,FALSE)</f>
        <v>-1.1577943512279505</v>
      </c>
      <c r="J1243">
        <f>($B$1+Table4[[#This Row],[Home Differential]])-Table4[[#This Row],[Away Differential]]</f>
        <v>0.83599857988517978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0.67771676680315873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-1.1317546087271064</v>
      </c>
      <c r="H1244" t="s">
        <v>20</v>
      </c>
      <c r="I1244">
        <f>VLOOKUP(Table4[[#This Row],[Visitor]],'NHL Model'!$A$6:$B$38,2,FALSE)</f>
        <v>-0.42180143360631367</v>
      </c>
      <c r="J1244">
        <f>($B$1+Table4[[#This Row],[Home Differential]])-Table4[[#This Row],[Away Differential]]</f>
        <v>-0.62652950818177011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0.53290956458493199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-0.39090512874251965</v>
      </c>
      <c r="H1245" t="s">
        <v>23</v>
      </c>
      <c r="I1245">
        <f>VLOOKUP(Table4[[#This Row],[Visitor]],'NHL Model'!$A$6:$B$38,2,FALSE)</f>
        <v>-0.90742746858300449</v>
      </c>
      <c r="J1245">
        <f>($B$1+Table4[[#This Row],[Home Differential]])-Table4[[#This Row],[Away Differential]]</f>
        <v>0.5999460067795076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0.60981602870661933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-0.6620483089622381</v>
      </c>
      <c r="H1246" t="s">
        <v>17</v>
      </c>
      <c r="I1246">
        <f>VLOOKUP(Table4[[#This Row],[Visitor]],'NHL Model'!$A$6:$B$38,2,FALSE)</f>
        <v>-1.1577943512279505</v>
      </c>
      <c r="J1246">
        <f>($B$1+Table4[[#This Row],[Home Differential]])-Table4[[#This Row],[Away Differential]]</f>
        <v>0.57916970920473509</v>
      </c>
      <c r="K1246" t="str">
        <f>IF(Table4[[#This Row],[HomeIce Differential]]&gt;0,Table4[[#This Row],[Home]],Table4[[#This Row],[Visitor]])</f>
        <v>San Jose Sharks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0.60739828015673913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-1.054674343910232</v>
      </c>
      <c r="H1247" t="s">
        <v>22</v>
      </c>
      <c r="I1247">
        <f>VLOOKUP(Table4[[#This Row],[Visitor]],'NHL Model'!$A$6:$B$38,2,FALSE)</f>
        <v>0.15604658591703846</v>
      </c>
      <c r="J1247">
        <f>($B$1+Table4[[#This Row],[Home Differential]])-Table4[[#This Row],[Away Differential]]</f>
        <v>-1.1272972628882476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0.6119533993066244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5.8616755922628279E-2</v>
      </c>
      <c r="H1248" t="s">
        <v>33</v>
      </c>
      <c r="I1248">
        <f>VLOOKUP(Table4[[#This Row],[Visitor]],'NHL Model'!$A$6:$B$38,2,FALSE)</f>
        <v>-0.6620483089622381</v>
      </c>
      <c r="J1248">
        <f>($B$1+Table4[[#This Row],[Home Differential]])-Table4[[#This Row],[Away Differential]]</f>
        <v>0.80408873182388907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0.71340693449279269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-0.90742746858300449</v>
      </c>
      <c r="H1249" t="s">
        <v>28</v>
      </c>
      <c r="I1249">
        <f>VLOOKUP(Table4[[#This Row],[Visitor]],'NHL Model'!$A$6:$B$38,2,FALSE)</f>
        <v>-0.9065542839469537</v>
      </c>
      <c r="J1249">
        <f>($B$1+Table4[[#This Row],[Home Differential]])-Table4[[#This Row],[Away Differential]]</f>
        <v>8.2550482302971906E-2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0.54960644254163316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-0.43769530535874146</v>
      </c>
      <c r="H1250" t="s">
        <v>25</v>
      </c>
      <c r="I1250">
        <f>VLOOKUP(Table4[[#This Row],[Visitor]],'NHL Model'!$A$6:$B$38,2,FALSE)</f>
        <v>0.25962865313068506</v>
      </c>
      <c r="J1250">
        <f>($B$1+Table4[[#This Row],[Home Differential]])-Table4[[#This Row],[Away Differential]]</f>
        <v>-0.61390029155040382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0.60406306518776609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1.339787395621115</v>
      </c>
      <c r="H1251" t="s">
        <v>16</v>
      </c>
      <c r="I1251">
        <f>VLOOKUP(Table4[[#This Row],[Visitor]],'NHL Model'!$A$6:$B$38,2,FALSE)</f>
        <v>-1.2612222633157453</v>
      </c>
      <c r="J1251">
        <f>($B$1+Table4[[#This Row],[Home Differential]])-Table4[[#This Row],[Away Differential]]</f>
        <v>2.684433325875883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0.95250269971387702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0.10032544630879472</v>
      </c>
      <c r="H1252" t="s">
        <v>34</v>
      </c>
      <c r="I1252">
        <f>VLOOKUP(Table4[[#This Row],[Visitor]],'NHL Model'!$A$6:$B$38,2,FALSE)</f>
        <v>-0.15603426337582751</v>
      </c>
      <c r="J1252">
        <f>($B$1+Table4[[#This Row],[Home Differential]])-Table4[[#This Row],[Away Differential]]</f>
        <v>0.33978337662364499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0.55631929167293859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-1.0708320987334559</v>
      </c>
      <c r="H1253" t="s">
        <v>27</v>
      </c>
      <c r="I1253">
        <f>VLOOKUP(Table4[[#This Row],[Visitor]],'NHL Model'!$A$6:$B$38,2,FALSE)</f>
        <v>-0.46667677612181552</v>
      </c>
      <c r="J1253">
        <f>($B$1+Table4[[#This Row],[Home Differential]])-Table4[[#This Row],[Away Differential]]</f>
        <v>-0.52073165567261759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0.54136704425588045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-0.50197808897650842</v>
      </c>
      <c r="H1254" t="s">
        <v>38</v>
      </c>
      <c r="I1254">
        <f>VLOOKUP(Table4[[#This Row],[Visitor]],'NHL Model'!$A$6:$B$38,2,FALSE)</f>
        <v>-1.1317546087271064</v>
      </c>
      <c r="J1254">
        <f>($B$1+Table4[[#This Row],[Home Differential]])-Table4[[#This Row],[Away Differential]]</f>
        <v>0.71320018668962071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0.60222624573168826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-0.65770380103775494</v>
      </c>
      <c r="H1255" t="s">
        <v>37</v>
      </c>
      <c r="I1255">
        <f>VLOOKUP(Table4[[#This Row],[Visitor]],'NHL Model'!$A$6:$B$38,2,FALSE)</f>
        <v>0.23616512594450029</v>
      </c>
      <c r="J1255">
        <f>($B$1+Table4[[#This Row],[Home Differential]])-Table4[[#This Row],[Away Differential]]</f>
        <v>-0.81044526004323258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0.63527020517602362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2.3143316481494557E-3</v>
      </c>
      <c r="H1256" t="s">
        <v>14</v>
      </c>
      <c r="I1256">
        <f>VLOOKUP(Table4[[#This Row],[Visitor]],'NHL Model'!$A$6:$B$38,2,FALSE)</f>
        <v>-0.22852375643476561</v>
      </c>
      <c r="J1256">
        <f>($B$1+Table4[[#This Row],[Home Differential]])-Table4[[#This Row],[Away Differential]]</f>
        <v>0.31426175502193776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0.6794279466662726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-0.30740058470151932</v>
      </c>
      <c r="H1257" t="s">
        <v>19</v>
      </c>
      <c r="I1257">
        <f>VLOOKUP(Table4[[#This Row],[Visitor]],'NHL Model'!$A$6:$B$38,2,FALSE)</f>
        <v>-1.054674343910232</v>
      </c>
      <c r="J1257">
        <f>($B$1+Table4[[#This Row],[Home Differential]])-Table4[[#This Row],[Away Differential]]</f>
        <v>0.83069742614773534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0.6366686913406856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-0.53959086519270005</v>
      </c>
      <c r="H1258" t="s">
        <v>11</v>
      </c>
      <c r="I1258">
        <f>VLOOKUP(Table4[[#This Row],[Visitor]],'NHL Model'!$A$6:$B$38,2,FALSE)</f>
        <v>-0.57335522029781161</v>
      </c>
      <c r="J1258">
        <f>($B$1+Table4[[#This Row],[Home Differential]])-Table4[[#This Row],[Away Differential]]</f>
        <v>0.11718802204413425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0.5561327102528868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-0.64744265535741874</v>
      </c>
      <c r="H1259" t="s">
        <v>20</v>
      </c>
      <c r="I1259">
        <f>VLOOKUP(Table4[[#This Row],[Visitor]],'NHL Model'!$A$6:$B$38,2,FALSE)</f>
        <v>-0.42180143360631367</v>
      </c>
      <c r="J1259">
        <f>($B$1+Table4[[#This Row],[Home Differential]])-Table4[[#This Row],[Away Differential]]</f>
        <v>-0.14221755481208237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0.47405445158467302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-1.5899576513683618</v>
      </c>
      <c r="H1260" t="s">
        <v>40</v>
      </c>
      <c r="I1260">
        <f>VLOOKUP(Table4[[#This Row],[Visitor]],'NHL Model'!$A$6:$B$38,2,FALSE)</f>
        <v>-0.36992241209510063</v>
      </c>
      <c r="J1260">
        <f>($B$1+Table4[[#This Row],[Home Differential]])-Table4[[#This Row],[Away Differential]]</f>
        <v>-1.1366115723342385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0.61303731033914277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-0.40521943828179341</v>
      </c>
      <c r="H1261" t="s">
        <v>29</v>
      </c>
      <c r="I1261">
        <f>VLOOKUP(Table4[[#This Row],[Visitor]],'NHL Model'!$A$6:$B$38,2,FALSE)</f>
        <v>-1.4782515386602066</v>
      </c>
      <c r="J1261">
        <f>($B$1+Table4[[#This Row],[Home Differential]])-Table4[[#This Row],[Away Differential]]</f>
        <v>1.156455767317436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0.71500853630273542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-0.41554817552415113</v>
      </c>
      <c r="H1262" t="s">
        <v>37</v>
      </c>
      <c r="I1262">
        <f>VLOOKUP(Table4[[#This Row],[Visitor]],'NHL Model'!$A$6:$B$38,2,FALSE)</f>
        <v>0.23616512594450029</v>
      </c>
      <c r="J1262">
        <f>($B$1+Table4[[#This Row],[Home Differential]])-Table4[[#This Row],[Away Differential]]</f>
        <v>-0.56828963452962866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0.57451204847866089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-0.43769530535874146</v>
      </c>
      <c r="H1263" t="s">
        <v>35</v>
      </c>
      <c r="I1263">
        <f>VLOOKUP(Table4[[#This Row],[Visitor]],'NHL Model'!$A$6:$B$38,2,FALSE)</f>
        <v>-1.5899576513683618</v>
      </c>
      <c r="J1263">
        <f>($B$1+Table4[[#This Row],[Home Differential]])-Table4[[#This Row],[Away Differential]]</f>
        <v>1.2356860129486429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0.68379742373066033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1.339787395621115</v>
      </c>
      <c r="H1264" t="s">
        <v>20</v>
      </c>
      <c r="I1264">
        <f>VLOOKUP(Table4[[#This Row],[Visitor]],'NHL Model'!$A$6:$B$38,2,FALSE)</f>
        <v>-0.42180143360631367</v>
      </c>
      <c r="J1264">
        <f>($B$1+Table4[[#This Row],[Home Differential]])-Table4[[#This Row],[Away Differential]]</f>
        <v>1.8450124961664514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0.85481886136562646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0.10032544630879472</v>
      </c>
      <c r="H1265" t="s">
        <v>15</v>
      </c>
      <c r="I1265">
        <f>VLOOKUP(Table4[[#This Row],[Visitor]],'NHL Model'!$A$6:$B$38,2,FALSE)</f>
        <v>-0.39090512874251965</v>
      </c>
      <c r="J1265">
        <f>($B$1+Table4[[#This Row],[Home Differential]])-Table4[[#This Row],[Away Differential]]</f>
        <v>0.5746542419903371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0.52588920633213831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-1.0708320987334559</v>
      </c>
      <c r="H1266" t="s">
        <v>24</v>
      </c>
      <c r="I1266">
        <f>VLOOKUP(Table4[[#This Row],[Visitor]],'NHL Model'!$A$6:$B$38,2,FALSE)</f>
        <v>2.3143316481494557E-3</v>
      </c>
      <c r="J1266">
        <f>($B$1+Table4[[#This Row],[Home Differential]])-Table4[[#This Row],[Away Differential]]</f>
        <v>-0.98972276344258259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0.59594378328441577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-0.50197808897650842</v>
      </c>
      <c r="H1267" t="s">
        <v>17</v>
      </c>
      <c r="I1267">
        <f>VLOOKUP(Table4[[#This Row],[Visitor]],'NHL Model'!$A$6:$B$38,2,FALSE)</f>
        <v>-1.1577943512279505</v>
      </c>
      <c r="J1267">
        <f>($B$1+Table4[[#This Row],[Home Differential]])-Table4[[#This Row],[Away Differential]]</f>
        <v>0.73923992919046477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0.62602573487318625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-0.65770380103775494</v>
      </c>
      <c r="H1268" t="s">
        <v>28</v>
      </c>
      <c r="I1268">
        <f>VLOOKUP(Table4[[#This Row],[Visitor]],'NHL Model'!$A$6:$B$38,2,FALSE)</f>
        <v>-0.9065542839469537</v>
      </c>
      <c r="J1268">
        <f>($B$1+Table4[[#This Row],[Home Differential]])-Table4[[#This Row],[Away Differential]]</f>
        <v>0.33227414984822146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0.57866691555928085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-1.4782515386602066</v>
      </c>
      <c r="H1269" t="s">
        <v>34</v>
      </c>
      <c r="I1269">
        <f>VLOOKUP(Table4[[#This Row],[Visitor]],'NHL Model'!$A$6:$B$38,2,FALSE)</f>
        <v>-0.15603426337582751</v>
      </c>
      <c r="J1269">
        <f>($B$1+Table4[[#This Row],[Home Differential]])-Table4[[#This Row],[Away Differential]]</f>
        <v>-1.2387936083453563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0.64667161903661119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-0.30740058470151932</v>
      </c>
      <c r="H1270" t="s">
        <v>36</v>
      </c>
      <c r="I1270">
        <f>VLOOKUP(Table4[[#This Row],[Visitor]],'NHL Model'!$A$6:$B$38,2,FALSE)</f>
        <v>-0.53959086519270005</v>
      </c>
      <c r="J1270">
        <f>($B$1+Table4[[#This Row],[Home Differential]])-Table4[[#This Row],[Away Differential]]</f>
        <v>0.31561394743020343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0.57589866605509465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-0.22852375643476561</v>
      </c>
      <c r="H1271" t="s">
        <v>22</v>
      </c>
      <c r="I1271">
        <f>VLOOKUP(Table4[[#This Row],[Visitor]],'NHL Model'!$A$6:$B$38,2,FALSE)</f>
        <v>0.15604658591703846</v>
      </c>
      <c r="J1271">
        <f>($B$1+Table4[[#This Row],[Home Differential]])-Table4[[#This Row],[Away Differential]]</f>
        <v>-0.30114667541278134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0.513305464742011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-0.64744265535741874</v>
      </c>
      <c r="H1272" t="s">
        <v>16</v>
      </c>
      <c r="I1272">
        <f>VLOOKUP(Table4[[#This Row],[Visitor]],'NHL Model'!$A$6:$B$38,2,FALSE)</f>
        <v>-1.2612222633157453</v>
      </c>
      <c r="J1272">
        <f>($B$1+Table4[[#This Row],[Home Differential]])-Table4[[#This Row],[Away Differential]]</f>
        <v>0.69720327489734923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0.6236293867635776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-0.6620483089622381</v>
      </c>
      <c r="H1273" t="s">
        <v>38</v>
      </c>
      <c r="I1273">
        <f>VLOOKUP(Table4[[#This Row],[Visitor]],'NHL Model'!$A$6:$B$38,2,FALSE)</f>
        <v>-1.1317546087271064</v>
      </c>
      <c r="J1273">
        <f>($B$1+Table4[[#This Row],[Home Differential]])-Table4[[#This Row],[Away Differential]]</f>
        <v>0.55312996670389103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0.58359879101524115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-1.054674343910232</v>
      </c>
      <c r="H1274" t="s">
        <v>11</v>
      </c>
      <c r="I1274">
        <f>VLOOKUP(Table4[[#This Row],[Visitor]],'NHL Model'!$A$6:$B$38,2,FALSE)</f>
        <v>-0.57335522029781161</v>
      </c>
      <c r="J1274">
        <f>($B$1+Table4[[#This Row],[Home Differential]])-Table4[[#This Row],[Away Differential]]</f>
        <v>-0.39789545667339765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0.50630330114948641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-0.40521943828179341</v>
      </c>
      <c r="H1275" t="s">
        <v>25</v>
      </c>
      <c r="I1275">
        <f>VLOOKUP(Table4[[#This Row],[Visitor]],'NHL Model'!$A$6:$B$38,2,FALSE)</f>
        <v>0.25962865313068506</v>
      </c>
      <c r="J1275">
        <f>($B$1+Table4[[#This Row],[Home Differential]])-Table4[[#This Row],[Away Differential]]</f>
        <v>-0.58142442447345577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0.55928077427657663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-0.36992241209510063</v>
      </c>
      <c r="H1276" t="s">
        <v>27</v>
      </c>
      <c r="I1276">
        <f>VLOOKUP(Table4[[#This Row],[Visitor]],'NHL Model'!$A$6:$B$38,2,FALSE)</f>
        <v>-0.46667677612181552</v>
      </c>
      <c r="J1276">
        <f>($B$1+Table4[[#This Row],[Home Differential]])-Table4[[#This Row],[Away Differential]]</f>
        <v>0.18017803096573765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0.54270654156854692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5.8616755922628279E-2</v>
      </c>
      <c r="H1277" t="s">
        <v>38</v>
      </c>
      <c r="I1277">
        <f>VLOOKUP(Table4[[#This Row],[Visitor]],'NHL Model'!$A$6:$B$38,2,FALSE)</f>
        <v>-1.1317546087271064</v>
      </c>
      <c r="J1277">
        <f>($B$1+Table4[[#This Row],[Home Differential]])-Table4[[#This Row],[Away Differential]]</f>
        <v>1.2737950315887574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0.74823219004178454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-0.9065542839469537</v>
      </c>
      <c r="H1278" t="s">
        <v>21</v>
      </c>
      <c r="I1278">
        <f>VLOOKUP(Table4[[#This Row],[Visitor]],'NHL Model'!$A$6:$B$38,2,FALSE)</f>
        <v>-0.41554817552415113</v>
      </c>
      <c r="J1278">
        <f>($B$1+Table4[[#This Row],[Home Differential]])-Table4[[#This Row],[Away Differential]]</f>
        <v>-0.40758244148377987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0.50826007369546156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-1.2612222633157453</v>
      </c>
      <c r="H1279" t="s">
        <v>55</v>
      </c>
      <c r="I1279">
        <f>VLOOKUP(Table4[[#This Row],[Visitor]],'NHL Model'!$A$6:$B$38,2,FALSE)</f>
        <v>-0.40521943828179341</v>
      </c>
      <c r="J1279">
        <f>($B$1+Table4[[#This Row],[Home Differential]])-Table4[[#This Row],[Away Differential]]</f>
        <v>-0.77257915809492916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0.54990543827307248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2.3143316481494557E-3</v>
      </c>
      <c r="H1280" t="s">
        <v>36</v>
      </c>
      <c r="I1280">
        <f>VLOOKUP(Table4[[#This Row],[Visitor]],'NHL Model'!$A$6:$B$38,2,FALSE)</f>
        <v>-0.53959086519270005</v>
      </c>
      <c r="J1280">
        <f>($B$1+Table4[[#This Row],[Home Differential]])-Table4[[#This Row],[Away Differential]]</f>
        <v>0.62532886377987218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0.73378679412423897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-0.30740058470151932</v>
      </c>
      <c r="H1281" t="s">
        <v>18</v>
      </c>
      <c r="I1281">
        <f>VLOOKUP(Table4[[#This Row],[Visitor]],'NHL Model'!$A$6:$B$38,2,FALSE)</f>
        <v>-0.65770380103775494</v>
      </c>
      <c r="J1281">
        <f>($B$1+Table4[[#This Row],[Home Differential]])-Table4[[#This Row],[Away Differential]]</f>
        <v>0.43372688327525832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0.50951475395751367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0.15604658591703846</v>
      </c>
      <c r="H1282" t="s">
        <v>14</v>
      </c>
      <c r="I1282">
        <f>VLOOKUP(Table4[[#This Row],[Visitor]],'NHL Model'!$A$6:$B$38,2,FALSE)</f>
        <v>-0.22852375643476561</v>
      </c>
      <c r="J1282">
        <f>($B$1+Table4[[#This Row],[Home Differential]])-Table4[[#This Row],[Away Differential]]</f>
        <v>0.4679940092908268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0.59991525161469561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-0.43769530535874146</v>
      </c>
      <c r="H1283" t="s">
        <v>23</v>
      </c>
      <c r="I1283">
        <f>VLOOKUP(Table4[[#This Row],[Visitor]],'NHL Model'!$A$6:$B$38,2,FALSE)</f>
        <v>-0.90742746858300449</v>
      </c>
      <c r="J1283">
        <f>($B$1+Table4[[#This Row],[Home Differential]])-Table4[[#This Row],[Away Differential]]</f>
        <v>0.55315583016328573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0.60437103152868743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-1.1577943512279505</v>
      </c>
      <c r="H1284" t="s">
        <v>12</v>
      </c>
      <c r="I1284">
        <f>VLOOKUP(Table4[[#This Row],[Visitor]],'NHL Model'!$A$6:$B$38,2,FALSE)</f>
        <v>1.339787395621115</v>
      </c>
      <c r="J1284">
        <f>($B$1+Table4[[#This Row],[Home Differential]])-Table4[[#This Row],[Away Differential]]</f>
        <v>-2.4141580799100426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0.80648427607808704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-0.57335522029781161</v>
      </c>
      <c r="H1285" t="s">
        <v>15</v>
      </c>
      <c r="I1285">
        <f>VLOOKUP(Table4[[#This Row],[Visitor]],'NHL Model'!$A$6:$B$38,2,FALSE)</f>
        <v>-0.39090512874251965</v>
      </c>
      <c r="J1285">
        <f>($B$1+Table4[[#This Row],[Home Differential]])-Table4[[#This Row],[Away Differential]]</f>
        <v>-9.902642461626926E-2</v>
      </c>
      <c r="K1285" t="str">
        <f>IF(Table4[[#This Row],[HomeIce Differential]]&gt;0,Table4[[#This Row],[Home]],Table4[[#This Row],[Visitor]])</f>
        <v>New York Rangers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0.55762304729422463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-1.4782515386602066</v>
      </c>
      <c r="H1286" t="s">
        <v>33</v>
      </c>
      <c r="I1286">
        <f>VLOOKUP(Table4[[#This Row],[Visitor]],'NHL Model'!$A$6:$B$38,2,FALSE)</f>
        <v>-0.6620483089622381</v>
      </c>
      <c r="J1286">
        <f>($B$1+Table4[[#This Row],[Home Differential]])-Table4[[#This Row],[Away Differential]]</f>
        <v>-0.73277956275894585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0.54527393867295926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-0.46667677612181552</v>
      </c>
      <c r="H1287" t="s">
        <v>25</v>
      </c>
      <c r="I1287">
        <f>VLOOKUP(Table4[[#This Row],[Visitor]],'NHL Model'!$A$6:$B$38,2,FALSE)</f>
        <v>0.25962865313068506</v>
      </c>
      <c r="J1287">
        <f>($B$1+Table4[[#This Row],[Home Differential]])-Table4[[#This Row],[Away Differential]]</f>
        <v>-0.64288176231347782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0.57481248489938752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-0.64744265535741874</v>
      </c>
      <c r="H1288" t="s">
        <v>13</v>
      </c>
      <c r="I1288">
        <f>VLOOKUP(Table4[[#This Row],[Visitor]],'NHL Model'!$A$6:$B$38,2,FALSE)</f>
        <v>-0.50197808897650842</v>
      </c>
      <c r="J1288">
        <f>($B$1+Table4[[#This Row],[Home Differential]])-Table4[[#This Row],[Away Differential]]</f>
        <v>-6.204089944188762E-2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0.53102925553116709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-1.5899576513683618</v>
      </c>
      <c r="H1289" t="s">
        <v>34</v>
      </c>
      <c r="I1289">
        <f>VLOOKUP(Table4[[#This Row],[Visitor]],'NHL Model'!$A$6:$B$38,2,FALSE)</f>
        <v>-0.15603426337582751</v>
      </c>
      <c r="J1289">
        <f>($B$1+Table4[[#This Row],[Home Differential]])-Table4[[#This Row],[Away Differential]]</f>
        <v>-1.3504997210535115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0.65967091744581563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0.23616512594450029</v>
      </c>
      <c r="H1290" t="s">
        <v>26</v>
      </c>
      <c r="I1290">
        <f>VLOOKUP(Table4[[#This Row],[Visitor]],'NHL Model'!$A$6:$B$38,2,FALSE)</f>
        <v>-1.0708320987334559</v>
      </c>
      <c r="J1290">
        <f>($B$1+Table4[[#This Row],[Home Differential]])-Table4[[#This Row],[Away Differential]]</f>
        <v>1.3904208916169789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0.71352813993531949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-1.054674343910232</v>
      </c>
      <c r="H1291" t="s">
        <v>39</v>
      </c>
      <c r="I1291">
        <f>VLOOKUP(Table4[[#This Row],[Visitor]],'NHL Model'!$A$6:$B$38,2,FALSE)</f>
        <v>0.10032544630879472</v>
      </c>
      <c r="J1291">
        <f>($B$1+Table4[[#This Row],[Home Differential]])-Table4[[#This Row],[Away Differential]]</f>
        <v>-1.0715761232800041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0.68649762336207321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-0.42180143360631367</v>
      </c>
      <c r="H1292" t="s">
        <v>40</v>
      </c>
      <c r="I1292">
        <f>VLOOKUP(Table4[[#This Row],[Visitor]],'NHL Model'!$A$6:$B$38,2,FALSE)</f>
        <v>-0.36992241209510063</v>
      </c>
      <c r="J1292">
        <f>($B$1+Table4[[#This Row],[Home Differential]])-Table4[[#This Row],[Away Differential]]</f>
        <v>3.1544645427809714E-2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0.52290163601851591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-0.41554817552415113</v>
      </c>
      <c r="H1293" t="s">
        <v>24</v>
      </c>
      <c r="I1293">
        <f>VLOOKUP(Table4[[#This Row],[Visitor]],'NHL Model'!$A$6:$B$38,2,FALSE)</f>
        <v>2.3143316481494557E-3</v>
      </c>
      <c r="J1293">
        <f>($B$1+Table4[[#This Row],[Home Differential]])-Table4[[#This Row],[Away Differential]]</f>
        <v>-0.33443884023327791</v>
      </c>
      <c r="K1293" t="str">
        <f>IF(Table4[[#This Row],[HomeIce Differential]]&gt;0,Table4[[#This Row],[Home]],Table4[[#This Row],[Visitor]])</f>
        <v>New Jersey Devils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0.48719468377372654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-0.9065542839469537</v>
      </c>
      <c r="H1294" t="s">
        <v>22</v>
      </c>
      <c r="I1294">
        <f>VLOOKUP(Table4[[#This Row],[Visitor]],'NHL Model'!$A$6:$B$38,2,FALSE)</f>
        <v>0.15604658591703846</v>
      </c>
      <c r="J1294">
        <f>($B$1+Table4[[#This Row],[Home Differential]])-Table4[[#This Row],[Away Differential]]</f>
        <v>-0.97917720292496946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0.5947165909245945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-1.2612222633157453</v>
      </c>
      <c r="H1295" t="s">
        <v>12</v>
      </c>
      <c r="I1295">
        <f>VLOOKUP(Table4[[#This Row],[Visitor]],'NHL Model'!$A$6:$B$38,2,FALSE)</f>
        <v>1.339787395621115</v>
      </c>
      <c r="J1295">
        <f>($B$1+Table4[[#This Row],[Home Differential]])-Table4[[#This Row],[Away Differential]]</f>
        <v>-2.5175859919978376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0.82559595982984191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-0.15603426337582751</v>
      </c>
      <c r="H1296" t="s">
        <v>31</v>
      </c>
      <c r="I1296">
        <f>VLOOKUP(Table4[[#This Row],[Visitor]],'NHL Model'!$A$6:$B$38,2,FALSE)</f>
        <v>5.8616755922628279E-2</v>
      </c>
      <c r="J1296">
        <f>($B$1+Table4[[#This Row],[Home Differential]])-Table4[[#This Row],[Away Differential]]</f>
        <v>-0.13122735235943306</v>
      </c>
      <c r="K1296" t="str">
        <f>IF(Table4[[#This Row],[HomeIce Differential]]&gt;0,Table4[[#This Row],[Home]],Table4[[#This Row],[Visitor]])</f>
        <v>Anaheim Ducks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0.48193766188271947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-0.30740058470151932</v>
      </c>
      <c r="H1297" t="s">
        <v>25</v>
      </c>
      <c r="I1297">
        <f>VLOOKUP(Table4[[#This Row],[Visitor]],'NHL Model'!$A$6:$B$38,2,FALSE)</f>
        <v>0.25962865313068506</v>
      </c>
      <c r="J1297">
        <f>($B$1+Table4[[#This Row],[Home Differential]])-Table4[[#This Row],[Away Differential]]</f>
        <v>-0.48360557089318168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0.58890060080775275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-0.46667677612181552</v>
      </c>
      <c r="H1298" t="s">
        <v>18</v>
      </c>
      <c r="I1298">
        <f>VLOOKUP(Table4[[#This Row],[Visitor]],'NHL Model'!$A$6:$B$38,2,FALSE)</f>
        <v>-0.65770380103775494</v>
      </c>
      <c r="J1298">
        <f>($B$1+Table4[[#This Row],[Home Differential]])-Table4[[#This Row],[Away Differential]]</f>
        <v>0.27445069185496218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0.52355808142340565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-1.5899576513683618</v>
      </c>
      <c r="H1299" t="s">
        <v>14</v>
      </c>
      <c r="I1299">
        <f>VLOOKUP(Table4[[#This Row],[Visitor]],'NHL Model'!$A$6:$B$38,2,FALSE)</f>
        <v>-0.22852375643476561</v>
      </c>
      <c r="J1299">
        <f>($B$1+Table4[[#This Row],[Home Differential]])-Table4[[#This Row],[Away Differential]]</f>
        <v>-1.2780102279945735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0.62949194540814069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-0.40521943828179341</v>
      </c>
      <c r="H1300" t="s">
        <v>40</v>
      </c>
      <c r="I1300">
        <f>VLOOKUP(Table4[[#This Row],[Visitor]],'NHL Model'!$A$6:$B$38,2,FALSE)</f>
        <v>-0.36992241209510063</v>
      </c>
      <c r="J1300">
        <f>($B$1+Table4[[#This Row],[Home Differential]])-Table4[[#This Row],[Away Differential]]</f>
        <v>4.8126640752329919E-2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0.56560052220424684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-1.1317546087271064</v>
      </c>
      <c r="H1301" t="s">
        <v>13</v>
      </c>
      <c r="I1301">
        <f>VLOOKUP(Table4[[#This Row],[Visitor]],'NHL Model'!$A$6:$B$38,2,FALSE)</f>
        <v>-0.50197808897650842</v>
      </c>
      <c r="J1301">
        <f>($B$1+Table4[[#This Row],[Home Differential]])-Table4[[#This Row],[Away Differential]]</f>
        <v>-0.54635285281157531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0.58989515499124656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-0.90742746858300449</v>
      </c>
      <c r="H1302" t="s">
        <v>39</v>
      </c>
      <c r="I1302">
        <f>VLOOKUP(Table4[[#This Row],[Visitor]],'NHL Model'!$A$6:$B$38,2,FALSE)</f>
        <v>0.10032544630879472</v>
      </c>
      <c r="J1302">
        <f>($B$1+Table4[[#This Row],[Home Differential]])-Table4[[#This Row],[Away Differential]]</f>
        <v>-0.92432924795277649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0.66936242793008849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-0.43769530535874146</v>
      </c>
      <c r="H1303" t="s">
        <v>33</v>
      </c>
      <c r="I1303">
        <f>VLOOKUP(Table4[[#This Row],[Visitor]],'NHL Model'!$A$6:$B$38,2,FALSE)</f>
        <v>-0.6620483089622381</v>
      </c>
      <c r="J1303">
        <f>($B$1+Table4[[#This Row],[Home Differential]])-Table4[[#This Row],[Away Differential]]</f>
        <v>0.30777667054251934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0.57581613115681829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-0.57335522029781161</v>
      </c>
      <c r="H1304" t="s">
        <v>26</v>
      </c>
      <c r="I1304">
        <f>VLOOKUP(Table4[[#This Row],[Visitor]],'NHL Model'!$A$6:$B$38,2,FALSE)</f>
        <v>-1.0708320987334559</v>
      </c>
      <c r="J1304">
        <f>($B$1+Table4[[#This Row],[Home Differential]])-Table4[[#This Row],[Away Differential]]</f>
        <v>0.58090054537466695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0.60093303179498803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-0.53959086519270005</v>
      </c>
      <c r="H1305" t="s">
        <v>19</v>
      </c>
      <c r="I1305">
        <f>VLOOKUP(Table4[[#This Row],[Visitor]],'NHL Model'!$A$6:$B$38,2,FALSE)</f>
        <v>-1.054674343910232</v>
      </c>
      <c r="J1305">
        <f>($B$1+Table4[[#This Row],[Home Differential]])-Table4[[#This Row],[Away Differential]]</f>
        <v>0.59850714565655461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0.61214406689405143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0.23616512594450029</v>
      </c>
      <c r="H1306" t="s">
        <v>15</v>
      </c>
      <c r="I1306">
        <f>VLOOKUP(Table4[[#This Row],[Visitor]],'NHL Model'!$A$6:$B$38,2,FALSE)</f>
        <v>-0.39090512874251965</v>
      </c>
      <c r="J1306">
        <f>($B$1+Table4[[#This Row],[Home Differential]])-Table4[[#This Row],[Away Differential]]</f>
        <v>0.71049392162604263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0.55500527027577995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-0.42180143360631367</v>
      </c>
      <c r="H1307" t="s">
        <v>32</v>
      </c>
      <c r="I1307">
        <f>VLOOKUP(Table4[[#This Row],[Visitor]],'NHL Model'!$A$6:$B$38,2,FALSE)</f>
        <v>-0.64744265535741874</v>
      </c>
      <c r="J1307">
        <f>($B$1+Table4[[#This Row],[Home Differential]])-Table4[[#This Row],[Away Differential]]</f>
        <v>0.30906488869012783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0.57596604177236954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-1.2612222633157453</v>
      </c>
      <c r="H1308" t="s">
        <v>13</v>
      </c>
      <c r="I1308">
        <f>VLOOKUP(Table4[[#This Row],[Visitor]],'NHL Model'!$A$6:$B$38,2,FALSE)</f>
        <v>-0.50197808897650842</v>
      </c>
      <c r="J1308">
        <f>($B$1+Table4[[#This Row],[Home Differential]])-Table4[[#This Row],[Away Differential]]</f>
        <v>-0.67582050740021415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0.6049613732628869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1.339787395621115</v>
      </c>
      <c r="H1309" t="s">
        <v>32</v>
      </c>
      <c r="I1309">
        <f>VLOOKUP(Table4[[#This Row],[Visitor]],'NHL Model'!$A$6:$B$38,2,FALSE)</f>
        <v>-0.64744265535741874</v>
      </c>
      <c r="J1309">
        <f>($B$1+Table4[[#This Row],[Home Differential]])-Table4[[#This Row],[Away Differential]]</f>
        <v>2.0706537179175566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0.88107684764631777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-1.1577943512279505</v>
      </c>
      <c r="H1310" t="s">
        <v>38</v>
      </c>
      <c r="I1310">
        <f>VLOOKUP(Table4[[#This Row],[Visitor]],'NHL Model'!$A$6:$B$38,2,FALSE)</f>
        <v>-1.1317546087271064</v>
      </c>
      <c r="J1310">
        <f>($B$1+Table4[[#This Row],[Home Differential]])-Table4[[#This Row],[Away Differential]]</f>
        <v>5.7383924438178635E-2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0.53299358659309526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-1.4782515386602066</v>
      </c>
      <c r="H1311" t="s">
        <v>31</v>
      </c>
      <c r="I1311">
        <f>VLOOKUP(Table4[[#This Row],[Visitor]],'NHL Model'!$A$6:$B$38,2,FALSE)</f>
        <v>5.8616755922628279E-2</v>
      </c>
      <c r="J1311">
        <f>($B$1+Table4[[#This Row],[Home Differential]])-Table4[[#This Row],[Away Differential]]</f>
        <v>-1.4534446276438122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0.6499073376995026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-0.40521943828179341</v>
      </c>
      <c r="H1312" t="s">
        <v>35</v>
      </c>
      <c r="I1312">
        <f>VLOOKUP(Table4[[#This Row],[Visitor]],'NHL Model'!$A$6:$B$38,2,FALSE)</f>
        <v>-1.5899576513683618</v>
      </c>
      <c r="J1312">
        <f>($B$1+Table4[[#This Row],[Home Differential]])-Table4[[#This Row],[Away Differential]]</f>
        <v>1.2681618800255912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0.72800783471193986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-0.36992241209510063</v>
      </c>
      <c r="H1313" t="s">
        <v>33</v>
      </c>
      <c r="I1313">
        <f>VLOOKUP(Table4[[#This Row],[Visitor]],'NHL Model'!$A$6:$B$38,2,FALSE)</f>
        <v>-0.6620483089622381</v>
      </c>
      <c r="J1313">
        <f>($B$1+Table4[[#This Row],[Home Differential]])-Table4[[#This Row],[Away Differential]]</f>
        <v>0.37554956380616022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0.58619837718376666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4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3" priority="9" operator="containsText" text="NO">
      <formula>NOT(ISERROR(SEARCH("NO",M2)))</formula>
    </cfRule>
    <cfRule type="containsText" dxfId="2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1313">
    <cfRule type="containsText" dxfId="1" priority="3" operator="containsText" text="YES">
      <formula>NOT(ISERROR(SEARCH("YES",R1)))</formula>
    </cfRule>
    <cfRule type="containsText" dxfId="0" priority="4" operator="containsText" text="NO">
      <formula>NOT(ISERROR(SEARCH("NO",R1)))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workbookViewId="0">
      <selection activeCell="M35" sqref="M35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24</v>
      </c>
      <c r="C2">
        <f>COUNTIF(NHL2025_26Results[Winning Team],Standings!A2)</f>
        <v>15</v>
      </c>
      <c r="D2">
        <f>COUNTIFS('NHL2025-26Results'!$H:$H,A2,'NHL2025-26Results'!$F:$F,"")</f>
        <v>8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31</v>
      </c>
      <c r="G2">
        <f>COUNTIFS('NHL2025-26Results'!$D:$D,A2,'NHL2025-26Results'!$G:$G,A2)</f>
        <v>9</v>
      </c>
      <c r="H2">
        <f>COUNTIFS('NHL2025-26Results'!$D:$D,A2,'NHL2025-26Results'!$H:$H,A2,'NHL2025-26Results'!$F:$F,"")</f>
        <v>3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6</v>
      </c>
      <c r="K2">
        <f>COUNTIFS('NHL2025-26Results'!$B:$B,A2,'NHL2025-26Results'!$H:$H,A2,'NHL2025-26Results'!$F:$F,"")</f>
        <v>5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0.75</v>
      </c>
      <c r="N2" s="11">
        <f>Table1[[#This Row],[AwayWins]]/SUM(Table1[[#This Row],[AwayWins]:[AwayOTL]])</f>
        <v>0.5</v>
      </c>
      <c r="O2" s="14">
        <f>SUMIFS('NHL2025-26Results'!$E:$E,'NHL2025-26Results'!$D:$D,A2,'NHL2025-26Results'!$E:$E,"&gt;0")/COUNTIFS('NHL2025-26Results'!$D:$D,A2,'NHL2025-26Results'!$E:$E,"&gt;0")</f>
        <v>3.9166666666666665</v>
      </c>
      <c r="P2" s="15">
        <f>SUMIFS('NHL2025-26Results'!$C:$C,'NHL2025-26Results'!$B:$B,A2,'NHL2025-26Results'!$C:$C,"&gt;0")/COUNTIFS('NHL2025-26Results'!$B:$B,A2,'NHL2025-26Results'!$C:$C,"&gt;0")</f>
        <v>3.8181818181818183</v>
      </c>
      <c r="Q2" s="14">
        <f>SUMIFS('NHL2025-26Results'!$C:$C,'NHL2025-26Results'!$D:$D,A2,'NHL2025-26Results'!$C:$C,"&gt;0")/COUNTIFS('NHL2025-26Results'!$D:$D,A2,'NHL2025-26Results'!$C:$C,"&gt;0")</f>
        <v>2.8333333333333335</v>
      </c>
      <c r="R2" s="14">
        <f>SUMIFS('NHL2025-26Results'!$E:$E,'NHL2025-26Results'!$B:$B,A2,'NHL2025-26Results'!$E:$E,"&gt;0")/COUNTIFS('NHL2025-26Results'!$B:$B,A2,'NHL2025-26Results'!$E:$E,"&gt;0")</f>
        <v>3.6666666666666665</v>
      </c>
    </row>
    <row r="3" spans="1:18" x14ac:dyDescent="0.2">
      <c r="A3" s="4" t="s">
        <v>21</v>
      </c>
      <c r="B3">
        <f>SUM(Table1[[#This Row],[W]:[OTL]])</f>
        <v>26</v>
      </c>
      <c r="C3">
        <f>COUNTIF(NHL2025_26Results[Winning Team],Standings!A3)</f>
        <v>14</v>
      </c>
      <c r="D3">
        <f>COUNTIFS('NHL2025-26Results'!$H:$H,A3,'NHL2025-26Results'!$F:$F,"")</f>
        <v>12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28</v>
      </c>
      <c r="G3">
        <f>COUNTIFS('NHL2025-26Results'!$D:$D,A3,'NHL2025-26Results'!$G:$G,A3)</f>
        <v>8</v>
      </c>
      <c r="H3">
        <f>COUNTIFS('NHL2025-26Results'!$D:$D,A3,'NHL2025-26Results'!$H:$H,A3,'NHL2025-26Results'!$F:$F,"")</f>
        <v>5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6</v>
      </c>
      <c r="K3">
        <f>COUNTIFS('NHL2025-26Results'!$B:$B,A3,'NHL2025-26Results'!$H:$H,A3,'NHL2025-26Results'!$F:$F,"")</f>
        <v>7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0.61538461538461542</v>
      </c>
      <c r="N3" s="11">
        <f>Table1[[#This Row],[AwayWins]]/SUM(Table1[[#This Row],[AwayWins]:[AwayOTL]])</f>
        <v>0.46153846153846156</v>
      </c>
      <c r="O3" s="14">
        <f>SUMIFS('NHL2025-26Results'!$E:$E,'NHL2025-26Results'!$D:$D,A3,'NHL2025-26Results'!$E:$E,"&gt;0")/COUNTIFS('NHL2025-26Results'!$D:$D,A3,'NHL2025-26Results'!$E:$E,"&gt;0")</f>
        <v>3.3076923076923075</v>
      </c>
      <c r="P3" s="14">
        <f>SUMIFS('NHL2025-26Results'!$C:$C,'NHL2025-26Results'!$B:$B,A3,'NHL2025-26Results'!$C:$C,"&gt;0")/COUNTIFS('NHL2025-26Results'!$B:$B,A3,'NHL2025-26Results'!$C:$C,"&gt;0")</f>
        <v>2.8461538461538463</v>
      </c>
      <c r="Q3" s="14">
        <f>SUMIFS('NHL2025-26Results'!$C:$C,'NHL2025-26Results'!$D:$D,A3,'NHL2025-26Results'!$C:$C,"&gt;0")/COUNTIFS('NHL2025-26Results'!$D:$D,A3,'NHL2025-26Results'!$C:$C,"&gt;0")</f>
        <v>3.1538461538461537</v>
      </c>
      <c r="R3" s="14">
        <f>SUMIFS('NHL2025-26Results'!$E:$E,'NHL2025-26Results'!$B:$B,A3,'NHL2025-26Results'!$E:$E,"&gt;0")/COUNTIFS('NHL2025-26Results'!$B:$B,A3,'NHL2025-26Results'!$E:$E,"&gt;0")</f>
        <v>3.3076923076923075</v>
      </c>
    </row>
    <row r="4" spans="1:18" x14ac:dyDescent="0.2">
      <c r="A4" s="4" t="s">
        <v>23</v>
      </c>
      <c r="B4">
        <f>SUM(Table1[[#This Row],[W]:[OTL]])</f>
        <v>24</v>
      </c>
      <c r="C4">
        <f>COUNTIF(NHL2025_26Results[Winning Team],Standings!A4)</f>
        <v>9</v>
      </c>
      <c r="D4">
        <f>COUNTIFS('NHL2025-26Results'!$H:$H,A4,'NHL2025-26Results'!$F:$F,"")</f>
        <v>11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22</v>
      </c>
      <c r="G4">
        <f>COUNTIFS('NHL2025-26Results'!$D:$D,A4,'NHL2025-26Results'!$G:$G,A4)</f>
        <v>8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1</v>
      </c>
      <c r="K4">
        <f>COUNTIFS('NHL2025-26Results'!$B:$B,A4,'NHL2025-26Results'!$H:$H,A4,'NHL2025-26Results'!$F:$F,"")</f>
        <v>6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0.53333333333333333</v>
      </c>
      <c r="N4" s="11">
        <f>Table1[[#This Row],[AwayWins]]/SUM(Table1[[#This Row],[AwayWins]:[AwayOTL]])</f>
        <v>0.1111111111111111</v>
      </c>
      <c r="O4" s="14">
        <f>SUMIFS('NHL2025-26Results'!$E:$E,'NHL2025-26Results'!$D:$D,A4,'NHL2025-26Results'!$E:$E,"&gt;0")/COUNTIFS('NHL2025-26Results'!$D:$D,A4,'NHL2025-26Results'!$E:$E,"&gt;0")</f>
        <v>4.083333333333333</v>
      </c>
      <c r="P4" s="14">
        <f>SUMIFS('NHL2025-26Results'!$C:$C,'NHL2025-26Results'!$B:$B,A4,'NHL2025-26Results'!$C:$C,"&gt;0")/COUNTIFS('NHL2025-26Results'!$B:$B,A4,'NHL2025-26Results'!$C:$C,"&gt;0")</f>
        <v>2.6666666666666665</v>
      </c>
      <c r="Q4" s="14">
        <f>SUMIFS('NHL2025-26Results'!$C:$C,'NHL2025-26Results'!$D:$D,A4,'NHL2025-26Results'!$C:$C,"&gt;0")/COUNTIFS('NHL2025-26Results'!$D:$D,A4,'NHL2025-26Results'!$C:$C,"&gt;0")</f>
        <v>3.1428571428571428</v>
      </c>
      <c r="R4" s="14">
        <f>SUMIFS('NHL2025-26Results'!$E:$E,'NHL2025-26Results'!$B:$B,A4,'NHL2025-26Results'!$E:$E,"&gt;0")/COUNTIFS('NHL2025-26Results'!$B:$B,A4,'NHL2025-26Results'!$E:$E,"&gt;0")</f>
        <v>4.4444444444444446</v>
      </c>
    </row>
    <row r="5" spans="1:18" x14ac:dyDescent="0.2">
      <c r="A5" s="4" t="s">
        <v>16</v>
      </c>
      <c r="B5">
        <f>SUM(Table1[[#This Row],[W]:[OTL]])</f>
        <v>26</v>
      </c>
      <c r="C5">
        <f>COUNTIF(NHL2025_26Results[Winning Team],Standings!A5)</f>
        <v>9</v>
      </c>
      <c r="D5">
        <f>COUNTIFS('NHL2025-26Results'!$H:$H,A5,'NHL2025-26Results'!$F:$F,"")</f>
        <v>14</v>
      </c>
      <c r="E5">
        <f>COUNTIFS('NHL2025-26Results'!$F:$F,"OT",'NHL2025-26Results'!$H:$H,A5) + COUNTIFS('NHL2025-26Results'!$F:$F,"SO",'NHL2025-26Results'!$H:$H,A5)</f>
        <v>3</v>
      </c>
      <c r="F5" s="3">
        <f>(Table1[[#This Row],[W]]*2)+Table1[[#This Row],[OTL]]</f>
        <v>21</v>
      </c>
      <c r="G5">
        <f>COUNTIFS('NHL2025-26Results'!$D:$D,A5,'NHL2025-26Results'!$G:$G,A5)</f>
        <v>4</v>
      </c>
      <c r="H5">
        <f>COUNTIFS('NHL2025-26Results'!$D:$D,A5,'NHL2025-26Results'!$H:$H,A5,'NHL2025-26Results'!$F:$F,"")</f>
        <v>4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5</v>
      </c>
      <c r="K5">
        <f>COUNTIFS('NHL2025-26Results'!$B:$B,A5,'NHL2025-26Results'!$H:$H,A5,'NHL2025-26Results'!$F:$F,"")</f>
        <v>10</v>
      </c>
      <c r="L5">
        <f>COUNTIFS('NHL2025-26Results'!$B:$B,A5,'NHL2025-26Results'!$H:$H,A5,'NHL2025-26Results'!$F:$F,"OT") + COUNTIFS('NHL2025-26Results'!$B:$B,A5,'NHL2025-26Results'!$H:$H,A5,'NHL2025-26Results'!$F:$F,"SO")</f>
        <v>1</v>
      </c>
      <c r="M5" s="11">
        <f>Table1[[#This Row],[HomeWins]]/SUM(Table1[[#This Row],[HomeWins]:[HomeOTL]])</f>
        <v>0.4</v>
      </c>
      <c r="N5" s="11">
        <f>Table1[[#This Row],[AwayWins]]/SUM(Table1[[#This Row],[AwayWins]:[AwayOTL]])</f>
        <v>0.3125</v>
      </c>
      <c r="O5" s="14">
        <f>SUMIFS('NHL2025-26Results'!$E:$E,'NHL2025-26Results'!$D:$D,A5,'NHL2025-26Results'!$E:$E,"&gt;0")/COUNTIFS('NHL2025-26Results'!$D:$D,A5,'NHL2025-26Results'!$E:$E,"&gt;0")</f>
        <v>2.6666666666666665</v>
      </c>
      <c r="P5" s="14">
        <f>SUMIFS('NHL2025-26Results'!$C:$C,'NHL2025-26Results'!$B:$B,A5,'NHL2025-26Results'!$C:$C,"&gt;0")/COUNTIFS('NHL2025-26Results'!$B:$B,A5,'NHL2025-26Results'!$C:$C,"&gt;0")</f>
        <v>2.7333333333333334</v>
      </c>
      <c r="Q5" s="14">
        <f>SUMIFS('NHL2025-26Results'!$C:$C,'NHL2025-26Results'!$D:$D,A5,'NHL2025-26Results'!$C:$C,"&gt;0")/COUNTIFS('NHL2025-26Results'!$D:$D,A5,'NHL2025-26Results'!$C:$C,"&gt;0")</f>
        <v>2.6666666666666665</v>
      </c>
      <c r="R5" s="14">
        <f>SUMIFS('NHL2025-26Results'!$E:$E,'NHL2025-26Results'!$B:$B,A5,'NHL2025-26Results'!$E:$E,"&gt;0")/COUNTIFS('NHL2025-26Results'!$B:$B,A5,'NHL2025-26Results'!$E:$E,"&gt;0")</f>
        <v>3.5625</v>
      </c>
    </row>
    <row r="6" spans="1:18" x14ac:dyDescent="0.2">
      <c r="A6" s="4" t="s">
        <v>25</v>
      </c>
      <c r="B6">
        <f>SUM(Table1[[#This Row],[W]:[OTL]])</f>
        <v>24</v>
      </c>
      <c r="C6">
        <f>COUNTIF(NHL2025_26Results[Winning Team],Standings!A6)</f>
        <v>15</v>
      </c>
      <c r="D6">
        <f>COUNTIFS('NHL2025-26Results'!$H:$H,A6,'NHL2025-26Results'!$F:$F,"")</f>
        <v>7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32</v>
      </c>
      <c r="G6">
        <f>COUNTIFS('NHL2025-26Results'!$D:$D,A6,'NHL2025-26Results'!$G:$G,A6)</f>
        <v>7</v>
      </c>
      <c r="H6">
        <f>COUNTIFS('NHL2025-26Results'!$D:$D,A6,'NHL2025-26Results'!$H:$H,A6,'NHL2025-26Results'!$F:$F,"")</f>
        <v>3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8</v>
      </c>
      <c r="K6">
        <f>COUNTIFS('NHL2025-26Results'!$B:$B,A6,'NHL2025-26Results'!$H:$H,A6,'NHL2025-26Results'!$F:$F,"")</f>
        <v>4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0.63636363636363635</v>
      </c>
      <c r="N6" s="11">
        <f>Table1[[#This Row],[AwayWins]]/SUM(Table1[[#This Row],[AwayWins]:[AwayOTL]])</f>
        <v>0.61538461538461542</v>
      </c>
      <c r="O6" s="14">
        <f>SUMIFS('NHL2025-26Results'!$E:$E,'NHL2025-26Results'!$D:$D,A6,'NHL2025-26Results'!$E:$E,"&gt;0")/COUNTIFS('NHL2025-26Results'!$D:$D,A6,'NHL2025-26Results'!$E:$E,"&gt;0")</f>
        <v>4</v>
      </c>
      <c r="P6" s="14">
        <f>SUMIFS('NHL2025-26Results'!$C:$C,'NHL2025-26Results'!$B:$B,A6,'NHL2025-26Results'!$C:$C,"&gt;0")/COUNTIFS('NHL2025-26Results'!$B:$B,A6,'NHL2025-26Results'!$C:$C,"&gt;0")</f>
        <v>3.1538461538461537</v>
      </c>
      <c r="Q6" s="14">
        <f>SUMIFS('NHL2025-26Results'!$C:$C,'NHL2025-26Results'!$D:$D,A6,'NHL2025-26Results'!$C:$C,"&gt;0")/COUNTIFS('NHL2025-26Results'!$D:$D,A6,'NHL2025-26Results'!$C:$C,"&gt;0")</f>
        <v>3.2727272727272729</v>
      </c>
      <c r="R6" s="14">
        <f>SUMIFS('NHL2025-26Results'!$E:$E,'NHL2025-26Results'!$B:$B,A6,'NHL2025-26Results'!$E:$E,"&gt;0")/COUNTIFS('NHL2025-26Results'!$B:$B,A6,'NHL2025-26Results'!$E:$E,"&gt;0")</f>
        <v>2.8333333333333335</v>
      </c>
    </row>
    <row r="7" spans="1:18" x14ac:dyDescent="0.2">
      <c r="A7" s="4" t="s">
        <v>10</v>
      </c>
      <c r="B7">
        <f>SUM(Table1[[#This Row],[W]:[OTL]])</f>
        <v>24</v>
      </c>
      <c r="C7">
        <f>COUNTIF(NHL2025_26Results[Winning Team],Standings!A7)</f>
        <v>10</v>
      </c>
      <c r="D7">
        <f>COUNTIFS('NHL2025-26Results'!$H:$H,A7,'NHL2025-26Results'!$F:$F,"")</f>
        <v>9</v>
      </c>
      <c r="E7">
        <f>COUNTIFS('NHL2025-26Results'!$F:$F,"OT",'NHL2025-26Results'!$H:$H,A7) + COUNTIFS('NHL2025-26Results'!$F:$F,"SO",'NHL2025-26Results'!$H:$H,A7)</f>
        <v>5</v>
      </c>
      <c r="F7" s="3">
        <f>(Table1[[#This Row],[W]]*2)+Table1[[#This Row],[OTL]]</f>
        <v>25</v>
      </c>
      <c r="G7">
        <f>COUNTIFS('NHL2025-26Results'!$D:$D,A7,'NHL2025-26Results'!$G:$G,A7)</f>
        <v>5</v>
      </c>
      <c r="H7">
        <f>COUNTIFS('NHL2025-26Results'!$D:$D,A7,'NHL2025-26Results'!$H:$H,A7,'NHL2025-26Results'!$F:$F,"")</f>
        <v>5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5</v>
      </c>
      <c r="K7">
        <f>COUNTIFS('NHL2025-26Results'!$B:$B,A7,'NHL2025-26Results'!$H:$H,A7,'NHL2025-26Results'!$F:$F,"")</f>
        <v>4</v>
      </c>
      <c r="L7">
        <f>COUNTIFS('NHL2025-26Results'!$B:$B,A7,'NHL2025-26Results'!$H:$H,A7,'NHL2025-26Results'!$F:$F,"OT") + COUNTIFS('NHL2025-26Results'!$B:$B,A7,'NHL2025-26Results'!$H:$H,A7,'NHL2025-26Results'!$F:$F,"SO")</f>
        <v>2</v>
      </c>
      <c r="M7" s="11">
        <f>Table1[[#This Row],[HomeWins]]/SUM(Table1[[#This Row],[HomeWins]:[HomeOTL]])</f>
        <v>0.38461538461538464</v>
      </c>
      <c r="N7" s="11">
        <f>Table1[[#This Row],[AwayWins]]/SUM(Table1[[#This Row],[AwayWins]:[AwayOTL]])</f>
        <v>0.45454545454545453</v>
      </c>
      <c r="O7" s="14">
        <f>SUMIFS('NHL2025-26Results'!$E:$E,'NHL2025-26Results'!$D:$D,A7,'NHL2025-26Results'!$E:$E,"&gt;0")/COUNTIFS('NHL2025-26Results'!$D:$D,A7,'NHL2025-26Results'!$E:$E,"&gt;0")</f>
        <v>3</v>
      </c>
      <c r="P7" s="14">
        <f>SUMIFS('NHL2025-26Results'!$C:$C,'NHL2025-26Results'!$B:$B,A7,'NHL2025-26Results'!$C:$C,"&gt;0")/COUNTIFS('NHL2025-26Results'!$B:$B,A7,'NHL2025-26Results'!$C:$C,"&gt;0")</f>
        <v>3.5454545454545454</v>
      </c>
      <c r="Q7" s="14">
        <f>SUMIFS('NHL2025-26Results'!$C:$C,'NHL2025-26Results'!$D:$D,A7,'NHL2025-26Results'!$C:$C,"&gt;0")/COUNTIFS('NHL2025-26Results'!$D:$D,A7,'NHL2025-26Results'!$C:$C,"&gt;0")</f>
        <v>2.6153846153846154</v>
      </c>
      <c r="R7" s="14">
        <f>SUMIFS('NHL2025-26Results'!$E:$E,'NHL2025-26Results'!$B:$B,A7,'NHL2025-26Results'!$E:$E,"&gt;0")/COUNTIFS('NHL2025-26Results'!$B:$B,A7,'NHL2025-26Results'!$E:$E,"&gt;0")</f>
        <v>3.6</v>
      </c>
    </row>
    <row r="8" spans="1:18" x14ac:dyDescent="0.2">
      <c r="A8" s="4" t="s">
        <v>12</v>
      </c>
      <c r="B8">
        <f>SUM(Table1[[#This Row],[W]:[OTL]])</f>
        <v>24</v>
      </c>
      <c r="C8">
        <f>COUNTIF(NHL2025_26Results[Winning Team],Standings!A8)</f>
        <v>17</v>
      </c>
      <c r="D8">
        <f>COUNTIFS('NHL2025-26Results'!$H:$H,A8,'NHL2025-26Results'!$F:$F,"")</f>
        <v>1</v>
      </c>
      <c r="E8">
        <f>COUNTIFS('NHL2025-26Results'!$F:$F,"OT",'NHL2025-26Results'!$H:$H,A8) + COUNTIFS('NHL2025-26Results'!$F:$F,"SO",'NHL2025-26Results'!$H:$H,A8)</f>
        <v>6</v>
      </c>
      <c r="F8" s="3">
        <f>(Table1[[#This Row],[W]]*2)+Table1[[#This Row],[OTL]]</f>
        <v>40</v>
      </c>
      <c r="G8">
        <f>COUNTIFS('NHL2025-26Results'!$D:$D,A8,'NHL2025-26Results'!$G:$G,A8)</f>
        <v>9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8</v>
      </c>
      <c r="K8">
        <f>COUNTIFS('NHL2025-26Results'!$B:$B,A8,'NHL2025-26Results'!$H:$H,A8,'NHL2025-26Results'!$F:$F,"")</f>
        <v>1</v>
      </c>
      <c r="L8">
        <f>COUNTIFS('NHL2025-26Results'!$B:$B,A8,'NHL2025-26Results'!$H:$H,A8,'NHL2025-26Results'!$F:$F,"OT") + COUNTIFS('NHL2025-26Results'!$B:$B,A8,'NHL2025-26Results'!$H:$H,A8,'NHL2025-26Results'!$F:$F,"SO")</f>
        <v>4</v>
      </c>
      <c r="M8" s="11">
        <f>Table1[[#This Row],[HomeWins]]/SUM(Table1[[#This Row],[HomeWins]:[HomeOTL]])</f>
        <v>0.81818181818181823</v>
      </c>
      <c r="N8" s="11">
        <f>Table1[[#This Row],[AwayWins]]/SUM(Table1[[#This Row],[AwayWins]:[AwayOTL]])</f>
        <v>0.61538461538461542</v>
      </c>
      <c r="O8" s="14">
        <f>SUMIFS('NHL2025-26Results'!$E:$E,'NHL2025-26Results'!$D:$D,A8,'NHL2025-26Results'!$E:$E,"&gt;0")/COUNTIFS('NHL2025-26Results'!$D:$D,A8,'NHL2025-26Results'!$E:$E,"&gt;0")</f>
        <v>4.6363636363636367</v>
      </c>
      <c r="P8" s="14">
        <f>SUMIFS('NHL2025-26Results'!$C:$C,'NHL2025-26Results'!$B:$B,A8,'NHL2025-26Results'!$C:$C,"&gt;0")/COUNTIFS('NHL2025-26Results'!$B:$B,A8,'NHL2025-26Results'!$C:$C,"&gt;0")</f>
        <v>3.4615384615384617</v>
      </c>
      <c r="Q8" s="14">
        <f>SUMIFS('NHL2025-26Results'!$C:$C,'NHL2025-26Results'!$D:$D,A8,'NHL2025-26Results'!$C:$C,"&gt;0")/COUNTIFS('NHL2025-26Results'!$D:$D,A8,'NHL2025-26Results'!$C:$C,"&gt;0")</f>
        <v>2.6</v>
      </c>
      <c r="R8" s="14">
        <f>SUMIFS('NHL2025-26Results'!$E:$E,'NHL2025-26Results'!$B:$B,A8,'NHL2025-26Results'!$E:$E,"&gt;0")/COUNTIFS('NHL2025-26Results'!$B:$B,A8,'NHL2025-26Results'!$E:$E,"&gt;0")</f>
        <v>2.4545454545454546</v>
      </c>
    </row>
    <row r="9" spans="1:18" x14ac:dyDescent="0.2">
      <c r="A9" s="4" t="s">
        <v>28</v>
      </c>
      <c r="B9">
        <f>SUM(Table1[[#This Row],[W]:[OTL]])</f>
        <v>25</v>
      </c>
      <c r="C9">
        <f>COUNTIF(NHL2025_26Results[Winning Team],Standings!A9)</f>
        <v>11</v>
      </c>
      <c r="D9">
        <f>COUNTIFS('NHL2025-26Results'!$H:$H,A9,'NHL2025-26Results'!$F:$F,"")</f>
        <v>9</v>
      </c>
      <c r="E9">
        <f>COUNTIFS('NHL2025-26Results'!$F:$F,"OT",'NHL2025-26Results'!$H:$H,A9) + COUNTIFS('NHL2025-26Results'!$F:$F,"SO",'NHL2025-26Results'!$H:$H,A9)</f>
        <v>5</v>
      </c>
      <c r="F9" s="3">
        <f>(Table1[[#This Row],[W]]*2)+Table1[[#This Row],[OTL]]</f>
        <v>27</v>
      </c>
      <c r="G9">
        <f>COUNTIFS('NHL2025-26Results'!$D:$D,A9,'NHL2025-26Results'!$G:$G,A9)</f>
        <v>5</v>
      </c>
      <c r="H9">
        <f>COUNTIFS('NHL2025-26Results'!$D:$D,A9,'NHL2025-26Results'!$H:$H,A9,'NHL2025-26Results'!$F:$F,"")</f>
        <v>3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6</v>
      </c>
      <c r="K9">
        <f>COUNTIFS('NHL2025-26Results'!$B:$B,A9,'NHL2025-26Results'!$H:$H,A9,'NHL2025-26Results'!$F:$F,"")</f>
        <v>6</v>
      </c>
      <c r="L9">
        <f>COUNTIFS('NHL2025-26Results'!$B:$B,A9,'NHL2025-26Results'!$H:$H,A9,'NHL2025-26Results'!$F:$F,"OT") + COUNTIFS('NHL2025-26Results'!$B:$B,A9,'NHL2025-26Results'!$H:$H,A9,'NHL2025-26Results'!$F:$F,"SO")</f>
        <v>2</v>
      </c>
      <c r="M9" s="11">
        <f>Table1[[#This Row],[HomeWins]]/SUM(Table1[[#This Row],[HomeWins]:[HomeOTL]])</f>
        <v>0.45454545454545453</v>
      </c>
      <c r="N9" s="11">
        <f>Table1[[#This Row],[AwayWins]]/SUM(Table1[[#This Row],[AwayWins]:[AwayOTL]])</f>
        <v>0.42857142857142855</v>
      </c>
      <c r="O9" s="14">
        <f>SUMIFS('NHL2025-26Results'!$E:$E,'NHL2025-26Results'!$D:$D,A9,'NHL2025-26Results'!$E:$E,"&gt;0")/COUNTIFS('NHL2025-26Results'!$D:$D,A9,'NHL2025-26Results'!$E:$E,"&gt;0")</f>
        <v>2.7272727272727271</v>
      </c>
      <c r="P9" s="14">
        <f>SUMIFS('NHL2025-26Results'!$C:$C,'NHL2025-26Results'!$B:$B,A9,'NHL2025-26Results'!$C:$C,"&gt;0")/COUNTIFS('NHL2025-26Results'!$B:$B,A9,'NHL2025-26Results'!$C:$C,"&gt;0")</f>
        <v>3.0714285714285716</v>
      </c>
      <c r="Q9" s="14">
        <f>SUMIFS('NHL2025-26Results'!$C:$C,'NHL2025-26Results'!$D:$D,A9,'NHL2025-26Results'!$C:$C,"&gt;0")/COUNTIFS('NHL2025-26Results'!$D:$D,A9,'NHL2025-26Results'!$C:$C,"&gt;0")</f>
        <v>3.0909090909090908</v>
      </c>
      <c r="R9" s="14">
        <f>SUMIFS('NHL2025-26Results'!$E:$E,'NHL2025-26Results'!$B:$B,A9,'NHL2025-26Results'!$E:$E,"&gt;0")/COUNTIFS('NHL2025-26Results'!$B:$B,A9,'NHL2025-26Results'!$E:$E,"&gt;0")</f>
        <v>3.4285714285714284</v>
      </c>
    </row>
    <row r="10" spans="1:18" x14ac:dyDescent="0.2">
      <c r="A10" s="4" t="s">
        <v>39</v>
      </c>
      <c r="B10">
        <f>SUM(Table1[[#This Row],[W]:[OTL]])</f>
        <v>25</v>
      </c>
      <c r="C10">
        <f>COUNTIF(NHL2025_26Results[Winning Team],Standings!A10)</f>
        <v>16</v>
      </c>
      <c r="D10">
        <f>COUNTIFS('NHL2025-26Results'!$H:$H,A10,'NHL2025-26Results'!$F:$F,"")</f>
        <v>5</v>
      </c>
      <c r="E10">
        <f>COUNTIFS('NHL2025-26Results'!$F:$F,"OT",'NHL2025-26Results'!$H:$H,A10) + COUNTIFS('NHL2025-26Results'!$F:$F,"SO",'NHL2025-26Results'!$H:$H,A10)</f>
        <v>4</v>
      </c>
      <c r="F10" s="3">
        <f>(Table1[[#This Row],[W]]*2)+Table1[[#This Row],[OTL]]</f>
        <v>36</v>
      </c>
      <c r="G10">
        <f>COUNTIFS('NHL2025-26Results'!$D:$D,A10,'NHL2025-26Results'!$G:$G,A10)</f>
        <v>7</v>
      </c>
      <c r="H10">
        <f>COUNTIFS('NHL2025-26Results'!$D:$D,A10,'NHL2025-26Results'!$H:$H,A10,'NHL2025-26Results'!$F:$F,"")</f>
        <v>4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9</v>
      </c>
      <c r="K10">
        <f>COUNTIFS('NHL2025-26Results'!$B:$B,A10,'NHL2025-26Results'!$H:$H,A10,'NHL2025-26Results'!$F:$F,"")</f>
        <v>1</v>
      </c>
      <c r="L10">
        <f>COUNTIFS('NHL2025-26Results'!$B:$B,A10,'NHL2025-26Results'!$H:$H,A10,'NHL2025-26Results'!$F:$F,"OT") + COUNTIFS('NHL2025-26Results'!$B:$B,A10,'NHL2025-26Results'!$H:$H,A10,'NHL2025-26Results'!$F:$F,"SO")</f>
        <v>3</v>
      </c>
      <c r="M10" s="11">
        <f>Table1[[#This Row],[HomeWins]]/SUM(Table1[[#This Row],[HomeWins]:[HomeOTL]])</f>
        <v>0.58333333333333337</v>
      </c>
      <c r="N10" s="11">
        <f>Table1[[#This Row],[AwayWins]]/SUM(Table1[[#This Row],[AwayWins]:[AwayOTL]])</f>
        <v>0.69230769230769229</v>
      </c>
      <c r="O10" s="14">
        <f>SUMIFS('NHL2025-26Results'!$E:$E,'NHL2025-26Results'!$D:$D,A10,'NHL2025-26Results'!$E:$E,"&gt;0")/COUNTIFS('NHL2025-26Results'!$D:$D,A10,'NHL2025-26Results'!$E:$E,"&gt;0")</f>
        <v>3.0833333333333335</v>
      </c>
      <c r="P10" s="14">
        <f>SUMIFS('NHL2025-26Results'!$C:$C,'NHL2025-26Results'!$B:$B,A10,'NHL2025-26Results'!$C:$C,"&gt;0")/COUNTIFS('NHL2025-26Results'!$B:$B,A10,'NHL2025-26Results'!$C:$C,"&gt;0")</f>
        <v>3.8461538461538463</v>
      </c>
      <c r="Q10" s="14">
        <f>SUMIFS('NHL2025-26Results'!$C:$C,'NHL2025-26Results'!$D:$D,A10,'NHL2025-26Results'!$C:$C,"&gt;0")/COUNTIFS('NHL2025-26Results'!$D:$D,A10,'NHL2025-26Results'!$C:$C,"&gt;0")</f>
        <v>3.1818181818181817</v>
      </c>
      <c r="R10" s="14">
        <f>SUMIFS('NHL2025-26Results'!$E:$E,'NHL2025-26Results'!$B:$B,A10,'NHL2025-26Results'!$E:$E,"&gt;0")/COUNTIFS('NHL2025-26Results'!$B:$B,A10,'NHL2025-26Results'!$E:$E,"&gt;0")</f>
        <v>2.9166666666666665</v>
      </c>
    </row>
    <row r="11" spans="1:18" x14ac:dyDescent="0.2">
      <c r="A11" s="4" t="s">
        <v>26</v>
      </c>
      <c r="B11">
        <f>SUM(Table1[[#This Row],[W]:[OTL]])</f>
        <v>25</v>
      </c>
      <c r="C11">
        <f>COUNTIF(NHL2025_26Results[Winning Team],Standings!A11)</f>
        <v>13</v>
      </c>
      <c r="D11">
        <f>COUNTIFS('NHL2025-26Results'!$H:$H,A11,'NHL2025-26Results'!$F:$F,"")</f>
        <v>11</v>
      </c>
      <c r="E11">
        <f>COUNTIFS('NHL2025-26Results'!$F:$F,"OT",'NHL2025-26Results'!$H:$H,A11) + COUNTIFS('NHL2025-26Results'!$F:$F,"SO",'NHL2025-26Results'!$H:$H,A11)</f>
        <v>1</v>
      </c>
      <c r="F11" s="3">
        <f>(Table1[[#This Row],[W]]*2)+Table1[[#This Row],[OTL]]</f>
        <v>27</v>
      </c>
      <c r="G11">
        <f>COUNTIFS('NHL2025-26Results'!$D:$D,A11,'NHL2025-26Results'!$G:$G,A11)</f>
        <v>8</v>
      </c>
      <c r="H11">
        <f>COUNTIFS('NHL2025-26Results'!$D:$D,A11,'NHL2025-26Results'!$H:$H,A11,'NHL2025-26Results'!$F:$F,"")</f>
        <v>6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5</v>
      </c>
      <c r="K11">
        <f>COUNTIFS('NHL2025-26Results'!$B:$B,A11,'NHL2025-26Results'!$H:$H,A11,'NHL2025-26Results'!$F:$F,"")</f>
        <v>5</v>
      </c>
      <c r="L11">
        <f>COUNTIFS('NHL2025-26Results'!$B:$B,A11,'NHL2025-26Results'!$H:$H,A11,'NHL2025-26Results'!$F:$F,"OT") + COUNTIFS('NHL2025-26Results'!$B:$B,A11,'NHL2025-26Results'!$H:$H,A11,'NHL2025-26Results'!$F:$F,"SO")</f>
        <v>0</v>
      </c>
      <c r="M11" s="11">
        <f>Table1[[#This Row],[HomeWins]]/SUM(Table1[[#This Row],[HomeWins]:[HomeOTL]])</f>
        <v>0.53333333333333333</v>
      </c>
      <c r="N11" s="11">
        <f>Table1[[#This Row],[AwayWins]]/SUM(Table1[[#This Row],[AwayWins]:[AwayOTL]])</f>
        <v>0.5</v>
      </c>
      <c r="O11" s="14">
        <f>SUMIFS('NHL2025-26Results'!$E:$E,'NHL2025-26Results'!$D:$D,A11,'NHL2025-26Results'!$E:$E,"&gt;0")/COUNTIFS('NHL2025-26Results'!$D:$D,A11,'NHL2025-26Results'!$E:$E,"&gt;0")</f>
        <v>3.5</v>
      </c>
      <c r="P11" s="14">
        <f>SUMIFS('NHL2025-26Results'!$C:$C,'NHL2025-26Results'!$B:$B,A11,'NHL2025-26Results'!$C:$C,"&gt;0")/COUNTIFS('NHL2025-26Results'!$B:$B,A11,'NHL2025-26Results'!$C:$C,"&gt;0")</f>
        <v>2.8888888888888888</v>
      </c>
      <c r="Q11" s="14">
        <f>SUMIFS('NHL2025-26Results'!$C:$C,'NHL2025-26Results'!$D:$D,A11,'NHL2025-26Results'!$C:$C,"&gt;0")/COUNTIFS('NHL2025-26Results'!$D:$D,A11,'NHL2025-26Results'!$C:$C,"&gt;0")</f>
        <v>3.6666666666666665</v>
      </c>
      <c r="R11" s="14">
        <f>SUMIFS('NHL2025-26Results'!$E:$E,'NHL2025-26Results'!$B:$B,A11,'NHL2025-26Results'!$E:$E,"&gt;0")/COUNTIFS('NHL2025-26Results'!$B:$B,A11,'NHL2025-26Results'!$E:$E,"&gt;0")</f>
        <v>3.1</v>
      </c>
    </row>
    <row r="12" spans="1:18" x14ac:dyDescent="0.2">
      <c r="A12" s="4" t="s">
        <v>17</v>
      </c>
      <c r="B12">
        <f>SUM(Table1[[#This Row],[W]:[OTL]])</f>
        <v>25</v>
      </c>
      <c r="C12">
        <f>COUNTIF(NHL2025_26Results[Winning Team],Standings!A12)</f>
        <v>10</v>
      </c>
      <c r="D12">
        <f>COUNTIFS('NHL2025-26Results'!$H:$H,A12,'NHL2025-26Results'!$F:$F,"")</f>
        <v>10</v>
      </c>
      <c r="E12">
        <f>COUNTIFS('NHL2025-26Results'!$F:$F,"OT",'NHL2025-26Results'!$H:$H,A12) + COUNTIFS('NHL2025-26Results'!$F:$F,"SO",'NHL2025-26Results'!$H:$H,A12)</f>
        <v>5</v>
      </c>
      <c r="F12" s="3">
        <f>(Table1[[#This Row],[W]]*2)+Table1[[#This Row],[OTL]]</f>
        <v>25</v>
      </c>
      <c r="G12">
        <f>COUNTIFS('NHL2025-26Results'!$D:$D,A12,'NHL2025-26Results'!$G:$G,A12)</f>
        <v>5</v>
      </c>
      <c r="H12">
        <f>COUNTIFS('NHL2025-26Results'!$D:$D,A12,'NHL2025-26Results'!$H:$H,A12,'NHL2025-26Results'!$F:$F,"")</f>
        <v>2</v>
      </c>
      <c r="I12">
        <f>COUNTIFS('NHL2025-26Results'!$D:$D,A12,'NHL2025-26Results'!$H:$H,A12,'NHL2025-26Results'!$F:$F,"OT") + COUNTIFS('NHL2025-26Results'!$D:$D,A12,'NHL2025-26Results'!$H:$H,A12,'NHL2025-26Results'!$F:$F,"SO")</f>
        <v>2</v>
      </c>
      <c r="J12">
        <f>COUNTIFS('NHL2025-26Results'!$B:$B,A12,'NHL2025-26Results'!$G:$G,A12)</f>
        <v>5</v>
      </c>
      <c r="K12">
        <f>COUNTIFS('NHL2025-26Results'!$B:$B,A12,'NHL2025-26Results'!$H:$H,A12,'NHL2025-26Results'!$F:$F,"")</f>
        <v>8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0.55555555555555558</v>
      </c>
      <c r="N12" s="11">
        <f>Table1[[#This Row],[AwayWins]]/SUM(Table1[[#This Row],[AwayWins]:[AwayOTL]])</f>
        <v>0.3125</v>
      </c>
      <c r="O12" s="14">
        <f>SUMIFS('NHL2025-26Results'!$E:$E,'NHL2025-26Results'!$D:$D,A12,'NHL2025-26Results'!$E:$E,"&gt;0")/COUNTIFS('NHL2025-26Results'!$D:$D,A12,'NHL2025-26Results'!$E:$E,"&gt;0")</f>
        <v>3.6666666666666665</v>
      </c>
      <c r="P12" s="14">
        <f>SUMIFS('NHL2025-26Results'!$C:$C,'NHL2025-26Results'!$B:$B,A12,'NHL2025-26Results'!$C:$C,"&gt;0")/COUNTIFS('NHL2025-26Results'!$B:$B,A12,'NHL2025-26Results'!$C:$C,"&gt;0")</f>
        <v>2.75</v>
      </c>
      <c r="Q12" s="14">
        <f>SUMIFS('NHL2025-26Results'!$C:$C,'NHL2025-26Results'!$D:$D,A12,'NHL2025-26Results'!$C:$C,"&gt;0")/COUNTIFS('NHL2025-26Results'!$D:$D,A12,'NHL2025-26Results'!$C:$C,"&gt;0")</f>
        <v>4.4444444444444446</v>
      </c>
      <c r="R12" s="14">
        <f>SUMIFS('NHL2025-26Results'!$E:$E,'NHL2025-26Results'!$B:$B,A12,'NHL2025-26Results'!$E:$E,"&gt;0")/COUNTIFS('NHL2025-26Results'!$B:$B,A12,'NHL2025-26Results'!$E:$E,"&gt;0")</f>
        <v>3.6666666666666665</v>
      </c>
    </row>
    <row r="13" spans="1:18" x14ac:dyDescent="0.2">
      <c r="A13" s="4" t="s">
        <v>11</v>
      </c>
      <c r="B13">
        <f>SUM(Table1[[#This Row],[W]:[OTL]])</f>
        <v>24</v>
      </c>
      <c r="C13">
        <f>COUNTIF(NHL2025_26Results[Winning Team],Standings!A13)</f>
        <v>12</v>
      </c>
      <c r="D13">
        <f>COUNTIFS('NHL2025-26Results'!$H:$H,A13,'NHL2025-26Results'!$F:$F,"")</f>
        <v>11</v>
      </c>
      <c r="E13">
        <f>COUNTIFS('NHL2025-26Results'!$F:$F,"OT",'NHL2025-26Results'!$H:$H,A13) + COUNTIFS('NHL2025-26Results'!$F:$F,"SO",'NHL2025-26Results'!$H:$H,A13)</f>
        <v>1</v>
      </c>
      <c r="F13" s="3">
        <f>(Table1[[#This Row],[W]]*2)+Table1[[#This Row],[OTL]]</f>
        <v>25</v>
      </c>
      <c r="G13">
        <f>COUNTIFS('NHL2025-26Results'!$D:$D,A13,'NHL2025-26Results'!$G:$G,A13)</f>
        <v>8</v>
      </c>
      <c r="H13">
        <f>COUNTIFS('NHL2025-26Results'!$D:$D,A13,'NHL2025-26Results'!$H:$H,A13,'NHL2025-26Results'!$F:$F,"")</f>
        <v>5</v>
      </c>
      <c r="I13">
        <f>COUNTIFS('NHL2025-26Results'!$D:$D,A13,'NHL2025-26Results'!$H:$H,A13,'NHL2025-26Results'!$F:$F,"OT") + COUNTIFS('NHL2025-26Results'!$D:$D,A13,'NHL2025-26Results'!$H:$H,A13,'NHL2025-26Results'!$F:$F,"SO")</f>
        <v>1</v>
      </c>
      <c r="J13">
        <f>COUNTIFS('NHL2025-26Results'!$B:$B,A13,'NHL2025-26Results'!$G:$G,A13)</f>
        <v>4</v>
      </c>
      <c r="K13">
        <f>COUNTIFS('NHL2025-26Results'!$B:$B,A13,'NHL2025-26Results'!$H:$H,A13,'NHL2025-26Results'!$F:$F,"")</f>
        <v>6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0.5714285714285714</v>
      </c>
      <c r="N13" s="11">
        <f>Table1[[#This Row],[AwayWins]]/SUM(Table1[[#This Row],[AwayWins]:[AwayOTL]])</f>
        <v>0.4</v>
      </c>
      <c r="O13" s="14">
        <f>SUMIFS('NHL2025-26Results'!$E:$E,'NHL2025-26Results'!$D:$D,A13,'NHL2025-26Results'!$E:$E,"&gt;0")/COUNTIFS('NHL2025-26Results'!$D:$D,A13,'NHL2025-26Results'!$E:$E,"&gt;0")</f>
        <v>3.3571428571428572</v>
      </c>
      <c r="P13" s="14">
        <f>SUMIFS('NHL2025-26Results'!$C:$C,'NHL2025-26Results'!$B:$B,A13,'NHL2025-26Results'!$C:$C,"&gt;0")/COUNTIFS('NHL2025-26Results'!$B:$B,A13,'NHL2025-26Results'!$C:$C,"&gt;0")</f>
        <v>3.1111111111111112</v>
      </c>
      <c r="Q13" s="14">
        <f>SUMIFS('NHL2025-26Results'!$C:$C,'NHL2025-26Results'!$D:$D,A13,'NHL2025-26Results'!$C:$C,"&gt;0")/COUNTIFS('NHL2025-26Results'!$D:$D,A13,'NHL2025-26Results'!$C:$C,"&gt;0")</f>
        <v>3.5</v>
      </c>
      <c r="R13" s="14">
        <f>SUMIFS('NHL2025-26Results'!$E:$E,'NHL2025-26Results'!$B:$B,A13,'NHL2025-26Results'!$E:$E,"&gt;0")/COUNTIFS('NHL2025-26Results'!$B:$B,A13,'NHL2025-26Results'!$E:$E,"&gt;0")</f>
        <v>3.5</v>
      </c>
    </row>
    <row r="14" spans="1:18" x14ac:dyDescent="0.2">
      <c r="A14" s="4" t="s">
        <v>13</v>
      </c>
      <c r="B14">
        <f>SUM(Table1[[#This Row],[W]:[OTL]])</f>
        <v>24</v>
      </c>
      <c r="C14">
        <f>COUNTIF(NHL2025_26Results[Winning Team],Standings!A14)</f>
        <v>11</v>
      </c>
      <c r="D14">
        <f>COUNTIFS('NHL2025-26Results'!$H:$H,A14,'NHL2025-26Results'!$F:$F,"")</f>
        <v>6</v>
      </c>
      <c r="E14">
        <f>COUNTIFS('NHL2025-26Results'!$F:$F,"OT",'NHL2025-26Results'!$H:$H,A14) + COUNTIFS('NHL2025-26Results'!$F:$F,"SO",'NHL2025-26Results'!$H:$H,A14)</f>
        <v>7</v>
      </c>
      <c r="F14" s="3">
        <f>(Table1[[#This Row],[W]]*2)+Table1[[#This Row],[OTL]]</f>
        <v>29</v>
      </c>
      <c r="G14">
        <f>COUNTIFS('NHL2025-26Results'!$D:$D,A14,'NHL2025-26Results'!$G:$G,A14)</f>
        <v>2</v>
      </c>
      <c r="H14">
        <f>COUNTIFS('NHL2025-26Results'!$D:$D,A14,'NHL2025-26Results'!$H:$H,A14,'NHL2025-26Results'!$F:$F,"")</f>
        <v>4</v>
      </c>
      <c r="I14">
        <f>COUNTIFS('NHL2025-26Results'!$D:$D,A14,'NHL2025-26Results'!$H:$H,A14,'NHL2025-26Results'!$F:$F,"OT") + COUNTIFS('NHL2025-26Results'!$D:$D,A14,'NHL2025-26Results'!$H:$H,A14,'NHL2025-26Results'!$F:$F,"SO")</f>
        <v>3</v>
      </c>
      <c r="J14">
        <f>COUNTIFS('NHL2025-26Results'!$B:$B,A14,'NHL2025-26Results'!$G:$G,A14)</f>
        <v>9</v>
      </c>
      <c r="K14">
        <f>COUNTIFS('NHL2025-26Results'!$B:$B,A14,'NHL2025-26Results'!$H:$H,A14,'NHL2025-26Results'!$F:$F,"")</f>
        <v>2</v>
      </c>
      <c r="L14">
        <f>COUNTIFS('NHL2025-26Results'!$B:$B,A14,'NHL2025-26Results'!$H:$H,A14,'NHL2025-26Results'!$F:$F,"OT") + COUNTIFS('NHL2025-26Results'!$B:$B,A14,'NHL2025-26Results'!$H:$H,A14,'NHL2025-26Results'!$F:$F,"SO")</f>
        <v>4</v>
      </c>
      <c r="M14" s="11">
        <f>Table1[[#This Row],[HomeWins]]/SUM(Table1[[#This Row],[HomeWins]:[HomeOTL]])</f>
        <v>0.22222222222222221</v>
      </c>
      <c r="N14" s="11">
        <f>Table1[[#This Row],[AwayWins]]/SUM(Table1[[#This Row],[AwayWins]:[AwayOTL]])</f>
        <v>0.6</v>
      </c>
      <c r="O14" s="14">
        <f>SUMIFS('NHL2025-26Results'!$E:$E,'NHL2025-26Results'!$D:$D,A14,'NHL2025-26Results'!$E:$E,"&gt;0")/COUNTIFS('NHL2025-26Results'!$D:$D,A14,'NHL2025-26Results'!$E:$E,"&gt;0")</f>
        <v>2</v>
      </c>
      <c r="P14" s="14">
        <f>SUMIFS('NHL2025-26Results'!$C:$C,'NHL2025-26Results'!$B:$B,A14,'NHL2025-26Results'!$C:$C,"&gt;0")/COUNTIFS('NHL2025-26Results'!$B:$B,A14,'NHL2025-26Results'!$C:$C,"&gt;0")</f>
        <v>3.2</v>
      </c>
      <c r="Q14" s="14">
        <f>SUMIFS('NHL2025-26Results'!$C:$C,'NHL2025-26Results'!$D:$D,A14,'NHL2025-26Results'!$C:$C,"&gt;0")/COUNTIFS('NHL2025-26Results'!$D:$D,A14,'NHL2025-26Results'!$C:$C,"&gt;0")</f>
        <v>3.5</v>
      </c>
      <c r="R14" s="14">
        <f>SUMIFS('NHL2025-26Results'!$E:$E,'NHL2025-26Results'!$B:$B,A14,'NHL2025-26Results'!$E:$E,"&gt;0")/COUNTIFS('NHL2025-26Results'!$B:$B,A14,'NHL2025-26Results'!$E:$E,"&gt;0")</f>
        <v>2.9285714285714284</v>
      </c>
    </row>
    <row r="15" spans="1:18" x14ac:dyDescent="0.2">
      <c r="A15" s="4" t="s">
        <v>34</v>
      </c>
      <c r="B15">
        <f>SUM(Table1[[#This Row],[W]:[OTL]])</f>
        <v>25</v>
      </c>
      <c r="C15">
        <f>COUNTIF(NHL2025_26Results[Winning Team],Standings!A15)</f>
        <v>14</v>
      </c>
      <c r="D15">
        <f>COUNTIFS('NHL2025-26Results'!$H:$H,A15,'NHL2025-26Results'!$F:$F,"")</f>
        <v>7</v>
      </c>
      <c r="E15">
        <f>COUNTIFS('NHL2025-26Results'!$F:$F,"OT",'NHL2025-26Results'!$H:$H,A15) + COUNTIFS('NHL2025-26Results'!$F:$F,"SO",'NHL2025-26Results'!$H:$H,A15)</f>
        <v>4</v>
      </c>
      <c r="F15" s="3">
        <f>(Table1[[#This Row],[W]]*2)+Table1[[#This Row],[OTL]]</f>
        <v>32</v>
      </c>
      <c r="G15">
        <f>COUNTIFS('NHL2025-26Results'!$D:$D,A15,'NHL2025-26Results'!$G:$G,A15)</f>
        <v>8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3</v>
      </c>
      <c r="J15">
        <f>COUNTIFS('NHL2025-26Results'!$B:$B,A15,'NHL2025-26Results'!$G:$G,A15)</f>
        <v>6</v>
      </c>
      <c r="K15">
        <f>COUNTIFS('NHL2025-26Results'!$B:$B,A15,'NHL2025-26Results'!$H:$H,A15,'NHL2025-26Results'!$F:$F,"")</f>
        <v>4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0.5714285714285714</v>
      </c>
      <c r="N15" s="11">
        <f>Table1[[#This Row],[AwayWins]]/SUM(Table1[[#This Row],[AwayWins]:[AwayOTL]])</f>
        <v>0.54545454545454541</v>
      </c>
      <c r="O15" s="14">
        <f>SUMIFS('NHL2025-26Results'!$E:$E,'NHL2025-26Results'!$D:$D,A15,'NHL2025-26Results'!$E:$E,"&gt;0")/COUNTIFS('NHL2025-26Results'!$D:$D,A15,'NHL2025-26Results'!$E:$E,"&gt;0")</f>
        <v>3</v>
      </c>
      <c r="P15" s="14">
        <f>SUMIFS('NHL2025-26Results'!$C:$C,'NHL2025-26Results'!$B:$B,A15,'NHL2025-26Results'!$C:$C,"&gt;0")/COUNTIFS('NHL2025-26Results'!$B:$B,A15,'NHL2025-26Results'!$C:$C,"&gt;0")</f>
        <v>3</v>
      </c>
      <c r="Q15" s="14">
        <f>SUMIFS('NHL2025-26Results'!$C:$C,'NHL2025-26Results'!$D:$D,A15,'NHL2025-26Results'!$C:$C,"&gt;0")/COUNTIFS('NHL2025-26Results'!$D:$D,A15,'NHL2025-26Results'!$C:$C,"&gt;0")</f>
        <v>3.5833333333333335</v>
      </c>
      <c r="R15" s="14">
        <f>SUMIFS('NHL2025-26Results'!$E:$E,'NHL2025-26Results'!$B:$B,A15,'NHL2025-26Results'!$E:$E,"&gt;0")/COUNTIFS('NHL2025-26Results'!$B:$B,A15,'NHL2025-26Results'!$E:$E,"&gt;0")</f>
        <v>3.25</v>
      </c>
    </row>
    <row r="16" spans="1:18" x14ac:dyDescent="0.2">
      <c r="A16" s="4" t="s">
        <v>18</v>
      </c>
      <c r="B16">
        <f>SUM(Table1[[#This Row],[W]:[OTL]])</f>
        <v>23</v>
      </c>
      <c r="C16">
        <f>COUNTIF(NHL2025_26Results[Winning Team],Standings!A16)</f>
        <v>13</v>
      </c>
      <c r="D16">
        <f>COUNTIFS('NHL2025-26Results'!$H:$H,A16,'NHL2025-26Results'!$F:$F,"")</f>
        <v>7</v>
      </c>
      <c r="E16">
        <f>COUNTIFS('NHL2025-26Results'!$F:$F,"OT",'NHL2025-26Results'!$H:$H,A16) + COUNTIFS('NHL2025-26Results'!$F:$F,"SO",'NHL2025-26Results'!$H:$H,A16)</f>
        <v>3</v>
      </c>
      <c r="F16" s="3">
        <f>(Table1[[#This Row],[W]]*2)+Table1[[#This Row],[OTL]]</f>
        <v>29</v>
      </c>
      <c r="G16">
        <f>COUNTIFS('NHL2025-26Results'!$D:$D,A16,'NHL2025-26Results'!$G:$G,A16)</f>
        <v>6</v>
      </c>
      <c r="H16">
        <f>COUNTIFS('NHL2025-26Results'!$D:$D,A16,'NHL2025-26Results'!$H:$H,A16,'NHL2025-26Results'!$F:$F,"")</f>
        <v>5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7</v>
      </c>
      <c r="K16">
        <f>COUNTIFS('NHL2025-26Results'!$B:$B,A16,'NHL2025-26Results'!$H:$H,A16,'NHL2025-26Results'!$F:$F,"")</f>
        <v>2</v>
      </c>
      <c r="L16">
        <f>COUNTIFS('NHL2025-26Results'!$B:$B,A16,'NHL2025-26Results'!$H:$H,A16,'NHL2025-26Results'!$F:$F,"OT") + COUNTIFS('NHL2025-26Results'!$B:$B,A16,'NHL2025-26Results'!$H:$H,A16,'NHL2025-26Results'!$F:$F,"SO")</f>
        <v>2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0.63636363636363635</v>
      </c>
      <c r="O16" s="14">
        <f>SUMIFS('NHL2025-26Results'!$E:$E,'NHL2025-26Results'!$D:$D,A16,'NHL2025-26Results'!$E:$E,"&gt;0")/COUNTIFS('NHL2025-26Results'!$D:$D,A16,'NHL2025-26Results'!$E:$E,"&gt;0")</f>
        <v>3.7272727272727271</v>
      </c>
      <c r="P16" s="14">
        <f>SUMIFS('NHL2025-26Results'!$C:$C,'NHL2025-26Results'!$B:$B,A16,'NHL2025-26Results'!$C:$C,"&gt;0")/COUNTIFS('NHL2025-26Results'!$B:$B,A16,'NHL2025-26Results'!$C:$C,"&gt;0")</f>
        <v>3.5454545454545454</v>
      </c>
      <c r="Q16" s="14">
        <f>SUMIFS('NHL2025-26Results'!$C:$C,'NHL2025-26Results'!$D:$D,A16,'NHL2025-26Results'!$C:$C,"&gt;0")/COUNTIFS('NHL2025-26Results'!$D:$D,A16,'NHL2025-26Results'!$C:$C,"&gt;0")</f>
        <v>3.9166666666666665</v>
      </c>
      <c r="R16" s="14">
        <f>SUMIFS('NHL2025-26Results'!$E:$E,'NHL2025-26Results'!$B:$B,A16,'NHL2025-26Results'!$E:$E,"&gt;0")/COUNTIFS('NHL2025-26Results'!$B:$B,A16,'NHL2025-26Results'!$E:$E,"&gt;0")</f>
        <v>3</v>
      </c>
    </row>
    <row r="17" spans="1:18" x14ac:dyDescent="0.2">
      <c r="A17" s="4" t="s">
        <v>29</v>
      </c>
      <c r="B17">
        <f>SUM(Table1[[#This Row],[W]:[OTL]])</f>
        <v>24</v>
      </c>
      <c r="C17">
        <f>COUNTIF(NHL2025_26Results[Winning Team],Standings!A17)</f>
        <v>8</v>
      </c>
      <c r="D17">
        <f>COUNTIFS('NHL2025-26Results'!$H:$H,A17,'NHL2025-26Results'!$F:$F,"")</f>
        <v>12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20</v>
      </c>
      <c r="G17">
        <f>COUNTIFS('NHL2025-26Results'!$D:$D,A17,'NHL2025-26Results'!$G:$G,A17)</f>
        <v>5</v>
      </c>
      <c r="H17">
        <f>COUNTIFS('NHL2025-26Results'!$D:$D,A17,'NHL2025-26Results'!$H:$H,A17,'NHL2025-26Results'!$F:$F,"")</f>
        <v>7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3</v>
      </c>
      <c r="K17">
        <f>COUNTIFS('NHL2025-26Results'!$B:$B,A17,'NHL2025-26Results'!$H:$H,A17,'NHL2025-26Results'!$F:$F,"")</f>
        <v>5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0.35714285714285715</v>
      </c>
      <c r="N17" s="11">
        <f>Table1[[#This Row],[AwayWins]]/SUM(Table1[[#This Row],[AwayWins]:[AwayOTL]])</f>
        <v>0.3</v>
      </c>
      <c r="O17" s="14">
        <f>SUMIFS('NHL2025-26Results'!$E:$E,'NHL2025-26Results'!$D:$D,A17,'NHL2025-26Results'!$E:$E,"&gt;0")/COUNTIFS('NHL2025-26Results'!$D:$D,A17,'NHL2025-26Results'!$E:$E,"&gt;0")</f>
        <v>2.6923076923076925</v>
      </c>
      <c r="P17" s="14">
        <f>SUMIFS('NHL2025-26Results'!$C:$C,'NHL2025-26Results'!$B:$B,A17,'NHL2025-26Results'!$C:$C,"&gt;0")/COUNTIFS('NHL2025-26Results'!$B:$B,A17,'NHL2025-26Results'!$C:$C,"&gt;0")</f>
        <v>3</v>
      </c>
      <c r="Q17" s="14">
        <f>SUMIFS('NHL2025-26Results'!$C:$C,'NHL2025-26Results'!$D:$D,A17,'NHL2025-26Results'!$C:$C,"&gt;0")/COUNTIFS('NHL2025-26Results'!$D:$D,A17,'NHL2025-26Results'!$C:$C,"&gt;0")</f>
        <v>3.5</v>
      </c>
      <c r="R17" s="14">
        <f>SUMIFS('NHL2025-26Results'!$E:$E,'NHL2025-26Results'!$B:$B,A17,'NHL2025-26Results'!$E:$E,"&gt;0")/COUNTIFS('NHL2025-26Results'!$B:$B,A17,'NHL2025-26Results'!$E:$E,"&gt;0")</f>
        <v>3.8</v>
      </c>
    </row>
    <row r="18" spans="1:18" x14ac:dyDescent="0.2">
      <c r="A18" s="4" t="s">
        <v>24</v>
      </c>
      <c r="B18">
        <f>SUM(Table1[[#This Row],[W]:[OTL]])</f>
        <v>24</v>
      </c>
      <c r="C18">
        <f>COUNTIF(NHL2025_26Results[Winning Team],Standings!A18)</f>
        <v>16</v>
      </c>
      <c r="D18">
        <f>COUNTIFS('NHL2025-26Results'!$H:$H,A18,'NHL2025-26Results'!$F:$F,"")</f>
        <v>7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33</v>
      </c>
      <c r="G18">
        <f>COUNTIFS('NHL2025-26Results'!$D:$D,A18,'NHL2025-26Results'!$G:$G,A18)</f>
        <v>9</v>
      </c>
      <c r="H18">
        <f>COUNTIFS('NHL2025-26Results'!$D:$D,A18,'NHL2025-26Results'!$H:$H,A18,'NHL2025-26Results'!$F:$F,"")</f>
        <v>0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7</v>
      </c>
      <c r="K18">
        <f>COUNTIFS('NHL2025-26Results'!$B:$B,A18,'NHL2025-26Results'!$H:$H,A18,'NHL2025-26Results'!$F:$F,"")</f>
        <v>7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0.9</v>
      </c>
      <c r="N18" s="11">
        <f>Table1[[#This Row],[AwayWins]]/SUM(Table1[[#This Row],[AwayWins]:[AwayOTL]])</f>
        <v>0.5</v>
      </c>
      <c r="O18" s="14">
        <f>SUMIFS('NHL2025-26Results'!$E:$E,'NHL2025-26Results'!$D:$D,A18,'NHL2025-26Results'!$E:$E,"&gt;0")/COUNTIFS('NHL2025-26Results'!$D:$D,A18,'NHL2025-26Results'!$E:$E,"&gt;0")</f>
        <v>3.4</v>
      </c>
      <c r="P18" s="14">
        <f>SUMIFS('NHL2025-26Results'!$C:$C,'NHL2025-26Results'!$B:$B,A18,'NHL2025-26Results'!$C:$C,"&gt;0")/COUNTIFS('NHL2025-26Results'!$B:$B,A18,'NHL2025-26Results'!$C:$C,"&gt;0")</f>
        <v>3.3076923076923075</v>
      </c>
      <c r="Q18" s="14">
        <f>SUMIFS('NHL2025-26Results'!$C:$C,'NHL2025-26Results'!$D:$D,A18,'NHL2025-26Results'!$C:$C,"&gt;0")/COUNTIFS('NHL2025-26Results'!$D:$D,A18,'NHL2025-26Results'!$C:$C,"&gt;0")</f>
        <v>2.1</v>
      </c>
      <c r="R18" s="14">
        <f>SUMIFS('NHL2025-26Results'!$E:$E,'NHL2025-26Results'!$B:$B,A18,'NHL2025-26Results'!$E:$E,"&gt;0")/COUNTIFS('NHL2025-26Results'!$B:$B,A18,'NHL2025-26Results'!$E:$E,"&gt;0")</f>
        <v>3.6923076923076925</v>
      </c>
    </row>
    <row r="19" spans="1:18" x14ac:dyDescent="0.2">
      <c r="A19" s="4" t="s">
        <v>30</v>
      </c>
      <c r="B19">
        <f>SUM(Table1[[#This Row],[W]:[OTL]])</f>
        <v>25</v>
      </c>
      <c r="C19">
        <f>COUNTIF(NHL2025_26Results[Winning Team],Standings!A19)</f>
        <v>13</v>
      </c>
      <c r="D19">
        <f>COUNTIFS('NHL2025-26Results'!$H:$H,A19,'NHL2025-26Results'!$F:$F,"")</f>
        <v>9</v>
      </c>
      <c r="E19">
        <f>COUNTIFS('NHL2025-26Results'!$F:$F,"OT",'NHL2025-26Results'!$H:$H,A19) + COUNTIFS('NHL2025-26Results'!$F:$F,"SO",'NHL2025-26Results'!$H:$H,A19)</f>
        <v>3</v>
      </c>
      <c r="F19" s="3">
        <f>(Table1[[#This Row],[W]]*2)+Table1[[#This Row],[OTL]]</f>
        <v>29</v>
      </c>
      <c r="G19">
        <f>COUNTIFS('NHL2025-26Results'!$D:$D,A19,'NHL2025-26Results'!$G:$G,A19)</f>
        <v>5</v>
      </c>
      <c r="H19">
        <f>COUNTIFS('NHL2025-26Results'!$D:$D,A19,'NHL2025-26Results'!$H:$H,A19,'NHL2025-26Results'!$F:$F,"")</f>
        <v>5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8</v>
      </c>
      <c r="K19">
        <f>COUNTIFS('NHL2025-26Results'!$B:$B,A19,'NHL2025-26Results'!$H:$H,A19,'NHL2025-26Results'!$F:$F,"")</f>
        <v>4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0.41666666666666669</v>
      </c>
      <c r="N19" s="11">
        <f>Table1[[#This Row],[AwayWins]]/SUM(Table1[[#This Row],[AwayWins]:[AwayOTL]])</f>
        <v>0.61538461538461542</v>
      </c>
      <c r="O19" s="14">
        <f>SUMIFS('NHL2025-26Results'!$E:$E,'NHL2025-26Results'!$D:$D,A19,'NHL2025-26Results'!$E:$E,"&gt;0")/COUNTIFS('NHL2025-26Results'!$D:$D,A19,'NHL2025-26Results'!$E:$E,"&gt;0")</f>
        <v>2.75</v>
      </c>
      <c r="P19" s="14">
        <f>SUMIFS('NHL2025-26Results'!$C:$C,'NHL2025-26Results'!$B:$B,A19,'NHL2025-26Results'!$C:$C,"&gt;0")/COUNTIFS('NHL2025-26Results'!$B:$B,A19,'NHL2025-26Results'!$C:$C,"&gt;0")</f>
        <v>3.2307692307692308</v>
      </c>
      <c r="Q19" s="14">
        <f>SUMIFS('NHL2025-26Results'!$C:$C,'NHL2025-26Results'!$D:$D,A19,'NHL2025-26Results'!$C:$C,"&gt;0")/COUNTIFS('NHL2025-26Results'!$D:$D,A19,'NHL2025-26Results'!$C:$C,"&gt;0")</f>
        <v>3.2727272727272729</v>
      </c>
      <c r="R19" s="14">
        <f>SUMIFS('NHL2025-26Results'!$E:$E,'NHL2025-26Results'!$B:$B,A19,'NHL2025-26Results'!$E:$E,"&gt;0")/COUNTIFS('NHL2025-26Results'!$B:$B,A19,'NHL2025-26Results'!$E:$E,"&gt;0")</f>
        <v>3.3636363636363638</v>
      </c>
    </row>
    <row r="20" spans="1:18" x14ac:dyDescent="0.2">
      <c r="A20" s="4" t="s">
        <v>15</v>
      </c>
      <c r="B20">
        <f>SUM(Table1[[#This Row],[W]:[OTL]])</f>
        <v>26</v>
      </c>
      <c r="C20">
        <f>COUNTIF(NHL2025_26Results[Winning Team],Standings!A20)</f>
        <v>13</v>
      </c>
      <c r="D20">
        <f>COUNTIFS('NHL2025-26Results'!$H:$H,A20,'NHL2025-26Results'!$F:$F,"")</f>
        <v>11</v>
      </c>
      <c r="E20">
        <f>COUNTIFS('NHL2025-26Results'!$F:$F,"OT",'NHL2025-26Results'!$H:$H,A20) + COUNTIFS('NHL2025-26Results'!$F:$F,"SO",'NHL2025-26Results'!$H:$H,A20)</f>
        <v>2</v>
      </c>
      <c r="F20" s="3">
        <f>(Table1[[#This Row],[W]]*2)+Table1[[#This Row],[OTL]]</f>
        <v>28</v>
      </c>
      <c r="G20">
        <f>COUNTIFS('NHL2025-26Results'!$D:$D,A20,'NHL2025-26Results'!$G:$G,A20)</f>
        <v>2</v>
      </c>
      <c r="H20">
        <f>COUNTIFS('NHL2025-26Results'!$D:$D,A20,'NHL2025-26Results'!$H:$H,A20,'NHL2025-26Results'!$F:$F,"")</f>
        <v>7</v>
      </c>
      <c r="I20">
        <f>COUNTIFS('NHL2025-26Results'!$D:$D,A20,'NHL2025-26Results'!$H:$H,A20,'NHL2025-26Results'!$F:$F,"OT") + COUNTIFS('NHL2025-26Results'!$D:$D,A20,'NHL2025-26Results'!$H:$H,A20,'NHL2025-26Results'!$F:$F,"SO")</f>
        <v>1</v>
      </c>
      <c r="J20">
        <f>COUNTIFS('NHL2025-26Results'!$B:$B,A20,'NHL2025-26Results'!$G:$G,A20)</f>
        <v>11</v>
      </c>
      <c r="K20">
        <f>COUNTIFS('NHL2025-26Results'!$B:$B,A20,'NHL2025-26Results'!$H:$H,A20,'NHL2025-26Results'!$F:$F,"")</f>
        <v>4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</v>
      </c>
      <c r="N20" s="11">
        <f>Table1[[#This Row],[AwayWins]]/SUM(Table1[[#This Row],[AwayWins]:[AwayOTL]])</f>
        <v>0.6875</v>
      </c>
      <c r="O20" s="14">
        <f>SUMIFS('NHL2025-26Results'!$E:$E,'NHL2025-26Results'!$D:$D,A20,'NHL2025-26Results'!$E:$E,"&gt;0")/COUNTIFS('NHL2025-26Results'!$D:$D,A20,'NHL2025-26Results'!$E:$E,"&gt;0")</f>
        <v>3.2</v>
      </c>
      <c r="P20" s="14">
        <f>SUMIFS('NHL2025-26Results'!$C:$C,'NHL2025-26Results'!$B:$B,A20,'NHL2025-26Results'!$C:$C,"&gt;0")/COUNTIFS('NHL2025-26Results'!$B:$B,A20,'NHL2025-26Results'!$C:$C,"&gt;0")</f>
        <v>3.4375</v>
      </c>
      <c r="Q20" s="14">
        <f>SUMIFS('NHL2025-26Results'!$C:$C,'NHL2025-26Results'!$D:$D,A20,'NHL2025-26Results'!$C:$C,"&gt;0")/COUNTIFS('NHL2025-26Results'!$D:$D,A20,'NHL2025-26Results'!$C:$C,"&gt;0")</f>
        <v>3</v>
      </c>
      <c r="R20" s="14">
        <f>SUMIFS('NHL2025-26Results'!$E:$E,'NHL2025-26Results'!$B:$B,A20,'NHL2025-26Results'!$E:$E,"&gt;0")/COUNTIFS('NHL2025-26Results'!$B:$B,A20,'NHL2025-26Results'!$E:$E,"&gt;0")</f>
        <v>2.6428571428571428</v>
      </c>
    </row>
    <row r="21" spans="1:18" x14ac:dyDescent="0.2">
      <c r="A21" s="4" t="s">
        <v>36</v>
      </c>
      <c r="B21">
        <f>SUM(Table1[[#This Row],[W]:[OTL]])</f>
        <v>24</v>
      </c>
      <c r="C21">
        <f>COUNTIF(NHL2025_26Results[Winning Team],Standings!A21)</f>
        <v>12</v>
      </c>
      <c r="D21">
        <f>COUNTIFS('NHL2025-26Results'!$H:$H,A21,'NHL2025-26Results'!$F:$F,"")</f>
        <v>8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28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3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6</v>
      </c>
      <c r="K21">
        <f>COUNTIFS('NHL2025-26Results'!$B:$B,A21,'NHL2025-26Results'!$H:$H,A21,'NHL2025-26Results'!$F:$F,"")</f>
        <v>5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0.54545454545454541</v>
      </c>
      <c r="N21" s="11">
        <f>Table1[[#This Row],[AwayWins]]/SUM(Table1[[#This Row],[AwayWins]:[AwayOTL]])</f>
        <v>0.46153846153846156</v>
      </c>
      <c r="O21" s="14">
        <f>SUMIFS('NHL2025-26Results'!$E:$E,'NHL2025-26Results'!$D:$D,A21,'NHL2025-26Results'!$E:$E,"&gt;0")/COUNTIFS('NHL2025-26Results'!$D:$D,A21,'NHL2025-26Results'!$E:$E,"&gt;0")</f>
        <v>3.5</v>
      </c>
      <c r="P21" s="14">
        <f>SUMIFS('NHL2025-26Results'!$C:$C,'NHL2025-26Results'!$B:$B,A21,'NHL2025-26Results'!$C:$C,"&gt;0")/COUNTIFS('NHL2025-26Results'!$B:$B,A21,'NHL2025-26Results'!$C:$C,"&gt;0")</f>
        <v>3.3076923076923075</v>
      </c>
      <c r="Q21" s="14">
        <f>SUMIFS('NHL2025-26Results'!$C:$C,'NHL2025-26Results'!$D:$D,A21,'NHL2025-26Results'!$C:$C,"&gt;0")/COUNTIFS('NHL2025-26Results'!$D:$D,A21,'NHL2025-26Results'!$C:$C,"&gt;0")</f>
        <v>2.7272727272727271</v>
      </c>
      <c r="R21" s="14">
        <f>SUMIFS('NHL2025-26Results'!$E:$E,'NHL2025-26Results'!$B:$B,A21,'NHL2025-26Results'!$E:$E,"&gt;0")/COUNTIFS('NHL2025-26Results'!$B:$B,A21,'NHL2025-26Results'!$E:$E,"&gt;0")</f>
        <v>3.6923076923076925</v>
      </c>
    </row>
    <row r="22" spans="1:18" x14ac:dyDescent="0.2">
      <c r="A22" s="4" t="s">
        <v>27</v>
      </c>
      <c r="B22">
        <f>SUM(Table1[[#This Row],[W]:[OTL]])</f>
        <v>23</v>
      </c>
      <c r="C22">
        <f>COUNTIF(NHL2025_26Results[Winning Team],Standings!A22)</f>
        <v>13</v>
      </c>
      <c r="D22">
        <f>COUNTIFS('NHL2025-26Results'!$H:$H,A22,'NHL2025-26Results'!$F:$F,"")</f>
        <v>7</v>
      </c>
      <c r="E22">
        <f>COUNTIFS('NHL2025-26Results'!$F:$F,"OT",'NHL2025-26Results'!$H:$H,A22) + COUNTIFS('NHL2025-26Results'!$F:$F,"SO",'NHL2025-26Results'!$H:$H,A22)</f>
        <v>3</v>
      </c>
      <c r="F22" s="3">
        <f>(Table1[[#This Row],[W]]*2)+Table1[[#This Row],[OTL]]</f>
        <v>29</v>
      </c>
      <c r="G22">
        <f>COUNTIFS('NHL2025-26Results'!$D:$D,A22,'NHL2025-26Results'!$G:$G,A22)</f>
        <v>8</v>
      </c>
      <c r="H22">
        <f>COUNTIFS('NHL2025-26Results'!$D:$D,A22,'NHL2025-26Results'!$H:$H,A22,'NHL2025-26Results'!$F:$F,"")</f>
        <v>3</v>
      </c>
      <c r="I22">
        <f>COUNTIFS('NHL2025-26Results'!$D:$D,A22,'NHL2025-26Results'!$H:$H,A22,'NHL2025-26Results'!$F:$F,"OT") + COUNTIFS('NHL2025-26Results'!$D:$D,A22,'NHL2025-26Results'!$H:$H,A22,'NHL2025-26Results'!$F:$F,"SO")</f>
        <v>2</v>
      </c>
      <c r="J22">
        <f>COUNTIFS('NHL2025-26Results'!$B:$B,A22,'NHL2025-26Results'!$G:$G,A22)</f>
        <v>5</v>
      </c>
      <c r="K22">
        <f>COUNTIFS('NHL2025-26Results'!$B:$B,A22,'NHL2025-26Results'!$H:$H,A22,'NHL2025-26Results'!$F:$F,"")</f>
        <v>4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0.61538461538461542</v>
      </c>
      <c r="N22" s="11">
        <f>Table1[[#This Row],[AwayWins]]/SUM(Table1[[#This Row],[AwayWins]:[AwayOTL]])</f>
        <v>0.5</v>
      </c>
      <c r="O22" s="14">
        <f>SUMIFS('NHL2025-26Results'!$E:$E,'NHL2025-26Results'!$D:$D,A22,'NHL2025-26Results'!$E:$E,"&gt;0")/COUNTIFS('NHL2025-26Results'!$D:$D,A22,'NHL2025-26Results'!$E:$E,"&gt;0")</f>
        <v>3.0769230769230771</v>
      </c>
      <c r="P22" s="14">
        <f>SUMIFS('NHL2025-26Results'!$C:$C,'NHL2025-26Results'!$B:$B,A22,'NHL2025-26Results'!$C:$C,"&gt;0")/COUNTIFS('NHL2025-26Results'!$B:$B,A22,'NHL2025-26Results'!$C:$C,"&gt;0")</f>
        <v>3.1111111111111112</v>
      </c>
      <c r="Q22" s="14">
        <f>SUMIFS('NHL2025-26Results'!$C:$C,'NHL2025-26Results'!$D:$D,A22,'NHL2025-26Results'!$C:$C,"&gt;0")/COUNTIFS('NHL2025-26Results'!$D:$D,A22,'NHL2025-26Results'!$C:$C,"&gt;0")</f>
        <v>2.5384615384615383</v>
      </c>
      <c r="R22" s="14">
        <f>SUMIFS('NHL2025-26Results'!$E:$E,'NHL2025-26Results'!$B:$B,A22,'NHL2025-26Results'!$E:$E,"&gt;0")/COUNTIFS('NHL2025-26Results'!$B:$B,A22,'NHL2025-26Results'!$E:$E,"&gt;0")</f>
        <v>3.1</v>
      </c>
    </row>
    <row r="23" spans="1:18" x14ac:dyDescent="0.2">
      <c r="A23" s="4" t="s">
        <v>14</v>
      </c>
      <c r="B23">
        <f>SUM(Table1[[#This Row],[W]:[OTL]])</f>
        <v>23</v>
      </c>
      <c r="C23">
        <f>COUNTIF(NHL2025_26Results[Winning Team],Standings!A23)</f>
        <v>12</v>
      </c>
      <c r="D23">
        <f>COUNTIFS('NHL2025-26Results'!$H:$H,A23,'NHL2025-26Results'!$F:$F,"")</f>
        <v>6</v>
      </c>
      <c r="E23">
        <f>COUNTIFS('NHL2025-26Results'!$F:$F,"OT",'NHL2025-26Results'!$H:$H,A23) + COUNTIFS('NHL2025-26Results'!$F:$F,"SO",'NHL2025-26Results'!$H:$H,A23)</f>
        <v>5</v>
      </c>
      <c r="F23" s="3">
        <f>(Table1[[#This Row],[W]]*2)+Table1[[#This Row],[OTL]]</f>
        <v>29</v>
      </c>
      <c r="G23">
        <f>COUNTIFS('NHL2025-26Results'!$D:$D,A23,'NHL2025-26Results'!$G:$G,A23)</f>
        <v>6</v>
      </c>
      <c r="H23">
        <f>COUNTIFS('NHL2025-26Results'!$D:$D,A23,'NHL2025-26Results'!$H:$H,A23,'NHL2025-26Results'!$F:$F,"")</f>
        <v>3</v>
      </c>
      <c r="I23">
        <f>COUNTIFS('NHL2025-26Results'!$D:$D,A23,'NHL2025-26Results'!$H:$H,A23,'NHL2025-26Results'!$F:$F,"OT") + COUNTIFS('NHL2025-26Results'!$D:$D,A23,'NHL2025-26Results'!$H:$H,A23,'NHL2025-26Results'!$F:$F,"SO")</f>
        <v>2</v>
      </c>
      <c r="J23">
        <f>COUNTIFS('NHL2025-26Results'!$B:$B,A23,'NHL2025-26Results'!$G:$G,A23)</f>
        <v>6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3</v>
      </c>
      <c r="M23" s="11">
        <f>Table1[[#This Row],[HomeWins]]/SUM(Table1[[#This Row],[HomeWins]:[HomeOTL]])</f>
        <v>0.54545454545454541</v>
      </c>
      <c r="N23" s="11">
        <f>Table1[[#This Row],[AwayWins]]/SUM(Table1[[#This Row],[AwayWins]:[AwayOTL]])</f>
        <v>0.5</v>
      </c>
      <c r="O23" s="14">
        <f>SUMIFS('NHL2025-26Results'!$E:$E,'NHL2025-26Results'!$D:$D,A23,'NHL2025-26Results'!$E:$E,"&gt;0")/COUNTIFS('NHL2025-26Results'!$D:$D,A23,'NHL2025-26Results'!$E:$E,"&gt;0")</f>
        <v>3.7</v>
      </c>
      <c r="P23" s="14">
        <f>SUMIFS('NHL2025-26Results'!$C:$C,'NHL2025-26Results'!$B:$B,A23,'NHL2025-26Results'!$C:$C,"&gt;0")/COUNTIFS('NHL2025-26Results'!$B:$B,A23,'NHL2025-26Results'!$C:$C,"&gt;0")</f>
        <v>2.9166666666666665</v>
      </c>
      <c r="Q23" s="14">
        <f>SUMIFS('NHL2025-26Results'!$C:$C,'NHL2025-26Results'!$D:$D,A23,'NHL2025-26Results'!$C:$C,"&gt;0")/COUNTIFS('NHL2025-26Results'!$D:$D,A23,'NHL2025-26Results'!$C:$C,"&gt;0")</f>
        <v>3.4</v>
      </c>
      <c r="R23" s="14">
        <f>SUMIFS('NHL2025-26Results'!$E:$E,'NHL2025-26Results'!$B:$B,A23,'NHL2025-26Results'!$E:$E,"&gt;0")/COUNTIFS('NHL2025-26Results'!$B:$B,A23,'NHL2025-26Results'!$E:$E,"&gt;0")</f>
        <v>2.9</v>
      </c>
    </row>
    <row r="24" spans="1:18" x14ac:dyDescent="0.2">
      <c r="A24" s="4" t="s">
        <v>33</v>
      </c>
      <c r="B24">
        <f>SUM(Table1[[#This Row],[W]:[OTL]])</f>
        <v>25</v>
      </c>
      <c r="C24">
        <f>COUNTIF(NHL2025_26Results[Winning Team],Standings!A24)</f>
        <v>12</v>
      </c>
      <c r="D24">
        <f>COUNTIFS('NHL2025-26Results'!$H:$H,A24,'NHL2025-26Results'!$F:$F,"")</f>
        <v>10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27</v>
      </c>
      <c r="G24">
        <f>COUNTIFS('NHL2025-26Results'!$D:$D,A24,'NHL2025-26Results'!$G:$G,A24)</f>
        <v>8</v>
      </c>
      <c r="H24">
        <f>COUNTIFS('NHL2025-26Results'!$D:$D,A24,'NHL2025-26Results'!$H:$H,A24,'NHL2025-26Results'!$F:$F,"")</f>
        <v>4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4</v>
      </c>
      <c r="K24">
        <f>COUNTIFS('NHL2025-26Results'!$B:$B,A24,'NHL2025-26Results'!$H:$H,A24,'NHL2025-26Results'!$F:$F,"")</f>
        <v>6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0.53333333333333333</v>
      </c>
      <c r="N24" s="11">
        <f>Table1[[#This Row],[AwayWins]]/SUM(Table1[[#This Row],[AwayWins]:[AwayOTL]])</f>
        <v>0.4</v>
      </c>
      <c r="O24" s="14">
        <f>SUMIFS('NHL2025-26Results'!$E:$E,'NHL2025-26Results'!$D:$D,A24,'NHL2025-26Results'!$E:$E,"&gt;0")/COUNTIFS('NHL2025-26Results'!$D:$D,A24,'NHL2025-26Results'!$E:$E,"&gt;0")</f>
        <v>3.0714285714285716</v>
      </c>
      <c r="P24" s="14">
        <f>SUMIFS('NHL2025-26Results'!$C:$C,'NHL2025-26Results'!$B:$B,A24,'NHL2025-26Results'!$C:$C,"&gt;0")/COUNTIFS('NHL2025-26Results'!$B:$B,A24,'NHL2025-26Results'!$C:$C,"&gt;0")</f>
        <v>3.5</v>
      </c>
      <c r="Q24" s="14">
        <f>SUMIFS('NHL2025-26Results'!$C:$C,'NHL2025-26Results'!$D:$D,A24,'NHL2025-26Results'!$C:$C,"&gt;0")/COUNTIFS('NHL2025-26Results'!$D:$D,A24,'NHL2025-26Results'!$C:$C,"&gt;0")</f>
        <v>2.8666666666666667</v>
      </c>
      <c r="R24" s="14">
        <f>SUMIFS('NHL2025-26Results'!$E:$E,'NHL2025-26Results'!$B:$B,A24,'NHL2025-26Results'!$E:$E,"&gt;0")/COUNTIFS('NHL2025-26Results'!$B:$B,A24,'NHL2025-26Results'!$E:$E,"&gt;0")</f>
        <v>3.7</v>
      </c>
    </row>
    <row r="25" spans="1:18" x14ac:dyDescent="0.2">
      <c r="A25" s="4" t="s">
        <v>32</v>
      </c>
      <c r="B25">
        <f>SUM(Table1[[#This Row],[W]:[OTL]])</f>
        <v>23</v>
      </c>
      <c r="C25">
        <f>COUNTIF(NHL2025_26Results[Winning Team],Standings!A25)</f>
        <v>11</v>
      </c>
      <c r="D25">
        <f>COUNTIFS('NHL2025-26Results'!$H:$H,A25,'NHL2025-26Results'!$F:$F,"")</f>
        <v>6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28</v>
      </c>
      <c r="G25">
        <f>COUNTIFS('NHL2025-26Results'!$D:$D,A25,'NHL2025-26Results'!$G:$G,A25)</f>
        <v>6</v>
      </c>
      <c r="H25">
        <f>COUNTIFS('NHL2025-26Results'!$D:$D,A25,'NHL2025-26Results'!$H:$H,A25,'NHL2025-26Results'!$F:$F,"")</f>
        <v>2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5</v>
      </c>
      <c r="K25">
        <f>COUNTIFS('NHL2025-26Results'!$B:$B,A25,'NHL2025-26Results'!$H:$H,A25,'NHL2025-26Results'!$F:$F,"")</f>
        <v>4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0.54545454545454541</v>
      </c>
      <c r="N25" s="11">
        <f>Table1[[#This Row],[AwayWins]]/SUM(Table1[[#This Row],[AwayWins]:[AwayOTL]])</f>
        <v>0.41666666666666669</v>
      </c>
      <c r="O25" s="14">
        <f>SUMIFS('NHL2025-26Results'!$E:$E,'NHL2025-26Results'!$D:$D,A25,'NHL2025-26Results'!$E:$E,"&gt;0")/COUNTIFS('NHL2025-26Results'!$D:$D,A25,'NHL2025-26Results'!$E:$E,"&gt;0")</f>
        <v>2.6363636363636362</v>
      </c>
      <c r="P25" s="14">
        <f>SUMIFS('NHL2025-26Results'!$C:$C,'NHL2025-26Results'!$B:$B,A25,'NHL2025-26Results'!$C:$C,"&gt;0")/COUNTIFS('NHL2025-26Results'!$B:$B,A25,'NHL2025-26Results'!$C:$C,"&gt;0")</f>
        <v>2.7272727272727271</v>
      </c>
      <c r="Q25" s="14">
        <f>SUMIFS('NHL2025-26Results'!$C:$C,'NHL2025-26Results'!$D:$D,A25,'NHL2025-26Results'!$C:$C,"&gt;0")/COUNTIFS('NHL2025-26Results'!$D:$D,A25,'NHL2025-26Results'!$C:$C,"&gt;0")</f>
        <v>2.4545454545454546</v>
      </c>
      <c r="R25" s="14">
        <f>SUMIFS('NHL2025-26Results'!$E:$E,'NHL2025-26Results'!$B:$B,A25,'NHL2025-26Results'!$E:$E,"&gt;0")/COUNTIFS('NHL2025-26Results'!$B:$B,A25,'NHL2025-26Results'!$E:$E,"&gt;0")</f>
        <v>3.1818181818181817</v>
      </c>
    </row>
    <row r="26" spans="1:18" x14ac:dyDescent="0.2">
      <c r="A26" s="4" t="s">
        <v>35</v>
      </c>
      <c r="B26">
        <f>SUM(Table1[[#This Row],[W]:[OTL]])</f>
        <v>25</v>
      </c>
      <c r="C26">
        <f>COUNTIF(NHL2025_26Results[Winning Team],Standings!A26)</f>
        <v>8</v>
      </c>
      <c r="D26">
        <f>COUNTIFS('NHL2025-26Results'!$H:$H,A26,'NHL2025-26Results'!$F:$F,"")</f>
        <v>10</v>
      </c>
      <c r="E26">
        <f>COUNTIFS('NHL2025-26Results'!$F:$F,"OT",'NHL2025-26Results'!$H:$H,A26) + COUNTIFS('NHL2025-26Results'!$F:$F,"SO",'NHL2025-26Results'!$H:$H,A26)</f>
        <v>7</v>
      </c>
      <c r="F26" s="3">
        <f>(Table1[[#This Row],[W]]*2)+Table1[[#This Row],[OTL]]</f>
        <v>23</v>
      </c>
      <c r="G26">
        <f>COUNTIFS('NHL2025-26Results'!$D:$D,A26,'NHL2025-26Results'!$G:$G,A26)</f>
        <v>4</v>
      </c>
      <c r="H26">
        <f>COUNTIFS('NHL2025-26Results'!$D:$D,A26,'NHL2025-26Results'!$H:$H,A26,'NHL2025-26Results'!$F:$F,"")</f>
        <v>5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4</v>
      </c>
      <c r="K26">
        <f>COUNTIFS('NHL2025-26Results'!$B:$B,A26,'NHL2025-26Results'!$H:$H,A26,'NHL2025-26Results'!$F:$F,"")</f>
        <v>5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0.30769230769230771</v>
      </c>
      <c r="N26" s="11">
        <f>Table1[[#This Row],[AwayWins]]/SUM(Table1[[#This Row],[AwayWins]:[AwayOTL]])</f>
        <v>0.33333333333333331</v>
      </c>
      <c r="O26" s="14">
        <f>SUMIFS('NHL2025-26Results'!$E:$E,'NHL2025-26Results'!$D:$D,A26,'NHL2025-26Results'!$E:$E,"&gt;0")/COUNTIFS('NHL2025-26Results'!$D:$D,A26,'NHL2025-26Results'!$E:$E,"&gt;0")</f>
        <v>2.9166666666666665</v>
      </c>
      <c r="P26" s="14">
        <f>SUMIFS('NHL2025-26Results'!$C:$C,'NHL2025-26Results'!$B:$B,A26,'NHL2025-26Results'!$C:$C,"&gt;0")/COUNTIFS('NHL2025-26Results'!$B:$B,A26,'NHL2025-26Results'!$C:$C,"&gt;0")</f>
        <v>2.6666666666666665</v>
      </c>
      <c r="Q26" s="14">
        <f>SUMIFS('NHL2025-26Results'!$C:$C,'NHL2025-26Results'!$D:$D,A26,'NHL2025-26Results'!$C:$C,"&gt;0")/COUNTIFS('NHL2025-26Results'!$D:$D,A26,'NHL2025-26Results'!$C:$C,"&gt;0")</f>
        <v>4.0769230769230766</v>
      </c>
      <c r="R26" s="14">
        <f>SUMIFS('NHL2025-26Results'!$E:$E,'NHL2025-26Results'!$B:$B,A26,'NHL2025-26Results'!$E:$E,"&gt;0")/COUNTIFS('NHL2025-26Results'!$B:$B,A26,'NHL2025-26Results'!$E:$E,"&gt;0")</f>
        <v>3.4545454545454546</v>
      </c>
    </row>
    <row r="27" spans="1:18" x14ac:dyDescent="0.2">
      <c r="A27" s="4" t="s">
        <v>37</v>
      </c>
      <c r="B27">
        <f>SUM(Table1[[#This Row],[W]:[OTL]])</f>
        <v>24</v>
      </c>
      <c r="C27">
        <f>COUNTIF(NHL2025_26Results[Winning Team],Standings!A27)</f>
        <v>15</v>
      </c>
      <c r="D27">
        <f>COUNTIFS('NHL2025-26Results'!$H:$H,A27,'NHL2025-26Results'!$F:$F,"")</f>
        <v>7</v>
      </c>
      <c r="E27">
        <f>COUNTIFS('NHL2025-26Results'!$F:$F,"OT",'NHL2025-26Results'!$H:$H,A27) + COUNTIFS('NHL2025-26Results'!$F:$F,"SO",'NHL2025-26Results'!$H:$H,A27)</f>
        <v>2</v>
      </c>
      <c r="F27" s="3">
        <f>(Table1[[#This Row],[W]]*2)+Table1[[#This Row],[OTL]]</f>
        <v>32</v>
      </c>
      <c r="G27">
        <f>COUNTIFS('NHL2025-26Results'!$D:$D,A27,'NHL2025-26Results'!$G:$G,A27)</f>
        <v>8</v>
      </c>
      <c r="H27">
        <f>COUNTIFS('NHL2025-26Results'!$D:$D,A27,'NHL2025-26Results'!$H:$H,A27,'NHL2025-26Results'!$F:$F,"")</f>
        <v>5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7</v>
      </c>
      <c r="K27">
        <f>COUNTIFS('NHL2025-26Results'!$B:$B,A27,'NHL2025-26Results'!$H:$H,A27,'NHL2025-26Results'!$F:$F,"")</f>
        <v>2</v>
      </c>
      <c r="L27">
        <f>COUNTIFS('NHL2025-26Results'!$B:$B,A27,'NHL2025-26Results'!$H:$H,A27,'NHL2025-26Results'!$F:$F,"OT") + COUNTIFS('NHL2025-26Results'!$B:$B,A27,'NHL2025-26Results'!$H:$H,A27,'NHL2025-26Results'!$F:$F,"SO")</f>
        <v>2</v>
      </c>
      <c r="M27" s="11">
        <f>Table1[[#This Row],[HomeWins]]/SUM(Table1[[#This Row],[HomeWins]:[HomeOTL]])</f>
        <v>0.61538461538461542</v>
      </c>
      <c r="N27" s="11">
        <f>Table1[[#This Row],[AwayWins]]/SUM(Table1[[#This Row],[AwayWins]:[AwayOTL]])</f>
        <v>0.63636363636363635</v>
      </c>
      <c r="O27" s="14">
        <f>SUMIFS('NHL2025-26Results'!$E:$E,'NHL2025-26Results'!$D:$D,A27,'NHL2025-26Results'!$E:$E,"&gt;0")/COUNTIFS('NHL2025-26Results'!$D:$D,A27,'NHL2025-26Results'!$E:$E,"&gt;0")</f>
        <v>3.0769230769230771</v>
      </c>
      <c r="P27" s="14">
        <f>SUMIFS('NHL2025-26Results'!$C:$C,'NHL2025-26Results'!$B:$B,A27,'NHL2025-26Results'!$C:$C,"&gt;0")/COUNTIFS('NHL2025-26Results'!$B:$B,A27,'NHL2025-26Results'!$C:$C,"&gt;0")</f>
        <v>3.6363636363636362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2.5454545454545454</v>
      </c>
    </row>
    <row r="28" spans="1:18" x14ac:dyDescent="0.2">
      <c r="A28" s="4" t="s">
        <v>19</v>
      </c>
      <c r="B28">
        <f>SUM(Table1[[#This Row],[W]:[OTL]])</f>
        <v>24</v>
      </c>
      <c r="C28">
        <f>COUNTIF(NHL2025_26Results[Winning Team],Standings!A28)</f>
        <v>10</v>
      </c>
      <c r="D28">
        <f>COUNTIFS('NHL2025-26Results'!$H:$H,A28,'NHL2025-26Results'!$F:$F,"")</f>
        <v>11</v>
      </c>
      <c r="E28">
        <f>COUNTIFS('NHL2025-26Results'!$F:$F,"OT",'NHL2025-26Results'!$H:$H,A28) + COUNTIFS('NHL2025-26Results'!$F:$F,"SO",'NHL2025-26Results'!$H:$H,A28)</f>
        <v>3</v>
      </c>
      <c r="F28" s="3">
        <f>(Table1[[#This Row],[W]]*2)+Table1[[#This Row],[OTL]]</f>
        <v>23</v>
      </c>
      <c r="G28">
        <f>COUNTIFS('NHL2025-26Results'!$D:$D,A28,'NHL2025-26Results'!$G:$G,A28)</f>
        <v>8</v>
      </c>
      <c r="H28">
        <f>COUNTIFS('NHL2025-26Results'!$D:$D,A28,'NHL2025-26Results'!$H:$H,A28,'NHL2025-26Results'!$F:$F,"")</f>
        <v>4</v>
      </c>
      <c r="I28">
        <f>COUNTIFS('NHL2025-26Results'!$D:$D,A28,'NHL2025-26Results'!$H:$H,A28,'NHL2025-26Results'!$F:$F,"OT") + COUNTIFS('NHL2025-26Results'!$D:$D,A28,'NHL2025-26Results'!$H:$H,A28,'NHL2025-26Results'!$F:$F,"SO")</f>
        <v>3</v>
      </c>
      <c r="J28">
        <f>COUNTIFS('NHL2025-26Results'!$B:$B,A28,'NHL2025-26Results'!$G:$G,A28)</f>
        <v>2</v>
      </c>
      <c r="K28">
        <f>COUNTIFS('NHL2025-26Results'!$B:$B,A28,'NHL2025-26Results'!$H:$H,A28,'NHL2025-26Results'!$F:$F,"")</f>
        <v>7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0.53333333333333333</v>
      </c>
      <c r="N28" s="11">
        <f>Table1[[#This Row],[AwayWins]]/SUM(Table1[[#This Row],[AwayWins]:[AwayOTL]])</f>
        <v>0.22222222222222221</v>
      </c>
      <c r="O28" s="14">
        <f>SUMIFS('NHL2025-26Results'!$E:$E,'NHL2025-26Results'!$D:$D,A28,'NHL2025-26Results'!$E:$E,"&gt;0")/COUNTIFS('NHL2025-26Results'!$D:$D,A28,'NHL2025-26Results'!$E:$E,"&gt;0")</f>
        <v>3.5333333333333332</v>
      </c>
      <c r="P28" s="14">
        <f>SUMIFS('NHL2025-26Results'!$C:$C,'NHL2025-26Results'!$B:$B,A28,'NHL2025-26Results'!$C:$C,"&gt;0")/COUNTIFS('NHL2025-26Results'!$B:$B,A28,'NHL2025-26Results'!$C:$C,"&gt;0")</f>
        <v>2.7777777777777777</v>
      </c>
      <c r="Q28" s="14">
        <f>SUMIFS('NHL2025-26Results'!$C:$C,'NHL2025-26Results'!$D:$D,A28,'NHL2025-26Results'!$C:$C,"&gt;0")/COUNTIFS('NHL2025-26Results'!$D:$D,A28,'NHL2025-26Results'!$C:$C,"&gt;0")</f>
        <v>3.3333333333333335</v>
      </c>
      <c r="R28" s="14">
        <f>SUMIFS('NHL2025-26Results'!$E:$E,'NHL2025-26Results'!$B:$B,A28,'NHL2025-26Results'!$E:$E,"&gt;0")/COUNTIFS('NHL2025-26Results'!$B:$B,A28,'NHL2025-26Results'!$E:$E,"&gt;0")</f>
        <v>4.1111111111111107</v>
      </c>
    </row>
    <row r="29" spans="1:18" x14ac:dyDescent="0.2">
      <c r="A29" t="s">
        <v>55</v>
      </c>
      <c r="B29">
        <f>SUM(Table1[[#This Row],[W]:[OTL]])</f>
        <v>25</v>
      </c>
      <c r="C29">
        <f>COUNTIF(NHL2025_26Results[Winning Team],Standings!A29)</f>
        <v>12</v>
      </c>
      <c r="D29">
        <f>COUNTIFS('NHL2025-26Results'!$H:$H,A29,'NHL2025-26Results'!$F:$F,"")</f>
        <v>10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27</v>
      </c>
      <c r="G29">
        <f>COUNTIFS('NHL2025-26Results'!$D:$D,A29,'NHL2025-26Results'!$G:$G,A29)</f>
        <v>7</v>
      </c>
      <c r="H29">
        <f>COUNTIFS('NHL2025-26Results'!$D:$D,A29,'NHL2025-26Results'!$H:$H,A29,'NHL2025-26Results'!$F:$F,"")</f>
        <v>3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5</v>
      </c>
      <c r="K29">
        <f>COUNTIFS('NHL2025-26Results'!$B:$B,A29,'NHL2025-26Results'!$H:$H,A29,'NHL2025-26Results'!$F:$F,"")</f>
        <v>7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0.63636363636363635</v>
      </c>
      <c r="N29" s="11">
        <f>Table1[[#This Row],[AwayWins]]/SUM(Table1[[#This Row],[AwayWins]:[AwayOTL]])</f>
        <v>0.35714285714285715</v>
      </c>
      <c r="O29" s="14">
        <f>SUMIFS('NHL2025-26Results'!$E:$E,'NHL2025-26Results'!$D:$D,A29,'NHL2025-26Results'!$E:$E,"&gt;0")/COUNTIFS('NHL2025-26Results'!$D:$D,A29,'NHL2025-26Results'!$E:$E,"&gt;0")</f>
        <v>3.3636363636363638</v>
      </c>
      <c r="P29" s="14">
        <f>SUMIFS('NHL2025-26Results'!$C:$C,'NHL2025-26Results'!$B:$B,A29,'NHL2025-26Results'!$C:$C,"&gt;0")/COUNTIFS('NHL2025-26Results'!$B:$B,A29,'NHL2025-26Results'!$C:$C,"&gt;0")</f>
        <v>2.8571428571428572</v>
      </c>
      <c r="Q29" s="14">
        <f>SUMIFS('NHL2025-26Results'!$C:$C,'NHL2025-26Results'!$D:$D,A29,'NHL2025-26Results'!$C:$C,"&gt;0")/COUNTIFS('NHL2025-26Results'!$D:$D,A29,'NHL2025-26Results'!$C:$C,"&gt;0")</f>
        <v>2.6363636363636362</v>
      </c>
      <c r="R29" s="14">
        <f>SUMIFS('NHL2025-26Results'!$E:$E,'NHL2025-26Results'!$B:$B,A29,'NHL2025-26Results'!$E:$E,"&gt;0")/COUNTIFS('NHL2025-26Results'!$B:$B,A29,'NHL2025-26Results'!$E:$E,"&gt;0")</f>
        <v>3.3571428571428572</v>
      </c>
    </row>
    <row r="30" spans="1:18" x14ac:dyDescent="0.2">
      <c r="A30" s="4" t="s">
        <v>38</v>
      </c>
      <c r="B30">
        <f>SUM(Table1[[#This Row],[W]:[OTL]])</f>
        <v>25</v>
      </c>
      <c r="C30">
        <f>COUNTIF(NHL2025_26Results[Winning Team],Standings!A30)</f>
        <v>10</v>
      </c>
      <c r="D30">
        <f>COUNTIFS('NHL2025-26Results'!$H:$H,A30,'NHL2025-26Results'!$F:$F,"")</f>
        <v>13</v>
      </c>
      <c r="E30">
        <f>COUNTIFS('NHL2025-26Results'!$F:$F,"OT",'NHL2025-26Results'!$H:$H,A30) + COUNTIFS('NHL2025-26Results'!$F:$F,"SO",'NHL2025-26Results'!$H:$H,A30)</f>
        <v>2</v>
      </c>
      <c r="F30" s="3">
        <f>(Table1[[#This Row],[W]]*2)+Table1[[#This Row],[OTL]]</f>
        <v>22</v>
      </c>
      <c r="G30">
        <f>COUNTIFS('NHL2025-26Results'!$D:$D,A30,'NHL2025-26Results'!$G:$G,A30)</f>
        <v>3</v>
      </c>
      <c r="H30">
        <f>COUNTIFS('NHL2025-26Results'!$D:$D,A30,'NHL2025-26Results'!$H:$H,A30,'NHL2025-26Results'!$F:$F,"")</f>
        <v>7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7</v>
      </c>
      <c r="K30">
        <f>COUNTIFS('NHL2025-26Results'!$B:$B,A30,'NHL2025-26Results'!$H:$H,A30,'NHL2025-26Results'!$F:$F,"")</f>
        <v>6</v>
      </c>
      <c r="L30">
        <f>COUNTIFS('NHL2025-26Results'!$B:$B,A30,'NHL2025-26Results'!$H:$H,A30,'NHL2025-26Results'!$F:$F,"OT") + COUNTIFS('NHL2025-26Results'!$B:$B,A30,'NHL2025-26Results'!$H:$H,A30,'NHL2025-26Results'!$F:$F,"SO")</f>
        <v>1</v>
      </c>
      <c r="M30" s="11">
        <f>Table1[[#This Row],[HomeWins]]/SUM(Table1[[#This Row],[HomeWins]:[HomeOTL]])</f>
        <v>0.27272727272727271</v>
      </c>
      <c r="N30" s="11">
        <f>Table1[[#This Row],[AwayWins]]/SUM(Table1[[#This Row],[AwayWins]:[AwayOTL]])</f>
        <v>0.5</v>
      </c>
      <c r="O30" s="14">
        <f>SUMIFS('NHL2025-26Results'!$E:$E,'NHL2025-26Results'!$D:$D,A30,'NHL2025-26Results'!$E:$E,"&gt;0")/COUNTIFS('NHL2025-26Results'!$D:$D,A30,'NHL2025-26Results'!$E:$E,"&gt;0")</f>
        <v>3.1</v>
      </c>
      <c r="P30" s="14">
        <f>SUMIFS('NHL2025-26Results'!$C:$C,'NHL2025-26Results'!$B:$B,A30,'NHL2025-26Results'!$C:$C,"&gt;0")/COUNTIFS('NHL2025-26Results'!$B:$B,A30,'NHL2025-26Results'!$C:$C,"&gt;0")</f>
        <v>3.3571428571428572</v>
      </c>
      <c r="Q30" s="14">
        <f>SUMIFS('NHL2025-26Results'!$C:$C,'NHL2025-26Results'!$D:$D,A30,'NHL2025-26Results'!$C:$C,"&gt;0")/COUNTIFS('NHL2025-26Results'!$D:$D,A30,'NHL2025-26Results'!$C:$C,"&gt;0")</f>
        <v>3.8181818181818183</v>
      </c>
      <c r="R30" s="14">
        <f>SUMIFS('NHL2025-26Results'!$E:$E,'NHL2025-26Results'!$B:$B,A30,'NHL2025-26Results'!$E:$E,"&gt;0")/COUNTIFS('NHL2025-26Results'!$B:$B,A30,'NHL2025-26Results'!$E:$E,"&gt;0")</f>
        <v>3.6428571428571428</v>
      </c>
    </row>
    <row r="31" spans="1:18" x14ac:dyDescent="0.2">
      <c r="A31" s="4" t="s">
        <v>20</v>
      </c>
      <c r="B31">
        <f>SUM(Table1[[#This Row],[W]:[OTL]])</f>
        <v>24</v>
      </c>
      <c r="C31">
        <f>COUNTIF(NHL2025_26Results[Winning Team],Standings!A31)</f>
        <v>10</v>
      </c>
      <c r="D31">
        <f>COUNTIFS('NHL2025-26Results'!$H:$H,A31,'NHL2025-26Results'!$F:$F,"")</f>
        <v>6</v>
      </c>
      <c r="E31">
        <f>COUNTIFS('NHL2025-26Results'!$F:$F,"OT",'NHL2025-26Results'!$H:$H,A31) + COUNTIFS('NHL2025-26Results'!$F:$F,"SO",'NHL2025-26Results'!$H:$H,A31)</f>
        <v>8</v>
      </c>
      <c r="F31" s="3">
        <f>(Table1[[#This Row],[W]]*2)+Table1[[#This Row],[OTL]]</f>
        <v>28</v>
      </c>
      <c r="G31">
        <f>COUNTIFS('NHL2025-26Results'!$D:$D,A31,'NHL2025-26Results'!$G:$G,A31)</f>
        <v>5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4</v>
      </c>
      <c r="J31">
        <f>COUNTIFS('NHL2025-26Results'!$B:$B,A31,'NHL2025-26Results'!$G:$G,A31)</f>
        <v>5</v>
      </c>
      <c r="K31">
        <f>COUNTIFS('NHL2025-26Results'!$B:$B,A31,'NHL2025-26Results'!$H:$H,A31,'NHL2025-26Results'!$F:$F,"")</f>
        <v>2</v>
      </c>
      <c r="L31">
        <f>COUNTIFS('NHL2025-26Results'!$B:$B,A31,'NHL2025-26Results'!$H:$H,A31,'NHL2025-26Results'!$F:$F,"OT") + COUNTIFS('NHL2025-26Results'!$B:$B,A31,'NHL2025-26Results'!$H:$H,A31,'NHL2025-26Results'!$F:$F,"SO")</f>
        <v>4</v>
      </c>
      <c r="M31" s="11">
        <f>Table1[[#This Row],[HomeWins]]/SUM(Table1[[#This Row],[HomeWins]:[HomeOTL]])</f>
        <v>0.38461538461538464</v>
      </c>
      <c r="N31" s="11">
        <f>Table1[[#This Row],[AwayWins]]/SUM(Table1[[#This Row],[AwayWins]:[AwayOTL]])</f>
        <v>0.45454545454545453</v>
      </c>
      <c r="O31" s="14">
        <f>SUMIFS('NHL2025-26Results'!$E:$E,'NHL2025-26Results'!$D:$D,A31,'NHL2025-26Results'!$E:$E,"&gt;0")/COUNTIFS('NHL2025-26Results'!$D:$D,A31,'NHL2025-26Results'!$E:$E,"&gt;0")</f>
        <v>3.2307692307692308</v>
      </c>
      <c r="P31" s="14">
        <f>SUMIFS('NHL2025-26Results'!$C:$C,'NHL2025-26Results'!$B:$B,A31,'NHL2025-26Results'!$C:$C,"&gt;0")/COUNTIFS('NHL2025-26Results'!$B:$B,A31,'NHL2025-26Results'!$C:$C,"&gt;0")</f>
        <v>3</v>
      </c>
      <c r="Q31" s="14">
        <f>SUMIFS('NHL2025-26Results'!$C:$C,'NHL2025-26Results'!$D:$D,A31,'NHL2025-26Results'!$C:$C,"&gt;0")/COUNTIFS('NHL2025-26Results'!$D:$D,A31,'NHL2025-26Results'!$C:$C,"&gt;0")</f>
        <v>3.6666666666666665</v>
      </c>
      <c r="R31" s="14">
        <f>SUMIFS('NHL2025-26Results'!$E:$E,'NHL2025-26Results'!$B:$B,A31,'NHL2025-26Results'!$E:$E,"&gt;0")/COUNTIFS('NHL2025-26Results'!$B:$B,A31,'NHL2025-26Results'!$E:$E,"&gt;0")</f>
        <v>2.6363636363636362</v>
      </c>
    </row>
    <row r="32" spans="1:18" x14ac:dyDescent="0.2">
      <c r="A32" s="4" t="s">
        <v>22</v>
      </c>
      <c r="B32">
        <f>SUM(Table1[[#This Row],[W]:[OTL]])</f>
        <v>25</v>
      </c>
      <c r="C32">
        <f>COUNTIF(NHL2025_26Results[Winning Team],Standings!A32)</f>
        <v>14</v>
      </c>
      <c r="D32">
        <f>COUNTIFS('NHL2025-26Results'!$H:$H,A32,'NHL2025-26Results'!$F:$F,"")</f>
        <v>9</v>
      </c>
      <c r="E32">
        <f>COUNTIFS('NHL2025-26Results'!$F:$F,"OT",'NHL2025-26Results'!$H:$H,A32) + COUNTIFS('NHL2025-26Results'!$F:$F,"SO",'NHL2025-26Results'!$H:$H,A32)</f>
        <v>2</v>
      </c>
      <c r="F32" s="3">
        <f>(Table1[[#This Row],[W]]*2)+Table1[[#This Row],[OTL]]</f>
        <v>30</v>
      </c>
      <c r="G32">
        <f>COUNTIFS('NHL2025-26Results'!$D:$D,A32,'NHL2025-26Results'!$G:$G,A32)</f>
        <v>9</v>
      </c>
      <c r="H32">
        <f>COUNTIFS('NHL2025-26Results'!$D:$D,A32,'NHL2025-26Results'!$H:$H,A32,'NHL2025-26Results'!$F:$F,"")</f>
        <v>5</v>
      </c>
      <c r="I32">
        <f>COUNTIFS('NHL2025-26Results'!$D:$D,A32,'NHL2025-26Results'!$H:$H,A32,'NHL2025-26Results'!$F:$F,"OT") + COUNTIFS('NHL2025-26Results'!$D:$D,A32,'NHL2025-26Results'!$H:$H,A32,'NHL2025-26Results'!$F:$F,"SO")</f>
        <v>1</v>
      </c>
      <c r="J32">
        <f>COUNTIFS('NHL2025-26Results'!$B:$B,A32,'NHL2025-26Results'!$G:$G,A32)</f>
        <v>5</v>
      </c>
      <c r="K32">
        <f>COUNTIFS('NHL2025-26Results'!$B:$B,A32,'NHL2025-26Results'!$H:$H,A32,'NHL2025-26Results'!$F:$F,"")</f>
        <v>4</v>
      </c>
      <c r="L32">
        <f>COUNTIFS('NHL2025-26Results'!$B:$B,A32,'NHL2025-26Results'!$H:$H,A32,'NHL2025-26Results'!$F:$F,"OT") + COUNTIFS('NHL2025-26Results'!$B:$B,A32,'NHL2025-26Results'!$H:$H,A32,'NHL2025-26Results'!$F:$F,"SO")</f>
        <v>1</v>
      </c>
      <c r="M32" s="11">
        <f>Table1[[#This Row],[HomeWins]]/SUM(Table1[[#This Row],[HomeWins]:[HomeOTL]])</f>
        <v>0.6</v>
      </c>
      <c r="N32" s="11">
        <f>Table1[[#This Row],[AwayWins]]/SUM(Table1[[#This Row],[AwayWins]:[AwayOTL]])</f>
        <v>0.5</v>
      </c>
      <c r="O32" s="14">
        <f>SUMIFS('NHL2025-26Results'!$E:$E,'NHL2025-26Results'!$D:$D,A32,'NHL2025-26Results'!$E:$E,"&gt;0")/COUNTIFS('NHL2025-26Results'!$D:$D,A32,'NHL2025-26Results'!$E:$E,"&gt;0")</f>
        <v>3.4</v>
      </c>
      <c r="P32" s="14">
        <f>SUMIFS('NHL2025-26Results'!$C:$C,'NHL2025-26Results'!$B:$B,A32,'NHL2025-26Results'!$C:$C,"&gt;0")/COUNTIFS('NHL2025-26Results'!$B:$B,A32,'NHL2025-26Results'!$C:$C,"&gt;0")</f>
        <v>3.6666666666666665</v>
      </c>
      <c r="Q32" s="14">
        <f>SUMIFS('NHL2025-26Results'!$C:$C,'NHL2025-26Results'!$D:$D,A32,'NHL2025-26Results'!$C:$C,"&gt;0")/COUNTIFS('NHL2025-26Results'!$D:$D,A32,'NHL2025-26Results'!$C:$C,"&gt;0")</f>
        <v>2.7333333333333334</v>
      </c>
      <c r="R32" s="14">
        <f>SUMIFS('NHL2025-26Results'!$E:$E,'NHL2025-26Results'!$B:$B,A32,'NHL2025-26Results'!$E:$E,"&gt;0")/COUNTIFS('NHL2025-26Results'!$B:$B,A32,'NHL2025-26Results'!$E:$E,"&gt;0")</f>
        <v>3</v>
      </c>
    </row>
    <row r="33" spans="1:18" x14ac:dyDescent="0.2">
      <c r="A33" s="4" t="s">
        <v>40</v>
      </c>
      <c r="B33">
        <f>SUM(Table1[[#This Row],[W]:[OTL]])</f>
        <v>23</v>
      </c>
      <c r="C33">
        <f>COUNTIF(NHL2025_26Results[Winning Team],Standings!A33)</f>
        <v>12</v>
      </c>
      <c r="D33">
        <f>COUNTIFS('NHL2025-26Results'!$H:$H,A33,'NHL2025-26Results'!$F:$F,"")</f>
        <v>11</v>
      </c>
      <c r="E33">
        <f>COUNTIFS('NHL2025-26Results'!$F:$F,"OT",'NHL2025-26Results'!$H:$H,A33) + COUNTIFS('NHL2025-26Results'!$F:$F,"SO",'NHL2025-26Results'!$H:$H,A33)</f>
        <v>0</v>
      </c>
      <c r="F33" s="3">
        <f>(Table1[[#This Row],[W]]*2)+Table1[[#This Row],[OTL]]</f>
        <v>24</v>
      </c>
      <c r="G33">
        <f>COUNTIFS('NHL2025-26Results'!$D:$D,A33,'NHL2025-26Results'!$G:$G,A33)</f>
        <v>6</v>
      </c>
      <c r="H33">
        <f>COUNTIFS('NHL2025-26Results'!$D:$D,A33,'NHL2025-26Results'!$H:$H,A33,'NHL2025-26Results'!$F:$F,"")</f>
        <v>5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6</v>
      </c>
      <c r="K33">
        <f>COUNTIFS('NHL2025-26Results'!$B:$B,A33,'NHL2025-26Results'!$H:$H,A33,'NHL2025-26Results'!$F:$F,"")</f>
        <v>6</v>
      </c>
      <c r="L33">
        <f>COUNTIFS('NHL2025-26Results'!$B:$B,A33,'NHL2025-26Results'!$H:$H,A33,'NHL2025-26Results'!$F:$F,"OT") + COUNTIFS('NHL2025-26Results'!$B:$B,A33,'NHL2025-26Results'!$H:$H,A33,'NHL2025-26Results'!$F:$F,"SO")</f>
        <v>0</v>
      </c>
      <c r="M33" s="11">
        <f>Table1[[#This Row],[HomeWins]]/SUM(Table1[[#This Row],[HomeWins]:[HomeOTL]])</f>
        <v>0.54545454545454541</v>
      </c>
      <c r="N33" s="11">
        <f>Table1[[#This Row],[AwayWins]]/SUM(Table1[[#This Row],[AwayWins]:[AwayOTL]])</f>
        <v>0.5</v>
      </c>
      <c r="O33" s="14">
        <f>SUMIFS('NHL2025-26Results'!$E:$E,'NHL2025-26Results'!$D:$D,A33,'NHL2025-26Results'!$E:$E,"&gt;0")/COUNTIFS('NHL2025-26Results'!$D:$D,A33,'NHL2025-26Results'!$E:$E,"&gt;0")</f>
        <v>4.1111111111111107</v>
      </c>
      <c r="P33" s="14">
        <f>SUMIFS('NHL2025-26Results'!$C:$C,'NHL2025-26Results'!$B:$B,A33,'NHL2025-26Results'!$C:$C,"&gt;0")/COUNTIFS('NHL2025-26Results'!$B:$B,A33,'NHL2025-26Results'!$C:$C,"&gt;0")</f>
        <v>3.0909090909090908</v>
      </c>
      <c r="Q33" s="14">
        <f>SUMIFS('NHL2025-26Results'!$C:$C,'NHL2025-26Results'!$D:$D,A33,'NHL2025-26Results'!$C:$C,"&gt;0")/COUNTIFS('NHL2025-26Results'!$D:$D,A33,'NHL2025-26Results'!$C:$C,"&gt;0")</f>
        <v>2.8181818181818183</v>
      </c>
      <c r="R33" s="14">
        <f>SUMIFS('NHL2025-26Results'!$E:$E,'NHL2025-26Results'!$B:$B,A33,'NHL2025-26Results'!$E:$E,"&gt;0")/COUNTIFS('NHL2025-26Results'!$B:$B,A33,'NHL2025-26Results'!$E:$E,"&gt;0")</f>
        <v>3.0833333333333335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57691-E514-6B4C-9563-56D36E7A2768}">
  <dimension ref="A1:AA101"/>
  <sheetViews>
    <sheetView topLeftCell="F13" zoomScale="59" workbookViewId="0">
      <selection activeCell="O68" sqref="O68"/>
    </sheetView>
  </sheetViews>
  <sheetFormatPr baseColWidth="10" defaultRowHeight="16" x14ac:dyDescent="0.2"/>
  <cols>
    <col min="1" max="1" width="14.5" bestFit="1" customWidth="1"/>
    <col min="2" max="2" width="14.83203125" bestFit="1" customWidth="1"/>
    <col min="3" max="4" width="19.83203125" bestFit="1" customWidth="1"/>
    <col min="5" max="5" width="39.5" bestFit="1" customWidth="1"/>
    <col min="6" max="6" width="19.83203125" bestFit="1" customWidth="1"/>
    <col min="7" max="7" width="18" bestFit="1" customWidth="1"/>
    <col min="8" max="8" width="19.1640625" bestFit="1" customWidth="1"/>
    <col min="9" max="9" width="18.1640625" style="13" bestFit="1" customWidth="1"/>
    <col min="10" max="10" width="10.33203125" bestFit="1" customWidth="1"/>
    <col min="11" max="11" width="15.1640625" style="18" bestFit="1" customWidth="1"/>
    <col min="12" max="12" width="14.33203125" bestFit="1" customWidth="1"/>
    <col min="13" max="13" width="59" bestFit="1" customWidth="1"/>
    <col min="14" max="14" width="19.83203125" bestFit="1" customWidth="1"/>
    <col min="15" max="15" width="20.1640625" bestFit="1" customWidth="1"/>
    <col min="16" max="16" width="21.33203125" bestFit="1" customWidth="1"/>
    <col min="17" max="17" width="20.5" style="13" bestFit="1" customWidth="1"/>
    <col min="18" max="18" width="12.6640625" bestFit="1" customWidth="1"/>
    <col min="19" max="19" width="18.5" bestFit="1" customWidth="1"/>
    <col min="20" max="20" width="16.5" bestFit="1" customWidth="1"/>
    <col min="21" max="21" width="19.83203125" bestFit="1" customWidth="1"/>
    <col min="22" max="22" width="20.5" bestFit="1" customWidth="1"/>
    <col min="23" max="23" width="21.6640625" bestFit="1" customWidth="1"/>
    <col min="24" max="24" width="12.83203125" bestFit="1" customWidth="1"/>
    <col min="25" max="25" width="15.6640625" bestFit="1" customWidth="1"/>
    <col min="26" max="27" width="20" bestFit="1" customWidth="1"/>
  </cols>
  <sheetData>
    <row r="1" spans="1:27" x14ac:dyDescent="0.2">
      <c r="A1" t="s">
        <v>272</v>
      </c>
      <c r="B1" t="s">
        <v>260</v>
      </c>
      <c r="C1" t="s">
        <v>262</v>
      </c>
      <c r="D1" t="s">
        <v>261</v>
      </c>
      <c r="E1" t="s">
        <v>273</v>
      </c>
      <c r="F1" t="s">
        <v>274</v>
      </c>
      <c r="G1" t="s">
        <v>275</v>
      </c>
      <c r="H1" t="s">
        <v>276</v>
      </c>
      <c r="I1" s="13" t="s">
        <v>263</v>
      </c>
      <c r="J1" t="s">
        <v>277</v>
      </c>
      <c r="K1" s="13" t="s">
        <v>278</v>
      </c>
      <c r="L1" t="s">
        <v>266</v>
      </c>
      <c r="M1" t="s">
        <v>279</v>
      </c>
      <c r="N1" t="s">
        <v>280</v>
      </c>
      <c r="O1" t="s">
        <v>281</v>
      </c>
      <c r="P1" t="s">
        <v>282</v>
      </c>
      <c r="Q1" s="13" t="s">
        <v>264</v>
      </c>
      <c r="R1" t="s">
        <v>283</v>
      </c>
      <c r="S1" t="s">
        <v>284</v>
      </c>
      <c r="T1" t="s">
        <v>267</v>
      </c>
      <c r="U1" t="s">
        <v>265</v>
      </c>
      <c r="V1" t="s">
        <v>271</v>
      </c>
      <c r="W1" t="s">
        <v>270</v>
      </c>
      <c r="X1" t="s">
        <v>285</v>
      </c>
      <c r="Y1" t="s">
        <v>286</v>
      </c>
      <c r="Z1" t="s">
        <v>287</v>
      </c>
      <c r="AA1" t="s">
        <v>288</v>
      </c>
    </row>
    <row r="2" spans="1:27" x14ac:dyDescent="0.2">
      <c r="A2" s="20" t="s">
        <v>216</v>
      </c>
      <c r="B2" s="20" t="s">
        <v>289</v>
      </c>
      <c r="C2" s="20" t="s">
        <v>55</v>
      </c>
      <c r="D2" s="20" t="s">
        <v>31</v>
      </c>
      <c r="E2" s="20" t="s">
        <v>290</v>
      </c>
      <c r="F2" s="20" t="s">
        <v>31</v>
      </c>
      <c r="G2" s="20">
        <v>4</v>
      </c>
      <c r="H2" s="20">
        <v>5</v>
      </c>
      <c r="I2" s="13">
        <v>0.96</v>
      </c>
      <c r="J2" s="20" t="s">
        <v>249</v>
      </c>
      <c r="L2" s="20" t="s">
        <v>248</v>
      </c>
      <c r="M2" s="20" t="s">
        <v>291</v>
      </c>
      <c r="N2" s="20" t="s">
        <v>31</v>
      </c>
      <c r="O2" s="20">
        <v>2</v>
      </c>
      <c r="P2" s="20">
        <v>4</v>
      </c>
      <c r="Q2" s="13">
        <v>0.75549999999999995</v>
      </c>
      <c r="R2" s="20" t="s">
        <v>249</v>
      </c>
      <c r="S2" s="20">
        <v>0.8</v>
      </c>
      <c r="T2" s="20" t="s">
        <v>248</v>
      </c>
      <c r="U2" s="20" t="s">
        <v>31</v>
      </c>
      <c r="V2" s="20">
        <v>2</v>
      </c>
      <c r="W2" s="20">
        <v>3</v>
      </c>
      <c r="X2" s="20" t="s">
        <v>379</v>
      </c>
      <c r="Y2" s="20" t="s">
        <v>292</v>
      </c>
      <c r="Z2" s="20" t="s">
        <v>60</v>
      </c>
      <c r="AA2" s="20" t="s">
        <v>380</v>
      </c>
    </row>
    <row r="3" spans="1:27" x14ac:dyDescent="0.2">
      <c r="A3" s="20" t="s">
        <v>216</v>
      </c>
      <c r="B3" s="20" t="s">
        <v>293</v>
      </c>
      <c r="C3" s="20" t="s">
        <v>25</v>
      </c>
      <c r="D3" s="20" t="s">
        <v>21</v>
      </c>
      <c r="E3" s="20" t="s">
        <v>294</v>
      </c>
      <c r="F3" s="20" t="s">
        <v>21</v>
      </c>
      <c r="G3" s="20">
        <v>3</v>
      </c>
      <c r="H3" s="20">
        <v>4</v>
      </c>
      <c r="I3" s="13">
        <v>0.54630000000000001</v>
      </c>
      <c r="J3" s="20" t="s">
        <v>249</v>
      </c>
      <c r="L3" s="20" t="s">
        <v>249</v>
      </c>
      <c r="M3" s="20" t="s">
        <v>381</v>
      </c>
      <c r="N3" s="20" t="s">
        <v>25</v>
      </c>
      <c r="O3" s="20">
        <v>2</v>
      </c>
      <c r="P3" s="20">
        <v>3</v>
      </c>
      <c r="Q3" s="13">
        <v>0.54330000000000001</v>
      </c>
      <c r="R3" s="20" t="s">
        <v>249</v>
      </c>
      <c r="S3" s="20">
        <v>-0.47</v>
      </c>
      <c r="T3" s="20" t="s">
        <v>248</v>
      </c>
      <c r="U3" s="20" t="s">
        <v>25</v>
      </c>
      <c r="V3" s="20">
        <v>3</v>
      </c>
      <c r="W3" s="20">
        <v>1</v>
      </c>
      <c r="X3" s="20" t="s">
        <v>379</v>
      </c>
      <c r="Y3" s="20" t="s">
        <v>292</v>
      </c>
      <c r="Z3" s="20" t="s">
        <v>60</v>
      </c>
      <c r="AA3" s="20" t="s">
        <v>380</v>
      </c>
    </row>
    <row r="4" spans="1:27" x14ac:dyDescent="0.2">
      <c r="A4" s="20" t="s">
        <v>216</v>
      </c>
      <c r="B4" s="20" t="s">
        <v>293</v>
      </c>
      <c r="C4" s="20" t="s">
        <v>17</v>
      </c>
      <c r="D4" s="20" t="s">
        <v>23</v>
      </c>
      <c r="E4" s="20" t="s">
        <v>295</v>
      </c>
      <c r="F4" s="20" t="s">
        <v>23</v>
      </c>
      <c r="G4" s="20">
        <v>3</v>
      </c>
      <c r="H4" s="20">
        <v>4</v>
      </c>
      <c r="I4" s="13">
        <v>0.55500000000000005</v>
      </c>
      <c r="J4" s="20" t="s">
        <v>249</v>
      </c>
      <c r="L4" s="20" t="s">
        <v>248</v>
      </c>
      <c r="M4" s="20" t="s">
        <v>296</v>
      </c>
      <c r="N4" s="20" t="s">
        <v>17</v>
      </c>
      <c r="O4" s="20">
        <v>2</v>
      </c>
      <c r="P4" s="20">
        <v>3</v>
      </c>
      <c r="Q4" s="13">
        <v>0.47189999999999999</v>
      </c>
      <c r="R4" s="20" t="s">
        <v>248</v>
      </c>
      <c r="S4" s="20">
        <v>-0.09</v>
      </c>
      <c r="T4" s="20" t="s">
        <v>249</v>
      </c>
      <c r="U4" s="20" t="s">
        <v>23</v>
      </c>
      <c r="V4" s="20">
        <v>1</v>
      </c>
      <c r="W4" s="20">
        <v>5</v>
      </c>
      <c r="X4" s="20" t="s">
        <v>379</v>
      </c>
      <c r="Y4" s="20" t="s">
        <v>292</v>
      </c>
      <c r="Z4" s="20" t="s">
        <v>60</v>
      </c>
      <c r="AA4" s="20" t="s">
        <v>380</v>
      </c>
    </row>
    <row r="5" spans="1:27" x14ac:dyDescent="0.2">
      <c r="A5" s="20" t="s">
        <v>216</v>
      </c>
      <c r="B5" s="20" t="s">
        <v>297</v>
      </c>
      <c r="C5" s="20" t="s">
        <v>18</v>
      </c>
      <c r="D5" s="20" t="s">
        <v>28</v>
      </c>
      <c r="E5" s="20" t="s">
        <v>298</v>
      </c>
      <c r="F5" s="20" t="s">
        <v>18</v>
      </c>
      <c r="G5" s="20">
        <v>4</v>
      </c>
      <c r="H5" s="20">
        <v>3</v>
      </c>
      <c r="I5" s="13">
        <v>0.7097</v>
      </c>
      <c r="J5" s="20" t="s">
        <v>249</v>
      </c>
      <c r="L5" s="20" t="s">
        <v>249</v>
      </c>
      <c r="M5" s="20" t="s">
        <v>382</v>
      </c>
      <c r="N5" s="20" t="s">
        <v>28</v>
      </c>
      <c r="O5" s="20">
        <v>2</v>
      </c>
      <c r="P5" s="20">
        <v>3</v>
      </c>
      <c r="Q5" s="13">
        <v>0.50209999999999999</v>
      </c>
      <c r="R5" s="20" t="s">
        <v>248</v>
      </c>
      <c r="S5" s="20">
        <v>0.28000000000000003</v>
      </c>
      <c r="T5" s="20" t="s">
        <v>248</v>
      </c>
      <c r="U5" s="20" t="s">
        <v>28</v>
      </c>
      <c r="V5" s="20">
        <v>3</v>
      </c>
      <c r="W5" s="20">
        <v>4</v>
      </c>
      <c r="X5" s="20" t="s">
        <v>379</v>
      </c>
      <c r="Y5" s="20" t="s">
        <v>292</v>
      </c>
      <c r="Z5" s="20" t="s">
        <v>60</v>
      </c>
      <c r="AA5" s="20" t="s">
        <v>380</v>
      </c>
    </row>
    <row r="6" spans="1:27" x14ac:dyDescent="0.2">
      <c r="A6" s="20" t="s">
        <v>216</v>
      </c>
      <c r="B6" s="20" t="s">
        <v>293</v>
      </c>
      <c r="C6" s="20" t="s">
        <v>38</v>
      </c>
      <c r="D6" s="20" t="s">
        <v>11</v>
      </c>
      <c r="E6" s="20" t="s">
        <v>299</v>
      </c>
      <c r="F6" s="20" t="s">
        <v>38</v>
      </c>
      <c r="G6" s="20">
        <v>5</v>
      </c>
      <c r="H6" s="20">
        <v>4</v>
      </c>
      <c r="I6" s="13">
        <v>0.5766</v>
      </c>
      <c r="J6" s="20" t="s">
        <v>249</v>
      </c>
      <c r="L6" s="20" t="s">
        <v>249</v>
      </c>
      <c r="M6" s="20" t="s">
        <v>383</v>
      </c>
      <c r="N6" s="20" t="s">
        <v>11</v>
      </c>
      <c r="O6" s="20">
        <v>2</v>
      </c>
      <c r="P6" s="20">
        <v>4</v>
      </c>
      <c r="Q6" s="13">
        <v>0.62919999999999998</v>
      </c>
      <c r="R6" s="20" t="s">
        <v>249</v>
      </c>
      <c r="S6" s="20">
        <v>0.56999999999999995</v>
      </c>
      <c r="T6" s="20" t="s">
        <v>248</v>
      </c>
      <c r="U6" s="20" t="s">
        <v>11</v>
      </c>
      <c r="V6" s="20">
        <v>5</v>
      </c>
      <c r="W6" s="20">
        <v>8</v>
      </c>
      <c r="X6" s="20" t="s">
        <v>379</v>
      </c>
      <c r="Y6" s="20" t="s">
        <v>292</v>
      </c>
      <c r="Z6" s="20" t="s">
        <v>60</v>
      </c>
      <c r="AA6" s="20" t="s">
        <v>380</v>
      </c>
    </row>
    <row r="7" spans="1:27" x14ac:dyDescent="0.2">
      <c r="A7" s="20" t="s">
        <v>216</v>
      </c>
      <c r="B7" s="20" t="s">
        <v>293</v>
      </c>
      <c r="C7" s="20" t="s">
        <v>13</v>
      </c>
      <c r="D7" s="20" t="s">
        <v>22</v>
      </c>
      <c r="E7" s="20" t="s">
        <v>300</v>
      </c>
      <c r="F7" s="20" t="s">
        <v>13</v>
      </c>
      <c r="G7" s="20">
        <v>4</v>
      </c>
      <c r="H7" s="20">
        <v>1</v>
      </c>
      <c r="I7" s="13">
        <v>0.84499999999999997</v>
      </c>
      <c r="J7" s="20" t="s">
        <v>249</v>
      </c>
      <c r="L7" s="20" t="s">
        <v>249</v>
      </c>
      <c r="M7" s="20" t="s">
        <v>384</v>
      </c>
      <c r="N7" s="20" t="s">
        <v>22</v>
      </c>
      <c r="O7" s="20">
        <v>2</v>
      </c>
      <c r="P7" s="20">
        <v>3</v>
      </c>
      <c r="Q7" s="13">
        <v>0.44309999999999999</v>
      </c>
      <c r="R7" s="20" t="s">
        <v>248</v>
      </c>
      <c r="S7" s="20">
        <v>0.18</v>
      </c>
      <c r="T7" s="20" t="s">
        <v>248</v>
      </c>
      <c r="U7" s="20" t="s">
        <v>22</v>
      </c>
      <c r="V7" s="20">
        <v>1</v>
      </c>
      <c r="W7" s="20">
        <v>2</v>
      </c>
      <c r="X7" s="20" t="s">
        <v>379</v>
      </c>
      <c r="Y7" s="20" t="s">
        <v>292</v>
      </c>
      <c r="Z7" s="20" t="s">
        <v>60</v>
      </c>
      <c r="AA7" s="20" t="s">
        <v>380</v>
      </c>
    </row>
    <row r="8" spans="1:27" x14ac:dyDescent="0.2">
      <c r="A8" s="20" t="s">
        <v>217</v>
      </c>
      <c r="B8" s="20" t="s">
        <v>301</v>
      </c>
      <c r="C8" s="20" t="s">
        <v>16</v>
      </c>
      <c r="D8" s="20" t="s">
        <v>10</v>
      </c>
      <c r="E8" s="20" t="s">
        <v>302</v>
      </c>
      <c r="F8" s="20" t="s">
        <v>10</v>
      </c>
      <c r="G8" s="20">
        <v>4</v>
      </c>
      <c r="H8" s="20">
        <v>5</v>
      </c>
      <c r="I8" s="13">
        <v>0.66520000000000001</v>
      </c>
      <c r="J8" s="20" t="s">
        <v>249</v>
      </c>
      <c r="L8" s="20" t="s">
        <v>248</v>
      </c>
      <c r="M8" s="20" t="s">
        <v>303</v>
      </c>
      <c r="N8" s="20" t="s">
        <v>10</v>
      </c>
      <c r="O8" s="20">
        <v>2</v>
      </c>
      <c r="P8" s="20">
        <v>5</v>
      </c>
      <c r="Q8" s="13">
        <v>0.80840000000000001</v>
      </c>
      <c r="R8" s="20" t="s">
        <v>249</v>
      </c>
      <c r="S8" s="20">
        <v>1.87</v>
      </c>
      <c r="T8" s="20" t="s">
        <v>248</v>
      </c>
      <c r="U8" s="20" t="s">
        <v>10</v>
      </c>
      <c r="V8" s="20">
        <v>2</v>
      </c>
      <c r="W8" s="20">
        <v>5</v>
      </c>
      <c r="X8" s="20" t="s">
        <v>379</v>
      </c>
      <c r="Y8" s="20" t="s">
        <v>292</v>
      </c>
      <c r="Z8" s="20" t="s">
        <v>60</v>
      </c>
      <c r="AA8" s="20" t="s">
        <v>380</v>
      </c>
    </row>
    <row r="9" spans="1:27" x14ac:dyDescent="0.2">
      <c r="A9" s="20" t="s">
        <v>217</v>
      </c>
      <c r="B9" s="20" t="s">
        <v>304</v>
      </c>
      <c r="C9" s="20" t="s">
        <v>30</v>
      </c>
      <c r="D9" s="20" t="s">
        <v>39</v>
      </c>
      <c r="E9" s="20" t="s">
        <v>305</v>
      </c>
      <c r="F9" s="20" t="s">
        <v>39</v>
      </c>
      <c r="G9" s="20">
        <v>3</v>
      </c>
      <c r="H9" s="20">
        <v>4</v>
      </c>
      <c r="I9" s="13">
        <v>0.60160000000000002</v>
      </c>
      <c r="J9" s="20" t="s">
        <v>249</v>
      </c>
      <c r="L9" s="20" t="s">
        <v>249</v>
      </c>
      <c r="M9" s="20" t="s">
        <v>385</v>
      </c>
      <c r="N9" s="20" t="s">
        <v>39</v>
      </c>
      <c r="O9" s="20">
        <v>2</v>
      </c>
      <c r="P9" s="20">
        <v>3</v>
      </c>
      <c r="Q9" s="13">
        <v>0.58560000000000001</v>
      </c>
      <c r="R9" s="20" t="s">
        <v>249</v>
      </c>
      <c r="S9" s="20">
        <v>0.43</v>
      </c>
      <c r="T9" s="20" t="s">
        <v>249</v>
      </c>
      <c r="U9" s="20" t="s">
        <v>30</v>
      </c>
      <c r="V9" s="20">
        <v>3</v>
      </c>
      <c r="W9" s="20">
        <v>2</v>
      </c>
      <c r="X9" s="20" t="s">
        <v>379</v>
      </c>
      <c r="Y9" s="20" t="s">
        <v>292</v>
      </c>
      <c r="Z9" s="20" t="s">
        <v>60</v>
      </c>
      <c r="AA9" s="20" t="s">
        <v>380</v>
      </c>
    </row>
    <row r="10" spans="1:27" x14ac:dyDescent="0.2">
      <c r="A10" s="20" t="s">
        <v>217</v>
      </c>
      <c r="B10" s="20" t="s">
        <v>293</v>
      </c>
      <c r="C10" s="20" t="s">
        <v>32</v>
      </c>
      <c r="D10" s="20" t="s">
        <v>26</v>
      </c>
      <c r="E10" s="20" t="s">
        <v>306</v>
      </c>
      <c r="F10" s="20" t="s">
        <v>26</v>
      </c>
      <c r="G10" s="20">
        <v>3</v>
      </c>
      <c r="H10" s="20">
        <v>4</v>
      </c>
      <c r="I10" s="13">
        <v>0.51580000000000004</v>
      </c>
      <c r="J10" s="20" t="s">
        <v>249</v>
      </c>
      <c r="L10" s="20" t="s">
        <v>248</v>
      </c>
      <c r="M10" s="20" t="s">
        <v>307</v>
      </c>
      <c r="N10" s="20" t="s">
        <v>26</v>
      </c>
      <c r="O10" s="20">
        <v>2</v>
      </c>
      <c r="P10" s="20">
        <v>3</v>
      </c>
      <c r="Q10" s="13">
        <v>0.57440000000000002</v>
      </c>
      <c r="R10" s="20" t="s">
        <v>248</v>
      </c>
      <c r="S10" s="20">
        <v>0.06</v>
      </c>
      <c r="T10" s="20" t="s">
        <v>248</v>
      </c>
      <c r="U10" s="20" t="s">
        <v>26</v>
      </c>
      <c r="V10" s="20">
        <v>2</v>
      </c>
      <c r="W10" s="20">
        <v>4</v>
      </c>
      <c r="X10" s="20" t="s">
        <v>379</v>
      </c>
      <c r="Y10" s="20" t="s">
        <v>292</v>
      </c>
      <c r="Z10" s="20" t="s">
        <v>60</v>
      </c>
      <c r="AA10" s="20" t="s">
        <v>380</v>
      </c>
    </row>
    <row r="11" spans="1:27" x14ac:dyDescent="0.2">
      <c r="A11" s="20" t="s">
        <v>217</v>
      </c>
      <c r="B11" s="20" t="s">
        <v>289</v>
      </c>
      <c r="C11" s="20" t="s">
        <v>55</v>
      </c>
      <c r="D11" s="20" t="s">
        <v>33</v>
      </c>
      <c r="E11" s="20" t="s">
        <v>308</v>
      </c>
      <c r="F11" s="20" t="s">
        <v>33</v>
      </c>
      <c r="G11" s="20">
        <v>3</v>
      </c>
      <c r="H11" s="20">
        <v>4</v>
      </c>
      <c r="I11" s="13">
        <v>0.51419999999999999</v>
      </c>
      <c r="J11" s="20" t="s">
        <v>249</v>
      </c>
      <c r="L11" s="20" t="s">
        <v>248</v>
      </c>
      <c r="M11" s="20" t="s">
        <v>309</v>
      </c>
      <c r="N11" s="20" t="s">
        <v>55</v>
      </c>
      <c r="O11" s="20">
        <v>2</v>
      </c>
      <c r="P11" s="20">
        <v>3</v>
      </c>
      <c r="Q11" s="13">
        <v>0.47210000000000002</v>
      </c>
      <c r="R11" s="20" t="s">
        <v>248</v>
      </c>
      <c r="S11" s="20">
        <v>-0.08</v>
      </c>
      <c r="T11" s="20" t="s">
        <v>249</v>
      </c>
      <c r="U11" s="20" t="s">
        <v>33</v>
      </c>
      <c r="V11" s="20">
        <v>2</v>
      </c>
      <c r="W11" s="20">
        <v>3</v>
      </c>
      <c r="X11" s="20" t="s">
        <v>379</v>
      </c>
      <c r="Y11" s="20" t="s">
        <v>292</v>
      </c>
      <c r="Z11" s="20" t="s">
        <v>60</v>
      </c>
      <c r="AA11" s="20" t="s">
        <v>380</v>
      </c>
    </row>
    <row r="12" spans="1:27" x14ac:dyDescent="0.2">
      <c r="A12" s="20" t="s">
        <v>217</v>
      </c>
      <c r="B12" s="20" t="s">
        <v>293</v>
      </c>
      <c r="C12" s="20" t="s">
        <v>24</v>
      </c>
      <c r="D12" s="20" t="s">
        <v>37</v>
      </c>
      <c r="E12" s="20" t="s">
        <v>310</v>
      </c>
      <c r="F12" s="20" t="s">
        <v>24</v>
      </c>
      <c r="G12" s="20">
        <v>4</v>
      </c>
      <c r="H12" s="20">
        <v>3</v>
      </c>
      <c r="I12" s="13">
        <v>0.66</v>
      </c>
      <c r="J12" s="20" t="s">
        <v>249</v>
      </c>
      <c r="L12" s="20" t="s">
        <v>249</v>
      </c>
      <c r="M12" s="20" t="s">
        <v>386</v>
      </c>
      <c r="N12" s="20" t="s">
        <v>24</v>
      </c>
      <c r="O12" s="20">
        <v>2</v>
      </c>
      <c r="P12" s="20">
        <v>3</v>
      </c>
      <c r="Q12" s="13">
        <v>0.59699999999999998</v>
      </c>
      <c r="R12" s="20" t="s">
        <v>249</v>
      </c>
      <c r="S12" s="20">
        <v>-0.49</v>
      </c>
      <c r="T12" s="20" t="s">
        <v>249</v>
      </c>
      <c r="U12" s="20" t="s">
        <v>37</v>
      </c>
      <c r="V12" s="20">
        <v>1</v>
      </c>
      <c r="W12" s="20">
        <v>5</v>
      </c>
      <c r="X12" s="20" t="s">
        <v>379</v>
      </c>
      <c r="Y12" s="20" t="s">
        <v>292</v>
      </c>
      <c r="Z12" s="20" t="s">
        <v>60</v>
      </c>
      <c r="AA12" s="20" t="s">
        <v>380</v>
      </c>
    </row>
    <row r="13" spans="1:27" x14ac:dyDescent="0.2">
      <c r="A13" s="20" t="s">
        <v>217</v>
      </c>
      <c r="B13" s="20" t="s">
        <v>293</v>
      </c>
      <c r="C13" s="20" t="s">
        <v>35</v>
      </c>
      <c r="D13" s="20" t="s">
        <v>19</v>
      </c>
      <c r="E13" s="20" t="s">
        <v>311</v>
      </c>
      <c r="F13" s="20" t="s">
        <v>19</v>
      </c>
      <c r="G13" s="20">
        <v>3</v>
      </c>
      <c r="H13" s="20">
        <v>4</v>
      </c>
      <c r="I13" s="13">
        <v>0.5917</v>
      </c>
      <c r="J13" s="20" t="s">
        <v>249</v>
      </c>
      <c r="L13" s="20" t="s">
        <v>248</v>
      </c>
      <c r="M13" s="20" t="s">
        <v>312</v>
      </c>
      <c r="N13" s="20" t="s">
        <v>19</v>
      </c>
      <c r="O13" s="20">
        <v>2</v>
      </c>
      <c r="P13" s="20">
        <v>4</v>
      </c>
      <c r="Q13" s="13">
        <v>0.7107</v>
      </c>
      <c r="R13" s="20" t="s">
        <v>249</v>
      </c>
      <c r="S13" s="20">
        <v>1.19</v>
      </c>
      <c r="T13" s="20" t="s">
        <v>248</v>
      </c>
      <c r="U13" s="20" t="s">
        <v>19</v>
      </c>
      <c r="V13" s="20">
        <v>2</v>
      </c>
      <c r="W13" s="20">
        <v>3</v>
      </c>
      <c r="X13" s="20" t="s">
        <v>379</v>
      </c>
      <c r="Y13" s="20" t="s">
        <v>292</v>
      </c>
      <c r="Z13" s="20" t="s">
        <v>60</v>
      </c>
      <c r="AA13" s="20" t="s">
        <v>380</v>
      </c>
    </row>
    <row r="14" spans="1:27" x14ac:dyDescent="0.2">
      <c r="A14" s="20" t="s">
        <v>217</v>
      </c>
      <c r="B14" s="20" t="s">
        <v>289</v>
      </c>
      <c r="C14" s="20" t="s">
        <v>15</v>
      </c>
      <c r="D14" s="20" t="s">
        <v>20</v>
      </c>
      <c r="E14" s="20" t="s">
        <v>313</v>
      </c>
      <c r="F14" s="20" t="s">
        <v>15</v>
      </c>
      <c r="G14" s="20">
        <v>5</v>
      </c>
      <c r="H14" s="20">
        <v>4</v>
      </c>
      <c r="I14" s="13">
        <v>0.55930000000000002</v>
      </c>
      <c r="J14" s="20" t="s">
        <v>249</v>
      </c>
      <c r="L14" s="20" t="s">
        <v>249</v>
      </c>
      <c r="M14" s="20" t="s">
        <v>387</v>
      </c>
      <c r="N14" s="20" t="s">
        <v>20</v>
      </c>
      <c r="O14" s="20">
        <v>2</v>
      </c>
      <c r="P14" s="20">
        <v>4</v>
      </c>
      <c r="Q14" s="13">
        <v>0.47089999999999999</v>
      </c>
      <c r="R14" s="20" t="s">
        <v>249</v>
      </c>
      <c r="S14" s="20">
        <v>0.51</v>
      </c>
      <c r="T14" s="20" t="s">
        <v>248</v>
      </c>
      <c r="U14" s="20" t="s">
        <v>20</v>
      </c>
      <c r="V14" s="20">
        <v>2</v>
      </c>
      <c r="W14" s="20">
        <v>3</v>
      </c>
      <c r="X14" s="20" t="s">
        <v>379</v>
      </c>
      <c r="Y14" s="20" t="s">
        <v>292</v>
      </c>
      <c r="Z14" s="20" t="s">
        <v>60</v>
      </c>
      <c r="AA14" s="20" t="s">
        <v>380</v>
      </c>
    </row>
    <row r="15" spans="1:27" x14ac:dyDescent="0.2">
      <c r="A15" s="20" t="s">
        <v>217</v>
      </c>
      <c r="B15" s="20" t="s">
        <v>304</v>
      </c>
      <c r="C15" s="20" t="s">
        <v>28</v>
      </c>
      <c r="D15" s="20" t="s">
        <v>40</v>
      </c>
      <c r="E15" s="20" t="s">
        <v>314</v>
      </c>
      <c r="F15" s="20" t="s">
        <v>40</v>
      </c>
      <c r="G15" s="20">
        <v>3</v>
      </c>
      <c r="H15" s="20">
        <v>4</v>
      </c>
      <c r="I15" s="13">
        <v>0.67559999999999998</v>
      </c>
      <c r="J15" s="20" t="s">
        <v>249</v>
      </c>
      <c r="L15" s="20" t="s">
        <v>248</v>
      </c>
      <c r="M15" s="20" t="s">
        <v>315</v>
      </c>
      <c r="N15" s="20" t="s">
        <v>40</v>
      </c>
      <c r="O15" s="20">
        <v>2</v>
      </c>
      <c r="P15" s="20">
        <v>4</v>
      </c>
      <c r="Q15" s="13">
        <v>0.64970000000000006</v>
      </c>
      <c r="R15" s="20" t="s">
        <v>249</v>
      </c>
      <c r="S15" s="20">
        <v>0.66</v>
      </c>
      <c r="T15" s="20" t="s">
        <v>248</v>
      </c>
      <c r="U15" s="20" t="s">
        <v>40</v>
      </c>
      <c r="V15" s="20">
        <v>2</v>
      </c>
      <c r="W15" s="20">
        <v>5</v>
      </c>
      <c r="X15" s="20" t="s">
        <v>379</v>
      </c>
      <c r="Y15" s="20" t="s">
        <v>292</v>
      </c>
      <c r="Z15" s="20" t="s">
        <v>60</v>
      </c>
      <c r="AA15" s="20" t="s">
        <v>380</v>
      </c>
    </row>
    <row r="16" spans="1:27" x14ac:dyDescent="0.2">
      <c r="A16" s="20" t="s">
        <v>218</v>
      </c>
      <c r="B16" s="20" t="s">
        <v>289</v>
      </c>
      <c r="C16" s="20" t="s">
        <v>21</v>
      </c>
      <c r="D16" s="20" t="s">
        <v>31</v>
      </c>
      <c r="E16" s="20" t="s">
        <v>316</v>
      </c>
      <c r="F16" s="20" t="s">
        <v>31</v>
      </c>
      <c r="G16" s="20">
        <v>4</v>
      </c>
      <c r="H16" s="20">
        <v>5</v>
      </c>
      <c r="I16" s="13">
        <v>0.84830000000000005</v>
      </c>
      <c r="J16" s="20" t="s">
        <v>249</v>
      </c>
      <c r="L16" s="20" t="s">
        <v>248</v>
      </c>
      <c r="M16" s="20" t="s">
        <v>291</v>
      </c>
      <c r="N16" s="20" t="s">
        <v>31</v>
      </c>
      <c r="O16" s="20">
        <v>2</v>
      </c>
      <c r="P16" s="20">
        <v>4</v>
      </c>
      <c r="Q16" s="13">
        <v>0.76080000000000003</v>
      </c>
      <c r="R16" s="20" t="s">
        <v>249</v>
      </c>
      <c r="S16" s="20">
        <v>0.77</v>
      </c>
      <c r="T16" s="20" t="s">
        <v>248</v>
      </c>
      <c r="U16" s="20" t="s">
        <v>31</v>
      </c>
      <c r="V16" s="20">
        <v>3</v>
      </c>
      <c r="W16" s="20">
        <v>4</v>
      </c>
      <c r="X16" s="20" t="s">
        <v>379</v>
      </c>
      <c r="Y16" s="20" t="s">
        <v>292</v>
      </c>
      <c r="Z16" s="20" t="s">
        <v>60</v>
      </c>
      <c r="AA16" s="20" t="s">
        <v>380</v>
      </c>
    </row>
    <row r="17" spans="1:27" x14ac:dyDescent="0.2">
      <c r="A17" s="20" t="s">
        <v>218</v>
      </c>
      <c r="B17" s="20" t="s">
        <v>297</v>
      </c>
      <c r="C17" s="20" t="s">
        <v>16</v>
      </c>
      <c r="D17" s="20" t="s">
        <v>23</v>
      </c>
      <c r="E17" s="20" t="s">
        <v>317</v>
      </c>
      <c r="F17" s="20" t="s">
        <v>23</v>
      </c>
      <c r="G17" s="20">
        <v>3</v>
      </c>
      <c r="H17" s="20">
        <v>4</v>
      </c>
      <c r="I17" s="13">
        <v>0.82420000000000004</v>
      </c>
      <c r="J17" s="20" t="s">
        <v>249</v>
      </c>
      <c r="L17" s="20" t="s">
        <v>249</v>
      </c>
      <c r="M17" s="20" t="s">
        <v>388</v>
      </c>
      <c r="N17" s="20" t="s">
        <v>23</v>
      </c>
      <c r="O17" s="20">
        <v>2</v>
      </c>
      <c r="P17" s="20">
        <v>4</v>
      </c>
      <c r="Q17" s="13">
        <v>0.68479999999999996</v>
      </c>
      <c r="R17" s="20" t="s">
        <v>249</v>
      </c>
      <c r="S17" s="20">
        <v>0.99</v>
      </c>
      <c r="T17" s="20" t="s">
        <v>249</v>
      </c>
      <c r="U17" s="20" t="s">
        <v>16</v>
      </c>
      <c r="V17" s="20">
        <v>6</v>
      </c>
      <c r="W17" s="20">
        <v>2</v>
      </c>
      <c r="X17" s="20" t="s">
        <v>379</v>
      </c>
      <c r="Y17" s="20" t="s">
        <v>292</v>
      </c>
      <c r="Z17" s="20" t="s">
        <v>60</v>
      </c>
      <c r="AA17" s="20" t="s">
        <v>380</v>
      </c>
    </row>
    <row r="18" spans="1:27" x14ac:dyDescent="0.2">
      <c r="A18" s="20" t="s">
        <v>218</v>
      </c>
      <c r="B18" s="20" t="s">
        <v>318</v>
      </c>
      <c r="C18" s="20" t="s">
        <v>25</v>
      </c>
      <c r="D18" s="20" t="s">
        <v>34</v>
      </c>
      <c r="E18" s="20" t="s">
        <v>319</v>
      </c>
      <c r="F18" s="20" t="s">
        <v>25</v>
      </c>
      <c r="G18" s="20">
        <v>5</v>
      </c>
      <c r="H18" s="20">
        <v>4</v>
      </c>
      <c r="I18" s="13">
        <v>0.62329999999999997</v>
      </c>
      <c r="J18" s="20" t="s">
        <v>249</v>
      </c>
      <c r="L18" s="20" t="s">
        <v>249</v>
      </c>
      <c r="M18" s="20" t="s">
        <v>389</v>
      </c>
      <c r="N18" s="20" t="s">
        <v>25</v>
      </c>
      <c r="O18" s="20">
        <v>2</v>
      </c>
      <c r="P18" s="20">
        <v>4</v>
      </c>
      <c r="Q18" s="13">
        <v>0.72150000000000003</v>
      </c>
      <c r="R18" s="20" t="s">
        <v>249</v>
      </c>
      <c r="S18" s="20">
        <v>-1.0900000000000001</v>
      </c>
      <c r="T18" s="20" t="s">
        <v>249</v>
      </c>
      <c r="U18" s="20" t="s">
        <v>34</v>
      </c>
      <c r="V18" s="20">
        <v>3</v>
      </c>
      <c r="W18" s="20">
        <v>4</v>
      </c>
      <c r="X18" s="20" t="s">
        <v>379</v>
      </c>
      <c r="Y18" s="20" t="s">
        <v>292</v>
      </c>
      <c r="Z18" s="20" t="s">
        <v>60</v>
      </c>
      <c r="AA18" s="20" t="s">
        <v>380</v>
      </c>
    </row>
    <row r="19" spans="1:27" x14ac:dyDescent="0.2">
      <c r="A19" s="20" t="s">
        <v>218</v>
      </c>
      <c r="B19" s="20" t="s">
        <v>293</v>
      </c>
      <c r="C19" s="20" t="s">
        <v>17</v>
      </c>
      <c r="D19" s="20" t="s">
        <v>22</v>
      </c>
      <c r="E19" s="20" t="s">
        <v>320</v>
      </c>
      <c r="F19" s="20" t="s">
        <v>22</v>
      </c>
      <c r="G19" s="20">
        <v>3</v>
      </c>
      <c r="H19" s="20">
        <v>4</v>
      </c>
      <c r="I19" s="13">
        <v>0.54659999999999997</v>
      </c>
      <c r="J19" s="20" t="s">
        <v>249</v>
      </c>
      <c r="L19" s="20" t="s">
        <v>248</v>
      </c>
      <c r="M19" s="20" t="s">
        <v>321</v>
      </c>
      <c r="N19" s="20" t="s">
        <v>22</v>
      </c>
      <c r="O19" s="20">
        <v>2</v>
      </c>
      <c r="P19" s="20">
        <v>4</v>
      </c>
      <c r="Q19" s="13">
        <v>0.68869999999999998</v>
      </c>
      <c r="R19" s="20" t="s">
        <v>249</v>
      </c>
      <c r="S19" s="20">
        <v>1.03</v>
      </c>
      <c r="T19" s="20" t="s">
        <v>248</v>
      </c>
      <c r="U19" s="20" t="s">
        <v>22</v>
      </c>
      <c r="V19" s="20">
        <v>4</v>
      </c>
      <c r="W19" s="20">
        <v>7</v>
      </c>
      <c r="X19" s="20" t="s">
        <v>379</v>
      </c>
      <c r="Y19" s="20" t="s">
        <v>292</v>
      </c>
      <c r="Z19" s="20" t="s">
        <v>60</v>
      </c>
      <c r="AA19" s="20" t="s">
        <v>380</v>
      </c>
    </row>
    <row r="20" spans="1:27" x14ac:dyDescent="0.2">
      <c r="A20" s="20" t="s">
        <v>219</v>
      </c>
      <c r="B20" s="20" t="s">
        <v>322</v>
      </c>
      <c r="C20" s="20" t="s">
        <v>36</v>
      </c>
      <c r="D20" s="20" t="s">
        <v>31</v>
      </c>
      <c r="E20" s="20" t="s">
        <v>323</v>
      </c>
      <c r="F20" s="20" t="s">
        <v>31</v>
      </c>
      <c r="G20" s="20">
        <v>3</v>
      </c>
      <c r="H20" s="20">
        <v>4</v>
      </c>
      <c r="I20" s="13">
        <v>0.79971067821067798</v>
      </c>
      <c r="J20" s="20" t="s">
        <v>248</v>
      </c>
      <c r="K20" s="18">
        <v>0.53300000000000003</v>
      </c>
      <c r="L20" s="20" t="s">
        <v>249</v>
      </c>
      <c r="M20" s="20" t="s">
        <v>390</v>
      </c>
      <c r="N20" s="20" t="s">
        <v>31</v>
      </c>
      <c r="O20" s="20">
        <v>2</v>
      </c>
      <c r="P20" s="20">
        <v>4</v>
      </c>
      <c r="Q20" s="13">
        <v>0.82141601872248204</v>
      </c>
      <c r="R20" s="20" t="s">
        <v>249</v>
      </c>
      <c r="S20" s="20">
        <v>1.21</v>
      </c>
      <c r="T20" s="20" t="s">
        <v>249</v>
      </c>
      <c r="U20" s="20" t="s">
        <v>36</v>
      </c>
      <c r="V20" s="20">
        <v>3</v>
      </c>
      <c r="W20" s="20">
        <v>2</v>
      </c>
      <c r="X20" s="20" t="s">
        <v>379</v>
      </c>
      <c r="Y20" s="20" t="s">
        <v>292</v>
      </c>
      <c r="Z20" s="20" t="s">
        <v>60</v>
      </c>
      <c r="AA20" s="20" t="s">
        <v>380</v>
      </c>
    </row>
    <row r="21" spans="1:27" x14ac:dyDescent="0.2">
      <c r="A21" s="20" t="s">
        <v>219</v>
      </c>
      <c r="B21" s="20" t="s">
        <v>324</v>
      </c>
      <c r="C21" s="20" t="s">
        <v>32</v>
      </c>
      <c r="D21" s="20" t="s">
        <v>10</v>
      </c>
      <c r="E21" s="20" t="s">
        <v>325</v>
      </c>
      <c r="F21" s="20" t="s">
        <v>10</v>
      </c>
      <c r="G21" s="20">
        <v>3</v>
      </c>
      <c r="H21" s="20">
        <v>4</v>
      </c>
      <c r="I21" s="13">
        <v>0.81409746588693999</v>
      </c>
      <c r="J21" s="20" t="s">
        <v>248</v>
      </c>
      <c r="K21" s="18">
        <v>0.50700000000000001</v>
      </c>
      <c r="L21" s="20" t="s">
        <v>249</v>
      </c>
      <c r="M21" s="20" t="s">
        <v>391</v>
      </c>
      <c r="N21" s="20" t="s">
        <v>10</v>
      </c>
      <c r="O21" s="20">
        <v>2</v>
      </c>
      <c r="P21" s="20">
        <v>4</v>
      </c>
      <c r="Q21" s="13">
        <v>0.68955873942591095</v>
      </c>
      <c r="R21" s="20" t="s">
        <v>249</v>
      </c>
      <c r="S21" s="20">
        <v>1.04</v>
      </c>
      <c r="T21" s="20" t="s">
        <v>249</v>
      </c>
      <c r="U21" s="20" t="s">
        <v>32</v>
      </c>
      <c r="V21" s="20">
        <v>3</v>
      </c>
      <c r="W21" s="20">
        <v>2</v>
      </c>
      <c r="X21" s="20" t="s">
        <v>379</v>
      </c>
      <c r="Y21" s="20" t="s">
        <v>292</v>
      </c>
      <c r="Z21" s="20" t="s">
        <v>60</v>
      </c>
      <c r="AA21" s="20" t="s">
        <v>380</v>
      </c>
    </row>
    <row r="22" spans="1:27" x14ac:dyDescent="0.2">
      <c r="A22" s="20" t="s">
        <v>219</v>
      </c>
      <c r="B22" s="20" t="s">
        <v>326</v>
      </c>
      <c r="C22" s="20" t="s">
        <v>15</v>
      </c>
      <c r="D22" s="20" t="s">
        <v>12</v>
      </c>
      <c r="E22" s="20" t="s">
        <v>327</v>
      </c>
      <c r="F22" s="20" t="s">
        <v>12</v>
      </c>
      <c r="G22" s="20">
        <v>3</v>
      </c>
      <c r="H22" s="20">
        <v>4</v>
      </c>
      <c r="I22" s="13">
        <v>0.68089417989418</v>
      </c>
      <c r="J22" s="20" t="s">
        <v>249</v>
      </c>
      <c r="K22" s="18">
        <v>0.28699999999999998</v>
      </c>
      <c r="L22" s="20" t="s">
        <v>248</v>
      </c>
      <c r="M22" s="20" t="s">
        <v>361</v>
      </c>
      <c r="N22" s="20" t="s">
        <v>12</v>
      </c>
      <c r="O22" s="20">
        <v>1</v>
      </c>
      <c r="P22" s="20">
        <v>5</v>
      </c>
      <c r="Q22" s="13">
        <v>0.79009355708149598</v>
      </c>
      <c r="R22" s="20" t="s">
        <v>249</v>
      </c>
      <c r="S22" s="20">
        <v>2.04</v>
      </c>
      <c r="T22" s="20" t="s">
        <v>248</v>
      </c>
      <c r="U22" s="20" t="s">
        <v>12</v>
      </c>
      <c r="V22" s="20">
        <v>3</v>
      </c>
      <c r="W22" s="20">
        <v>6</v>
      </c>
      <c r="X22" s="20" t="s">
        <v>379</v>
      </c>
      <c r="Y22" s="20" t="s">
        <v>292</v>
      </c>
      <c r="Z22" s="20" t="s">
        <v>60</v>
      </c>
      <c r="AA22" s="20" t="s">
        <v>380</v>
      </c>
    </row>
    <row r="23" spans="1:27" x14ac:dyDescent="0.2">
      <c r="A23" s="20" t="s">
        <v>219</v>
      </c>
      <c r="B23" s="20" t="s">
        <v>328</v>
      </c>
      <c r="C23" s="20" t="s">
        <v>30</v>
      </c>
      <c r="D23" s="20" t="s">
        <v>26</v>
      </c>
      <c r="E23" s="20" t="s">
        <v>329</v>
      </c>
      <c r="F23" s="20" t="s">
        <v>26</v>
      </c>
      <c r="G23" s="20">
        <v>3</v>
      </c>
      <c r="H23" s="20">
        <v>4</v>
      </c>
      <c r="I23" s="13">
        <v>0.507202173213117</v>
      </c>
      <c r="J23" s="20" t="s">
        <v>249</v>
      </c>
      <c r="K23" s="18">
        <v>0.44</v>
      </c>
      <c r="L23" s="20" t="s">
        <v>249</v>
      </c>
      <c r="M23" s="20" t="s">
        <v>392</v>
      </c>
      <c r="N23" s="20" t="s">
        <v>30</v>
      </c>
      <c r="O23" s="20">
        <v>2</v>
      </c>
      <c r="P23" s="20">
        <v>3</v>
      </c>
      <c r="Q23" s="13">
        <v>0.50783942088355705</v>
      </c>
      <c r="R23" s="20" t="s">
        <v>248</v>
      </c>
      <c r="S23" s="20">
        <v>-0.21</v>
      </c>
      <c r="T23" s="20" t="s">
        <v>248</v>
      </c>
      <c r="U23" s="20" t="s">
        <v>30</v>
      </c>
      <c r="V23" s="20">
        <v>5</v>
      </c>
      <c r="W23" s="20">
        <v>0</v>
      </c>
      <c r="X23" s="20" t="s">
        <v>379</v>
      </c>
      <c r="Y23" s="20" t="s">
        <v>292</v>
      </c>
      <c r="Z23" s="20" t="s">
        <v>60</v>
      </c>
      <c r="AA23" s="20" t="s">
        <v>380</v>
      </c>
    </row>
    <row r="24" spans="1:27" x14ac:dyDescent="0.2">
      <c r="A24" s="20" t="s">
        <v>219</v>
      </c>
      <c r="B24" s="20" t="s">
        <v>328</v>
      </c>
      <c r="C24" s="20" t="s">
        <v>24</v>
      </c>
      <c r="D24" s="20" t="s">
        <v>11</v>
      </c>
      <c r="E24" s="20" t="s">
        <v>330</v>
      </c>
      <c r="F24" s="20" t="s">
        <v>11</v>
      </c>
      <c r="G24" s="20">
        <v>3</v>
      </c>
      <c r="H24" s="20">
        <v>4</v>
      </c>
      <c r="I24" s="13">
        <v>0.61979461279461301</v>
      </c>
      <c r="J24" s="20" t="s">
        <v>249</v>
      </c>
      <c r="K24" s="18">
        <v>0.38100000000000001</v>
      </c>
      <c r="L24" s="20" t="s">
        <v>248</v>
      </c>
      <c r="M24" s="20" t="s">
        <v>393</v>
      </c>
      <c r="N24" s="20" t="s">
        <v>24</v>
      </c>
      <c r="O24" s="20">
        <v>2</v>
      </c>
      <c r="P24" s="20">
        <v>3</v>
      </c>
      <c r="Q24" s="13">
        <v>0.47717133510972898</v>
      </c>
      <c r="R24" s="20" t="s">
        <v>248</v>
      </c>
      <c r="S24" s="20">
        <v>-0.28000000000000003</v>
      </c>
      <c r="T24" s="20" t="s">
        <v>249</v>
      </c>
      <c r="U24" s="20" t="s">
        <v>11</v>
      </c>
      <c r="V24" s="20">
        <v>0</v>
      </c>
      <c r="W24" s="20">
        <v>1</v>
      </c>
      <c r="X24" s="20" t="s">
        <v>379</v>
      </c>
      <c r="Y24" s="20" t="s">
        <v>292</v>
      </c>
      <c r="Z24" s="20" t="s">
        <v>60</v>
      </c>
      <c r="AA24" s="20" t="s">
        <v>380</v>
      </c>
    </row>
    <row r="25" spans="1:27" x14ac:dyDescent="0.2">
      <c r="A25" s="20" t="s">
        <v>219</v>
      </c>
      <c r="B25" s="20" t="s">
        <v>328</v>
      </c>
      <c r="C25" s="20" t="s">
        <v>22</v>
      </c>
      <c r="D25" s="20" t="s">
        <v>18</v>
      </c>
      <c r="E25" s="20" t="s">
        <v>331</v>
      </c>
      <c r="F25" s="20" t="s">
        <v>18</v>
      </c>
      <c r="G25" s="20">
        <v>3</v>
      </c>
      <c r="H25" s="20">
        <v>4</v>
      </c>
      <c r="I25" s="13">
        <v>0.75639782537151001</v>
      </c>
      <c r="J25" s="20" t="s">
        <v>248</v>
      </c>
      <c r="K25" s="18">
        <v>0.63100000000000001</v>
      </c>
      <c r="L25" s="20" t="s">
        <v>249</v>
      </c>
      <c r="M25" s="20" t="s">
        <v>394</v>
      </c>
      <c r="N25" s="20" t="s">
        <v>22</v>
      </c>
      <c r="O25" s="20">
        <v>2</v>
      </c>
      <c r="P25" s="20">
        <v>3</v>
      </c>
      <c r="Q25" s="13">
        <v>0.52653488689618599</v>
      </c>
      <c r="R25" s="20" t="s">
        <v>249</v>
      </c>
      <c r="S25" s="20">
        <v>-0.48</v>
      </c>
      <c r="T25" s="20" t="s">
        <v>248</v>
      </c>
      <c r="U25" s="20" t="s">
        <v>22</v>
      </c>
      <c r="V25" s="20">
        <v>8</v>
      </c>
      <c r="W25" s="20">
        <v>4</v>
      </c>
      <c r="X25" s="20" t="s">
        <v>379</v>
      </c>
      <c r="Y25" s="20" t="s">
        <v>292</v>
      </c>
      <c r="Z25" s="20" t="s">
        <v>60</v>
      </c>
      <c r="AA25" s="20" t="s">
        <v>380</v>
      </c>
    </row>
    <row r="26" spans="1:27" x14ac:dyDescent="0.2">
      <c r="A26" s="20" t="s">
        <v>219</v>
      </c>
      <c r="B26" s="20" t="s">
        <v>328</v>
      </c>
      <c r="C26" s="20" t="s">
        <v>35</v>
      </c>
      <c r="D26" s="20" t="s">
        <v>27</v>
      </c>
      <c r="E26" s="20" t="s">
        <v>332</v>
      </c>
      <c r="F26" s="20" t="s">
        <v>27</v>
      </c>
      <c r="G26" s="20">
        <v>3</v>
      </c>
      <c r="H26" s="20">
        <v>4</v>
      </c>
      <c r="I26" s="13">
        <v>0.78318759018758999</v>
      </c>
      <c r="J26" s="20" t="s">
        <v>249</v>
      </c>
      <c r="K26" s="18">
        <v>0.42499999999999999</v>
      </c>
      <c r="L26" s="20" t="s">
        <v>248</v>
      </c>
      <c r="M26" s="20" t="s">
        <v>395</v>
      </c>
      <c r="N26" s="20" t="s">
        <v>27</v>
      </c>
      <c r="O26" s="20">
        <v>2</v>
      </c>
      <c r="P26" s="20">
        <v>4</v>
      </c>
      <c r="Q26" s="13">
        <v>0.72316153141538597</v>
      </c>
      <c r="R26" s="20" t="s">
        <v>249</v>
      </c>
      <c r="S26" s="20">
        <v>1.31</v>
      </c>
      <c r="T26" s="20" t="s">
        <v>248</v>
      </c>
      <c r="U26" s="20" t="s">
        <v>27</v>
      </c>
      <c r="V26" s="20">
        <v>2</v>
      </c>
      <c r="W26" s="20">
        <v>3</v>
      </c>
      <c r="X26" s="20" t="s">
        <v>379</v>
      </c>
      <c r="Y26" s="20" t="s">
        <v>292</v>
      </c>
      <c r="Z26" s="20" t="s">
        <v>60</v>
      </c>
      <c r="AA26" s="20" t="s">
        <v>380</v>
      </c>
    </row>
    <row r="27" spans="1:27" x14ac:dyDescent="0.2">
      <c r="A27" s="20" t="s">
        <v>219</v>
      </c>
      <c r="B27" s="20" t="s">
        <v>322</v>
      </c>
      <c r="C27" s="20" t="s">
        <v>13</v>
      </c>
      <c r="D27" s="20" t="s">
        <v>33</v>
      </c>
      <c r="E27" s="20" t="s">
        <v>333</v>
      </c>
      <c r="F27" s="20" t="s">
        <v>13</v>
      </c>
      <c r="G27" s="20">
        <v>5</v>
      </c>
      <c r="H27" s="20">
        <v>4</v>
      </c>
      <c r="I27" s="13">
        <v>0.68822126022125996</v>
      </c>
      <c r="J27" s="20" t="s">
        <v>249</v>
      </c>
      <c r="K27" s="18">
        <v>0.28199999999999997</v>
      </c>
      <c r="L27" s="20" t="s">
        <v>249</v>
      </c>
      <c r="M27" s="20" t="s">
        <v>396</v>
      </c>
      <c r="N27" s="20" t="s">
        <v>13</v>
      </c>
      <c r="O27" s="20">
        <v>2</v>
      </c>
      <c r="P27" s="20">
        <v>3</v>
      </c>
      <c r="Q27" s="13">
        <v>0.56836235759955001</v>
      </c>
      <c r="R27" s="20" t="s">
        <v>248</v>
      </c>
      <c r="S27" s="20">
        <v>-0.05</v>
      </c>
      <c r="T27" s="20" t="s">
        <v>249</v>
      </c>
      <c r="U27" s="20" t="s">
        <v>33</v>
      </c>
      <c r="V27" s="20">
        <v>3</v>
      </c>
      <c r="W27" s="20">
        <v>4</v>
      </c>
      <c r="X27" s="20" t="s">
        <v>379</v>
      </c>
      <c r="Y27" s="20" t="s">
        <v>292</v>
      </c>
      <c r="Z27" s="20" t="s">
        <v>60</v>
      </c>
      <c r="AA27" s="20" t="s">
        <v>380</v>
      </c>
    </row>
    <row r="28" spans="1:27" x14ac:dyDescent="0.2">
      <c r="A28" s="20" t="s">
        <v>219</v>
      </c>
      <c r="B28" s="20" t="s">
        <v>334</v>
      </c>
      <c r="C28" s="20" t="s">
        <v>17</v>
      </c>
      <c r="D28" s="20" t="s">
        <v>37</v>
      </c>
      <c r="E28" s="20" t="s">
        <v>335</v>
      </c>
      <c r="F28" s="20" t="s">
        <v>37</v>
      </c>
      <c r="G28" s="20">
        <v>3</v>
      </c>
      <c r="H28" s="20">
        <v>4</v>
      </c>
      <c r="I28" s="13">
        <v>0.77119047619047598</v>
      </c>
      <c r="J28" s="20" t="s">
        <v>248</v>
      </c>
      <c r="K28" s="18">
        <v>0.61599999999999999</v>
      </c>
      <c r="L28" s="20" t="s">
        <v>248</v>
      </c>
      <c r="M28" s="20" t="s">
        <v>397</v>
      </c>
      <c r="N28" s="20" t="s">
        <v>37</v>
      </c>
      <c r="O28" s="20">
        <v>2</v>
      </c>
      <c r="P28" s="20">
        <v>4</v>
      </c>
      <c r="Q28" s="13">
        <v>0.711970082114465</v>
      </c>
      <c r="R28" s="20" t="s">
        <v>249</v>
      </c>
      <c r="S28" s="20">
        <v>1.25</v>
      </c>
      <c r="T28" s="20" t="s">
        <v>248</v>
      </c>
      <c r="U28" s="20" t="s">
        <v>37</v>
      </c>
      <c r="V28" s="20">
        <v>1</v>
      </c>
      <c r="W28" s="20">
        <v>2</v>
      </c>
      <c r="X28" s="20" t="s">
        <v>379</v>
      </c>
      <c r="Y28" s="20" t="s">
        <v>292</v>
      </c>
      <c r="Z28" s="20" t="s">
        <v>60</v>
      </c>
      <c r="AA28" s="20" t="s">
        <v>380</v>
      </c>
    </row>
    <row r="29" spans="1:27" x14ac:dyDescent="0.2">
      <c r="A29" s="20" t="s">
        <v>219</v>
      </c>
      <c r="B29" s="20" t="s">
        <v>328</v>
      </c>
      <c r="C29" s="20" t="s">
        <v>28</v>
      </c>
      <c r="D29" s="20" t="s">
        <v>19</v>
      </c>
      <c r="E29" s="20" t="s">
        <v>336</v>
      </c>
      <c r="F29" s="20" t="s">
        <v>19</v>
      </c>
      <c r="G29" s="20">
        <v>3</v>
      </c>
      <c r="H29" s="20">
        <v>4</v>
      </c>
      <c r="I29" s="13">
        <v>0.56100667919398595</v>
      </c>
      <c r="J29" s="20" t="s">
        <v>249</v>
      </c>
      <c r="K29" s="18">
        <v>0.11600000000000001</v>
      </c>
      <c r="L29" s="20" t="s">
        <v>249</v>
      </c>
      <c r="M29" s="20" t="s">
        <v>398</v>
      </c>
      <c r="N29" s="20" t="s">
        <v>19</v>
      </c>
      <c r="O29" s="20">
        <v>2</v>
      </c>
      <c r="P29" s="20">
        <v>3</v>
      </c>
      <c r="Q29" s="13">
        <v>0.55864324773890295</v>
      </c>
      <c r="R29" s="20" t="s">
        <v>248</v>
      </c>
      <c r="S29" s="20">
        <v>0.03</v>
      </c>
      <c r="T29" s="20" t="s">
        <v>249</v>
      </c>
      <c r="U29" s="20" t="s">
        <v>28</v>
      </c>
      <c r="V29" s="20">
        <v>3</v>
      </c>
      <c r="W29" s="20">
        <v>2</v>
      </c>
      <c r="X29" s="20" t="s">
        <v>379</v>
      </c>
      <c r="Y29" s="20" t="s">
        <v>292</v>
      </c>
      <c r="Z29" s="20" t="s">
        <v>60</v>
      </c>
      <c r="AA29" s="20" t="s">
        <v>380</v>
      </c>
    </row>
    <row r="30" spans="1:27" x14ac:dyDescent="0.2">
      <c r="A30" s="20" t="s">
        <v>219</v>
      </c>
      <c r="B30" s="20" t="s">
        <v>326</v>
      </c>
      <c r="C30" s="20" t="s">
        <v>20</v>
      </c>
      <c r="D30" s="20" t="s">
        <v>55</v>
      </c>
      <c r="E30" s="20" t="s">
        <v>337</v>
      </c>
      <c r="F30" s="20" t="s">
        <v>55</v>
      </c>
      <c r="G30" s="20">
        <v>3</v>
      </c>
      <c r="H30" s="20">
        <v>4</v>
      </c>
      <c r="I30" s="13">
        <v>0.67815371762740195</v>
      </c>
      <c r="J30" s="20" t="s">
        <v>248</v>
      </c>
      <c r="K30" s="18">
        <v>0.54</v>
      </c>
      <c r="L30" s="20" t="s">
        <v>249</v>
      </c>
      <c r="M30" s="20" t="s">
        <v>399</v>
      </c>
      <c r="N30" s="20" t="s">
        <v>20</v>
      </c>
      <c r="O30" s="20">
        <v>2</v>
      </c>
      <c r="P30" s="20">
        <v>3</v>
      </c>
      <c r="Q30" s="13">
        <v>0.41674861628270699</v>
      </c>
      <c r="R30" s="20" t="s">
        <v>248</v>
      </c>
      <c r="S30" s="20">
        <v>-0.04</v>
      </c>
      <c r="T30" s="20" t="s">
        <v>248</v>
      </c>
      <c r="U30" s="20" t="s">
        <v>20</v>
      </c>
      <c r="V30" s="20">
        <v>4</v>
      </c>
      <c r="W30" s="20">
        <v>1</v>
      </c>
      <c r="X30" s="20" t="s">
        <v>379</v>
      </c>
      <c r="Y30" s="20" t="s">
        <v>292</v>
      </c>
      <c r="Z30" s="20" t="s">
        <v>60</v>
      </c>
      <c r="AA30" s="20" t="s">
        <v>380</v>
      </c>
    </row>
    <row r="31" spans="1:27" x14ac:dyDescent="0.2">
      <c r="A31" s="20" t="s">
        <v>219</v>
      </c>
      <c r="B31" s="20" t="s">
        <v>322</v>
      </c>
      <c r="C31" s="20" t="s">
        <v>39</v>
      </c>
      <c r="D31" s="20" t="s">
        <v>38</v>
      </c>
      <c r="E31" s="20" t="s">
        <v>338</v>
      </c>
      <c r="F31" s="20" t="s">
        <v>39</v>
      </c>
      <c r="G31" s="20">
        <v>5</v>
      </c>
      <c r="H31" s="20">
        <v>4</v>
      </c>
      <c r="I31" s="13">
        <v>0.73677777777777798</v>
      </c>
      <c r="J31" s="20" t="s">
        <v>249</v>
      </c>
      <c r="K31" s="18">
        <v>0.39100000000000001</v>
      </c>
      <c r="L31" s="20" t="s">
        <v>248</v>
      </c>
      <c r="M31" s="20" t="s">
        <v>400</v>
      </c>
      <c r="N31" s="20" t="s">
        <v>39</v>
      </c>
      <c r="O31" s="20">
        <v>2</v>
      </c>
      <c r="P31" s="20">
        <v>4</v>
      </c>
      <c r="Q31" s="13">
        <v>0.65070700646466895</v>
      </c>
      <c r="R31" s="20" t="s">
        <v>249</v>
      </c>
      <c r="S31" s="20">
        <v>-0.71</v>
      </c>
      <c r="T31" s="20" t="s">
        <v>248</v>
      </c>
      <c r="U31" s="20" t="s">
        <v>39</v>
      </c>
      <c r="V31" s="20">
        <v>4</v>
      </c>
      <c r="W31" s="20">
        <v>2</v>
      </c>
      <c r="X31" s="20" t="s">
        <v>379</v>
      </c>
      <c r="Y31" s="20" t="s">
        <v>292</v>
      </c>
      <c r="Z31" s="20" t="s">
        <v>60</v>
      </c>
      <c r="AA31" s="20" t="s">
        <v>380</v>
      </c>
    </row>
    <row r="32" spans="1:27" x14ac:dyDescent="0.2">
      <c r="A32" s="20" t="s">
        <v>220</v>
      </c>
      <c r="B32" s="20" t="s">
        <v>328</v>
      </c>
      <c r="C32" s="20" t="s">
        <v>10</v>
      </c>
      <c r="D32" s="20" t="s">
        <v>23</v>
      </c>
      <c r="E32" s="20" t="s">
        <v>339</v>
      </c>
      <c r="F32" s="20" t="s">
        <v>10</v>
      </c>
      <c r="G32" s="20">
        <v>4</v>
      </c>
      <c r="H32" s="20">
        <v>3</v>
      </c>
      <c r="I32" s="13">
        <v>0.58904761904761893</v>
      </c>
      <c r="J32" s="20" t="s">
        <v>248</v>
      </c>
      <c r="K32" s="18">
        <v>0.58099999999999996</v>
      </c>
      <c r="L32" s="20" t="s">
        <v>249</v>
      </c>
      <c r="M32" s="20" t="s">
        <v>401</v>
      </c>
      <c r="N32" s="20" t="s">
        <v>10</v>
      </c>
      <c r="O32" s="20">
        <v>2</v>
      </c>
      <c r="P32" s="20">
        <v>4</v>
      </c>
      <c r="Q32" s="13">
        <v>0.62127138852721631</v>
      </c>
      <c r="R32" s="20" t="s">
        <v>249</v>
      </c>
      <c r="S32" s="20">
        <v>-1.01</v>
      </c>
      <c r="T32" s="20" t="s">
        <v>249</v>
      </c>
      <c r="U32" s="20" t="s">
        <v>23</v>
      </c>
      <c r="V32" s="20">
        <v>3</v>
      </c>
      <c r="W32" s="20">
        <v>9</v>
      </c>
      <c r="X32" s="20" t="s">
        <v>379</v>
      </c>
      <c r="Y32" s="20" t="s">
        <v>292</v>
      </c>
      <c r="Z32" s="20" t="s">
        <v>60</v>
      </c>
      <c r="AA32" s="20" t="s">
        <v>380</v>
      </c>
    </row>
    <row r="33" spans="1:27" x14ac:dyDescent="0.2">
      <c r="A33" s="20" t="s">
        <v>220</v>
      </c>
      <c r="B33" s="20" t="s">
        <v>340</v>
      </c>
      <c r="C33" s="20" t="s">
        <v>21</v>
      </c>
      <c r="D33" s="20" t="s">
        <v>13</v>
      </c>
      <c r="E33" s="20" t="s">
        <v>341</v>
      </c>
      <c r="F33" s="20" t="s">
        <v>13</v>
      </c>
      <c r="G33" s="20">
        <v>3</v>
      </c>
      <c r="H33" s="20">
        <v>4</v>
      </c>
      <c r="I33" s="13">
        <v>0.54508201058201067</v>
      </c>
      <c r="J33" s="20" t="s">
        <v>248</v>
      </c>
      <c r="K33" s="18">
        <v>0.63700000000000001</v>
      </c>
      <c r="L33" s="20" t="s">
        <v>249</v>
      </c>
      <c r="M33" s="20" t="s">
        <v>402</v>
      </c>
      <c r="N33" s="20" t="s">
        <v>13</v>
      </c>
      <c r="O33" s="20">
        <v>2</v>
      </c>
      <c r="P33" s="20">
        <v>3</v>
      </c>
      <c r="Q33" s="13">
        <v>0.54352487978663888</v>
      </c>
      <c r="R33" s="20" t="s">
        <v>248</v>
      </c>
      <c r="S33" s="20">
        <v>0.03</v>
      </c>
      <c r="T33" s="20" t="s">
        <v>249</v>
      </c>
      <c r="U33" s="20" t="s">
        <v>21</v>
      </c>
      <c r="V33" s="20">
        <v>2</v>
      </c>
      <c r="W33" s="20">
        <v>1</v>
      </c>
      <c r="X33" s="20" t="s">
        <v>379</v>
      </c>
      <c r="Y33" s="20" t="s">
        <v>292</v>
      </c>
      <c r="Z33" s="20" t="s">
        <v>60</v>
      </c>
      <c r="AA33" s="20" t="s">
        <v>380</v>
      </c>
    </row>
    <row r="34" spans="1:27" x14ac:dyDescent="0.2">
      <c r="A34" s="20" t="s">
        <v>220</v>
      </c>
      <c r="B34" s="20" t="s">
        <v>328</v>
      </c>
      <c r="C34" s="20" t="s">
        <v>34</v>
      </c>
      <c r="D34" s="20" t="s">
        <v>14</v>
      </c>
      <c r="E34" s="20" t="s">
        <v>342</v>
      </c>
      <c r="F34" s="20" t="s">
        <v>34</v>
      </c>
      <c r="G34" s="20">
        <v>3</v>
      </c>
      <c r="H34" s="20">
        <v>2</v>
      </c>
      <c r="I34" s="13">
        <v>0.51067724867724873</v>
      </c>
      <c r="J34" s="20" t="s">
        <v>249</v>
      </c>
      <c r="K34" s="18">
        <v>0.44400000000000001</v>
      </c>
      <c r="L34" s="20" t="s">
        <v>248</v>
      </c>
      <c r="M34" s="20" t="s">
        <v>343</v>
      </c>
      <c r="N34" s="20" t="s">
        <v>14</v>
      </c>
      <c r="O34" s="20">
        <v>2</v>
      </c>
      <c r="P34" s="20">
        <v>4</v>
      </c>
      <c r="Q34" s="13">
        <v>0.69427003530691833</v>
      </c>
      <c r="R34" s="20" t="s">
        <v>249</v>
      </c>
      <c r="S34" s="20">
        <v>0.85</v>
      </c>
      <c r="T34" s="20" t="s">
        <v>249</v>
      </c>
      <c r="U34" s="20" t="s">
        <v>34</v>
      </c>
      <c r="V34" s="20">
        <v>5</v>
      </c>
      <c r="W34" s="20">
        <v>0</v>
      </c>
      <c r="X34" s="20" t="s">
        <v>379</v>
      </c>
      <c r="Y34" s="20" t="s">
        <v>292</v>
      </c>
      <c r="Z34" s="20" t="s">
        <v>60</v>
      </c>
      <c r="AA34" s="20" t="s">
        <v>380</v>
      </c>
    </row>
    <row r="35" spans="1:27" x14ac:dyDescent="0.2">
      <c r="A35" s="20" t="s">
        <v>220</v>
      </c>
      <c r="B35" s="20" t="s">
        <v>324</v>
      </c>
      <c r="C35" s="20" t="s">
        <v>25</v>
      </c>
      <c r="D35" s="20" t="s">
        <v>40</v>
      </c>
      <c r="E35" s="20" t="s">
        <v>344</v>
      </c>
      <c r="F35" s="20" t="s">
        <v>40</v>
      </c>
      <c r="G35" s="20">
        <v>3</v>
      </c>
      <c r="H35" s="20">
        <v>4</v>
      </c>
      <c r="I35" s="13">
        <v>0.75196825396825406</v>
      </c>
      <c r="J35" s="20" t="s">
        <v>248</v>
      </c>
      <c r="K35" s="18">
        <v>0.64800000000000002</v>
      </c>
      <c r="L35" s="20" t="s">
        <v>249</v>
      </c>
      <c r="M35" s="20" t="s">
        <v>403</v>
      </c>
      <c r="N35" s="20" t="s">
        <v>25</v>
      </c>
      <c r="O35" s="20">
        <v>2</v>
      </c>
      <c r="P35" s="20">
        <v>3</v>
      </c>
      <c r="Q35" s="13">
        <v>0.52384786307493458</v>
      </c>
      <c r="R35" s="20" t="s">
        <v>248</v>
      </c>
      <c r="S35" s="20">
        <v>-0.26</v>
      </c>
      <c r="T35" s="20" t="s">
        <v>248</v>
      </c>
      <c r="U35" s="20" t="s">
        <v>25</v>
      </c>
      <c r="V35" s="20">
        <v>4</v>
      </c>
      <c r="W35" s="20">
        <v>3</v>
      </c>
      <c r="X35" s="20" t="s">
        <v>379</v>
      </c>
      <c r="Y35" s="20" t="s">
        <v>292</v>
      </c>
      <c r="Z35" s="20" t="s">
        <v>60</v>
      </c>
      <c r="AA35" s="20" t="s">
        <v>380</v>
      </c>
    </row>
    <row r="36" spans="1:27" x14ac:dyDescent="0.2">
      <c r="A36" s="20" t="s">
        <v>221</v>
      </c>
      <c r="B36" s="20" t="s">
        <v>322</v>
      </c>
      <c r="C36" s="20" t="s">
        <v>20</v>
      </c>
      <c r="D36" s="20" t="s">
        <v>31</v>
      </c>
      <c r="E36" s="20" t="s">
        <v>345</v>
      </c>
      <c r="F36" s="20" t="s">
        <v>31</v>
      </c>
      <c r="G36" s="20">
        <v>3</v>
      </c>
      <c r="H36" s="20">
        <v>4</v>
      </c>
      <c r="I36" s="13">
        <v>0.7439365079365079</v>
      </c>
      <c r="J36" s="20" t="s">
        <v>248</v>
      </c>
      <c r="K36" s="18">
        <v>0.59399999999999997</v>
      </c>
      <c r="L36" s="20" t="s">
        <v>248</v>
      </c>
      <c r="M36" s="20" t="s">
        <v>291</v>
      </c>
      <c r="N36" s="20" t="s">
        <v>31</v>
      </c>
      <c r="O36" s="20">
        <v>2</v>
      </c>
      <c r="P36" s="20">
        <v>3</v>
      </c>
      <c r="Q36" s="13">
        <v>0.63411411850668342</v>
      </c>
      <c r="R36" s="20" t="s">
        <v>249</v>
      </c>
      <c r="S36" s="20">
        <v>0.35</v>
      </c>
      <c r="T36" s="20" t="s">
        <v>248</v>
      </c>
      <c r="U36" s="20" t="s">
        <v>31</v>
      </c>
      <c r="V36" s="20">
        <v>3</v>
      </c>
      <c r="W36" s="20">
        <v>4</v>
      </c>
      <c r="X36" s="20" t="s">
        <v>379</v>
      </c>
      <c r="Y36" s="20" t="s">
        <v>292</v>
      </c>
      <c r="Z36" s="20" t="s">
        <v>60</v>
      </c>
      <c r="AA36" s="20" t="s">
        <v>380</v>
      </c>
    </row>
    <row r="37" spans="1:27" x14ac:dyDescent="0.2">
      <c r="A37" s="20" t="s">
        <v>221</v>
      </c>
      <c r="B37" s="20" t="s">
        <v>322</v>
      </c>
      <c r="C37" s="20" t="s">
        <v>39</v>
      </c>
      <c r="D37" s="20" t="s">
        <v>16</v>
      </c>
      <c r="E37" s="20" t="s">
        <v>346</v>
      </c>
      <c r="F37" s="20" t="s">
        <v>39</v>
      </c>
      <c r="G37" s="20">
        <v>5</v>
      </c>
      <c r="H37" s="20">
        <v>4</v>
      </c>
      <c r="I37" s="13">
        <v>0.59559788359788357</v>
      </c>
      <c r="J37" s="20" t="s">
        <v>249</v>
      </c>
      <c r="K37" s="18">
        <v>0.39600000000000002</v>
      </c>
      <c r="L37" s="20" t="s">
        <v>249</v>
      </c>
      <c r="M37" s="20" t="s">
        <v>404</v>
      </c>
      <c r="N37" s="20" t="s">
        <v>39</v>
      </c>
      <c r="O37" s="20">
        <v>2</v>
      </c>
      <c r="P37" s="20">
        <v>4</v>
      </c>
      <c r="Q37" s="13">
        <v>0.75479145950448245</v>
      </c>
      <c r="R37" s="20" t="s">
        <v>249</v>
      </c>
      <c r="S37" s="20">
        <v>-1.31</v>
      </c>
      <c r="T37" s="20" t="s">
        <v>249</v>
      </c>
      <c r="U37" s="20" t="s">
        <v>16</v>
      </c>
      <c r="V37" s="20">
        <v>2</v>
      </c>
      <c r="W37" s="20">
        <v>3</v>
      </c>
      <c r="X37" s="20" t="s">
        <v>379</v>
      </c>
      <c r="Y37" s="20" t="s">
        <v>292</v>
      </c>
      <c r="Z37" s="20" t="s">
        <v>60</v>
      </c>
      <c r="AA37" s="20" t="s">
        <v>380</v>
      </c>
    </row>
    <row r="38" spans="1:27" x14ac:dyDescent="0.2">
      <c r="A38" s="20" t="s">
        <v>221</v>
      </c>
      <c r="B38" s="20" t="s">
        <v>347</v>
      </c>
      <c r="C38" s="20" t="s">
        <v>28</v>
      </c>
      <c r="D38" s="20" t="s">
        <v>26</v>
      </c>
      <c r="E38" s="20" t="s">
        <v>348</v>
      </c>
      <c r="F38" s="20" t="s">
        <v>26</v>
      </c>
      <c r="G38" s="20">
        <v>2</v>
      </c>
      <c r="H38" s="20">
        <v>3</v>
      </c>
      <c r="I38" s="13">
        <v>0.70020214957327953</v>
      </c>
      <c r="J38" s="20" t="s">
        <v>249</v>
      </c>
      <c r="K38" s="18">
        <v>0.36799999999999999</v>
      </c>
      <c r="L38" s="20" t="s">
        <v>248</v>
      </c>
      <c r="M38" s="20" t="s">
        <v>307</v>
      </c>
      <c r="N38" s="20" t="s">
        <v>28</v>
      </c>
      <c r="O38" s="20">
        <v>2</v>
      </c>
      <c r="P38" s="20">
        <v>3</v>
      </c>
      <c r="Q38" s="13">
        <v>0.46548155836437699</v>
      </c>
      <c r="R38" s="20" t="s">
        <v>248</v>
      </c>
      <c r="S38" s="20">
        <v>-0.03</v>
      </c>
      <c r="T38" s="20" t="s">
        <v>249</v>
      </c>
      <c r="U38" s="20" t="s">
        <v>26</v>
      </c>
      <c r="V38" s="20">
        <v>3</v>
      </c>
      <c r="W38" s="20">
        <v>4</v>
      </c>
      <c r="X38" s="20" t="s">
        <v>379</v>
      </c>
      <c r="Y38" s="20" t="s">
        <v>292</v>
      </c>
      <c r="Z38" s="20" t="s">
        <v>60</v>
      </c>
      <c r="AA38" s="20" t="s">
        <v>380</v>
      </c>
    </row>
    <row r="39" spans="1:27" x14ac:dyDescent="0.2">
      <c r="A39" s="20" t="s">
        <v>221</v>
      </c>
      <c r="B39" s="20" t="s">
        <v>328</v>
      </c>
      <c r="C39" s="20" t="s">
        <v>17</v>
      </c>
      <c r="D39" s="20" t="s">
        <v>11</v>
      </c>
      <c r="E39" s="20" t="s">
        <v>349</v>
      </c>
      <c r="F39" s="20" t="s">
        <v>11</v>
      </c>
      <c r="G39" s="20">
        <v>3</v>
      </c>
      <c r="H39" s="20">
        <v>4</v>
      </c>
      <c r="I39" s="13">
        <v>0.71271640211640208</v>
      </c>
      <c r="J39" s="20" t="s">
        <v>249</v>
      </c>
      <c r="K39" s="18">
        <v>0.317</v>
      </c>
      <c r="L39" s="20" t="s">
        <v>249</v>
      </c>
      <c r="M39" s="20" t="s">
        <v>405</v>
      </c>
      <c r="N39" s="20" t="s">
        <v>11</v>
      </c>
      <c r="O39" s="20">
        <v>2</v>
      </c>
      <c r="P39" s="20">
        <v>4</v>
      </c>
      <c r="Q39" s="13">
        <v>0.7567456775048037</v>
      </c>
      <c r="R39" s="20" t="s">
        <v>249</v>
      </c>
      <c r="S39" s="20">
        <v>1</v>
      </c>
      <c r="T39" s="20" t="s">
        <v>249</v>
      </c>
      <c r="U39" s="20" t="s">
        <v>17</v>
      </c>
      <c r="V39" s="20">
        <v>6</v>
      </c>
      <c r="W39" s="20">
        <v>3</v>
      </c>
      <c r="X39" s="20" t="s">
        <v>379</v>
      </c>
      <c r="Y39" s="20" t="s">
        <v>292</v>
      </c>
      <c r="Z39" s="20" t="s">
        <v>60</v>
      </c>
      <c r="AA39" s="20" t="s">
        <v>380</v>
      </c>
    </row>
    <row r="40" spans="1:27" x14ac:dyDescent="0.2">
      <c r="A40" s="20" t="s">
        <v>221</v>
      </c>
      <c r="B40" s="20" t="s">
        <v>328</v>
      </c>
      <c r="C40" s="20" t="s">
        <v>19</v>
      </c>
      <c r="D40" s="20" t="s">
        <v>18</v>
      </c>
      <c r="E40" s="20" t="s">
        <v>350</v>
      </c>
      <c r="F40" s="20" t="s">
        <v>18</v>
      </c>
      <c r="G40" s="20">
        <v>4</v>
      </c>
      <c r="H40" s="20">
        <v>5</v>
      </c>
      <c r="I40" s="13">
        <v>0.53974867724867714</v>
      </c>
      <c r="J40" s="20" t="s">
        <v>249</v>
      </c>
      <c r="K40" s="18">
        <v>0.46300000000000002</v>
      </c>
      <c r="L40" s="20" t="s">
        <v>248</v>
      </c>
      <c r="M40" s="20" t="s">
        <v>360</v>
      </c>
      <c r="N40" s="20" t="s">
        <v>18</v>
      </c>
      <c r="O40" s="20">
        <v>2</v>
      </c>
      <c r="P40" s="20">
        <v>3</v>
      </c>
      <c r="Q40" s="13">
        <v>0.55269401670466733</v>
      </c>
      <c r="R40" s="20" t="s">
        <v>248</v>
      </c>
      <c r="S40" s="20">
        <v>0.09</v>
      </c>
      <c r="T40" s="20" t="s">
        <v>248</v>
      </c>
      <c r="U40" s="20" t="s">
        <v>18</v>
      </c>
      <c r="V40" s="20">
        <v>2</v>
      </c>
      <c r="W40" s="20">
        <v>5</v>
      </c>
      <c r="X40" s="20" t="s">
        <v>379</v>
      </c>
      <c r="Y40" s="20" t="s">
        <v>292</v>
      </c>
      <c r="Z40" s="20" t="s">
        <v>60</v>
      </c>
      <c r="AA40" s="20" t="s">
        <v>380</v>
      </c>
    </row>
    <row r="41" spans="1:27" x14ac:dyDescent="0.2">
      <c r="A41" s="20" t="s">
        <v>221</v>
      </c>
      <c r="B41" s="20" t="s">
        <v>324</v>
      </c>
      <c r="C41" s="20" t="s">
        <v>12</v>
      </c>
      <c r="D41" s="20" t="s">
        <v>29</v>
      </c>
      <c r="E41" s="20" t="s">
        <v>351</v>
      </c>
      <c r="F41" s="20" t="s">
        <v>12</v>
      </c>
      <c r="G41" s="20">
        <v>4</v>
      </c>
      <c r="H41" s="20">
        <v>3</v>
      </c>
      <c r="I41" s="13">
        <v>0.79329100529100538</v>
      </c>
      <c r="J41" s="20" t="s">
        <v>249</v>
      </c>
      <c r="K41" s="18">
        <v>0.34200000000000003</v>
      </c>
      <c r="L41" s="20" t="s">
        <v>248</v>
      </c>
      <c r="M41" s="20" t="s">
        <v>361</v>
      </c>
      <c r="N41" s="20" t="s">
        <v>12</v>
      </c>
      <c r="O41" s="20">
        <v>1</v>
      </c>
      <c r="P41" s="20">
        <v>6</v>
      </c>
      <c r="Q41" s="13">
        <v>0.93629488580979003</v>
      </c>
      <c r="R41" s="20" t="s">
        <v>249</v>
      </c>
      <c r="S41" s="20">
        <v>-2.83</v>
      </c>
      <c r="T41" s="20" t="s">
        <v>248</v>
      </c>
      <c r="U41" s="20" t="s">
        <v>12</v>
      </c>
      <c r="V41" s="20">
        <v>3</v>
      </c>
      <c r="W41" s="20">
        <v>0</v>
      </c>
      <c r="X41" s="20" t="s">
        <v>379</v>
      </c>
      <c r="Y41" s="20" t="s">
        <v>292</v>
      </c>
      <c r="Z41" s="20" t="s">
        <v>60</v>
      </c>
      <c r="AA41" s="20" t="s">
        <v>380</v>
      </c>
    </row>
    <row r="42" spans="1:27" x14ac:dyDescent="0.2">
      <c r="A42" s="20" t="s">
        <v>221</v>
      </c>
      <c r="B42" s="20" t="s">
        <v>352</v>
      </c>
      <c r="C42" s="20" t="s">
        <v>35</v>
      </c>
      <c r="D42" s="20" t="s">
        <v>30</v>
      </c>
      <c r="E42" s="20" t="s">
        <v>353</v>
      </c>
      <c r="F42" s="20" t="s">
        <v>30</v>
      </c>
      <c r="G42" s="20">
        <v>3</v>
      </c>
      <c r="H42" s="20">
        <v>4</v>
      </c>
      <c r="I42" s="13">
        <v>0.82961190476190472</v>
      </c>
      <c r="J42" s="20" t="s">
        <v>249</v>
      </c>
      <c r="K42" s="18">
        <v>0.44800000000000001</v>
      </c>
      <c r="L42" s="20" t="s">
        <v>249</v>
      </c>
      <c r="M42" s="20" t="s">
        <v>406</v>
      </c>
      <c r="N42" s="20" t="s">
        <v>30</v>
      </c>
      <c r="O42" s="20">
        <v>1</v>
      </c>
      <c r="P42" s="20">
        <v>5</v>
      </c>
      <c r="Q42" s="13">
        <v>0.83238050643354911</v>
      </c>
      <c r="R42" s="20" t="s">
        <v>249</v>
      </c>
      <c r="S42" s="20">
        <v>2.02</v>
      </c>
      <c r="T42" s="20" t="s">
        <v>249</v>
      </c>
      <c r="U42" s="20" t="s">
        <v>35</v>
      </c>
      <c r="V42" s="20">
        <v>2</v>
      </c>
      <c r="W42" s="20">
        <v>1</v>
      </c>
      <c r="X42" s="20" t="s">
        <v>379</v>
      </c>
      <c r="Y42" s="20" t="s">
        <v>292</v>
      </c>
      <c r="Z42" s="20" t="s">
        <v>60</v>
      </c>
      <c r="AA42" s="20" t="s">
        <v>380</v>
      </c>
    </row>
    <row r="43" spans="1:27" x14ac:dyDescent="0.2">
      <c r="A43" s="20" t="s">
        <v>221</v>
      </c>
      <c r="B43" s="20" t="s">
        <v>328</v>
      </c>
      <c r="C43" s="20" t="s">
        <v>24</v>
      </c>
      <c r="D43" s="20" t="s">
        <v>27</v>
      </c>
      <c r="E43" s="20" t="s">
        <v>354</v>
      </c>
      <c r="F43" s="20" t="s">
        <v>24</v>
      </c>
      <c r="G43" s="20">
        <v>4</v>
      </c>
      <c r="H43" s="20">
        <v>3</v>
      </c>
      <c r="I43" s="13">
        <v>0.63601404151404162</v>
      </c>
      <c r="J43" s="20" t="s">
        <v>249</v>
      </c>
      <c r="K43" s="18">
        <v>0.44</v>
      </c>
      <c r="L43" s="20" t="s">
        <v>249</v>
      </c>
      <c r="M43" s="20" t="s">
        <v>407</v>
      </c>
      <c r="N43" s="20" t="s">
        <v>24</v>
      </c>
      <c r="O43" s="20">
        <v>2</v>
      </c>
      <c r="P43" s="20">
        <v>4</v>
      </c>
      <c r="Q43" s="13">
        <v>0.55265687829531895</v>
      </c>
      <c r="R43" s="20" t="s">
        <v>249</v>
      </c>
      <c r="S43" s="20">
        <v>-0.63</v>
      </c>
      <c r="T43" s="20" t="s">
        <v>249</v>
      </c>
      <c r="U43" s="20" t="s">
        <v>27</v>
      </c>
      <c r="V43" s="20">
        <v>3</v>
      </c>
      <c r="W43" s="20">
        <v>6</v>
      </c>
      <c r="X43" s="20" t="s">
        <v>379</v>
      </c>
      <c r="Y43" s="20" t="s">
        <v>292</v>
      </c>
      <c r="Z43" s="20" t="s">
        <v>60</v>
      </c>
      <c r="AA43" s="20" t="s">
        <v>380</v>
      </c>
    </row>
    <row r="44" spans="1:27" x14ac:dyDescent="0.2">
      <c r="A44" s="20" t="s">
        <v>221</v>
      </c>
      <c r="B44" s="20" t="s">
        <v>328</v>
      </c>
      <c r="C44" s="20" t="s">
        <v>32</v>
      </c>
      <c r="D44" s="20" t="s">
        <v>14</v>
      </c>
      <c r="E44" s="20" t="s">
        <v>355</v>
      </c>
      <c r="F44" s="20" t="s">
        <v>14</v>
      </c>
      <c r="G44" s="20">
        <v>3</v>
      </c>
      <c r="H44" s="20">
        <v>4</v>
      </c>
      <c r="I44" s="13">
        <v>0.53547883597883605</v>
      </c>
      <c r="J44" s="20" t="s">
        <v>249</v>
      </c>
      <c r="K44" s="18">
        <v>0.40500000000000003</v>
      </c>
      <c r="L44" s="20" t="s">
        <v>249</v>
      </c>
      <c r="M44" s="20" t="s">
        <v>408</v>
      </c>
      <c r="N44" s="20" t="s">
        <v>14</v>
      </c>
      <c r="O44" s="20">
        <v>2</v>
      </c>
      <c r="P44" s="20">
        <v>4</v>
      </c>
      <c r="Q44" s="13">
        <v>0.62760419841259008</v>
      </c>
      <c r="R44" s="20" t="s">
        <v>249</v>
      </c>
      <c r="S44" s="20">
        <v>0.56000000000000005</v>
      </c>
      <c r="T44" s="20" t="s">
        <v>249</v>
      </c>
      <c r="U44" s="20" t="s">
        <v>32</v>
      </c>
      <c r="V44" s="20">
        <v>3</v>
      </c>
      <c r="W44" s="20">
        <v>2</v>
      </c>
      <c r="X44" s="20" t="s">
        <v>379</v>
      </c>
      <c r="Y44" s="20" t="s">
        <v>292</v>
      </c>
      <c r="Z44" s="20" t="s">
        <v>60</v>
      </c>
      <c r="AA44" s="20" t="s">
        <v>380</v>
      </c>
    </row>
    <row r="45" spans="1:27" x14ac:dyDescent="0.2">
      <c r="A45" s="20" t="s">
        <v>221</v>
      </c>
      <c r="B45" s="20" t="s">
        <v>328</v>
      </c>
      <c r="C45" s="20" t="s">
        <v>36</v>
      </c>
      <c r="D45" s="20" t="s">
        <v>33</v>
      </c>
      <c r="E45" s="20" t="s">
        <v>356</v>
      </c>
      <c r="F45" s="20" t="s">
        <v>33</v>
      </c>
      <c r="G45" s="20">
        <v>4</v>
      </c>
      <c r="H45" s="20">
        <v>5</v>
      </c>
      <c r="I45" s="13">
        <v>0.57873187202660858</v>
      </c>
      <c r="J45" s="20" t="s">
        <v>248</v>
      </c>
      <c r="K45" s="18">
        <v>0.627</v>
      </c>
      <c r="L45" s="20" t="s">
        <v>249</v>
      </c>
      <c r="M45" s="20" t="s">
        <v>409</v>
      </c>
      <c r="N45" s="20" t="s">
        <v>33</v>
      </c>
      <c r="O45" s="20">
        <v>2</v>
      </c>
      <c r="P45" s="20">
        <v>3</v>
      </c>
      <c r="Q45" s="13">
        <v>0.5625647207386173</v>
      </c>
      <c r="R45" s="20" t="s">
        <v>248</v>
      </c>
      <c r="S45" s="20">
        <v>0.16</v>
      </c>
      <c r="T45" s="20" t="s">
        <v>249</v>
      </c>
      <c r="U45" s="20" t="s">
        <v>36</v>
      </c>
      <c r="V45" s="20">
        <v>3</v>
      </c>
      <c r="W45" s="20">
        <v>2</v>
      </c>
      <c r="X45" s="20" t="s">
        <v>379</v>
      </c>
      <c r="Y45" s="20" t="s">
        <v>292</v>
      </c>
      <c r="Z45" s="20" t="s">
        <v>60</v>
      </c>
      <c r="AA45" s="20" t="s">
        <v>380</v>
      </c>
    </row>
    <row r="46" spans="1:27" x14ac:dyDescent="0.2">
      <c r="A46" s="20" t="s">
        <v>221</v>
      </c>
      <c r="B46" s="20" t="s">
        <v>326</v>
      </c>
      <c r="C46" s="20" t="s">
        <v>15</v>
      </c>
      <c r="D46" s="20" t="s">
        <v>55</v>
      </c>
      <c r="E46" s="20" t="s">
        <v>357</v>
      </c>
      <c r="F46" s="20" t="s">
        <v>55</v>
      </c>
      <c r="G46" s="20">
        <v>3</v>
      </c>
      <c r="H46" s="20">
        <v>4</v>
      </c>
      <c r="I46" s="13">
        <v>0.6337840563691628</v>
      </c>
      <c r="J46" s="20" t="s">
        <v>249</v>
      </c>
      <c r="K46" s="18">
        <v>0.313</v>
      </c>
      <c r="L46" s="20" t="s">
        <v>248</v>
      </c>
      <c r="M46" s="20" t="s">
        <v>362</v>
      </c>
      <c r="N46" s="20" t="s">
        <v>55</v>
      </c>
      <c r="O46" s="20">
        <v>2</v>
      </c>
      <c r="P46" s="20">
        <v>3</v>
      </c>
      <c r="Q46" s="13">
        <v>0.51017063196028578</v>
      </c>
      <c r="R46" s="20" t="s">
        <v>248</v>
      </c>
      <c r="S46" s="20">
        <v>0.25</v>
      </c>
      <c r="T46" s="20" t="s">
        <v>248</v>
      </c>
      <c r="U46" s="20" t="s">
        <v>55</v>
      </c>
      <c r="V46" s="20">
        <v>2</v>
      </c>
      <c r="W46" s="20">
        <v>3</v>
      </c>
      <c r="X46" s="20" t="s">
        <v>379</v>
      </c>
      <c r="Y46" s="20" t="s">
        <v>292</v>
      </c>
      <c r="Z46" s="20" t="s">
        <v>60</v>
      </c>
      <c r="AA46" s="20" t="s">
        <v>380</v>
      </c>
    </row>
    <row r="47" spans="1:27" x14ac:dyDescent="0.2">
      <c r="A47" s="20" t="s">
        <v>221</v>
      </c>
      <c r="B47" s="20" t="s">
        <v>328</v>
      </c>
      <c r="C47" s="20" t="s">
        <v>37</v>
      </c>
      <c r="D47" s="20" t="s">
        <v>22</v>
      </c>
      <c r="E47" s="20" t="s">
        <v>358</v>
      </c>
      <c r="F47" s="20" t="s">
        <v>22</v>
      </c>
      <c r="G47" s="20">
        <v>3</v>
      </c>
      <c r="H47" s="20">
        <v>4</v>
      </c>
      <c r="I47" s="13">
        <v>0.64363278171788785</v>
      </c>
      <c r="J47" s="20" t="s">
        <v>248</v>
      </c>
      <c r="K47" s="18">
        <v>0.54700000000000004</v>
      </c>
      <c r="L47" s="20" t="s">
        <v>249</v>
      </c>
      <c r="M47" s="20" t="s">
        <v>410</v>
      </c>
      <c r="N47" s="20" t="s">
        <v>22</v>
      </c>
      <c r="O47" s="20">
        <v>2</v>
      </c>
      <c r="P47" s="20">
        <v>3</v>
      </c>
      <c r="Q47" s="13">
        <v>0.5417979763641656</v>
      </c>
      <c r="R47" s="20" t="s">
        <v>249</v>
      </c>
      <c r="S47" s="20">
        <v>0.32</v>
      </c>
      <c r="T47" s="20" t="s">
        <v>249</v>
      </c>
      <c r="U47" s="20" t="s">
        <v>37</v>
      </c>
      <c r="V47" s="20">
        <v>5</v>
      </c>
      <c r="W47" s="20">
        <v>3</v>
      </c>
      <c r="X47" s="20" t="s">
        <v>379</v>
      </c>
      <c r="Y47" s="20" t="s">
        <v>292</v>
      </c>
      <c r="Z47" s="20" t="s">
        <v>60</v>
      </c>
      <c r="AA47" s="20" t="s">
        <v>380</v>
      </c>
    </row>
    <row r="48" spans="1:27" x14ac:dyDescent="0.2">
      <c r="A48" s="20" t="s">
        <v>222</v>
      </c>
      <c r="B48" s="20" t="s">
        <v>347</v>
      </c>
      <c r="C48" s="20" t="s">
        <v>25</v>
      </c>
      <c r="D48" s="20" t="s">
        <v>23</v>
      </c>
      <c r="E48" s="20" t="s">
        <v>363</v>
      </c>
      <c r="F48" s="20" t="s">
        <v>25</v>
      </c>
      <c r="G48" s="20">
        <v>4</v>
      </c>
      <c r="H48" s="20">
        <v>3</v>
      </c>
      <c r="I48" s="13">
        <v>0.746</v>
      </c>
      <c r="J48" s="20" t="s">
        <v>249</v>
      </c>
      <c r="K48" s="18">
        <v>0.33900000000000002</v>
      </c>
      <c r="L48" s="20" t="s">
        <v>249</v>
      </c>
      <c r="M48" s="20" t="s">
        <v>411</v>
      </c>
      <c r="N48" s="20" t="s">
        <v>25</v>
      </c>
      <c r="O48" s="20">
        <v>4</v>
      </c>
      <c r="P48" s="20">
        <v>2</v>
      </c>
      <c r="Q48" s="13">
        <v>0.70099999999999996</v>
      </c>
      <c r="R48" s="20" t="s">
        <v>249</v>
      </c>
      <c r="S48" s="20">
        <v>-1.1599999999999999</v>
      </c>
      <c r="T48" s="20" t="s">
        <v>249</v>
      </c>
      <c r="U48" s="20" t="s">
        <v>23</v>
      </c>
      <c r="V48" s="20">
        <v>1</v>
      </c>
      <c r="W48" s="20">
        <v>4</v>
      </c>
      <c r="X48" s="20" t="s">
        <v>379</v>
      </c>
      <c r="Y48" s="20" t="s">
        <v>292</v>
      </c>
      <c r="Z48" s="20" t="s">
        <v>359</v>
      </c>
      <c r="AA48" s="20" t="s">
        <v>380</v>
      </c>
    </row>
    <row r="49" spans="1:27" x14ac:dyDescent="0.2">
      <c r="A49" s="20" t="s">
        <v>222</v>
      </c>
      <c r="B49" s="20" t="s">
        <v>328</v>
      </c>
      <c r="C49" s="20" t="s">
        <v>12</v>
      </c>
      <c r="D49" s="20" t="s">
        <v>10</v>
      </c>
      <c r="E49" s="20" t="s">
        <v>364</v>
      </c>
      <c r="F49" s="20" t="s">
        <v>12</v>
      </c>
      <c r="G49" s="20">
        <v>5</v>
      </c>
      <c r="H49" s="20">
        <v>4</v>
      </c>
      <c r="I49" s="13">
        <v>0.65200000000000002</v>
      </c>
      <c r="J49" s="20" t="s">
        <v>248</v>
      </c>
      <c r="K49" s="18">
        <v>0.53400000000000003</v>
      </c>
      <c r="L49" s="20" t="s">
        <v>248</v>
      </c>
      <c r="M49" s="20" t="s">
        <v>361</v>
      </c>
      <c r="N49" s="20" t="s">
        <v>12</v>
      </c>
      <c r="O49" s="20">
        <v>4</v>
      </c>
      <c r="P49" s="20">
        <v>2</v>
      </c>
      <c r="Q49" s="13">
        <v>0.73299999999999998</v>
      </c>
      <c r="R49" s="20" t="s">
        <v>249</v>
      </c>
      <c r="S49" s="20">
        <v>-1.5</v>
      </c>
      <c r="T49" s="20" t="s">
        <v>248</v>
      </c>
      <c r="U49" s="20" t="s">
        <v>12</v>
      </c>
      <c r="V49" s="20">
        <v>1</v>
      </c>
      <c r="W49" s="20">
        <v>0</v>
      </c>
      <c r="X49" s="20" t="s">
        <v>379</v>
      </c>
      <c r="Y49" s="20" t="s">
        <v>292</v>
      </c>
      <c r="Z49" s="20" t="s">
        <v>359</v>
      </c>
      <c r="AA49" s="20" t="s">
        <v>380</v>
      </c>
    </row>
    <row r="50" spans="1:27" x14ac:dyDescent="0.2">
      <c r="A50" s="20" t="s">
        <v>222</v>
      </c>
      <c r="B50" s="20" t="s">
        <v>365</v>
      </c>
      <c r="C50" s="20" t="s">
        <v>32</v>
      </c>
      <c r="D50" s="20" t="s">
        <v>30</v>
      </c>
      <c r="E50" s="20" t="s">
        <v>366</v>
      </c>
      <c r="F50" s="20" t="s">
        <v>32</v>
      </c>
      <c r="G50" s="20">
        <v>5</v>
      </c>
      <c r="H50" s="20">
        <v>4</v>
      </c>
      <c r="I50" s="13">
        <v>0.57899999999999996</v>
      </c>
      <c r="J50" s="20" t="s">
        <v>249</v>
      </c>
      <c r="K50" s="18">
        <v>0.48799999999999999</v>
      </c>
      <c r="L50" s="20" t="s">
        <v>249</v>
      </c>
      <c r="M50" s="20" t="s">
        <v>412</v>
      </c>
      <c r="N50" s="20" t="s">
        <v>30</v>
      </c>
      <c r="O50" s="20">
        <v>2</v>
      </c>
      <c r="P50" s="20">
        <v>4</v>
      </c>
      <c r="Q50" s="13">
        <v>0.61299999999999999</v>
      </c>
      <c r="R50" s="20" t="s">
        <v>249</v>
      </c>
      <c r="S50" s="20">
        <v>0.56999999999999995</v>
      </c>
      <c r="T50" s="20" t="s">
        <v>248</v>
      </c>
      <c r="U50" s="20" t="s">
        <v>30</v>
      </c>
      <c r="V50" s="20">
        <v>0</v>
      </c>
      <c r="W50" s="20">
        <v>1</v>
      </c>
      <c r="X50" s="20" t="s">
        <v>379</v>
      </c>
      <c r="Y50" s="20" t="s">
        <v>292</v>
      </c>
      <c r="Z50" s="20" t="s">
        <v>359</v>
      </c>
      <c r="AA50" s="20" t="s">
        <v>380</v>
      </c>
    </row>
    <row r="51" spans="1:27" x14ac:dyDescent="0.2">
      <c r="A51" s="20" t="s">
        <v>222</v>
      </c>
      <c r="B51" s="20" t="s">
        <v>324</v>
      </c>
      <c r="C51" s="20" t="s">
        <v>21</v>
      </c>
      <c r="D51" s="20" t="s">
        <v>33</v>
      </c>
      <c r="E51" s="20" t="s">
        <v>367</v>
      </c>
      <c r="F51" s="20" t="s">
        <v>33</v>
      </c>
      <c r="G51" s="20">
        <v>3</v>
      </c>
      <c r="H51" s="20">
        <v>4</v>
      </c>
      <c r="I51" s="13">
        <v>0.51900000000000002</v>
      </c>
      <c r="J51" s="20" t="s">
        <v>249</v>
      </c>
      <c r="K51" s="18">
        <v>0.27900000000000003</v>
      </c>
      <c r="L51" s="20" t="s">
        <v>248</v>
      </c>
      <c r="M51" s="20" t="s">
        <v>309</v>
      </c>
      <c r="N51" s="20" t="s">
        <v>21</v>
      </c>
      <c r="O51" s="20">
        <v>3</v>
      </c>
      <c r="P51" s="20">
        <v>2</v>
      </c>
      <c r="Q51" s="13">
        <v>0.49399999999999999</v>
      </c>
      <c r="R51" s="20" t="s">
        <v>248</v>
      </c>
      <c r="S51" s="20">
        <v>-0.26</v>
      </c>
      <c r="T51" s="20" t="s">
        <v>249</v>
      </c>
      <c r="U51" s="20" t="s">
        <v>33</v>
      </c>
      <c r="V51" s="20">
        <v>1</v>
      </c>
      <c r="W51" s="20">
        <v>3</v>
      </c>
      <c r="X51" s="20" t="s">
        <v>379</v>
      </c>
      <c r="Y51" s="20" t="s">
        <v>292</v>
      </c>
      <c r="Z51" s="20" t="s">
        <v>359</v>
      </c>
      <c r="AA51" s="20" t="s">
        <v>380</v>
      </c>
    </row>
    <row r="52" spans="1:27" x14ac:dyDescent="0.2">
      <c r="A52" s="20" t="s">
        <v>222</v>
      </c>
      <c r="B52" s="20" t="s">
        <v>326</v>
      </c>
      <c r="C52" s="20" t="s">
        <v>16</v>
      </c>
      <c r="D52" s="20" t="s">
        <v>38</v>
      </c>
      <c r="E52" s="20" t="s">
        <v>368</v>
      </c>
      <c r="F52" s="20" t="s">
        <v>16</v>
      </c>
      <c r="G52" s="20">
        <v>4</v>
      </c>
      <c r="H52" s="20">
        <v>2</v>
      </c>
      <c r="I52" s="13">
        <v>0.53600000000000003</v>
      </c>
      <c r="J52" s="20" t="s">
        <v>249</v>
      </c>
      <c r="K52" s="18">
        <v>0.182</v>
      </c>
      <c r="L52" s="20" t="s">
        <v>248</v>
      </c>
      <c r="M52" s="20" t="s">
        <v>372</v>
      </c>
      <c r="N52" s="20" t="s">
        <v>38</v>
      </c>
      <c r="O52" s="20">
        <v>2</v>
      </c>
      <c r="P52" s="20">
        <v>3</v>
      </c>
      <c r="Q52" s="13">
        <v>0.59</v>
      </c>
      <c r="R52" s="20" t="s">
        <v>249</v>
      </c>
      <c r="S52" s="20">
        <v>0.39</v>
      </c>
      <c r="T52" s="20" t="s">
        <v>249</v>
      </c>
      <c r="U52" s="20" t="s">
        <v>16</v>
      </c>
      <c r="V52" s="20">
        <v>5</v>
      </c>
      <c r="W52" s="20">
        <v>2</v>
      </c>
      <c r="X52" s="20" t="s">
        <v>379</v>
      </c>
      <c r="Y52" s="20" t="s">
        <v>292</v>
      </c>
      <c r="Z52" s="20" t="s">
        <v>359</v>
      </c>
      <c r="AA52" s="20" t="s">
        <v>380</v>
      </c>
    </row>
    <row r="53" spans="1:27" x14ac:dyDescent="0.2">
      <c r="A53" s="20" t="s">
        <v>222</v>
      </c>
      <c r="B53" s="20" t="s">
        <v>369</v>
      </c>
      <c r="C53" s="20" t="s">
        <v>34</v>
      </c>
      <c r="D53" s="20" t="s">
        <v>40</v>
      </c>
      <c r="E53" s="20" t="s">
        <v>370</v>
      </c>
      <c r="F53" s="20" t="s">
        <v>40</v>
      </c>
      <c r="G53" s="20">
        <v>3</v>
      </c>
      <c r="H53" s="20">
        <v>4</v>
      </c>
      <c r="I53" s="13">
        <v>0.78</v>
      </c>
      <c r="J53" s="20" t="s">
        <v>249</v>
      </c>
      <c r="K53" s="18">
        <v>0.24199999999999999</v>
      </c>
      <c r="L53" s="20" t="s">
        <v>249</v>
      </c>
      <c r="M53" s="20" t="s">
        <v>413</v>
      </c>
      <c r="N53" s="20" t="s">
        <v>40</v>
      </c>
      <c r="O53" s="20">
        <v>2</v>
      </c>
      <c r="P53" s="20">
        <v>4</v>
      </c>
      <c r="Q53" s="13">
        <v>0.63400000000000001</v>
      </c>
      <c r="R53" s="20" t="s">
        <v>249</v>
      </c>
      <c r="S53" s="20">
        <v>0.53</v>
      </c>
      <c r="T53" s="20" t="s">
        <v>249</v>
      </c>
      <c r="U53" s="20" t="s">
        <v>34</v>
      </c>
      <c r="V53" s="20">
        <v>3</v>
      </c>
      <c r="W53" s="20">
        <v>0</v>
      </c>
      <c r="X53" s="20" t="s">
        <v>379</v>
      </c>
      <c r="Y53" s="20" t="s">
        <v>292</v>
      </c>
      <c r="Z53" s="20" t="s">
        <v>359</v>
      </c>
      <c r="AA53" s="20" t="s">
        <v>380</v>
      </c>
    </row>
    <row r="54" spans="1:27" x14ac:dyDescent="0.2">
      <c r="A54" s="20" t="s">
        <v>223</v>
      </c>
      <c r="B54" s="20" t="s">
        <v>326</v>
      </c>
      <c r="C54" s="20" t="s">
        <v>36</v>
      </c>
      <c r="D54" s="20" t="s">
        <v>13</v>
      </c>
      <c r="E54" s="20" t="s">
        <v>373</v>
      </c>
      <c r="F54" s="20" t="s">
        <v>36</v>
      </c>
      <c r="G54" s="20">
        <v>5</v>
      </c>
      <c r="H54" s="20">
        <v>4</v>
      </c>
      <c r="I54" s="13">
        <v>0.60899999999999999</v>
      </c>
      <c r="J54" s="20" t="s">
        <v>249</v>
      </c>
      <c r="K54" s="18">
        <v>0.40400000000000003</v>
      </c>
      <c r="L54" s="20" t="s">
        <v>249</v>
      </c>
      <c r="M54" s="20" t="s">
        <v>414</v>
      </c>
      <c r="N54" s="20" t="s">
        <v>13</v>
      </c>
      <c r="O54" s="20">
        <v>2</v>
      </c>
      <c r="P54" s="20">
        <v>3</v>
      </c>
      <c r="Q54" s="13">
        <v>0.53200000000000003</v>
      </c>
      <c r="R54" s="20" t="s">
        <v>248</v>
      </c>
      <c r="S54" s="20">
        <v>0.09</v>
      </c>
      <c r="T54" s="20" t="s">
        <v>249</v>
      </c>
      <c r="U54" s="20" t="s">
        <v>60</v>
      </c>
      <c r="V54" s="20"/>
      <c r="W54" s="20"/>
      <c r="X54" s="20" t="s">
        <v>379</v>
      </c>
      <c r="Y54" s="20" t="s">
        <v>292</v>
      </c>
      <c r="Z54" s="20" t="s">
        <v>371</v>
      </c>
      <c r="AA54" s="20" t="s">
        <v>380</v>
      </c>
    </row>
    <row r="55" spans="1:27" x14ac:dyDescent="0.2">
      <c r="A55" s="20" t="s">
        <v>223</v>
      </c>
      <c r="B55" s="20" t="s">
        <v>328</v>
      </c>
      <c r="C55" s="20" t="s">
        <v>26</v>
      </c>
      <c r="D55" s="20" t="s">
        <v>24</v>
      </c>
      <c r="E55" s="20" t="s">
        <v>374</v>
      </c>
      <c r="F55" s="20" t="s">
        <v>24</v>
      </c>
      <c r="G55" s="20">
        <v>3</v>
      </c>
      <c r="H55" s="20">
        <v>4</v>
      </c>
      <c r="I55" s="13">
        <v>0.77800000000000002</v>
      </c>
      <c r="J55" s="20" t="s">
        <v>249</v>
      </c>
      <c r="K55" s="18">
        <v>0.39800000000000002</v>
      </c>
      <c r="L55" s="20" t="s">
        <v>249</v>
      </c>
      <c r="M55" s="20" t="s">
        <v>415</v>
      </c>
      <c r="N55" s="20" t="s">
        <v>24</v>
      </c>
      <c r="O55" s="20">
        <v>2</v>
      </c>
      <c r="P55" s="20">
        <v>4</v>
      </c>
      <c r="Q55" s="13">
        <v>0.71599999999999997</v>
      </c>
      <c r="R55" s="20" t="s">
        <v>249</v>
      </c>
      <c r="S55" s="20">
        <v>0.78</v>
      </c>
      <c r="T55" s="20" t="s">
        <v>249</v>
      </c>
      <c r="U55" s="20" t="s">
        <v>60</v>
      </c>
      <c r="V55" s="20"/>
      <c r="W55" s="20"/>
      <c r="X55" s="20" t="s">
        <v>379</v>
      </c>
      <c r="Y55" s="20" t="s">
        <v>292</v>
      </c>
      <c r="Z55" s="20" t="s">
        <v>371</v>
      </c>
      <c r="AA55" s="20" t="s">
        <v>380</v>
      </c>
    </row>
    <row r="56" spans="1:27" x14ac:dyDescent="0.2">
      <c r="A56" s="20" t="s">
        <v>223</v>
      </c>
      <c r="B56" s="20" t="s">
        <v>324</v>
      </c>
      <c r="C56" s="20" t="s">
        <v>11</v>
      </c>
      <c r="D56" s="20" t="s">
        <v>29</v>
      </c>
      <c r="E56" s="20" t="s">
        <v>375</v>
      </c>
      <c r="F56" s="20" t="s">
        <v>11</v>
      </c>
      <c r="G56" s="20">
        <v>5</v>
      </c>
      <c r="H56" s="20">
        <v>4</v>
      </c>
      <c r="I56" s="13">
        <v>0.50600000000000001</v>
      </c>
      <c r="J56" s="20" t="s">
        <v>249</v>
      </c>
      <c r="K56" s="18">
        <v>0.22700000000000001</v>
      </c>
      <c r="L56" s="20" t="s">
        <v>249</v>
      </c>
      <c r="M56" s="20" t="s">
        <v>416</v>
      </c>
      <c r="N56" s="20" t="s">
        <v>11</v>
      </c>
      <c r="O56" s="20">
        <v>4</v>
      </c>
      <c r="P56" s="20">
        <v>2</v>
      </c>
      <c r="Q56" s="13">
        <v>0.59099999999999997</v>
      </c>
      <c r="R56" s="20" t="s">
        <v>249</v>
      </c>
      <c r="S56" s="20">
        <v>-0.98</v>
      </c>
      <c r="T56" s="20" t="s">
        <v>249</v>
      </c>
      <c r="U56" s="20" t="s">
        <v>60</v>
      </c>
      <c r="V56" s="20"/>
      <c r="W56" s="20"/>
      <c r="X56" s="20" t="s">
        <v>379</v>
      </c>
      <c r="Y56" s="20" t="s">
        <v>292</v>
      </c>
      <c r="Z56" s="20" t="s">
        <v>371</v>
      </c>
      <c r="AA56" s="20" t="s">
        <v>380</v>
      </c>
    </row>
    <row r="57" spans="1:27" x14ac:dyDescent="0.2">
      <c r="A57" s="20" t="s">
        <v>223</v>
      </c>
      <c r="B57" s="20" t="s">
        <v>328</v>
      </c>
      <c r="C57" s="20" t="s">
        <v>35</v>
      </c>
      <c r="D57" s="20" t="s">
        <v>15</v>
      </c>
      <c r="E57" s="20" t="s">
        <v>376</v>
      </c>
      <c r="F57" s="20" t="s">
        <v>15</v>
      </c>
      <c r="G57" s="20">
        <v>3</v>
      </c>
      <c r="H57" s="20">
        <v>4</v>
      </c>
      <c r="I57" s="13">
        <v>0.63800000000000001</v>
      </c>
      <c r="J57" s="20" t="s">
        <v>249</v>
      </c>
      <c r="K57" s="18">
        <v>0.35499999999999998</v>
      </c>
      <c r="L57" s="20" t="s">
        <v>249</v>
      </c>
      <c r="M57" s="20" t="s">
        <v>417</v>
      </c>
      <c r="N57" s="20" t="s">
        <v>15</v>
      </c>
      <c r="O57" s="20">
        <v>2</v>
      </c>
      <c r="P57" s="20">
        <v>4</v>
      </c>
      <c r="Q57" s="13">
        <v>0.7</v>
      </c>
      <c r="R57" s="20" t="s">
        <v>249</v>
      </c>
      <c r="S57" s="20">
        <v>1.2</v>
      </c>
      <c r="T57" s="20" t="s">
        <v>249</v>
      </c>
      <c r="U57" s="20" t="s">
        <v>60</v>
      </c>
      <c r="V57" s="20"/>
      <c r="W57" s="20"/>
      <c r="X57" s="20" t="s">
        <v>379</v>
      </c>
      <c r="Y57" s="20" t="s">
        <v>292</v>
      </c>
      <c r="Z57" s="20" t="s">
        <v>371</v>
      </c>
      <c r="AA57" s="20" t="s">
        <v>380</v>
      </c>
    </row>
    <row r="58" spans="1:27" x14ac:dyDescent="0.2">
      <c r="A58" s="20" t="s">
        <v>223</v>
      </c>
      <c r="B58" s="20" t="s">
        <v>328</v>
      </c>
      <c r="C58" s="20" t="s">
        <v>27</v>
      </c>
      <c r="D58" s="20" t="s">
        <v>37</v>
      </c>
      <c r="E58" s="20" t="s">
        <v>377</v>
      </c>
      <c r="F58" s="20" t="s">
        <v>37</v>
      </c>
      <c r="G58" s="20">
        <v>2</v>
      </c>
      <c r="H58" s="20">
        <v>3</v>
      </c>
      <c r="I58" s="13">
        <v>0.71899999999999997</v>
      </c>
      <c r="J58" s="20" t="s">
        <v>248</v>
      </c>
      <c r="K58" s="18">
        <v>0.501</v>
      </c>
      <c r="L58" s="20" t="s">
        <v>249</v>
      </c>
      <c r="M58" s="20" t="s">
        <v>418</v>
      </c>
      <c r="N58" s="20" t="s">
        <v>37</v>
      </c>
      <c r="O58" s="20">
        <v>2</v>
      </c>
      <c r="P58" s="20">
        <v>4</v>
      </c>
      <c r="Q58" s="13">
        <v>0.627</v>
      </c>
      <c r="R58" s="20" t="s">
        <v>249</v>
      </c>
      <c r="S58" s="20">
        <v>0.63</v>
      </c>
      <c r="T58" s="20" t="s">
        <v>249</v>
      </c>
      <c r="U58" s="20" t="s">
        <v>60</v>
      </c>
      <c r="V58" s="20"/>
      <c r="W58" s="20"/>
      <c r="X58" s="20" t="s">
        <v>379</v>
      </c>
      <c r="Y58" s="20" t="s">
        <v>292</v>
      </c>
      <c r="Z58" s="20" t="s">
        <v>371</v>
      </c>
      <c r="AA58" s="20" t="s">
        <v>380</v>
      </c>
    </row>
    <row r="59" spans="1:27" x14ac:dyDescent="0.2">
      <c r="A59" s="20" t="s">
        <v>223</v>
      </c>
      <c r="B59" s="20" t="s">
        <v>326</v>
      </c>
      <c r="C59" s="20" t="s">
        <v>20</v>
      </c>
      <c r="D59" s="20" t="s">
        <v>55</v>
      </c>
      <c r="E59" s="20" t="s">
        <v>337</v>
      </c>
      <c r="F59" s="20" t="s">
        <v>55</v>
      </c>
      <c r="G59" s="20">
        <v>3</v>
      </c>
      <c r="H59" s="20">
        <v>4</v>
      </c>
      <c r="I59" s="13">
        <v>0.754</v>
      </c>
      <c r="J59" s="20" t="s">
        <v>249</v>
      </c>
      <c r="K59" s="18">
        <v>0.438</v>
      </c>
      <c r="L59" s="20" t="s">
        <v>249</v>
      </c>
      <c r="M59" s="20" t="s">
        <v>419</v>
      </c>
      <c r="N59" s="20" t="s">
        <v>20</v>
      </c>
      <c r="O59" s="20">
        <v>3</v>
      </c>
      <c r="P59" s="20">
        <v>2</v>
      </c>
      <c r="Q59" s="13">
        <v>0.46800000000000003</v>
      </c>
      <c r="R59" s="20" t="s">
        <v>248</v>
      </c>
      <c r="S59" s="20">
        <v>-0.28999999999999998</v>
      </c>
      <c r="T59" s="20" t="s">
        <v>249</v>
      </c>
      <c r="U59" s="20" t="s">
        <v>60</v>
      </c>
      <c r="V59" s="20"/>
      <c r="W59" s="20"/>
      <c r="X59" s="20" t="s">
        <v>379</v>
      </c>
      <c r="Y59" s="20" t="s">
        <v>292</v>
      </c>
      <c r="Z59" s="20" t="s">
        <v>371</v>
      </c>
      <c r="AA59" s="20" t="s">
        <v>380</v>
      </c>
    </row>
    <row r="60" spans="1:27" x14ac:dyDescent="0.2">
      <c r="A60" s="20" t="s">
        <v>223</v>
      </c>
      <c r="B60" s="20" t="s">
        <v>328</v>
      </c>
      <c r="C60" s="20" t="s">
        <v>28</v>
      </c>
      <c r="D60" s="20" t="s">
        <v>22</v>
      </c>
      <c r="E60" s="20" t="s">
        <v>378</v>
      </c>
      <c r="F60" s="20" t="s">
        <v>22</v>
      </c>
      <c r="G60" s="20">
        <v>3</v>
      </c>
      <c r="H60" s="20">
        <v>4</v>
      </c>
      <c r="I60" s="13">
        <v>0.59399999999999997</v>
      </c>
      <c r="J60" s="20" t="s">
        <v>249</v>
      </c>
      <c r="K60" s="18">
        <v>0.48699999999999999</v>
      </c>
      <c r="L60" s="20" t="s">
        <v>249</v>
      </c>
      <c r="M60" s="20" t="s">
        <v>420</v>
      </c>
      <c r="N60" s="20" t="s">
        <v>22</v>
      </c>
      <c r="O60" s="20">
        <v>2</v>
      </c>
      <c r="P60" s="20">
        <v>4</v>
      </c>
      <c r="Q60" s="13">
        <v>0.64500000000000002</v>
      </c>
      <c r="R60" s="20" t="s">
        <v>249</v>
      </c>
      <c r="S60" s="20">
        <v>0.8</v>
      </c>
      <c r="T60" s="20" t="s">
        <v>249</v>
      </c>
      <c r="U60" s="20" t="s">
        <v>60</v>
      </c>
      <c r="V60" s="20"/>
      <c r="W60" s="20"/>
      <c r="X60" s="20" t="s">
        <v>379</v>
      </c>
      <c r="Y60" s="20" t="s">
        <v>292</v>
      </c>
      <c r="Z60" s="20" t="s">
        <v>371</v>
      </c>
      <c r="AA60" s="20" t="s">
        <v>380</v>
      </c>
    </row>
    <row r="61" spans="1:27" x14ac:dyDescent="0.2">
      <c r="A61" s="20" t="s">
        <v>225</v>
      </c>
      <c r="B61" s="20" t="s">
        <v>322</v>
      </c>
      <c r="C61" s="20" t="s">
        <v>38</v>
      </c>
      <c r="D61" s="20" t="s">
        <v>31</v>
      </c>
      <c r="E61" s="20" t="s">
        <v>422</v>
      </c>
      <c r="F61" s="20" t="s">
        <v>31</v>
      </c>
      <c r="G61" s="20">
        <v>3</v>
      </c>
      <c r="H61" s="20">
        <v>5</v>
      </c>
      <c r="I61" s="13">
        <v>0.73499999999999999</v>
      </c>
      <c r="J61" s="20" t="s">
        <v>249</v>
      </c>
      <c r="K61" s="18">
        <v>0.44500000000000001</v>
      </c>
      <c r="L61" s="20" t="s">
        <v>60</v>
      </c>
      <c r="M61" s="20" t="s">
        <v>60</v>
      </c>
      <c r="N61" s="20" t="s">
        <v>31</v>
      </c>
      <c r="O61" s="20">
        <v>2</v>
      </c>
      <c r="P61" s="20">
        <v>5</v>
      </c>
      <c r="Q61" s="13">
        <v>0.84299999999999997</v>
      </c>
      <c r="R61" s="20" t="s">
        <v>249</v>
      </c>
      <c r="S61" s="20">
        <v>1.64</v>
      </c>
      <c r="T61" s="20" t="s">
        <v>60</v>
      </c>
      <c r="U61" s="20" t="s">
        <v>60</v>
      </c>
      <c r="V61" s="20"/>
      <c r="W61" s="20"/>
      <c r="X61" s="20" t="s">
        <v>60</v>
      </c>
      <c r="Y61" s="20" t="s">
        <v>421</v>
      </c>
      <c r="Z61" s="20" t="s">
        <v>439</v>
      </c>
      <c r="AA61" s="20" t="s">
        <v>60</v>
      </c>
    </row>
    <row r="62" spans="1:27" x14ac:dyDescent="0.2">
      <c r="A62" s="20" t="s">
        <v>225</v>
      </c>
      <c r="B62" s="20" t="s">
        <v>328</v>
      </c>
      <c r="C62" s="20" t="s">
        <v>15</v>
      </c>
      <c r="D62" s="20" t="s">
        <v>25</v>
      </c>
      <c r="E62" s="20" t="s">
        <v>423</v>
      </c>
      <c r="F62" s="20" t="s">
        <v>15</v>
      </c>
      <c r="G62" s="20">
        <v>5</v>
      </c>
      <c r="H62" s="20">
        <v>4</v>
      </c>
      <c r="I62" s="13">
        <v>0.54400000000000004</v>
      </c>
      <c r="J62" s="20" t="s">
        <v>249</v>
      </c>
      <c r="K62" s="18">
        <v>0.38300000000000001</v>
      </c>
      <c r="L62" s="20" t="s">
        <v>60</v>
      </c>
      <c r="M62" s="20" t="s">
        <v>60</v>
      </c>
      <c r="N62" s="20" t="s">
        <v>25</v>
      </c>
      <c r="O62" s="20">
        <v>2</v>
      </c>
      <c r="P62" s="20">
        <v>4</v>
      </c>
      <c r="Q62" s="13">
        <v>0.66</v>
      </c>
      <c r="R62" s="20" t="s">
        <v>249</v>
      </c>
      <c r="S62" s="20">
        <v>1.0900000000000001</v>
      </c>
      <c r="T62" s="20" t="s">
        <v>60</v>
      </c>
      <c r="U62" s="20" t="s">
        <v>60</v>
      </c>
      <c r="V62" s="20"/>
      <c r="W62" s="20"/>
      <c r="X62" s="20" t="s">
        <v>60</v>
      </c>
      <c r="Y62" s="20" t="s">
        <v>421</v>
      </c>
      <c r="Z62" s="20" t="s">
        <v>439</v>
      </c>
      <c r="AA62" s="20" t="s">
        <v>60</v>
      </c>
    </row>
    <row r="63" spans="1:27" x14ac:dyDescent="0.2">
      <c r="A63" s="20" t="s">
        <v>225</v>
      </c>
      <c r="B63" s="20" t="s">
        <v>328</v>
      </c>
      <c r="C63" s="20" t="s">
        <v>19</v>
      </c>
      <c r="D63" s="20" t="s">
        <v>28</v>
      </c>
      <c r="E63" s="20" t="s">
        <v>424</v>
      </c>
      <c r="F63" s="20" t="s">
        <v>28</v>
      </c>
      <c r="G63" s="20">
        <v>4</v>
      </c>
      <c r="H63" s="20">
        <v>5</v>
      </c>
      <c r="I63" s="13">
        <v>0.81299999999999994</v>
      </c>
      <c r="J63" s="20" t="s">
        <v>249</v>
      </c>
      <c r="K63" s="18">
        <v>0.442</v>
      </c>
      <c r="L63" s="20" t="s">
        <v>60</v>
      </c>
      <c r="M63" s="20" t="s">
        <v>60</v>
      </c>
      <c r="N63" s="20" t="s">
        <v>28</v>
      </c>
      <c r="O63" s="20">
        <v>2</v>
      </c>
      <c r="P63" s="20">
        <v>3</v>
      </c>
      <c r="Q63" s="13">
        <v>0.60199999999999998</v>
      </c>
      <c r="R63" s="20" t="s">
        <v>249</v>
      </c>
      <c r="S63" s="20">
        <v>0.4</v>
      </c>
      <c r="T63" s="20" t="s">
        <v>60</v>
      </c>
      <c r="U63" s="20" t="s">
        <v>60</v>
      </c>
      <c r="V63" s="20"/>
      <c r="W63" s="20"/>
      <c r="X63" s="20" t="s">
        <v>60</v>
      </c>
      <c r="Y63" s="20" t="s">
        <v>421</v>
      </c>
      <c r="Z63" s="20" t="s">
        <v>439</v>
      </c>
      <c r="AA63" s="20" t="s">
        <v>60</v>
      </c>
    </row>
    <row r="64" spans="1:27" x14ac:dyDescent="0.2">
      <c r="A64" s="20" t="s">
        <v>225</v>
      </c>
      <c r="B64" s="20" t="s">
        <v>425</v>
      </c>
      <c r="C64" s="20" t="s">
        <v>34</v>
      </c>
      <c r="D64" s="20" t="s">
        <v>10</v>
      </c>
      <c r="E64" s="20" t="s">
        <v>426</v>
      </c>
      <c r="F64" s="20" t="s">
        <v>34</v>
      </c>
      <c r="G64" s="20">
        <v>4</v>
      </c>
      <c r="H64" s="20">
        <v>3</v>
      </c>
      <c r="I64" s="13">
        <v>0.57699999999999996</v>
      </c>
      <c r="J64" s="20" t="s">
        <v>249</v>
      </c>
      <c r="K64" s="18">
        <v>0.313</v>
      </c>
      <c r="L64" s="20" t="s">
        <v>60</v>
      </c>
      <c r="M64" s="20" t="s">
        <v>60</v>
      </c>
      <c r="N64" s="20" t="s">
        <v>10</v>
      </c>
      <c r="O64" s="20">
        <v>2</v>
      </c>
      <c r="P64" s="20">
        <v>3</v>
      </c>
      <c r="Q64" s="13">
        <v>0.54800000000000004</v>
      </c>
      <c r="R64" s="20" t="s">
        <v>248</v>
      </c>
      <c r="S64" s="20">
        <v>0.2</v>
      </c>
      <c r="T64" s="20" t="s">
        <v>60</v>
      </c>
      <c r="U64" s="20" t="s">
        <v>60</v>
      </c>
      <c r="V64" s="20"/>
      <c r="W64" s="20"/>
      <c r="X64" s="20" t="s">
        <v>60</v>
      </c>
      <c r="Y64" s="20" t="s">
        <v>421</v>
      </c>
      <c r="Z64" s="20" t="s">
        <v>439</v>
      </c>
      <c r="AA64" s="20" t="s">
        <v>60</v>
      </c>
    </row>
    <row r="65" spans="1:27" x14ac:dyDescent="0.2">
      <c r="A65" s="20" t="s">
        <v>225</v>
      </c>
      <c r="B65" s="20" t="s">
        <v>326</v>
      </c>
      <c r="C65" s="20" t="s">
        <v>33</v>
      </c>
      <c r="D65" s="20" t="s">
        <v>12</v>
      </c>
      <c r="E65" s="20" t="s">
        <v>427</v>
      </c>
      <c r="F65" s="20" t="s">
        <v>12</v>
      </c>
      <c r="G65" s="20">
        <v>2</v>
      </c>
      <c r="H65" s="20">
        <v>4</v>
      </c>
      <c r="I65" s="13">
        <v>0.84299999999999997</v>
      </c>
      <c r="J65" s="20" t="s">
        <v>249</v>
      </c>
      <c r="K65" s="18">
        <v>0.34399999999999997</v>
      </c>
      <c r="L65" s="20" t="s">
        <v>60</v>
      </c>
      <c r="M65" s="20" t="s">
        <v>60</v>
      </c>
      <c r="N65" s="20" t="s">
        <v>12</v>
      </c>
      <c r="O65" s="20">
        <v>2</v>
      </c>
      <c r="P65" s="20">
        <v>5</v>
      </c>
      <c r="Q65" s="13">
        <v>0.90800000000000003</v>
      </c>
      <c r="R65" s="20" t="s">
        <v>249</v>
      </c>
      <c r="S65" s="20">
        <v>1.97</v>
      </c>
      <c r="T65" s="20" t="s">
        <v>60</v>
      </c>
      <c r="U65" s="20" t="s">
        <v>60</v>
      </c>
      <c r="V65" s="20"/>
      <c r="W65" s="20"/>
      <c r="X65" s="20" t="s">
        <v>60</v>
      </c>
      <c r="Y65" s="20" t="s">
        <v>421</v>
      </c>
      <c r="Z65" s="20" t="s">
        <v>439</v>
      </c>
      <c r="AA65" s="20" t="s">
        <v>60</v>
      </c>
    </row>
    <row r="66" spans="1:27" x14ac:dyDescent="0.2">
      <c r="A66" s="20" t="s">
        <v>225</v>
      </c>
      <c r="B66" s="20" t="s">
        <v>328</v>
      </c>
      <c r="C66" s="20" t="s">
        <v>29</v>
      </c>
      <c r="D66" s="20" t="s">
        <v>26</v>
      </c>
      <c r="E66" s="20" t="s">
        <v>428</v>
      </c>
      <c r="F66" s="20" t="s">
        <v>26</v>
      </c>
      <c r="G66" s="20">
        <v>3</v>
      </c>
      <c r="H66" s="20">
        <v>4</v>
      </c>
      <c r="I66" s="13">
        <v>0.89500000000000002</v>
      </c>
      <c r="J66" s="20" t="s">
        <v>249</v>
      </c>
      <c r="K66" s="18">
        <v>0.44</v>
      </c>
      <c r="L66" s="20" t="s">
        <v>60</v>
      </c>
      <c r="M66" s="20" t="s">
        <v>60</v>
      </c>
      <c r="N66" s="20" t="s">
        <v>26</v>
      </c>
      <c r="O66" s="20">
        <v>2</v>
      </c>
      <c r="P66" s="20">
        <v>4</v>
      </c>
      <c r="Q66" s="13">
        <v>0.73499999999999999</v>
      </c>
      <c r="R66" s="20" t="s">
        <v>249</v>
      </c>
      <c r="S66" s="20">
        <v>1.17</v>
      </c>
      <c r="T66" s="20" t="s">
        <v>60</v>
      </c>
      <c r="U66" s="20" t="s">
        <v>60</v>
      </c>
      <c r="V66" s="20"/>
      <c r="W66" s="20"/>
      <c r="X66" s="20" t="s">
        <v>60</v>
      </c>
      <c r="Y66" s="20" t="s">
        <v>421</v>
      </c>
      <c r="Z66" s="20" t="s">
        <v>439</v>
      </c>
      <c r="AA66" s="20" t="s">
        <v>60</v>
      </c>
    </row>
    <row r="67" spans="1:27" x14ac:dyDescent="0.2">
      <c r="A67" s="20" t="s">
        <v>225</v>
      </c>
      <c r="B67" s="20" t="s">
        <v>328</v>
      </c>
      <c r="C67" s="20" t="s">
        <v>27</v>
      </c>
      <c r="D67" s="20" t="s">
        <v>11</v>
      </c>
      <c r="E67" s="20" t="s">
        <v>429</v>
      </c>
      <c r="F67" s="20" t="s">
        <v>11</v>
      </c>
      <c r="G67" s="20">
        <v>3</v>
      </c>
      <c r="H67" s="20">
        <v>4</v>
      </c>
      <c r="I67" s="13">
        <v>0.78400000000000003</v>
      </c>
      <c r="J67" s="20" t="s">
        <v>248</v>
      </c>
      <c r="K67" s="18">
        <v>0.67900000000000005</v>
      </c>
      <c r="L67" s="20" t="s">
        <v>60</v>
      </c>
      <c r="M67" s="20" t="s">
        <v>60</v>
      </c>
      <c r="N67" s="20" t="s">
        <v>11</v>
      </c>
      <c r="O67" s="20">
        <v>2</v>
      </c>
      <c r="P67" s="20">
        <v>3</v>
      </c>
      <c r="Q67" s="13">
        <v>0.66</v>
      </c>
      <c r="R67" s="20" t="s">
        <v>249</v>
      </c>
      <c r="S67" s="20">
        <v>0.49</v>
      </c>
      <c r="T67" s="20" t="s">
        <v>60</v>
      </c>
      <c r="U67" s="20" t="s">
        <v>60</v>
      </c>
      <c r="V67" s="20"/>
      <c r="W67" s="20"/>
      <c r="X67" s="20" t="s">
        <v>60</v>
      </c>
      <c r="Y67" s="20" t="s">
        <v>421</v>
      </c>
      <c r="Z67" s="20" t="s">
        <v>439</v>
      </c>
      <c r="AA67" s="20" t="s">
        <v>60</v>
      </c>
    </row>
    <row r="68" spans="1:27" x14ac:dyDescent="0.2">
      <c r="A68" s="20" t="s">
        <v>225</v>
      </c>
      <c r="B68" s="20" t="s">
        <v>328</v>
      </c>
      <c r="C68" s="20" t="s">
        <v>35</v>
      </c>
      <c r="D68" s="20" t="s">
        <v>24</v>
      </c>
      <c r="E68" s="20" t="s">
        <v>430</v>
      </c>
      <c r="F68" s="20" t="s">
        <v>24</v>
      </c>
      <c r="G68" s="20">
        <v>3</v>
      </c>
      <c r="H68" s="20">
        <v>4</v>
      </c>
      <c r="I68" s="13">
        <v>0.872</v>
      </c>
      <c r="J68" s="20" t="s">
        <v>249</v>
      </c>
      <c r="K68" s="18">
        <v>0.25900000000000001</v>
      </c>
      <c r="L68" s="20" t="s">
        <v>60</v>
      </c>
      <c r="M68" s="20" t="s">
        <v>60</v>
      </c>
      <c r="N68" s="20" t="s">
        <v>24</v>
      </c>
      <c r="O68" s="20">
        <v>2</v>
      </c>
      <c r="P68" s="20">
        <v>5</v>
      </c>
      <c r="Q68" s="13">
        <v>0.90100000000000002</v>
      </c>
      <c r="R68" s="20" t="s">
        <v>249</v>
      </c>
      <c r="S68" s="20">
        <v>1.74</v>
      </c>
      <c r="T68" s="20" t="s">
        <v>60</v>
      </c>
      <c r="U68" s="20" t="s">
        <v>60</v>
      </c>
      <c r="V68" s="20"/>
      <c r="W68" s="20"/>
      <c r="X68" s="20" t="s">
        <v>60</v>
      </c>
      <c r="Y68" s="20" t="s">
        <v>421</v>
      </c>
      <c r="Z68" s="20" t="s">
        <v>439</v>
      </c>
      <c r="AA68" s="20" t="s">
        <v>60</v>
      </c>
    </row>
    <row r="69" spans="1:27" x14ac:dyDescent="0.2">
      <c r="A69" s="20" t="s">
        <v>225</v>
      </c>
      <c r="B69" s="20" t="s">
        <v>328</v>
      </c>
      <c r="C69" s="20" t="s">
        <v>21</v>
      </c>
      <c r="D69" s="20" t="s">
        <v>30</v>
      </c>
      <c r="E69" s="20" t="s">
        <v>431</v>
      </c>
      <c r="F69" s="20" t="s">
        <v>30</v>
      </c>
      <c r="G69" s="20">
        <v>2</v>
      </c>
      <c r="H69" s="20">
        <v>5</v>
      </c>
      <c r="I69" s="13">
        <v>0.85799999999999998</v>
      </c>
      <c r="J69" s="20" t="s">
        <v>249</v>
      </c>
      <c r="K69" s="18">
        <v>0.38900000000000001</v>
      </c>
      <c r="L69" s="20" t="s">
        <v>60</v>
      </c>
      <c r="M69" s="20" t="s">
        <v>60</v>
      </c>
      <c r="N69" s="20" t="s">
        <v>30</v>
      </c>
      <c r="O69" s="20">
        <v>2</v>
      </c>
      <c r="P69" s="20">
        <v>3</v>
      </c>
      <c r="Q69" s="13">
        <v>0.57999999999999996</v>
      </c>
      <c r="R69" s="20" t="s">
        <v>248</v>
      </c>
      <c r="S69" s="20">
        <v>0.28999999999999998</v>
      </c>
      <c r="T69" s="20" t="s">
        <v>60</v>
      </c>
      <c r="U69" s="20" t="s">
        <v>60</v>
      </c>
      <c r="V69" s="20"/>
      <c r="W69" s="20"/>
      <c r="X69" s="20" t="s">
        <v>60</v>
      </c>
      <c r="Y69" s="20" t="s">
        <v>421</v>
      </c>
      <c r="Z69" s="20" t="s">
        <v>439</v>
      </c>
      <c r="AA69" s="20" t="s">
        <v>60</v>
      </c>
    </row>
    <row r="70" spans="1:27" x14ac:dyDescent="0.2">
      <c r="A70" s="20" t="s">
        <v>225</v>
      </c>
      <c r="B70" s="20" t="s">
        <v>328</v>
      </c>
      <c r="C70" s="20" t="s">
        <v>23</v>
      </c>
      <c r="D70" s="20" t="s">
        <v>14</v>
      </c>
      <c r="E70" s="20" t="s">
        <v>432</v>
      </c>
      <c r="F70" s="20" t="s">
        <v>14</v>
      </c>
      <c r="G70" s="20">
        <v>3</v>
      </c>
      <c r="H70" s="20">
        <v>4</v>
      </c>
      <c r="I70" s="13">
        <v>0.76300000000000001</v>
      </c>
      <c r="J70" s="20" t="s">
        <v>249</v>
      </c>
      <c r="K70" s="18">
        <v>0.495</v>
      </c>
      <c r="L70" s="20" t="s">
        <v>60</v>
      </c>
      <c r="M70" s="20" t="s">
        <v>60</v>
      </c>
      <c r="N70" s="20" t="s">
        <v>14</v>
      </c>
      <c r="O70" s="20">
        <v>2</v>
      </c>
      <c r="P70" s="20">
        <v>3</v>
      </c>
      <c r="Q70" s="13">
        <v>0.60099999999999998</v>
      </c>
      <c r="R70" s="20" t="s">
        <v>249</v>
      </c>
      <c r="S70" s="20">
        <v>0.44</v>
      </c>
      <c r="T70" s="20" t="s">
        <v>60</v>
      </c>
      <c r="U70" s="20" t="s">
        <v>60</v>
      </c>
      <c r="V70" s="20"/>
      <c r="W70" s="20"/>
      <c r="X70" s="20" t="s">
        <v>60</v>
      </c>
      <c r="Y70" s="20" t="s">
        <v>421</v>
      </c>
      <c r="Z70" s="20" t="s">
        <v>439</v>
      </c>
      <c r="AA70" s="20" t="s">
        <v>60</v>
      </c>
    </row>
    <row r="71" spans="1:27" x14ac:dyDescent="0.2">
      <c r="A71" s="20" t="s">
        <v>225</v>
      </c>
      <c r="B71" s="20" t="s">
        <v>322</v>
      </c>
      <c r="C71" s="20" t="s">
        <v>39</v>
      </c>
      <c r="D71" s="20" t="s">
        <v>32</v>
      </c>
      <c r="E71" s="20" t="s">
        <v>433</v>
      </c>
      <c r="F71" s="20" t="s">
        <v>32</v>
      </c>
      <c r="G71" s="20">
        <v>4</v>
      </c>
      <c r="H71" s="20">
        <v>5</v>
      </c>
      <c r="I71" s="13">
        <v>0.60299999999999998</v>
      </c>
      <c r="J71" s="20" t="s">
        <v>249</v>
      </c>
      <c r="K71" s="18">
        <v>0.44900000000000001</v>
      </c>
      <c r="L71" s="20" t="s">
        <v>60</v>
      </c>
      <c r="M71" s="20" t="s">
        <v>60</v>
      </c>
      <c r="N71" s="20" t="s">
        <v>39</v>
      </c>
      <c r="O71" s="20">
        <v>3</v>
      </c>
      <c r="P71" s="20">
        <v>2</v>
      </c>
      <c r="Q71" s="13">
        <v>0.56799999999999995</v>
      </c>
      <c r="R71" s="20" t="s">
        <v>249</v>
      </c>
      <c r="S71" s="20">
        <v>-0.3</v>
      </c>
      <c r="T71" s="20" t="s">
        <v>60</v>
      </c>
      <c r="U71" s="20" t="s">
        <v>60</v>
      </c>
      <c r="V71" s="20"/>
      <c r="W71" s="20"/>
      <c r="X71" s="20" t="s">
        <v>60</v>
      </c>
      <c r="Y71" s="20" t="s">
        <v>421</v>
      </c>
      <c r="Z71" s="20" t="s">
        <v>439</v>
      </c>
      <c r="AA71" s="20" t="s">
        <v>60</v>
      </c>
    </row>
    <row r="72" spans="1:27" x14ac:dyDescent="0.2">
      <c r="A72" s="20" t="s">
        <v>225</v>
      </c>
      <c r="B72" s="20" t="s">
        <v>328</v>
      </c>
      <c r="C72" s="20" t="s">
        <v>16</v>
      </c>
      <c r="D72" s="20" t="s">
        <v>37</v>
      </c>
      <c r="E72" s="20" t="s">
        <v>434</v>
      </c>
      <c r="F72" s="20" t="s">
        <v>37</v>
      </c>
      <c r="G72" s="20">
        <v>2</v>
      </c>
      <c r="H72" s="20">
        <v>3</v>
      </c>
      <c r="I72" s="13">
        <v>0.86699999999999999</v>
      </c>
      <c r="J72" s="20" t="s">
        <v>248</v>
      </c>
      <c r="K72" s="18">
        <v>0.72199999999999998</v>
      </c>
      <c r="L72" s="20" t="s">
        <v>60</v>
      </c>
      <c r="M72" s="20" t="s">
        <v>60</v>
      </c>
      <c r="N72" s="20" t="s">
        <v>37</v>
      </c>
      <c r="O72" s="20">
        <v>2</v>
      </c>
      <c r="P72" s="20">
        <v>4</v>
      </c>
      <c r="Q72" s="13">
        <v>0.76200000000000001</v>
      </c>
      <c r="R72" s="20" t="s">
        <v>249</v>
      </c>
      <c r="S72" s="20">
        <v>1.46</v>
      </c>
      <c r="T72" s="20" t="s">
        <v>60</v>
      </c>
      <c r="U72" s="20" t="s">
        <v>60</v>
      </c>
      <c r="V72" s="20"/>
      <c r="W72" s="20"/>
      <c r="X72" s="20" t="s">
        <v>60</v>
      </c>
      <c r="Y72" s="20" t="s">
        <v>421</v>
      </c>
      <c r="Z72" s="20" t="s">
        <v>439</v>
      </c>
      <c r="AA72" s="20" t="s">
        <v>60</v>
      </c>
    </row>
    <row r="73" spans="1:27" x14ac:dyDescent="0.2">
      <c r="A73" s="20" t="s">
        <v>225</v>
      </c>
      <c r="B73" s="20" t="s">
        <v>435</v>
      </c>
      <c r="C73" s="20" t="s">
        <v>18</v>
      </c>
      <c r="D73" s="20" t="s">
        <v>55</v>
      </c>
      <c r="E73" s="20" t="s">
        <v>436</v>
      </c>
      <c r="F73" s="20" t="s">
        <v>55</v>
      </c>
      <c r="G73" s="20">
        <v>3</v>
      </c>
      <c r="H73" s="20">
        <v>4</v>
      </c>
      <c r="I73" s="13">
        <v>0.81100000000000005</v>
      </c>
      <c r="J73" s="20" t="s">
        <v>249</v>
      </c>
      <c r="K73" s="18">
        <v>0.45600000000000002</v>
      </c>
      <c r="L73" s="20" t="s">
        <v>60</v>
      </c>
      <c r="M73" s="20" t="s">
        <v>60</v>
      </c>
      <c r="N73" s="20" t="s">
        <v>55</v>
      </c>
      <c r="O73" s="20">
        <v>2</v>
      </c>
      <c r="P73" s="20">
        <v>4</v>
      </c>
      <c r="Q73" s="13">
        <v>0.66600000000000004</v>
      </c>
      <c r="R73" s="20" t="s">
        <v>249</v>
      </c>
      <c r="S73" s="20">
        <v>0.78</v>
      </c>
      <c r="T73" s="20" t="s">
        <v>60</v>
      </c>
      <c r="U73" s="20" t="s">
        <v>60</v>
      </c>
      <c r="V73" s="20"/>
      <c r="W73" s="20"/>
      <c r="X73" s="20" t="s">
        <v>60</v>
      </c>
      <c r="Y73" s="20" t="s">
        <v>421</v>
      </c>
      <c r="Z73" s="20" t="s">
        <v>439</v>
      </c>
      <c r="AA73" s="20" t="s">
        <v>60</v>
      </c>
    </row>
    <row r="74" spans="1:27" x14ac:dyDescent="0.2">
      <c r="A74" s="20" t="s">
        <v>225</v>
      </c>
      <c r="B74" s="20" t="s">
        <v>322</v>
      </c>
      <c r="C74" s="20" t="s">
        <v>36</v>
      </c>
      <c r="D74" s="20" t="s">
        <v>20</v>
      </c>
      <c r="E74" s="20" t="s">
        <v>437</v>
      </c>
      <c r="F74" s="20" t="s">
        <v>36</v>
      </c>
      <c r="G74" s="20">
        <v>4</v>
      </c>
      <c r="H74" s="20">
        <v>2</v>
      </c>
      <c r="I74" s="13">
        <v>0.64300000000000002</v>
      </c>
      <c r="J74" s="20" t="s">
        <v>249</v>
      </c>
      <c r="K74" s="18">
        <v>0.42599999999999999</v>
      </c>
      <c r="L74" s="20" t="s">
        <v>60</v>
      </c>
      <c r="M74" s="20" t="s">
        <v>60</v>
      </c>
      <c r="N74" s="20" t="s">
        <v>20</v>
      </c>
      <c r="O74" s="20">
        <v>2</v>
      </c>
      <c r="P74" s="20">
        <v>3</v>
      </c>
      <c r="Q74" s="13">
        <v>0.60499999999999998</v>
      </c>
      <c r="R74" s="20" t="s">
        <v>249</v>
      </c>
      <c r="S74" s="20">
        <v>0.47</v>
      </c>
      <c r="T74" s="20" t="s">
        <v>60</v>
      </c>
      <c r="U74" s="20" t="s">
        <v>60</v>
      </c>
      <c r="V74" s="20"/>
      <c r="W74" s="20"/>
      <c r="X74" s="20" t="s">
        <v>60</v>
      </c>
      <c r="Y74" s="20" t="s">
        <v>421</v>
      </c>
      <c r="Z74" s="20" t="s">
        <v>439</v>
      </c>
      <c r="AA74" s="20" t="s">
        <v>60</v>
      </c>
    </row>
    <row r="75" spans="1:27" x14ac:dyDescent="0.2">
      <c r="A75" s="20" t="s">
        <v>225</v>
      </c>
      <c r="B75" s="20" t="s">
        <v>328</v>
      </c>
      <c r="C75" s="20" t="s">
        <v>40</v>
      </c>
      <c r="D75" s="20" t="s">
        <v>22</v>
      </c>
      <c r="E75" s="20" t="s">
        <v>438</v>
      </c>
      <c r="F75" s="20" t="s">
        <v>22</v>
      </c>
      <c r="G75" s="20">
        <v>3</v>
      </c>
      <c r="H75" s="20">
        <v>4</v>
      </c>
      <c r="I75" s="13">
        <v>0.56299999999999994</v>
      </c>
      <c r="J75" s="20" t="s">
        <v>248</v>
      </c>
      <c r="K75" s="18">
        <v>0.53500000000000003</v>
      </c>
      <c r="L75" s="20" t="s">
        <v>60</v>
      </c>
      <c r="M75" s="20" t="s">
        <v>60</v>
      </c>
      <c r="N75" s="20" t="s">
        <v>22</v>
      </c>
      <c r="O75" s="20">
        <v>2</v>
      </c>
      <c r="P75" s="20">
        <v>3</v>
      </c>
      <c r="Q75" s="13">
        <v>0.53600000000000003</v>
      </c>
      <c r="R75" s="20" t="s">
        <v>249</v>
      </c>
      <c r="S75" s="20">
        <v>0.45</v>
      </c>
      <c r="T75" s="20" t="s">
        <v>60</v>
      </c>
      <c r="U75" s="20" t="s">
        <v>60</v>
      </c>
      <c r="V75" s="20"/>
      <c r="W75" s="20"/>
      <c r="X75" s="20" t="s">
        <v>60</v>
      </c>
      <c r="Y75" s="20" t="s">
        <v>421</v>
      </c>
      <c r="Z75" s="20" t="s">
        <v>439</v>
      </c>
      <c r="AA75" s="20" t="s">
        <v>60</v>
      </c>
    </row>
    <row r="76" spans="1:27" x14ac:dyDescent="0.2">
      <c r="A76" s="20" t="s">
        <v>226</v>
      </c>
      <c r="B76" s="20" t="s">
        <v>369</v>
      </c>
      <c r="C76" s="20" t="s">
        <v>13</v>
      </c>
      <c r="D76" s="20" t="s">
        <v>31</v>
      </c>
      <c r="E76" s="20" t="s">
        <v>440</v>
      </c>
      <c r="F76" s="20" t="s">
        <v>31</v>
      </c>
      <c r="G76" s="20">
        <v>3</v>
      </c>
      <c r="H76" s="20">
        <v>4</v>
      </c>
      <c r="I76" s="13">
        <v>0.748</v>
      </c>
      <c r="J76" s="20" t="s">
        <v>249</v>
      </c>
      <c r="K76" s="18">
        <v>0.36399999999999999</v>
      </c>
      <c r="L76" s="20" t="s">
        <v>248</v>
      </c>
      <c r="M76" s="20" t="s">
        <v>291</v>
      </c>
      <c r="N76" s="20" t="s">
        <v>31</v>
      </c>
      <c r="O76" s="20">
        <v>2</v>
      </c>
      <c r="P76" s="20">
        <v>4</v>
      </c>
      <c r="Q76" s="13">
        <v>0.61399999999999999</v>
      </c>
      <c r="R76" s="20" t="s">
        <v>249</v>
      </c>
      <c r="S76" s="20">
        <v>0.66</v>
      </c>
      <c r="T76" s="20" t="s">
        <v>248</v>
      </c>
      <c r="U76" s="20" t="s">
        <v>31</v>
      </c>
      <c r="V76" s="20"/>
      <c r="W76" s="20"/>
      <c r="X76" s="20" t="s">
        <v>60</v>
      </c>
      <c r="Y76" s="20" t="s">
        <v>292</v>
      </c>
      <c r="Z76" s="20" t="s">
        <v>441</v>
      </c>
      <c r="AA76" s="20" t="s">
        <v>457</v>
      </c>
    </row>
    <row r="77" spans="1:27" x14ac:dyDescent="0.2">
      <c r="A77" s="20" t="s">
        <v>226</v>
      </c>
      <c r="B77" s="20" t="s">
        <v>347</v>
      </c>
      <c r="C77" s="20" t="s">
        <v>15</v>
      </c>
      <c r="D77" s="20" t="s">
        <v>21</v>
      </c>
      <c r="E77" s="20" t="s">
        <v>442</v>
      </c>
      <c r="F77" s="20" t="s">
        <v>21</v>
      </c>
      <c r="G77" s="20">
        <v>2</v>
      </c>
      <c r="H77" s="20">
        <v>5</v>
      </c>
      <c r="I77" s="13">
        <v>0.66300000000000003</v>
      </c>
      <c r="J77" s="20" t="s">
        <v>249</v>
      </c>
      <c r="K77" s="18">
        <v>0.41599999999999998</v>
      </c>
      <c r="L77" s="20" t="s">
        <v>249</v>
      </c>
      <c r="M77" s="20" t="s">
        <v>458</v>
      </c>
      <c r="N77" s="20" t="s">
        <v>21</v>
      </c>
      <c r="O77" s="20">
        <v>2</v>
      </c>
      <c r="P77" s="20">
        <v>3</v>
      </c>
      <c r="Q77" s="13">
        <v>0.55900000000000005</v>
      </c>
      <c r="R77" s="20" t="s">
        <v>249</v>
      </c>
      <c r="S77" s="20">
        <v>0.46</v>
      </c>
      <c r="T77" s="20" t="s">
        <v>249</v>
      </c>
      <c r="U77" s="20" t="s">
        <v>15</v>
      </c>
      <c r="V77" s="20"/>
      <c r="W77" s="20"/>
      <c r="X77" s="20" t="s">
        <v>60</v>
      </c>
      <c r="Y77" s="20" t="s">
        <v>292</v>
      </c>
      <c r="Z77" s="20" t="s">
        <v>441</v>
      </c>
      <c r="AA77" s="20" t="s">
        <v>457</v>
      </c>
    </row>
    <row r="78" spans="1:27" x14ac:dyDescent="0.2">
      <c r="A78" s="20" t="s">
        <v>226</v>
      </c>
      <c r="B78" s="20" t="s">
        <v>369</v>
      </c>
      <c r="C78" s="20" t="s">
        <v>24</v>
      </c>
      <c r="D78" s="20" t="s">
        <v>23</v>
      </c>
      <c r="E78" s="20" t="s">
        <v>443</v>
      </c>
      <c r="F78" s="20" t="s">
        <v>24</v>
      </c>
      <c r="G78" s="20">
        <v>4</v>
      </c>
      <c r="H78" s="20">
        <v>3</v>
      </c>
      <c r="I78" s="13">
        <v>0.60199999999999998</v>
      </c>
      <c r="J78" s="20" t="s">
        <v>249</v>
      </c>
      <c r="K78" s="18">
        <v>0.48499999999999999</v>
      </c>
      <c r="L78" s="20" t="s">
        <v>248</v>
      </c>
      <c r="M78" s="20" t="s">
        <v>459</v>
      </c>
      <c r="N78" s="20" t="s">
        <v>24</v>
      </c>
      <c r="O78" s="20">
        <v>3</v>
      </c>
      <c r="P78" s="20">
        <v>2</v>
      </c>
      <c r="Q78" s="13">
        <v>0.501</v>
      </c>
      <c r="R78" s="20" t="s">
        <v>249</v>
      </c>
      <c r="S78" s="20">
        <v>-0.43</v>
      </c>
      <c r="T78" s="20" t="s">
        <v>248</v>
      </c>
      <c r="U78" s="20" t="s">
        <v>24</v>
      </c>
      <c r="V78" s="20"/>
      <c r="W78" s="20"/>
      <c r="X78" s="20" t="s">
        <v>60</v>
      </c>
      <c r="Y78" s="20" t="s">
        <v>292</v>
      </c>
      <c r="Z78" s="20" t="s">
        <v>441</v>
      </c>
      <c r="AA78" s="20" t="s">
        <v>457</v>
      </c>
    </row>
    <row r="79" spans="1:27" x14ac:dyDescent="0.2">
      <c r="A79" s="20" t="s">
        <v>226</v>
      </c>
      <c r="B79" s="20" t="s">
        <v>365</v>
      </c>
      <c r="C79" s="20" t="s">
        <v>40</v>
      </c>
      <c r="D79" s="20" t="s">
        <v>25</v>
      </c>
      <c r="E79" s="20" t="s">
        <v>444</v>
      </c>
      <c r="F79" s="20" t="s">
        <v>25</v>
      </c>
      <c r="G79" s="20">
        <v>3</v>
      </c>
      <c r="H79" s="20">
        <v>4</v>
      </c>
      <c r="I79" s="13">
        <v>0.64400000000000002</v>
      </c>
      <c r="J79" s="20" t="s">
        <v>248</v>
      </c>
      <c r="K79" s="18">
        <v>0.52600000000000002</v>
      </c>
      <c r="L79" s="20" t="s">
        <v>248</v>
      </c>
      <c r="M79" s="20" t="s">
        <v>460</v>
      </c>
      <c r="N79" s="20" t="s">
        <v>25</v>
      </c>
      <c r="O79" s="20">
        <v>2</v>
      </c>
      <c r="P79" s="20">
        <v>3</v>
      </c>
      <c r="Q79" s="13">
        <v>0.58699999999999997</v>
      </c>
      <c r="R79" s="20" t="s">
        <v>249</v>
      </c>
      <c r="S79" s="20">
        <v>0.5</v>
      </c>
      <c r="T79" s="20" t="s">
        <v>248</v>
      </c>
      <c r="U79" s="20" t="s">
        <v>25</v>
      </c>
      <c r="V79" s="20"/>
      <c r="W79" s="20"/>
      <c r="X79" s="20" t="s">
        <v>60</v>
      </c>
      <c r="Y79" s="20" t="s">
        <v>292</v>
      </c>
      <c r="Z79" s="20" t="s">
        <v>441</v>
      </c>
      <c r="AA79" s="20" t="s">
        <v>457</v>
      </c>
    </row>
    <row r="80" spans="1:27" x14ac:dyDescent="0.2">
      <c r="A80" s="20" t="s">
        <v>226</v>
      </c>
      <c r="B80" s="20" t="s">
        <v>328</v>
      </c>
      <c r="C80" s="20" t="s">
        <v>14</v>
      </c>
      <c r="D80" s="20" t="s">
        <v>28</v>
      </c>
      <c r="E80" s="20" t="s">
        <v>445</v>
      </c>
      <c r="F80" s="20" t="s">
        <v>14</v>
      </c>
      <c r="G80" s="20">
        <v>4</v>
      </c>
      <c r="H80" s="20">
        <v>3</v>
      </c>
      <c r="I80" s="13">
        <v>0.55700000000000005</v>
      </c>
      <c r="J80" s="20" t="s">
        <v>248</v>
      </c>
      <c r="K80" s="18">
        <v>0.51500000000000001</v>
      </c>
      <c r="L80" s="20" t="s">
        <v>248</v>
      </c>
      <c r="M80" s="20" t="s">
        <v>461</v>
      </c>
      <c r="N80" s="20" t="s">
        <v>14</v>
      </c>
      <c r="O80" s="20">
        <v>4</v>
      </c>
      <c r="P80" s="20">
        <v>2</v>
      </c>
      <c r="Q80" s="13">
        <v>0.52700000000000002</v>
      </c>
      <c r="R80" s="20" t="s">
        <v>249</v>
      </c>
      <c r="S80" s="20">
        <v>-0.53</v>
      </c>
      <c r="T80" s="20" t="s">
        <v>248</v>
      </c>
      <c r="U80" s="20" t="s">
        <v>14</v>
      </c>
      <c r="V80" s="20"/>
      <c r="W80" s="20"/>
      <c r="X80" s="20" t="s">
        <v>60</v>
      </c>
      <c r="Y80" s="20" t="s">
        <v>292</v>
      </c>
      <c r="Z80" s="20" t="s">
        <v>441</v>
      </c>
      <c r="AA80" s="20" t="s">
        <v>457</v>
      </c>
    </row>
    <row r="81" spans="1:27" x14ac:dyDescent="0.2">
      <c r="A81" s="20" t="s">
        <v>226</v>
      </c>
      <c r="B81" s="20" t="s">
        <v>324</v>
      </c>
      <c r="C81" s="20" t="s">
        <v>29</v>
      </c>
      <c r="D81" s="20" t="s">
        <v>10</v>
      </c>
      <c r="E81" s="20" t="s">
        <v>446</v>
      </c>
      <c r="F81" s="20" t="s">
        <v>10</v>
      </c>
      <c r="G81" s="20">
        <v>2</v>
      </c>
      <c r="H81" s="20">
        <v>4</v>
      </c>
      <c r="I81" s="13">
        <v>0.82499999999999996</v>
      </c>
      <c r="J81" s="20" t="s">
        <v>249</v>
      </c>
      <c r="K81" s="18">
        <v>0.28999999999999998</v>
      </c>
      <c r="L81" s="20" t="s">
        <v>249</v>
      </c>
      <c r="M81" s="20" t="s">
        <v>462</v>
      </c>
      <c r="N81" s="20" t="s">
        <v>10</v>
      </c>
      <c r="O81" s="20">
        <v>2</v>
      </c>
      <c r="P81" s="20">
        <v>4</v>
      </c>
      <c r="Q81" s="13">
        <v>0.71199999999999997</v>
      </c>
      <c r="R81" s="20" t="s">
        <v>249</v>
      </c>
      <c r="S81" s="20">
        <v>1.36</v>
      </c>
      <c r="T81" s="20" t="s">
        <v>249</v>
      </c>
      <c r="U81" s="20" t="s">
        <v>29</v>
      </c>
      <c r="V81" s="20"/>
      <c r="W81" s="20"/>
      <c r="X81" s="20" t="s">
        <v>60</v>
      </c>
      <c r="Y81" s="20" t="s">
        <v>292</v>
      </c>
      <c r="Z81" s="20" t="s">
        <v>441</v>
      </c>
      <c r="AA81" s="20" t="s">
        <v>457</v>
      </c>
    </row>
    <row r="82" spans="1:27" x14ac:dyDescent="0.2">
      <c r="A82" s="20" t="s">
        <v>226</v>
      </c>
      <c r="B82" s="20" t="s">
        <v>324</v>
      </c>
      <c r="C82" s="20" t="s">
        <v>55</v>
      </c>
      <c r="D82" s="20" t="s">
        <v>39</v>
      </c>
      <c r="E82" s="20" t="s">
        <v>447</v>
      </c>
      <c r="F82" s="20" t="s">
        <v>39</v>
      </c>
      <c r="G82" s="20">
        <v>3</v>
      </c>
      <c r="H82" s="20">
        <v>4</v>
      </c>
      <c r="I82" s="13">
        <v>0.85899999999999999</v>
      </c>
      <c r="J82" s="20" t="s">
        <v>249</v>
      </c>
      <c r="K82" s="18">
        <v>0.42599999999999999</v>
      </c>
      <c r="L82" s="20" t="s">
        <v>248</v>
      </c>
      <c r="M82" s="20" t="s">
        <v>400</v>
      </c>
      <c r="N82" s="20" t="s">
        <v>39</v>
      </c>
      <c r="O82" s="20">
        <v>2</v>
      </c>
      <c r="P82" s="20">
        <v>4</v>
      </c>
      <c r="Q82" s="13">
        <v>0.61</v>
      </c>
      <c r="R82" s="20" t="s">
        <v>249</v>
      </c>
      <c r="S82" s="20">
        <v>0.54</v>
      </c>
      <c r="T82" s="20" t="s">
        <v>248</v>
      </c>
      <c r="U82" s="20" t="s">
        <v>39</v>
      </c>
      <c r="V82" s="20"/>
      <c r="W82" s="20"/>
      <c r="X82" s="20" t="s">
        <v>60</v>
      </c>
      <c r="Y82" s="20" t="s">
        <v>292</v>
      </c>
      <c r="Z82" s="20" t="s">
        <v>441</v>
      </c>
      <c r="AA82" s="20" t="s">
        <v>457</v>
      </c>
    </row>
    <row r="83" spans="1:27" x14ac:dyDescent="0.2">
      <c r="A83" s="20" t="s">
        <v>226</v>
      </c>
      <c r="B83" s="20" t="s">
        <v>448</v>
      </c>
      <c r="C83" s="20" t="s">
        <v>37</v>
      </c>
      <c r="D83" s="20" t="s">
        <v>26</v>
      </c>
      <c r="E83" s="20" t="s">
        <v>449</v>
      </c>
      <c r="F83" s="20" t="s">
        <v>37</v>
      </c>
      <c r="G83" s="20">
        <v>4</v>
      </c>
      <c r="H83" s="20">
        <v>3</v>
      </c>
      <c r="I83" s="13">
        <v>0.68200000000000005</v>
      </c>
      <c r="J83" s="20" t="s">
        <v>249</v>
      </c>
      <c r="K83" s="18">
        <v>0.311</v>
      </c>
      <c r="L83" s="20" t="s">
        <v>248</v>
      </c>
      <c r="M83" s="20" t="s">
        <v>397</v>
      </c>
      <c r="N83" s="20" t="s">
        <v>37</v>
      </c>
      <c r="O83" s="20">
        <v>4</v>
      </c>
      <c r="P83" s="20">
        <v>2</v>
      </c>
      <c r="Q83" s="13">
        <v>0.64600000000000002</v>
      </c>
      <c r="R83" s="20" t="s">
        <v>249</v>
      </c>
      <c r="S83" s="20">
        <v>-1.06</v>
      </c>
      <c r="T83" s="20" t="s">
        <v>248</v>
      </c>
      <c r="U83" s="20" t="s">
        <v>37</v>
      </c>
      <c r="V83" s="20"/>
      <c r="W83" s="20"/>
      <c r="X83" s="20" t="s">
        <v>60</v>
      </c>
      <c r="Y83" s="20" t="s">
        <v>292</v>
      </c>
      <c r="Z83" s="20" t="s">
        <v>441</v>
      </c>
      <c r="AA83" s="20" t="s">
        <v>457</v>
      </c>
    </row>
    <row r="84" spans="1:27" x14ac:dyDescent="0.2">
      <c r="A84" s="20" t="s">
        <v>226</v>
      </c>
      <c r="B84" s="20" t="s">
        <v>369</v>
      </c>
      <c r="C84" s="20" t="s">
        <v>16</v>
      </c>
      <c r="D84" s="20" t="s">
        <v>11</v>
      </c>
      <c r="E84" s="20" t="s">
        <v>450</v>
      </c>
      <c r="F84" s="20" t="s">
        <v>11</v>
      </c>
      <c r="G84" s="20">
        <v>3</v>
      </c>
      <c r="H84" s="20">
        <v>4</v>
      </c>
      <c r="I84" s="13">
        <v>0.83899999999999997</v>
      </c>
      <c r="J84" s="20" t="s">
        <v>249</v>
      </c>
      <c r="K84" s="18">
        <v>0.47299999999999998</v>
      </c>
      <c r="L84" s="20" t="s">
        <v>249</v>
      </c>
      <c r="M84" s="20" t="s">
        <v>463</v>
      </c>
      <c r="N84" s="20" t="s">
        <v>11</v>
      </c>
      <c r="O84" s="20">
        <v>2</v>
      </c>
      <c r="P84" s="20">
        <v>4</v>
      </c>
      <c r="Q84" s="13">
        <v>0.7</v>
      </c>
      <c r="R84" s="20" t="s">
        <v>249</v>
      </c>
      <c r="S84" s="20">
        <v>1.01</v>
      </c>
      <c r="T84" s="20" t="s">
        <v>249</v>
      </c>
      <c r="U84" s="20" t="s">
        <v>16</v>
      </c>
      <c r="V84" s="20"/>
      <c r="W84" s="20"/>
      <c r="X84" s="20" t="s">
        <v>60</v>
      </c>
      <c r="Y84" s="20" t="s">
        <v>292</v>
      </c>
      <c r="Z84" s="20" t="s">
        <v>441</v>
      </c>
      <c r="AA84" s="20" t="s">
        <v>457</v>
      </c>
    </row>
    <row r="85" spans="1:27" x14ac:dyDescent="0.2">
      <c r="A85" s="20" t="s">
        <v>226</v>
      </c>
      <c r="B85" s="20" t="s">
        <v>352</v>
      </c>
      <c r="C85" s="20" t="s">
        <v>12</v>
      </c>
      <c r="D85" s="20" t="s">
        <v>34</v>
      </c>
      <c r="E85" s="20" t="s">
        <v>451</v>
      </c>
      <c r="F85" s="20" t="s">
        <v>12</v>
      </c>
      <c r="G85" s="20">
        <v>5</v>
      </c>
      <c r="H85" s="20">
        <v>4</v>
      </c>
      <c r="I85" s="13">
        <v>0.72299999999999998</v>
      </c>
      <c r="J85" s="20" t="s">
        <v>249</v>
      </c>
      <c r="K85" s="18">
        <v>0.371</v>
      </c>
      <c r="L85" s="20" t="s">
        <v>249</v>
      </c>
      <c r="M85" s="20" t="s">
        <v>464</v>
      </c>
      <c r="N85" s="20" t="s">
        <v>12</v>
      </c>
      <c r="O85" s="20">
        <v>5</v>
      </c>
      <c r="P85" s="20">
        <v>2</v>
      </c>
      <c r="Q85" s="13">
        <v>0.75900000000000001</v>
      </c>
      <c r="R85" s="20" t="s">
        <v>249</v>
      </c>
      <c r="S85" s="20">
        <v>-1.63</v>
      </c>
      <c r="T85" s="20" t="s">
        <v>249</v>
      </c>
      <c r="U85" s="20" t="s">
        <v>34</v>
      </c>
      <c r="V85" s="20"/>
      <c r="W85" s="20"/>
      <c r="X85" s="20" t="s">
        <v>60</v>
      </c>
      <c r="Y85" s="20" t="s">
        <v>292</v>
      </c>
      <c r="Z85" s="20" t="s">
        <v>441</v>
      </c>
      <c r="AA85" s="20" t="s">
        <v>457</v>
      </c>
    </row>
    <row r="86" spans="1:27" x14ac:dyDescent="0.2">
      <c r="A86" s="20" t="s">
        <v>226</v>
      </c>
      <c r="B86" s="20" t="s">
        <v>369</v>
      </c>
      <c r="C86" s="20" t="s">
        <v>27</v>
      </c>
      <c r="D86" s="20" t="s">
        <v>30</v>
      </c>
      <c r="E86" s="20" t="s">
        <v>452</v>
      </c>
      <c r="F86" s="20" t="s">
        <v>27</v>
      </c>
      <c r="G86" s="20">
        <v>4</v>
      </c>
      <c r="H86" s="20">
        <v>3</v>
      </c>
      <c r="I86" s="13">
        <v>0.53200000000000003</v>
      </c>
      <c r="J86" s="20" t="s">
        <v>249</v>
      </c>
      <c r="K86" s="18">
        <v>0.42499999999999999</v>
      </c>
      <c r="L86" s="20" t="s">
        <v>248</v>
      </c>
      <c r="M86" s="20" t="s">
        <v>395</v>
      </c>
      <c r="N86" s="20" t="s">
        <v>30</v>
      </c>
      <c r="O86" s="20">
        <v>2</v>
      </c>
      <c r="P86" s="20">
        <v>3</v>
      </c>
      <c r="Q86" s="13">
        <v>0.59199999999999997</v>
      </c>
      <c r="R86" s="20" t="s">
        <v>249</v>
      </c>
      <c r="S86" s="20">
        <v>0.41</v>
      </c>
      <c r="T86" s="20" t="s">
        <v>249</v>
      </c>
      <c r="U86" s="20" t="s">
        <v>27</v>
      </c>
      <c r="V86" s="20"/>
      <c r="W86" s="20"/>
      <c r="X86" s="20" t="s">
        <v>60</v>
      </c>
      <c r="Y86" s="20" t="s">
        <v>292</v>
      </c>
      <c r="Z86" s="20" t="s">
        <v>441</v>
      </c>
      <c r="AA86" s="20" t="s">
        <v>457</v>
      </c>
    </row>
    <row r="87" spans="1:27" x14ac:dyDescent="0.2">
      <c r="A87" s="20" t="s">
        <v>226</v>
      </c>
      <c r="B87" s="20" t="s">
        <v>369</v>
      </c>
      <c r="C87" s="20" t="s">
        <v>38</v>
      </c>
      <c r="D87" s="20" t="s">
        <v>33</v>
      </c>
      <c r="E87" s="20" t="s">
        <v>453</v>
      </c>
      <c r="F87" s="20" t="s">
        <v>33</v>
      </c>
      <c r="G87" s="20">
        <v>3</v>
      </c>
      <c r="H87" s="20">
        <v>4</v>
      </c>
      <c r="I87" s="13">
        <v>0.54800000000000004</v>
      </c>
      <c r="J87" s="20" t="s">
        <v>249</v>
      </c>
      <c r="K87" s="18">
        <v>0.36899999999999999</v>
      </c>
      <c r="L87" s="20" t="s">
        <v>248</v>
      </c>
      <c r="M87" s="20" t="s">
        <v>309</v>
      </c>
      <c r="N87" s="20" t="s">
        <v>33</v>
      </c>
      <c r="O87" s="20">
        <v>2</v>
      </c>
      <c r="P87" s="20">
        <v>4</v>
      </c>
      <c r="Q87" s="13">
        <v>0.57399999999999995</v>
      </c>
      <c r="R87" s="20" t="s">
        <v>249</v>
      </c>
      <c r="S87" s="20">
        <v>0.57999999999999996</v>
      </c>
      <c r="T87" s="20" t="s">
        <v>248</v>
      </c>
      <c r="U87" s="20" t="s">
        <v>33</v>
      </c>
      <c r="V87" s="20"/>
      <c r="W87" s="20"/>
      <c r="X87" s="20" t="s">
        <v>60</v>
      </c>
      <c r="Y87" s="20" t="s">
        <v>292</v>
      </c>
      <c r="Z87" s="20" t="s">
        <v>441</v>
      </c>
      <c r="AA87" s="20" t="s">
        <v>457</v>
      </c>
    </row>
    <row r="88" spans="1:27" x14ac:dyDescent="0.2">
      <c r="A88" s="20" t="s">
        <v>226</v>
      </c>
      <c r="B88" s="20" t="s">
        <v>369</v>
      </c>
      <c r="C88" s="20" t="s">
        <v>36</v>
      </c>
      <c r="D88" s="20" t="s">
        <v>35</v>
      </c>
      <c r="E88" s="20" t="s">
        <v>454</v>
      </c>
      <c r="F88" s="20" t="s">
        <v>36</v>
      </c>
      <c r="G88" s="20">
        <v>5</v>
      </c>
      <c r="H88" s="20">
        <v>4</v>
      </c>
      <c r="I88" s="13">
        <v>0.80500000000000005</v>
      </c>
      <c r="J88" s="20" t="s">
        <v>249</v>
      </c>
      <c r="K88" s="18">
        <v>0.46300000000000002</v>
      </c>
      <c r="L88" s="20" t="s">
        <v>249</v>
      </c>
      <c r="M88" s="20" t="s">
        <v>465</v>
      </c>
      <c r="N88" s="20" t="s">
        <v>36</v>
      </c>
      <c r="O88" s="20">
        <v>4</v>
      </c>
      <c r="P88" s="20">
        <v>2</v>
      </c>
      <c r="Q88" s="13">
        <v>0.626</v>
      </c>
      <c r="R88" s="20" t="s">
        <v>249</v>
      </c>
      <c r="S88" s="20">
        <v>-1.1499999999999999</v>
      </c>
      <c r="T88" s="20" t="s">
        <v>249</v>
      </c>
      <c r="U88" s="20" t="s">
        <v>35</v>
      </c>
      <c r="V88" s="20"/>
      <c r="W88" s="20"/>
      <c r="X88" s="20" t="s">
        <v>60</v>
      </c>
      <c r="Y88" s="20" t="s">
        <v>292</v>
      </c>
      <c r="Z88" s="20" t="s">
        <v>441</v>
      </c>
      <c r="AA88" s="20" t="s">
        <v>457</v>
      </c>
    </row>
    <row r="89" spans="1:27" x14ac:dyDescent="0.2">
      <c r="A89" s="20" t="s">
        <v>226</v>
      </c>
      <c r="B89" s="20" t="s">
        <v>369</v>
      </c>
      <c r="C89" s="20" t="s">
        <v>18</v>
      </c>
      <c r="D89" s="20" t="s">
        <v>20</v>
      </c>
      <c r="E89" s="20" t="s">
        <v>455</v>
      </c>
      <c r="F89" s="20" t="s">
        <v>18</v>
      </c>
      <c r="G89" s="20">
        <v>4</v>
      </c>
      <c r="H89" s="20">
        <v>3</v>
      </c>
      <c r="I89" s="13">
        <v>0.70499999999999996</v>
      </c>
      <c r="J89" s="20" t="s">
        <v>249</v>
      </c>
      <c r="K89" s="18">
        <v>0.44800000000000001</v>
      </c>
      <c r="L89" s="20" t="s">
        <v>248</v>
      </c>
      <c r="M89" s="20" t="s">
        <v>360</v>
      </c>
      <c r="N89" s="20" t="s">
        <v>20</v>
      </c>
      <c r="O89" s="20">
        <v>2</v>
      </c>
      <c r="P89" s="20">
        <v>4</v>
      </c>
      <c r="Q89" s="13">
        <v>0.55400000000000005</v>
      </c>
      <c r="R89" s="20" t="s">
        <v>249</v>
      </c>
      <c r="S89" s="20">
        <v>0.63</v>
      </c>
      <c r="T89" s="20" t="s">
        <v>249</v>
      </c>
      <c r="U89" s="20" t="s">
        <v>18</v>
      </c>
      <c r="V89" s="20"/>
      <c r="W89" s="20"/>
      <c r="X89" s="20" t="s">
        <v>60</v>
      </c>
      <c r="Y89" s="20" t="s">
        <v>292</v>
      </c>
      <c r="Z89" s="20" t="s">
        <v>441</v>
      </c>
      <c r="AA89" s="20" t="s">
        <v>457</v>
      </c>
    </row>
    <row r="90" spans="1:27" x14ac:dyDescent="0.2">
      <c r="A90" s="20" t="s">
        <v>226</v>
      </c>
      <c r="B90" s="20" t="s">
        <v>365</v>
      </c>
      <c r="C90" s="20" t="s">
        <v>19</v>
      </c>
      <c r="D90" s="20" t="s">
        <v>22</v>
      </c>
      <c r="E90" s="20" t="s">
        <v>456</v>
      </c>
      <c r="F90" s="20" t="s">
        <v>22</v>
      </c>
      <c r="G90" s="20">
        <v>3</v>
      </c>
      <c r="H90" s="20">
        <v>4</v>
      </c>
      <c r="I90" s="13">
        <v>0.80500000000000005</v>
      </c>
      <c r="J90" s="20" t="s">
        <v>249</v>
      </c>
      <c r="K90" s="18">
        <v>0.29899999999999999</v>
      </c>
      <c r="L90" s="20" t="s">
        <v>248</v>
      </c>
      <c r="M90" s="20" t="s">
        <v>321</v>
      </c>
      <c r="N90" s="20" t="s">
        <v>22</v>
      </c>
      <c r="O90" s="20">
        <v>2</v>
      </c>
      <c r="P90" s="20">
        <v>4</v>
      </c>
      <c r="Q90" s="13">
        <v>0.71199999999999997</v>
      </c>
      <c r="R90" s="20" t="s">
        <v>249</v>
      </c>
      <c r="S90" s="20">
        <v>1.25</v>
      </c>
      <c r="T90" s="20" t="s">
        <v>248</v>
      </c>
      <c r="U90" s="20" t="s">
        <v>22</v>
      </c>
      <c r="V90" s="20"/>
      <c r="W90" s="20"/>
      <c r="X90" s="20" t="s">
        <v>60</v>
      </c>
      <c r="Y90" s="20" t="s">
        <v>292</v>
      </c>
      <c r="Z90" s="20" t="s">
        <v>441</v>
      </c>
      <c r="AA90" s="20" t="s">
        <v>457</v>
      </c>
    </row>
    <row r="91" spans="1:27" x14ac:dyDescent="0.2">
      <c r="A91" s="20" t="s">
        <v>227</v>
      </c>
      <c r="B91" s="20" t="s">
        <v>328</v>
      </c>
      <c r="C91" s="20" t="s">
        <v>26</v>
      </c>
      <c r="D91" s="20" t="s">
        <v>21</v>
      </c>
      <c r="E91" s="20" t="s">
        <v>466</v>
      </c>
      <c r="F91" s="20" t="s">
        <v>21</v>
      </c>
      <c r="G91" s="20">
        <v>3</v>
      </c>
      <c r="H91" s="20">
        <v>4</v>
      </c>
      <c r="I91" s="13">
        <v>0.64900000000000002</v>
      </c>
      <c r="J91" s="20" t="s">
        <v>249</v>
      </c>
      <c r="K91" s="18">
        <v>0.433</v>
      </c>
      <c r="L91" s="20" t="s">
        <v>60</v>
      </c>
      <c r="M91" s="20" t="s">
        <v>60</v>
      </c>
      <c r="N91" s="20" t="s">
        <v>21</v>
      </c>
      <c r="O91" s="20">
        <v>2</v>
      </c>
      <c r="P91" s="20">
        <v>4</v>
      </c>
      <c r="Q91" s="13">
        <v>0.63800000000000001</v>
      </c>
      <c r="R91" s="20" t="s">
        <v>249</v>
      </c>
      <c r="S91" s="20">
        <v>0.74</v>
      </c>
      <c r="T91" s="20" t="s">
        <v>60</v>
      </c>
      <c r="U91" s="20" t="s">
        <v>60</v>
      </c>
      <c r="V91" s="20"/>
      <c r="W91" s="20"/>
      <c r="X91" s="20" t="s">
        <v>60</v>
      </c>
      <c r="Y91" s="20" t="s">
        <v>421</v>
      </c>
      <c r="Z91" s="20" t="s">
        <v>457</v>
      </c>
      <c r="AA91" s="20" t="s">
        <v>60</v>
      </c>
    </row>
    <row r="92" spans="1:27" x14ac:dyDescent="0.2">
      <c r="A92" s="20" t="s">
        <v>227</v>
      </c>
      <c r="B92" s="20" t="s">
        <v>467</v>
      </c>
      <c r="C92" s="20" t="s">
        <v>18</v>
      </c>
      <c r="D92" s="20" t="s">
        <v>12</v>
      </c>
      <c r="E92" s="20" t="s">
        <v>468</v>
      </c>
      <c r="F92" s="20" t="s">
        <v>12</v>
      </c>
      <c r="G92" s="20">
        <v>2</v>
      </c>
      <c r="H92" s="20">
        <v>3</v>
      </c>
      <c r="I92" s="13">
        <v>0.88</v>
      </c>
      <c r="J92" s="20" t="s">
        <v>248</v>
      </c>
      <c r="K92" s="18">
        <v>0.54900000000000004</v>
      </c>
      <c r="L92" s="20" t="s">
        <v>60</v>
      </c>
      <c r="M92" s="20" t="s">
        <v>60</v>
      </c>
      <c r="N92" s="20" t="s">
        <v>12</v>
      </c>
      <c r="O92" s="20">
        <v>1</v>
      </c>
      <c r="P92" s="20">
        <v>5</v>
      </c>
      <c r="Q92" s="13">
        <v>0.80500000000000005</v>
      </c>
      <c r="R92" s="20" t="s">
        <v>249</v>
      </c>
      <c r="S92" s="20">
        <v>2.08</v>
      </c>
      <c r="T92" s="20" t="s">
        <v>60</v>
      </c>
      <c r="U92" s="20" t="s">
        <v>60</v>
      </c>
      <c r="V92" s="20"/>
      <c r="W92" s="20"/>
      <c r="X92" s="20" t="s">
        <v>60</v>
      </c>
      <c r="Y92" s="20" t="s">
        <v>421</v>
      </c>
      <c r="Z92" s="20" t="s">
        <v>457</v>
      </c>
      <c r="AA92" s="20" t="s">
        <v>60</v>
      </c>
    </row>
    <row r="93" spans="1:27" x14ac:dyDescent="0.2">
      <c r="A93" s="20" t="s">
        <v>227</v>
      </c>
      <c r="B93" s="20" t="s">
        <v>322</v>
      </c>
      <c r="C93" s="20" t="s">
        <v>38</v>
      </c>
      <c r="D93" s="20" t="s">
        <v>13</v>
      </c>
      <c r="E93" s="20" t="s">
        <v>469</v>
      </c>
      <c r="F93" s="20" t="s">
        <v>38</v>
      </c>
      <c r="G93" s="20">
        <v>4</v>
      </c>
      <c r="H93" s="20">
        <v>2</v>
      </c>
      <c r="I93" s="13">
        <v>0.51700000000000002</v>
      </c>
      <c r="J93" s="20" t="s">
        <v>249</v>
      </c>
      <c r="K93" s="18">
        <v>0.27600000000000002</v>
      </c>
      <c r="L93" s="20" t="s">
        <v>60</v>
      </c>
      <c r="M93" s="20" t="s">
        <v>60</v>
      </c>
      <c r="N93" s="20" t="s">
        <v>13</v>
      </c>
      <c r="O93" s="20">
        <v>2</v>
      </c>
      <c r="P93" s="20">
        <v>4</v>
      </c>
      <c r="Q93" s="13">
        <v>0.60199999999999998</v>
      </c>
      <c r="R93" s="20" t="s">
        <v>249</v>
      </c>
      <c r="S93" s="20">
        <v>0.71</v>
      </c>
      <c r="T93" s="20" t="s">
        <v>60</v>
      </c>
      <c r="U93" s="20" t="s">
        <v>60</v>
      </c>
      <c r="V93" s="20"/>
      <c r="W93" s="20"/>
      <c r="X93" s="20" t="s">
        <v>60</v>
      </c>
      <c r="Y93" s="20" t="s">
        <v>421</v>
      </c>
      <c r="Z93" s="20" t="s">
        <v>457</v>
      </c>
      <c r="AA93" s="20" t="s">
        <v>60</v>
      </c>
    </row>
    <row r="94" spans="1:27" x14ac:dyDescent="0.2">
      <c r="A94" s="20" t="s">
        <v>227</v>
      </c>
      <c r="B94" s="20" t="s">
        <v>324</v>
      </c>
      <c r="C94" s="20" t="s">
        <v>23</v>
      </c>
      <c r="D94" s="20" t="s">
        <v>34</v>
      </c>
      <c r="E94" s="20" t="s">
        <v>470</v>
      </c>
      <c r="F94" s="20" t="s">
        <v>34</v>
      </c>
      <c r="G94" s="20">
        <v>3</v>
      </c>
      <c r="H94" s="20">
        <v>4</v>
      </c>
      <c r="I94" s="13">
        <v>0.70699999999999996</v>
      </c>
      <c r="J94" s="20" t="s">
        <v>249</v>
      </c>
      <c r="K94" s="18">
        <v>0.40600000000000003</v>
      </c>
      <c r="L94" s="20" t="s">
        <v>60</v>
      </c>
      <c r="M94" s="20" t="s">
        <v>60</v>
      </c>
      <c r="N94" s="20" t="s">
        <v>34</v>
      </c>
      <c r="O94" s="20">
        <v>2</v>
      </c>
      <c r="P94" s="20">
        <v>4</v>
      </c>
      <c r="Q94" s="13">
        <v>0.65100000000000002</v>
      </c>
      <c r="R94" s="20" t="s">
        <v>249</v>
      </c>
      <c r="S94" s="20">
        <v>0.83</v>
      </c>
      <c r="T94" s="20" t="s">
        <v>60</v>
      </c>
      <c r="U94" s="20" t="s">
        <v>60</v>
      </c>
      <c r="V94" s="20"/>
      <c r="W94" s="20"/>
      <c r="X94" s="20" t="s">
        <v>60</v>
      </c>
      <c r="Y94" s="20" t="s">
        <v>421</v>
      </c>
      <c r="Z94" s="20" t="s">
        <v>457</v>
      </c>
      <c r="AA94" s="20" t="s">
        <v>60</v>
      </c>
    </row>
    <row r="95" spans="1:27" x14ac:dyDescent="0.2">
      <c r="A95" s="20" t="s">
        <v>227</v>
      </c>
      <c r="B95" s="20" t="s">
        <v>328</v>
      </c>
      <c r="C95" s="20" t="s">
        <v>27</v>
      </c>
      <c r="D95" s="20" t="s">
        <v>24</v>
      </c>
      <c r="E95" s="20" t="s">
        <v>471</v>
      </c>
      <c r="F95" s="20" t="s">
        <v>24</v>
      </c>
      <c r="G95" s="20">
        <v>3</v>
      </c>
      <c r="H95" s="20">
        <v>4</v>
      </c>
      <c r="I95" s="13">
        <v>0.64200000000000002</v>
      </c>
      <c r="J95" s="20" t="s">
        <v>249</v>
      </c>
      <c r="K95" s="18">
        <v>0.35899999999999999</v>
      </c>
      <c r="L95" s="20" t="s">
        <v>60</v>
      </c>
      <c r="M95" s="20" t="s">
        <v>60</v>
      </c>
      <c r="N95" s="20" t="s">
        <v>24</v>
      </c>
      <c r="O95" s="20">
        <v>2</v>
      </c>
      <c r="P95" s="20">
        <v>4</v>
      </c>
      <c r="Q95" s="13">
        <v>0.70699999999999996</v>
      </c>
      <c r="R95" s="20" t="s">
        <v>249</v>
      </c>
      <c r="S95" s="20">
        <v>0.55000000000000004</v>
      </c>
      <c r="T95" s="20" t="s">
        <v>60</v>
      </c>
      <c r="U95" s="20" t="s">
        <v>60</v>
      </c>
      <c r="V95" s="20"/>
      <c r="W95" s="20"/>
      <c r="X95" s="20" t="s">
        <v>60</v>
      </c>
      <c r="Y95" s="20" t="s">
        <v>421</v>
      </c>
      <c r="Z95" s="20" t="s">
        <v>457</v>
      </c>
      <c r="AA95" s="20" t="s">
        <v>60</v>
      </c>
    </row>
    <row r="96" spans="1:27" x14ac:dyDescent="0.2">
      <c r="A96" s="20" t="s">
        <v>227</v>
      </c>
      <c r="B96" s="20" t="s">
        <v>328</v>
      </c>
      <c r="C96" s="20" t="s">
        <v>40</v>
      </c>
      <c r="D96" s="20" t="s">
        <v>29</v>
      </c>
      <c r="E96" s="20" t="s">
        <v>472</v>
      </c>
      <c r="F96" s="20" t="s">
        <v>40</v>
      </c>
      <c r="G96" s="20">
        <v>4</v>
      </c>
      <c r="H96" s="20">
        <v>3</v>
      </c>
      <c r="I96" s="13">
        <v>0.70499999999999996</v>
      </c>
      <c r="J96" s="20" t="s">
        <v>248</v>
      </c>
      <c r="K96" s="18">
        <v>0.53300000000000003</v>
      </c>
      <c r="L96" s="20" t="s">
        <v>60</v>
      </c>
      <c r="M96" s="20" t="s">
        <v>60</v>
      </c>
      <c r="N96" s="20" t="s">
        <v>40</v>
      </c>
      <c r="O96" s="20">
        <v>4</v>
      </c>
      <c r="P96" s="20">
        <v>2</v>
      </c>
      <c r="Q96" s="13">
        <v>0.6</v>
      </c>
      <c r="R96" s="20" t="s">
        <v>249</v>
      </c>
      <c r="S96" s="20">
        <v>-1.02</v>
      </c>
      <c r="T96" s="20" t="s">
        <v>60</v>
      </c>
      <c r="U96" s="20" t="s">
        <v>60</v>
      </c>
      <c r="V96" s="20"/>
      <c r="W96" s="20"/>
      <c r="X96" s="20" t="s">
        <v>60</v>
      </c>
      <c r="Y96" s="20" t="s">
        <v>421</v>
      </c>
      <c r="Z96" s="20" t="s">
        <v>457</v>
      </c>
      <c r="AA96" s="20" t="s">
        <v>60</v>
      </c>
    </row>
    <row r="97" spans="1:27" x14ac:dyDescent="0.2">
      <c r="A97" s="20" t="s">
        <v>227</v>
      </c>
      <c r="B97" s="20" t="s">
        <v>473</v>
      </c>
      <c r="C97" s="20" t="s">
        <v>37</v>
      </c>
      <c r="D97" s="20" t="s">
        <v>15</v>
      </c>
      <c r="E97" s="20" t="s">
        <v>474</v>
      </c>
      <c r="F97" s="20" t="s">
        <v>37</v>
      </c>
      <c r="G97" s="20">
        <v>4</v>
      </c>
      <c r="H97" s="20">
        <v>2</v>
      </c>
      <c r="I97" s="13">
        <v>0.63800000000000001</v>
      </c>
      <c r="J97" s="20" t="s">
        <v>249</v>
      </c>
      <c r="K97" s="18">
        <v>0.39400000000000002</v>
      </c>
      <c r="L97" s="20" t="s">
        <v>60</v>
      </c>
      <c r="M97" s="20" t="s">
        <v>60</v>
      </c>
      <c r="N97" s="20" t="s">
        <v>37</v>
      </c>
      <c r="O97" s="20">
        <v>4</v>
      </c>
      <c r="P97" s="20">
        <v>2</v>
      </c>
      <c r="Q97" s="13">
        <v>0.60399999999999998</v>
      </c>
      <c r="R97" s="20" t="s">
        <v>249</v>
      </c>
      <c r="S97" s="20">
        <v>-0.54</v>
      </c>
      <c r="T97" s="20" t="s">
        <v>60</v>
      </c>
      <c r="U97" s="20" t="s">
        <v>60</v>
      </c>
      <c r="V97" s="20"/>
      <c r="W97" s="20"/>
      <c r="X97" s="20" t="s">
        <v>60</v>
      </c>
      <c r="Y97" s="20" t="s">
        <v>421</v>
      </c>
      <c r="Z97" s="20" t="s">
        <v>457</v>
      </c>
      <c r="AA97" s="20" t="s">
        <v>60</v>
      </c>
    </row>
    <row r="98" spans="1:27" x14ac:dyDescent="0.2">
      <c r="A98" s="20" t="s">
        <v>227</v>
      </c>
      <c r="B98" s="20" t="s">
        <v>328</v>
      </c>
      <c r="C98" s="20" t="s">
        <v>19</v>
      </c>
      <c r="D98" s="20" t="s">
        <v>14</v>
      </c>
      <c r="E98" s="20" t="s">
        <v>475</v>
      </c>
      <c r="F98" s="20" t="s">
        <v>14</v>
      </c>
      <c r="G98" s="20">
        <v>4</v>
      </c>
      <c r="H98" s="20">
        <v>5</v>
      </c>
      <c r="I98" s="13">
        <v>0.72599999999999998</v>
      </c>
      <c r="J98" s="20" t="s">
        <v>249</v>
      </c>
      <c r="K98" s="18">
        <v>0.32500000000000001</v>
      </c>
      <c r="L98" s="20" t="s">
        <v>60</v>
      </c>
      <c r="M98" s="20" t="s">
        <v>60</v>
      </c>
      <c r="N98" s="20" t="s">
        <v>14</v>
      </c>
      <c r="O98" s="20">
        <v>2</v>
      </c>
      <c r="P98" s="20">
        <v>4</v>
      </c>
      <c r="Q98" s="13">
        <v>0.64800000000000002</v>
      </c>
      <c r="R98" s="20" t="s">
        <v>249</v>
      </c>
      <c r="S98" s="20">
        <v>0.91</v>
      </c>
      <c r="T98" s="20" t="s">
        <v>60</v>
      </c>
      <c r="U98" s="20" t="s">
        <v>60</v>
      </c>
      <c r="V98" s="20"/>
      <c r="W98" s="20"/>
      <c r="X98" s="20" t="s">
        <v>60</v>
      </c>
      <c r="Y98" s="20" t="s">
        <v>421</v>
      </c>
      <c r="Z98" s="20" t="s">
        <v>457</v>
      </c>
      <c r="AA98" s="20" t="s">
        <v>60</v>
      </c>
    </row>
    <row r="99" spans="1:27" x14ac:dyDescent="0.2">
      <c r="A99" s="20" t="s">
        <v>227</v>
      </c>
      <c r="B99" s="20" t="s">
        <v>369</v>
      </c>
      <c r="C99" s="20" t="s">
        <v>17</v>
      </c>
      <c r="D99" s="20" t="s">
        <v>32</v>
      </c>
      <c r="E99" s="20" t="s">
        <v>476</v>
      </c>
      <c r="F99" s="20" t="s">
        <v>32</v>
      </c>
      <c r="G99" s="20">
        <v>4</v>
      </c>
      <c r="H99" s="20">
        <v>5</v>
      </c>
      <c r="I99" s="13">
        <v>0.71599999999999997</v>
      </c>
      <c r="J99" s="20" t="s">
        <v>249</v>
      </c>
      <c r="K99" s="18">
        <v>0.308</v>
      </c>
      <c r="L99" s="20" t="s">
        <v>60</v>
      </c>
      <c r="M99" s="20" t="s">
        <v>60</v>
      </c>
      <c r="N99" s="20" t="s">
        <v>32</v>
      </c>
      <c r="O99" s="20">
        <v>2</v>
      </c>
      <c r="P99" s="20">
        <v>4</v>
      </c>
      <c r="Q99" s="13">
        <v>0.61199999999999999</v>
      </c>
      <c r="R99" s="20" t="s">
        <v>249</v>
      </c>
      <c r="S99" s="20">
        <v>0.59</v>
      </c>
      <c r="T99" s="20" t="s">
        <v>60</v>
      </c>
      <c r="U99" s="20" t="s">
        <v>60</v>
      </c>
      <c r="V99" s="20"/>
      <c r="W99" s="20"/>
      <c r="X99" s="20" t="s">
        <v>60</v>
      </c>
      <c r="Y99" s="20" t="s">
        <v>421</v>
      </c>
      <c r="Z99" s="20" t="s">
        <v>457</v>
      </c>
      <c r="AA99" s="20" t="s">
        <v>60</v>
      </c>
    </row>
    <row r="100" spans="1:27" x14ac:dyDescent="0.2">
      <c r="A100" s="20" t="s">
        <v>227</v>
      </c>
      <c r="B100" s="20" t="s">
        <v>324</v>
      </c>
      <c r="C100" s="20" t="s">
        <v>55</v>
      </c>
      <c r="D100" s="20" t="s">
        <v>35</v>
      </c>
      <c r="E100" s="20" t="s">
        <v>477</v>
      </c>
      <c r="F100" s="20" t="s">
        <v>55</v>
      </c>
      <c r="G100" s="20">
        <v>6</v>
      </c>
      <c r="H100" s="20">
        <v>5</v>
      </c>
      <c r="I100" s="13">
        <v>0.52800000000000002</v>
      </c>
      <c r="J100" s="20" t="s">
        <v>249</v>
      </c>
      <c r="K100" s="18">
        <v>0.34599999999999997</v>
      </c>
      <c r="L100" s="20" t="s">
        <v>60</v>
      </c>
      <c r="M100" s="20" t="s">
        <v>60</v>
      </c>
      <c r="N100" s="20" t="s">
        <v>55</v>
      </c>
      <c r="O100" s="20">
        <v>4</v>
      </c>
      <c r="P100" s="20">
        <v>2</v>
      </c>
      <c r="Q100" s="13">
        <v>0.58799999999999997</v>
      </c>
      <c r="R100" s="20" t="s">
        <v>249</v>
      </c>
      <c r="S100" s="20">
        <v>-1.1000000000000001</v>
      </c>
      <c r="T100" s="20" t="s">
        <v>60</v>
      </c>
      <c r="U100" s="20" t="s">
        <v>60</v>
      </c>
      <c r="V100" s="20"/>
      <c r="W100" s="20"/>
      <c r="X100" s="20" t="s">
        <v>60</v>
      </c>
      <c r="Y100" s="20" t="s">
        <v>421</v>
      </c>
      <c r="Z100" s="20" t="s">
        <v>457</v>
      </c>
      <c r="AA100" s="20" t="s">
        <v>60</v>
      </c>
    </row>
    <row r="101" spans="1:27" x14ac:dyDescent="0.2">
      <c r="A101" s="20" t="s">
        <v>227</v>
      </c>
      <c r="B101" s="20" t="s">
        <v>322</v>
      </c>
      <c r="C101" s="20" t="s">
        <v>33</v>
      </c>
      <c r="D101" s="20" t="s">
        <v>20</v>
      </c>
      <c r="E101" s="20" t="s">
        <v>478</v>
      </c>
      <c r="F101" s="20" t="s">
        <v>33</v>
      </c>
      <c r="G101" s="20">
        <v>4</v>
      </c>
      <c r="H101" s="20">
        <v>3</v>
      </c>
      <c r="I101" s="13">
        <v>0.54700000000000004</v>
      </c>
      <c r="J101" s="20" t="s">
        <v>249</v>
      </c>
      <c r="K101" s="18">
        <v>0.35399999999999998</v>
      </c>
      <c r="L101" s="20" t="s">
        <v>60</v>
      </c>
      <c r="M101" s="20" t="s">
        <v>60</v>
      </c>
      <c r="N101" s="20" t="s">
        <v>20</v>
      </c>
      <c r="O101" s="20">
        <v>2</v>
      </c>
      <c r="P101" s="20">
        <v>3</v>
      </c>
      <c r="Q101" s="13">
        <v>0.57799999999999996</v>
      </c>
      <c r="R101" s="20" t="s">
        <v>249</v>
      </c>
      <c r="S101" s="20">
        <v>0.32</v>
      </c>
      <c r="T101" s="20" t="s">
        <v>60</v>
      </c>
      <c r="U101" s="20" t="s">
        <v>60</v>
      </c>
      <c r="V101" s="20"/>
      <c r="W101" s="20"/>
      <c r="X101" s="20" t="s">
        <v>60</v>
      </c>
      <c r="Y101" s="20" t="s">
        <v>421</v>
      </c>
      <c r="Z101" s="20" t="s">
        <v>457</v>
      </c>
      <c r="AA101" s="20" t="s">
        <v>60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9" t="s">
        <v>268</v>
      </c>
      <c r="C3" s="19"/>
      <c r="D3" t="s">
        <v>269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NHL2025-26Results</vt:lpstr>
      <vt:lpstr>NHL Model</vt:lpstr>
      <vt:lpstr>NHL HomeIce Model</vt:lpstr>
      <vt:lpstr>Standings</vt:lpstr>
      <vt:lpstr>ML Prediction Model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2025-11-29T18:06:55Z</dcterms:modified>
</cp:coreProperties>
</file>