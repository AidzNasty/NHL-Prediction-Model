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952" documentId="14_{BC0C37BD-5950-BD49-823D-87212FE79B51}" xr6:coauthVersionLast="47" xr6:coauthVersionMax="47" xr10:uidLastSave="{F1500809-8DCE-A648-BEE6-9C881FF53F8A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Model'!$A$1:$AA$60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Model'!$U$10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7"/>
    <pivotCache cacheId="1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9" i="1" l="1"/>
  <c r="H359" i="1" s="1"/>
  <c r="I359" i="1"/>
  <c r="G360" i="1"/>
  <c r="H360" i="1"/>
  <c r="I360" i="1"/>
  <c r="J360" i="1" s="1"/>
  <c r="G361" i="1"/>
  <c r="H361" i="1"/>
  <c r="I361" i="1"/>
  <c r="J361" i="1" s="1"/>
  <c r="G362" i="1"/>
  <c r="H362" i="1"/>
  <c r="I362" i="1"/>
  <c r="J362" i="1" s="1"/>
  <c r="G363" i="1"/>
  <c r="H363" i="1"/>
  <c r="I363" i="1"/>
  <c r="J363" i="1" s="1"/>
  <c r="G364" i="1"/>
  <c r="H364" i="1"/>
  <c r="I364" i="1"/>
  <c r="J364" i="1" s="1"/>
  <c r="G365" i="1"/>
  <c r="H365" i="1"/>
  <c r="I365" i="1"/>
  <c r="J365" i="1" s="1"/>
  <c r="E359" i="1"/>
  <c r="E360" i="1"/>
  <c r="E361" i="1"/>
  <c r="E362" i="1"/>
  <c r="E363" i="1"/>
  <c r="E364" i="1"/>
  <c r="E365" i="1"/>
  <c r="J359" i="1" l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H343" i="1"/>
  <c r="J343" i="1" s="1"/>
  <c r="H345" i="1"/>
  <c r="J345" i="1" s="1"/>
  <c r="J341" i="1"/>
  <c r="J342" i="1"/>
  <c r="J346" i="1"/>
  <c r="J348" i="1"/>
  <c r="J347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V3" i="4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V4" i="4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V5" i="4"/>
  <c r="V6" i="4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4" i="1"/>
  <c r="J298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332" i="4"/>
  <c r="H89" i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J79" i="1" s="1"/>
  <c r="H71" i="1"/>
  <c r="J71" i="1" s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149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N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N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N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N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N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N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N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N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N1144" i="4" s="1"/>
  <c r="L1144" i="4"/>
  <c r="L326" i="4"/>
  <c r="K326" i="4"/>
  <c r="M326" i="4" s="1"/>
  <c r="K733" i="4"/>
  <c r="M733" i="4" s="1"/>
  <c r="N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N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N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N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N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N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N527" i="4" s="1"/>
  <c r="L527" i="4"/>
  <c r="L620" i="4"/>
  <c r="K620" i="4"/>
  <c r="M620" i="4" s="1"/>
  <c r="K1046" i="4"/>
  <c r="M1046" i="4" s="1"/>
  <c r="N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N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N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N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N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N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56" i="4" l="1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372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375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<sst xmlns="http://schemas.openxmlformats.org/spreadsheetml/2006/main" count="13146" uniqueCount="421">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</sst>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60" tableType="queryTable" totalsRowShown="0">
  <autoFilter ref="A1:AA60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43" workbookViewId="0">
      <selection activeCell="G361" sqref="G361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10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10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10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10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10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10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10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0.15941966152482714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1879.7866900741749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0.35254565315374792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8.0011884600290628E-2</v>
      </c>
      <c r="J7">
        <f>(Table3[[#This Row],[HomeMargin]]-Table3[[#This Row],[HomeForecast]])^2</f>
        <v>0.84637813247670901</v>
      </c>
    </row>
    <row r="8" spans="1:10" x14ac:dyDescent="0.2">
      <c r="A8" s="4" t="s">
        <v>21</v>
      </c>
      <c r="B8">
        <v>-0.12487089668223171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-1.618801989512394</v>
      </c>
      <c r="J8">
        <f>(Table3[[#This Row],[HomeMargin]]-Table3[[#This Row],[HomeForecast]])^2</f>
        <v>1.9077079441749212</v>
      </c>
    </row>
    <row r="9" spans="1:10" x14ac:dyDescent="0.2">
      <c r="A9" s="4" t="s">
        <v>23</v>
      </c>
      <c r="B9">
        <v>-0.49794713300108584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-0.12649089043999531</v>
      </c>
      <c r="J9">
        <f>(Table3[[#This Row],[HomeMargin]]-Table3[[#This Row],[HomeForecast]])^2</f>
        <v>8.2570546027243292</v>
      </c>
    </row>
    <row r="10" spans="1:10" x14ac:dyDescent="0.2">
      <c r="A10" s="4" t="s">
        <v>16</v>
      </c>
      <c r="B10">
        <v>-1.1167763879247272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0.42000921768972244</v>
      </c>
      <c r="J10">
        <f>(Table3[[#This Row],[HomeMargin]]-Table3[[#This Row],[HomeForecast]])^2</f>
        <v>2.016426178323778</v>
      </c>
    </row>
    <row r="11" spans="1:10" x14ac:dyDescent="0.2">
      <c r="A11" s="4" t="s">
        <v>25</v>
      </c>
      <c r="B11">
        <v>0.42254821659882374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-4.241973141794908E-2</v>
      </c>
      <c r="J11">
        <f>(Table3[[#This Row],[HomeMargin]]-Table3[[#This Row],[HomeForecast]])^2</f>
        <v>9.2563178221212663</v>
      </c>
    </row>
    <row r="12" spans="1:10" x14ac:dyDescent="0.2">
      <c r="A12" s="4" t="s">
        <v>10</v>
      </c>
      <c r="B12">
        <v>-0.13160108676160023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0.44696097390503653</v>
      </c>
      <c r="J12">
        <f>(Table3[[#This Row],[HomeMargin]]-Table3[[#This Row],[HomeForecast]])^2</f>
        <v>2.0936960600042114</v>
      </c>
    </row>
    <row r="13" spans="1:10" x14ac:dyDescent="0.2">
      <c r="A13" s="4" t="s">
        <v>12</v>
      </c>
      <c r="B13">
        <v>1.4583704516548168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0.49859201729748615</v>
      </c>
      <c r="J13">
        <f>(Table3[[#This Row],[HomeMargin]]-Table3[[#This Row],[HomeForecast]])^2</f>
        <v>6.2429620689027203</v>
      </c>
    </row>
    <row r="14" spans="1:10" x14ac:dyDescent="0.2">
      <c r="A14" s="4" t="s">
        <v>28</v>
      </c>
      <c r="B14">
        <v>-0.72083617366747277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0.16614985160419565</v>
      </c>
      <c r="J14">
        <f>(Table3[[#This Row],[HomeMargin]]-Table3[[#This Row],[HomeForecast]])^2</f>
        <v>0.69530606997970479</v>
      </c>
    </row>
    <row r="15" spans="1:10" x14ac:dyDescent="0.2">
      <c r="A15" s="4" t="s">
        <v>39</v>
      </c>
      <c r="B15">
        <v>1.9153995907683643E-3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0.16746331192445341</v>
      </c>
      <c r="J15">
        <f>(Table3[[#This Row],[HomeMargin]]-Table3[[#This Row],[HomeForecast]])^2</f>
        <v>17.36775045623633</v>
      </c>
    </row>
    <row r="16" spans="1:10" x14ac:dyDescent="0.2">
      <c r="A16" s="4" t="s">
        <v>26</v>
      </c>
      <c r="B16">
        <v>-0.67114180037169746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0.56123595043787766</v>
      </c>
      <c r="J16">
        <f>(Table3[[#This Row],[HomeMargin]]-Table3[[#This Row],[HomeForecast]])^2</f>
        <v>5.9475700894366419</v>
      </c>
    </row>
    <row r="17" spans="1:10" x14ac:dyDescent="0.2">
      <c r="A17" s="4" t="s">
        <v>17</v>
      </c>
      <c r="B17">
        <v>-0.8561868317598319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1.7527641036566866</v>
      </c>
      <c r="J17">
        <f>(Table3[[#This Row],[HomeMargin]]-Table3[[#This Row],[HomeForecast]])^2</f>
        <v>0.56665379575405472</v>
      </c>
    </row>
    <row r="18" spans="1:10" x14ac:dyDescent="0.2">
      <c r="A18" s="4" t="s">
        <v>11</v>
      </c>
      <c r="B18">
        <v>-0.21100886368613675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0.24308208674025999</v>
      </c>
      <c r="J18">
        <f>(Table3[[#This Row],[HomeMargin]]-Table3[[#This Row],[HomeForecast]])^2</f>
        <v>18.003745594816078</v>
      </c>
    </row>
    <row r="19" spans="1:10" x14ac:dyDescent="0.2">
      <c r="A19" s="4" t="s">
        <v>13</v>
      </c>
      <c r="B19">
        <v>-0.31985119938240425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0.49001614782787051</v>
      </c>
      <c r="J19">
        <f>(Table3[[#This Row],[HomeMargin]]-Table3[[#This Row],[HomeForecast]])^2</f>
        <v>0.2600835294763244</v>
      </c>
    </row>
    <row r="20" spans="1:10" x14ac:dyDescent="0.2">
      <c r="A20" s="4" t="s">
        <v>34</v>
      </c>
      <c r="B20">
        <v>-0.17681265190927384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-0.80375639946219934</v>
      </c>
      <c r="J20">
        <f>(Table3[[#This Row],[HomeMargin]]-Table3[[#This Row],[HomeForecast]])^2</f>
        <v>3.2535371486008366</v>
      </c>
    </row>
    <row r="21" spans="1:10" x14ac:dyDescent="0.2">
      <c r="A21" s="4" t="s">
        <v>18</v>
      </c>
      <c r="B21">
        <v>-0.75480422558713034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-6.3948909010538013E-2</v>
      </c>
      <c r="J21">
        <f>(Table3[[#This Row],[HomeMargin]]-Table3[[#This Row],[HomeForecast]])^2</f>
        <v>1.1319872809847142</v>
      </c>
    </row>
    <row r="22" spans="1:10" x14ac:dyDescent="0.2">
      <c r="A22" s="4" t="s">
        <v>29</v>
      </c>
      <c r="B22">
        <v>-1.6840122346544992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-0.65368488003831082</v>
      </c>
      <c r="J22">
        <f>(Table3[[#This Row],[HomeMargin]]-Table3[[#This Row],[HomeForecast]])^2</f>
        <v>7.0420434425439442</v>
      </c>
    </row>
    <row r="23" spans="1:10" x14ac:dyDescent="0.2">
      <c r="A23" s="4" t="s">
        <v>24</v>
      </c>
      <c r="B23">
        <v>2.0731927685773251E-2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-0.15618026106051822</v>
      </c>
      <c r="J23">
        <f>(Table3[[#This Row],[HomeMargin]]-Table3[[#This Row],[HomeForecast]])^2</f>
        <v>0.71203175182389522</v>
      </c>
    </row>
    <row r="24" spans="1:10" x14ac:dyDescent="0.2">
      <c r="A24" s="4" t="s">
        <v>30</v>
      </c>
      <c r="B24">
        <v>3.2883390994754517E-3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-1.2231752661256976</v>
      </c>
      <c r="J24">
        <f>(Table3[[#This Row],[HomeMargin]]-Table3[[#This Row],[HomeForecast]])^2</f>
        <v>14.264405070404694</v>
      </c>
    </row>
    <row r="25" spans="1:10" x14ac:dyDescent="0.2">
      <c r="A25" s="4" t="s">
        <v>15</v>
      </c>
      <c r="B25">
        <v>-0.50599078340071213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0.68664841983972713</v>
      </c>
      <c r="J25">
        <f>(Table3[[#This Row],[HomeMargin]]-Table3[[#This Row],[HomeForecast]])^2</f>
        <v>2.8447828921478484</v>
      </c>
    </row>
    <row r="26" spans="1:10" x14ac:dyDescent="0.2">
      <c r="A26" s="4" t="s">
        <v>36</v>
      </c>
      <c r="B26">
        <v>-0.34257283900844787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0.14940084417271193</v>
      </c>
      <c r="J26">
        <f>(Table3[[#This Row],[HomeMargin]]-Table3[[#This Row],[HomeForecast]])^2</f>
        <v>14.827113858857821</v>
      </c>
    </row>
    <row r="27" spans="1:10" x14ac:dyDescent="0.2">
      <c r="A27" s="4" t="s">
        <v>27</v>
      </c>
      <c r="B27">
        <v>-0.54160534998918008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8.3613542780284156E-2</v>
      </c>
      <c r="J27">
        <f>(Table3[[#This Row],[HomeMargin]]-Table3[[#This Row],[HomeForecast]])^2</f>
        <v>1.1742183100968389</v>
      </c>
    </row>
    <row r="28" spans="1:10" x14ac:dyDescent="0.2">
      <c r="A28" s="4" t="s">
        <v>14</v>
      </c>
      <c r="B28">
        <v>-0.2200802314358897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0.53249589784368123</v>
      </c>
      <c r="J28">
        <f>(Table3[[#This Row],[HomeMargin]]-Table3[[#This Row],[HomeForecast]])^2</f>
        <v>2.1535682898456234</v>
      </c>
    </row>
    <row r="29" spans="1:10" x14ac:dyDescent="0.2">
      <c r="A29" s="4" t="s">
        <v>33</v>
      </c>
      <c r="B29">
        <v>-0.3479098095875402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1.123573228112831</v>
      </c>
      <c r="J29">
        <f>(Table3[[#This Row],[HomeMargin]]-Table3[[#This Row],[HomeForecast]])^2</f>
        <v>1.5270342706225766E-2</v>
      </c>
    </row>
    <row r="30" spans="1:10" x14ac:dyDescent="0.2">
      <c r="A30" s="4" t="s">
        <v>32</v>
      </c>
      <c r="B30">
        <v>-0.46055888840939002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0.60205085315989848</v>
      </c>
      <c r="J30">
        <f>(Table3[[#This Row],[HomeMargin]]-Table3[[#This Row],[HomeForecast]])^2</f>
        <v>6.7706686424301559</v>
      </c>
    </row>
    <row r="31" spans="1:10" x14ac:dyDescent="0.2">
      <c r="A31" s="4" t="s">
        <v>35</v>
      </c>
      <c r="B31">
        <v>-1.5594075795597986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0.78262280035035725</v>
      </c>
      <c r="J31">
        <f>(Table3[[#This Row],[HomeMargin]]-Table3[[#This Row],[HomeForecast]])^2</f>
        <v>3.1777440483289499</v>
      </c>
    </row>
    <row r="32" spans="1:10" x14ac:dyDescent="0.2">
      <c r="A32" s="4" t="s">
        <v>37</v>
      </c>
      <c r="B32">
        <v>0.1846559193064522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1.6158747135888756</v>
      </c>
      <c r="J32">
        <f>(Table3[[#This Row],[HomeMargin]]-Table3[[#This Row],[HomeForecast]])^2</f>
        <v>6.842800517193683</v>
      </c>
    </row>
    <row r="33" spans="1:10" x14ac:dyDescent="0.2">
      <c r="A33" s="4" t="s">
        <v>19</v>
      </c>
      <c r="B33">
        <v>-0.95664361852990654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0.44492147968303619</v>
      </c>
      <c r="J33">
        <f>(Table3[[#This Row],[HomeMargin]]-Table3[[#This Row],[HomeForecast]])^2</f>
        <v>6.5284262449851242</v>
      </c>
    </row>
    <row r="34" spans="1:10" x14ac:dyDescent="0.2">
      <c r="A34" t="s">
        <v>55</v>
      </c>
      <c r="B34">
        <v>-0.1349739904770427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0.43002803504183762</v>
      </c>
      <c r="J34">
        <f>(Table3[[#This Row],[HomeMargin]]-Table3[[#This Row],[HomeForecast]])^2</f>
        <v>2.4648119707545937</v>
      </c>
    </row>
    <row r="35" spans="1:10" x14ac:dyDescent="0.2">
      <c r="A35" s="4" t="s">
        <v>38</v>
      </c>
      <c r="B35">
        <v>-1.1267952052768424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0.29098363684713824</v>
      </c>
      <c r="J35">
        <f>(Table3[[#This Row],[HomeMargin]]-Table3[[#This Row],[HomeForecast]])^2</f>
        <v>13.75680238213568</v>
      </c>
    </row>
    <row r="36" spans="1:10" x14ac:dyDescent="0.2">
      <c r="A36" s="4" t="s">
        <v>20</v>
      </c>
      <c r="B36">
        <v>-3.2309887002194844E-2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0.70344318328302613</v>
      </c>
      <c r="J36">
        <f>(Table3[[#This Row],[HomeMargin]]-Table3[[#This Row],[HomeForecast]])^2</f>
        <v>13.715491411805514</v>
      </c>
    </row>
    <row r="37" spans="1:10" x14ac:dyDescent="0.2">
      <c r="A37" s="4" t="s">
        <v>22</v>
      </c>
      <c r="B37">
        <v>0.21430145909042725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-1.3896185826526295</v>
      </c>
      <c r="J37">
        <f>(Table3[[#This Row],[HomeMargin]]-Table3[[#This Row],[HomeForecast]])^2</f>
        <v>0.15180263994824389</v>
      </c>
    </row>
    <row r="38" spans="1:10" x14ac:dyDescent="0.2">
      <c r="A38" s="4" t="s">
        <v>40</v>
      </c>
      <c r="B38">
        <v>-7.3890719153774626E-2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-5.1593458466124648E-2</v>
      </c>
      <c r="J38">
        <f>(Table3[[#This Row],[HomeMargin]]-Table3[[#This Row],[HomeForecast]])^2</f>
        <v>3.7962880510919974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0.44533021348964957</v>
      </c>
      <c r="J39">
        <f>(Table3[[#This Row],[HomeMargin]]-Table3[[#This Row],[HomeForecast]])^2</f>
        <v>29.65162113394323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-0.26882933988236801</v>
      </c>
      <c r="J40">
        <f>(Table3[[#This Row],[HomeMargin]]-Table3[[#This Row],[HomeForecast]])^2</f>
        <v>1.6099278937463257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-0.541035801216461</v>
      </c>
      <c r="J41">
        <f>(Table3[[#This Row],[HomeMargin]]-Table3[[#This Row],[HomeForecast]])^2</f>
        <v>0.2106481357650159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0.32334365314550606</v>
      </c>
      <c r="J42">
        <f>(Table3[[#This Row],[HomeMargin]]-Table3[[#This Row],[HomeForecast]])^2</f>
        <v>5.3979257306115054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0.40538014175345677</v>
      </c>
      <c r="J43">
        <f>(Table3[[#This Row],[HomeMargin]]-Table3[[#This Row],[HomeForecast]])^2</f>
        <v>0.35357277582113911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-0.56087258096631221</v>
      </c>
      <c r="J44">
        <f>(Table3[[#This Row],[HomeMargin]]-Table3[[#This Row],[HomeForecast]])^2</f>
        <v>0.19283289014718802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-0.15010715446385675</v>
      </c>
      <c r="J45">
        <f>(Table3[[#This Row],[HomeMargin]]-Table3[[#This Row],[HomeForecast]])^2</f>
        <v>0.72231784889352257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-1.7968979231310755</v>
      </c>
      <c r="J46">
        <f>(Table3[[#This Row],[HomeMargin]]-Table3[[#This Row],[HomeForecast]])^2</f>
        <v>4.1250453628470497E-2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-0.58214843982841891</v>
      </c>
      <c r="J47">
        <f>(Table3[[#This Row],[HomeMargin]]-Table3[[#This Row],[HomeForecast]])^2</f>
        <v>0.17459992633782445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0.16279256524026961</v>
      </c>
      <c r="J48">
        <f>(Table3[[#This Row],[HomeMargin]]-Table3[[#This Row],[HomeForecast]])^2</f>
        <v>3.3753311583364294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0.30245820899795756</v>
      </c>
      <c r="J49">
        <f>(Table3[[#This Row],[HomeMargin]]-Table3[[#This Row],[HomeForecast]])^2</f>
        <v>0.48656455019433714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0.23659871977807723</v>
      </c>
      <c r="J50">
        <f>(Table3[[#This Row],[HomeMargin]]-Table3[[#This Row],[HomeForecast]])^2</f>
        <v>10.475571272869088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1.5008590571708784</v>
      </c>
      <c r="J51">
        <f>(Table3[[#This Row],[HomeMargin]]-Table3[[#This Row],[HomeForecast]])^2</f>
        <v>20.257732252517126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-0.17117682477821622</v>
      </c>
      <c r="J52">
        <f>(Table3[[#This Row],[HomeMargin]]-Table3[[#This Row],[HomeForecast]])^2</f>
        <v>10.056362454010451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-0.12608215663338196</v>
      </c>
      <c r="J53">
        <f>(Table3[[#This Row],[HomeMargin]]-Table3[[#This Row],[HomeForecast]])^2</f>
        <v>0.76373239695456074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0.5920320358077833</v>
      </c>
      <c r="J54">
        <f>(Table3[[#This Row],[HomeMargin]]-Table3[[#This Row],[HomeForecast]])^2</f>
        <v>12.902694146269406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0.73204554611446482</v>
      </c>
      <c r="J55">
        <f>(Table3[[#This Row],[HomeMargin]]-Table3[[#This Row],[HomeForecast]])^2</f>
        <v>7.1799589357095406E-2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-0.92504683939770527</v>
      </c>
      <c r="J56">
        <f>(Table3[[#This Row],[HomeMargin]]-Table3[[#This Row],[HomeForecast]])^2</f>
        <v>1.1555242974888631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0.33814771302486935</v>
      </c>
      <c r="J57">
        <f>(Table3[[#This Row],[HomeMargin]]-Table3[[#This Row],[HomeForecast]])^2</f>
        <v>7.0854575976747318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-0.1348256756529132</v>
      </c>
      <c r="J58">
        <f>(Table3[[#This Row],[HomeMargin]]-Table3[[#This Row],[HomeForecast]])^2</f>
        <v>1.2878293141210908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0.50961570988394689</v>
      </c>
      <c r="J59">
        <f>(Table3[[#This Row],[HomeMargin]]-Table3[[#This Row],[HomeForecast]])^2</f>
        <v>6.298171011296307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-0.61103836466153683</v>
      </c>
      <c r="J60">
        <f>(Table3[[#This Row],[HomeMargin]]-Table3[[#This Row],[HomeForecast]])^2</f>
        <v>11.485060965795951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0.88678827764941981</v>
      </c>
      <c r="J61">
        <f>(Table3[[#This Row],[HomeMargin]]-Table3[[#This Row],[HomeForecast]])^2</f>
        <v>4.4656637834799051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0.18906520130880222</v>
      </c>
      <c r="J62">
        <f>(Table3[[#This Row],[HomeMargin]]-Table3[[#This Row],[HomeForecast]])^2</f>
        <v>0.65761524772833346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4.045367532189148E-3</v>
      </c>
      <c r="J63">
        <f>(Table3[[#This Row],[HomeMargin]]-Table3[[#This Row],[HomeForecast]])^2</f>
        <v>15.967653424740957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-0.3007132751607336</v>
      </c>
      <c r="J64">
        <f>(Table3[[#This Row],[HomeMargin]]-Table3[[#This Row],[HomeForecast]])^2</f>
        <v>10.894708124822298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-1.2683868312733713</v>
      </c>
      <c r="J65">
        <f>(Table3[[#This Row],[HomeMargin]]-Table3[[#This Row],[HomeForecast]])^2</f>
        <v>13.92493684101399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1.1412220589725117</v>
      </c>
      <c r="J66">
        <f>(Table3[[#This Row],[HomeMargin]]-Table3[[#This Row],[HomeForecast]])^2</f>
        <v>0.73749955199541217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8.9417098079751345E-2</v>
      </c>
      <c r="J67">
        <f>(Table3[[#This Row],[HomeMargin]]-Table3[[#This Row],[HomeForecast]])^2</f>
        <v>9.5444980059075135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-2.0197869637974626</v>
      </c>
      <c r="J68">
        <f>(Table3[[#This Row],[HomeMargin]]-Table3[[#This Row],[HomeForecast]])^2</f>
        <v>0.96081759634139696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1.2881302663924379</v>
      </c>
      <c r="J69">
        <f>(Table3[[#This Row],[HomeMargin]]-Table3[[#This Row],[HomeForecast]])^2</f>
        <v>10.811800648766003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5.9648693578312595E-2</v>
      </c>
      <c r="J70">
        <f>(Table3[[#This Row],[HomeMargin]]-Table3[[#This Row],[HomeForecast]])^2</f>
        <v>4.2421527409588506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1.088627670592196</v>
      </c>
      <c r="J71">
        <f>(Table3[[#This Row],[HomeMargin]]-Table3[[#This Row],[HomeForecast]])^2</f>
        <v>7.8548639945988045E-3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0.39116045289673718</v>
      </c>
      <c r="J72">
        <f>(Table3[[#This Row],[HomeMargin]]-Table3[[#This Row],[HomeForecast]])^2</f>
        <v>2.5883646883234319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1.0188948323841345</v>
      </c>
      <c r="J73">
        <f>(Table3[[#This Row],[HomeMargin]]-Table3[[#This Row],[HomeForecast]])^2</f>
        <v>0.96256734992255555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0.27740571092576927</v>
      </c>
      <c r="J74">
        <f>(Table3[[#This Row],[HomeMargin]]-Table3[[#This Row],[HomeForecast]])^2</f>
        <v>0.5221425066026929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-0.30829496931057832</v>
      </c>
      <c r="J75">
        <f>(Table3[[#This Row],[HomeMargin]]-Table3[[#This Row],[HomeForecast]])^2</f>
        <v>7.2452759722387396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-0.29123317360436729</v>
      </c>
      <c r="J76">
        <f>(Table3[[#This Row],[HomeMargin]]-Table3[[#This Row],[HomeForecast]])^2</f>
        <v>1.6672831086164064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0.251980671204864</v>
      </c>
      <c r="J77">
        <f>(Table3[[#This Row],[HomeMargin]]-Table3[[#This Row],[HomeForecast]])^2</f>
        <v>0.55953291625112578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1.1546137800400693</v>
      </c>
      <c r="J78">
        <f>(Table3[[#This Row],[HomeMargin]]-Table3[[#This Row],[HomeForecast]])^2</f>
        <v>4.6423605411385562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-0.69637805815332254</v>
      </c>
      <c r="J79">
        <f>(Table3[[#This Row],[HomeMargin]]-Table3[[#This Row],[HomeForecast]])^2</f>
        <v>2.8776985161840374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0.37235548063532464</v>
      </c>
      <c r="J80">
        <f>(Table3[[#This Row],[HomeMargin]]-Table3[[#This Row],[HomeForecast]])^2</f>
        <v>6.9045157201472156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0.55053377252452829</v>
      </c>
      <c r="J81">
        <f>(Table3[[#This Row],[HomeMargin]]-Table3[[#This Row],[HomeForecast]])^2</f>
        <v>11.898817254493862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-0.12751860779012197</v>
      </c>
      <c r="J82">
        <f>(Table3[[#This Row],[HomeMargin]]-Table3[[#This Row],[HomeForecast]])^2</f>
        <v>9.7813726420734639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-0.74607243144909785</v>
      </c>
      <c r="J83">
        <f>(Table3[[#This Row],[HomeMargin]]-Table3[[#This Row],[HomeForecast]])^2</f>
        <v>3.0487689358665646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1.7426610098618756</v>
      </c>
      <c r="J84">
        <f>(Table3[[#This Row],[HomeMargin]]-Table3[[#This Row],[HomeForecast]])^2</f>
        <v>1.5809013361215587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-0.58297975445640082</v>
      </c>
      <c r="J85">
        <f>(Table3[[#This Row],[HomeMargin]]-Table3[[#This Row],[HomeForecast]])^2</f>
        <v>0.17390588519324374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-8.9393780661591093E-2</v>
      </c>
      <c r="J86">
        <f>(Table3[[#This Row],[HomeMargin]]-Table3[[#This Row],[HomeForecast]])^2</f>
        <v>0.82920368669779043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1.0363384209704323</v>
      </c>
      <c r="J87">
        <f>(Table3[[#This Row],[HomeMargin]]-Table3[[#This Row],[HomeForecast]])^2</f>
        <v>0.9286436388977598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-0.18644151658309618</v>
      </c>
      <c r="J88">
        <f>(Table3[[#This Row],[HomeMargin]]-Table3[[#This Row],[HomeForecast]])^2</f>
        <v>0.66187740593961264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-0.20537303655507913</v>
      </c>
      <c r="J89">
        <f>(Table3[[#This Row],[HomeMargin]]-Table3[[#This Row],[HomeForecast]])^2</f>
        <v>1.4529241572540124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3.1590083373176647E-2</v>
      </c>
      <c r="J90">
        <f>(Table3[[#This Row],[HomeMargin]]-Table3[[#This Row],[HomeForecast]])^2</f>
        <v>9.1905384336065854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-1.4019033176257398</v>
      </c>
      <c r="J91">
        <f>(Table3[[#This Row],[HomeMargin]]-Table3[[#This Row],[HomeForecast]])^2</f>
        <v>11.572946182473014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-0.3366650685956894</v>
      </c>
      <c r="J92">
        <f>(Table3[[#This Row],[HomeMargin]]-Table3[[#This Row],[HomeForecast]])^2</f>
        <v>0.44001323122116154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1.2438861624473596</v>
      </c>
      <c r="J93">
        <f>(Table3[[#This Row],[HomeMargin]]-Table3[[#This Row],[HomeForecast]])^2</f>
        <v>14.108391160654424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1.7695411770255518</v>
      </c>
      <c r="J94">
        <f>(Table3[[#This Row],[HomeMargin]]-Table3[[#This Row],[HomeForecast]])^2</f>
        <v>1.5140289150356645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-0.32472707839052101</v>
      </c>
      <c r="J95">
        <f>(Table3[[#This Row],[HomeMargin]]-Table3[[#This Row],[HomeForecast]])^2</f>
        <v>1.7549018322210854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0.34446469291296156</v>
      </c>
      <c r="J96">
        <f>(Table3[[#This Row],[HomeMargin]]-Table3[[#This Row],[HomeForecast]])^2</f>
        <v>2.7407971530117745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0.14931656773001617</v>
      </c>
      <c r="J97">
        <f>(Table3[[#This Row],[HomeMargin]]-Table3[[#This Row],[HomeForecast]])^2</f>
        <v>0.72366230193864023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1.5005163258920968</v>
      </c>
      <c r="J98">
        <f>(Table3[[#This Row],[HomeMargin]]-Table3[[#This Row],[HomeForecast]])^2</f>
        <v>6.2525818960529103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-0.88346600724612545</v>
      </c>
      <c r="J99">
        <f>(Table3[[#This Row],[HomeMargin]]-Table3[[#This Row],[HomeForecast]])^2</f>
        <v>1.3580171467160085E-2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-9.7437431061217383E-2</v>
      </c>
      <c r="J100">
        <f>(Table3[[#This Row],[HomeMargin]]-Table3[[#This Row],[HomeForecast]])^2</f>
        <v>4.3992437772166779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-0.16975846996661118</v>
      </c>
      <c r="J101">
        <f>(Table3[[#This Row],[HomeMargin]]-Table3[[#This Row],[HomeForecast]])^2</f>
        <v>3.34978405825896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7.8373199945037053E-2</v>
      </c>
      <c r="J102">
        <f>(Table3[[#This Row],[HomeMargin]]-Table3[[#This Row],[HomeForecast]])^2</f>
        <v>8.5359031587994032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-0.29543844207619141</v>
      </c>
      <c r="J103">
        <f>(Table3[[#This Row],[HomeMargin]]-Table3[[#This Row],[HomeForecast]])^2</f>
        <v>10.859914525513556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0.2455576285287322</v>
      </c>
      <c r="J104">
        <f>(Table3[[#This Row],[HomeMargin]]-Table3[[#This Row],[HomeForecast]])^2</f>
        <v>1.5514138059861193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0.88217123478306825</v>
      </c>
      <c r="J105">
        <f>(Table3[[#This Row],[HomeMargin]]-Table3[[#This Row],[HomeForecast]])^2</f>
        <v>23.835595965743227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-1.87713822628342</v>
      </c>
      <c r="J106">
        <f>(Table3[[#This Row],[HomeMargin]]-Table3[[#This Row],[HomeForecast]])^2</f>
        <v>1.2608185628739441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0.51061781021184283</v>
      </c>
      <c r="J107">
        <f>(Table3[[#This Row],[HomeMargin]]-Table3[[#This Row],[HomeForecast]])^2</f>
        <v>0.23949492768185188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0.6730336542762112</v>
      </c>
      <c r="J108">
        <f>(Table3[[#This Row],[HomeMargin]]-Table3[[#This Row],[HomeForecast]])^2</f>
        <v>2.7990416083408132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1.0661346353657799</v>
      </c>
      <c r="J109">
        <f>(Table3[[#This Row],[HomeMargin]]-Table3[[#This Row],[HomeForecast]])^2</f>
        <v>8.6075659778002844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-1.0801367186525672</v>
      </c>
      <c r="J110">
        <f>(Table3[[#This Row],[HomeMargin]]-Table3[[#This Row],[HomeForecast]])^2</f>
        <v>6.4218936764007147E-3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-0.81795588469085267</v>
      </c>
      <c r="J111">
        <f>(Table3[[#This Row],[HomeMargin]]-Table3[[#This Row],[HomeForecast]])^2</f>
        <v>4.7613165211552797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-1.4339247806070323</v>
      </c>
      <c r="J112">
        <f>(Table3[[#This Row],[HomeMargin]]-Table3[[#This Row],[HomeForecast]])^2</f>
        <v>5.9239898376529911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0.8342800090246445</v>
      </c>
      <c r="J113">
        <f>(Table3[[#This Row],[HomeMargin]]-Table3[[#This Row],[HomeForecast]])^2</f>
        <v>4.6903430793102929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0.33261432889543874</v>
      </c>
      <c r="J114">
        <f>(Table3[[#This Row],[HomeMargin]]-Table3[[#This Row],[HomeForecast]])^2</f>
        <v>2.7801749762048078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-0.20255250081276976</v>
      </c>
      <c r="J115">
        <f>(Table3[[#This Row],[HomeMargin]]-Table3[[#This Row],[HomeForecast]])^2</f>
        <v>0.63592251395996757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0.35696424111987424</v>
      </c>
      <c r="J116">
        <f>(Table3[[#This Row],[HomeMargin]]-Table3[[#This Row],[HomeForecast]])^2</f>
        <v>6.9856380227190416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-0.31799688831115247</v>
      </c>
      <c r="J117">
        <f>(Table3[[#This Row],[HomeMargin]]-Table3[[#This Row],[HomeForecast]])^2</f>
        <v>2.8291344677309653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1.1952418965808203</v>
      </c>
      <c r="J118">
        <f>(Table3[[#This Row],[HomeMargin]]-Table3[[#This Row],[HomeForecast]])^2</f>
        <v>4.8190869845037581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0.48118626049799973</v>
      </c>
      <c r="J119">
        <f>(Table3[[#This Row],[HomeMargin]]-Table3[[#This Row],[HomeForecast]])^2</f>
        <v>2.1939127382880481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5.8037055352125555E-2</v>
      </c>
      <c r="J120">
        <f>(Table3[[#This Row],[HomeMargin]]-Table3[[#This Row],[HomeForecast]])^2</f>
        <v>0.8872941890896946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0.1684910292745801</v>
      </c>
      <c r="J121">
        <f>(Table3[[#This Row],[HomeMargin]]-Table3[[#This Row],[HomeForecast]])^2</f>
        <v>4.7023533440443277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-0.39779736785282971</v>
      </c>
      <c r="J122">
        <f>(Table3[[#This Row],[HomeMargin]]-Table3[[#This Row],[HomeForecast]])^2</f>
        <v>1.9538374815762989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0.83384980099600003</v>
      </c>
      <c r="J123">
        <f>(Table3[[#This Row],[HomeMargin]]-Table3[[#This Row],[HomeForecast]])^2</f>
        <v>17.356807480661068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1.3386877116551843E-3</v>
      </c>
      <c r="J124">
        <f>(Table3[[#This Row],[HomeMargin]]-Table3[[#This Row],[HomeForecast]])^2</f>
        <v>1.0026791675080997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0.35845217250555939</v>
      </c>
      <c r="J125">
        <f>(Table3[[#This Row],[HomeMargin]]-Table3[[#This Row],[HomeForecast]])^2</f>
        <v>0.41158361496283652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-1.2650139275579289</v>
      </c>
      <c r="J126">
        <f>(Table3[[#This Row],[HomeMargin]]-Table3[[#This Row],[HomeForecast]])^2</f>
        <v>3.0101766715679639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0.47567666759287952</v>
      </c>
      <c r="J127">
        <f>(Table3[[#This Row],[HomeMargin]]-Table3[[#This Row],[HomeForecast]])^2</f>
        <v>2.1776216272780262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0.54608783078044254</v>
      </c>
      <c r="J128">
        <f>(Table3[[#This Row],[HomeMargin]]-Table3[[#This Row],[HomeForecast]])^2</f>
        <v>12.574738903609145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0.61811614705364781</v>
      </c>
      <c r="J129">
        <f>(Table3[[#This Row],[HomeMargin]]-Table3[[#This Row],[HomeForecast]])^2</f>
        <v>1.9096029830338555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-0.77571797123307284</v>
      </c>
      <c r="J130">
        <f>(Table3[[#This Row],[HomeMargin]]-Table3[[#This Row],[HomeForecast]])^2</f>
        <v>10.395994601029372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0.52806139879814062</v>
      </c>
      <c r="J131">
        <f>(Table3[[#This Row],[HomeMargin]]-Table3[[#This Row],[HomeForecast]])^2</f>
        <v>2.1666032457080866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1.2023053302957798</v>
      </c>
      <c r="J132">
        <f>(Table3[[#This Row],[HomeMargin]]-Table3[[#This Row],[HomeForecast]])^2</f>
        <v>0.63631678607452502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-1.4238216868122213</v>
      </c>
      <c r="J133">
        <f>(Table3[[#This Row],[HomeMargin]]-Table3[[#This Row],[HomeForecast]])^2</f>
        <v>5.8749115694612426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-0.26121315548322821</v>
      </c>
      <c r="J134">
        <f>(Table3[[#This Row],[HomeMargin]]-Table3[[#This Row],[HomeForecast]])^2</f>
        <v>1.5906586235639615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1.0476854407129284</v>
      </c>
      <c r="J135">
        <f>(Table3[[#This Row],[HomeMargin]]-Table3[[#This Row],[HomeForecast]])^2</f>
        <v>0.90690301983012955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-1.9279315159114761E-2</v>
      </c>
      <c r="J136">
        <f>(Table3[[#This Row],[HomeMargin]]-Table3[[#This Row],[HomeForecast]])^2</f>
        <v>9.1160475829476937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0.11758100009259601</v>
      </c>
      <c r="J137">
        <f>(Table3[[#This Row],[HomeMargin]]-Table3[[#This Row],[HomeForecast]])^2</f>
        <v>16.954473292323542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-1.2047413737472679</v>
      </c>
      <c r="J138">
        <f>(Table3[[#This Row],[HomeMargin]]-Table3[[#This Row],[HomeForecast]])^2</f>
        <v>4.8608845251129909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-0.38547402756382843</v>
      </c>
      <c r="J139">
        <f>(Table3[[#This Row],[HomeMargin]]-Table3[[#This Row],[HomeForecast]])^2</f>
        <v>1.9195382810539361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0.66017560375641016</v>
      </c>
      <c r="J140">
        <f>(Table3[[#This Row],[HomeMargin]]-Table3[[#This Row],[HomeForecast]])^2</f>
        <v>2.756183035307961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0.55504760487526905</v>
      </c>
      <c r="J141">
        <f>(Table3[[#This Row],[HomeMargin]]-Table3[[#This Row],[HomeForecast]])^2</f>
        <v>0.1979826339272347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-8.4700723224686025E-3</v>
      </c>
      <c r="J142">
        <f>(Table3[[#This Row],[HomeMargin]]-Table3[[#This Row],[HomeForecast]])^2</f>
        <v>1.0170118867700852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-0.29927682400399358</v>
      </c>
      <c r="J143">
        <f>(Table3[[#This Row],[HomeMargin]]-Table3[[#This Row],[HomeForecast]])^2</f>
        <v>1.6881202653939045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-0.21257131816488495</v>
      </c>
      <c r="J144">
        <f>(Table3[[#This Row],[HomeMargin]]-Table3[[#This Row],[HomeForecast]])^2</f>
        <v>0.62004392897658689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0.71629395962370235</v>
      </c>
      <c r="J145">
        <f>(Table3[[#This Row],[HomeMargin]]-Table3[[#This Row],[HomeForecast]])^2</f>
        <v>45.108604552077836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-0.45136594299918797</v>
      </c>
      <c r="J146">
        <f>(Table3[[#This Row],[HomeMargin]]-Table3[[#This Row],[HomeForecast]])^2</f>
        <v>19.814658758493049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0.34766977414563116</v>
      </c>
      <c r="J147">
        <f>(Table3[[#This Row],[HomeMargin]]-Table3[[#This Row],[HomeForecast]])^2</f>
        <v>5.5115533684369975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0.3305168192030935</v>
      </c>
      <c r="J148">
        <f>(Table3[[#This Row],[HomeMargin]]-Table3[[#This Row],[HomeForecast]])^2</f>
        <v>1.7702750061823178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-1.2782188624442163</v>
      </c>
      <c r="J149">
        <f>(Table3[[#This Row],[HomeMargin]]-Table3[[#This Row],[HomeForecast]])^2</f>
        <v>5.1902811851966195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-1.5265079727204405</v>
      </c>
      <c r="J150">
        <f>(Table3[[#This Row],[HomeMargin]]-Table3[[#This Row],[HomeForecast]])^2</f>
        <v>0.27721064533818807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0.37638546783347415</v>
      </c>
      <c r="J151">
        <f>(Table3[[#This Row],[HomeMargin]]-Table3[[#This Row],[HomeForecast]])^2</f>
        <v>0.38889508472927492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-0.11118871199218339</v>
      </c>
      <c r="J152">
        <f>(Table3[[#This Row],[HomeMargin]]-Table3[[#This Row],[HomeForecast]])^2</f>
        <v>1.2347403536588473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0.22050293284809522</v>
      </c>
      <c r="J153">
        <f>(Table3[[#This Row],[HomeMargin]]-Table3[[#This Row],[HomeForecast]])^2</f>
        <v>1.4896274090908019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-5.8282280801389016E-2</v>
      </c>
      <c r="J154">
        <f>(Table3[[#This Row],[HomeMargin]]-Table3[[#This Row],[HomeForecast]])^2</f>
        <v>25.586219632269305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1.4987470096487361</v>
      </c>
      <c r="J155">
        <f>(Table3[[#This Row],[HomeMargin]]-Table3[[#This Row],[HomeForecast]])^2</f>
        <v>2.2537605410386119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3.1260425743119984E-2</v>
      </c>
      <c r="J156">
        <f>(Table3[[#This Row],[HomeMargin]]-Table3[[#This Row],[HomeForecast]])^2</f>
        <v>8.8134146597589211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0.38230870219121404</v>
      </c>
      <c r="J157">
        <f>(Table3[[#This Row],[HomeMargin]]-Table3[[#This Row],[HomeForecast]])^2</f>
        <v>1.9107773481535588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0.61427776512584575</v>
      </c>
      <c r="J158">
        <f>(Table3[[#This Row],[HomeMargin]]-Table3[[#This Row],[HomeForecast]])^2</f>
        <v>13.063003763483078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0.37039141377167478</v>
      </c>
      <c r="J159">
        <f>(Table3[[#This Row],[HomeMargin]]-Table3[[#This Row],[HomeForecast]])^2</f>
        <v>13.174058489222382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1.5970581854938708</v>
      </c>
      <c r="J160">
        <f>(Table3[[#This Row],[HomeMargin]]-Table3[[#This Row],[HomeForecast]])^2</f>
        <v>5.7741293639020101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-5.2966397974831742E-2</v>
      </c>
      <c r="J161">
        <f>(Table3[[#This Row],[HomeMargin]]-Table3[[#This Row],[HomeForecast]])^2</f>
        <v>1.108738235264092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-0.56179317975796206</v>
      </c>
      <c r="J162">
        <f>(Table3[[#This Row],[HomeMargin]]-Table3[[#This Row],[HomeForecast]])^2</f>
        <v>12.686370655370334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-0.40413485531505755</v>
      </c>
      <c r="J163">
        <f>(Table3[[#This Row],[HomeMargin]]-Table3[[#This Row],[HomeForecast]])^2</f>
        <v>0.35505527065040737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5.6497728769327932E-2</v>
      </c>
      <c r="J164">
        <f>(Table3[[#This Row],[HomeMargin]]-Table3[[#This Row],[HomeForecast]])^2</f>
        <v>1.1161874508947487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-1.7092484924361244</v>
      </c>
      <c r="J165">
        <f>(Table3[[#This Row],[HomeMargin]]-Table3[[#This Row],[HomeForecast]])^2</f>
        <v>1.6660394542784176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-0.16210545702846327</v>
      </c>
      <c r="J166">
        <f>(Table3[[#This Row],[HomeMargin]]-Table3[[#This Row],[HomeForecast]])^2</f>
        <v>1.3504890932553335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0.45366499870256749</v>
      </c>
      <c r="J167">
        <f>(Table3[[#This Row],[HomeMargin]]-Table3[[#This Row],[HomeForecast]])^2</f>
        <v>2.113141928452936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0.1313610513196912</v>
      </c>
      <c r="J168">
        <f>(Table3[[#This Row],[HomeMargin]]-Table3[[#This Row],[HomeForecast]])^2</f>
        <v>1.2799778284431971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-0.72884611766327401</v>
      </c>
      <c r="J169">
        <f>(Table3[[#This Row],[HomeMargin]]-Table3[[#This Row],[HomeForecast]])^2</f>
        <v>5.1581399572531828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0.3195524309196478</v>
      </c>
      <c r="J170">
        <f>(Table3[[#This Row],[HomeMargin]]-Table3[[#This Row],[HomeForecast]])^2</f>
        <v>0.46300889426736069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-0.46138476035130316</v>
      </c>
      <c r="J171">
        <f>(Table3[[#This Row],[HomeMargin]]-Table3[[#This Row],[HomeForecast]])^2</f>
        <v>2.3673368556792171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0.39522710638726088</v>
      </c>
      <c r="J172">
        <f>(Table3[[#This Row],[HomeMargin]]-Table3[[#This Row],[HomeForecast]])^2</f>
        <v>6.7848418272996813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0.53249589784368123</v>
      </c>
      <c r="J173">
        <f>(Table3[[#This Row],[HomeMargin]]-Table3[[#This Row],[HomeForecast]])^2</f>
        <v>0.21856008553298573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0.57867953902417546</v>
      </c>
      <c r="J174">
        <f>(Table3[[#This Row],[HomeMargin]]-Table3[[#This Row],[HomeForecast]])^2</f>
        <v>11.705433696691827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-0.19077638683429265</v>
      </c>
      <c r="J175">
        <f>(Table3[[#This Row],[HomeMargin]]-Table3[[#This Row],[HomeForecast]])^2</f>
        <v>0.6548428561049624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0.51071026251412033</v>
      </c>
      <c r="J176">
        <f>(Table3[[#This Row],[HomeMargin]]-Table3[[#This Row],[HomeForecast]])^2</f>
        <v>2.2822454972654822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0.20268724105144301</v>
      </c>
      <c r="J177">
        <f>(Table3[[#This Row],[HomeMargin]]-Table3[[#This Row],[HomeForecast]])^2</f>
        <v>10.257205563993702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0.93362321044110652</v>
      </c>
      <c r="J178">
        <f>(Table3[[#This Row],[HomeMargin]]-Table3[[#This Row],[HomeForecast]])^2</f>
        <v>4.4058781921456304E-3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1.3018265461901461</v>
      </c>
      <c r="J179">
        <f>(Table3[[#This Row],[HomeMargin]]-Table3[[#This Row],[HomeForecast]])^2</f>
        <v>2.8837930792244877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-0.20922207574848631</v>
      </c>
      <c r="J180">
        <f>(Table3[[#This Row],[HomeMargin]]-Table3[[#This Row],[HomeForecast]])^2</f>
        <v>10.299106331471423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-0.27319271275812906</v>
      </c>
      <c r="J181">
        <f>(Table3[[#This Row],[HomeMargin]]-Table3[[#This Row],[HomeForecast]])^2</f>
        <v>0.52824883278788748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0.34216018124051095</v>
      </c>
      <c r="J182">
        <f>(Table3[[#This Row],[HomeMargin]]-Table3[[#This Row],[HomeForecast]])^2</f>
        <v>0.43275322714551739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0.21713002913265275</v>
      </c>
      <c r="J183">
        <f>(Table3[[#This Row],[HomeMargin]]-Table3[[#This Row],[HomeForecast]])^2</f>
        <v>7.7443652747552303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1.1831071150502726</v>
      </c>
      <c r="J184">
        <f>(Table3[[#This Row],[HomeMargin]]-Table3[[#This Row],[HomeForecast]])^2</f>
        <v>3.3010997553809434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-1.3312606771321844</v>
      </c>
      <c r="J185">
        <f>(Table3[[#This Row],[HomeMargin]]-Table3[[#This Row],[HomeForecast]])^2</f>
        <v>0.44721228194970447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0.37043278151577896</v>
      </c>
      <c r="J186">
        <f>(Table3[[#This Row],[HomeMargin]]-Table3[[#This Row],[HomeForecast]])^2</f>
        <v>5.6189515716846321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-0.3879994517562283</v>
      </c>
      <c r="J187">
        <f>(Table3[[#This Row],[HomeMargin]]-Table3[[#This Row],[HomeForecast]])^2</f>
        <v>1.92654247807559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-0.55282893056668603</v>
      </c>
      <c r="J188">
        <f>(Table3[[#This Row],[HomeMargin]]-Table3[[#This Row],[HomeForecast]])^2</f>
        <v>2.4112776876048776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0.99799106741715293</v>
      </c>
      <c r="J189">
        <f>(Table3[[#This Row],[HomeMargin]]-Table3[[#This Row],[HomeForecast]])^2</f>
        <v>4.0358101224245884E-6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-0.56516608347340458</v>
      </c>
      <c r="J190">
        <f>(Table3[[#This Row],[HomeMargin]]-Table3[[#This Row],[HomeForecast]])^2</f>
        <v>2.4497448688554768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-5.3504601752077968E-2</v>
      </c>
      <c r="J191">
        <f>(Table3[[#This Row],[HomeMargin]]-Table3[[#This Row],[HomeForecast]])^2</f>
        <v>1.1098719459128044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-0.18116346554335036</v>
      </c>
      <c r="J192">
        <f>(Table3[[#This Row],[HomeMargin]]-Table3[[#This Row],[HomeForecast]])^2</f>
        <v>7.9458394079875747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1.1094022148923957</v>
      </c>
      <c r="J193">
        <f>(Table3[[#This Row],[HomeMargin]]-Table3[[#This Row],[HomeForecast]])^2</f>
        <v>3.5743599850537793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-0.25281172505385535</v>
      </c>
      <c r="J194">
        <f>(Table3[[#This Row],[HomeMargin]]-Table3[[#This Row],[HomeForecast]])^2</f>
        <v>1.5695372184324168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-0.40781618520494489</v>
      </c>
      <c r="J195">
        <f>(Table3[[#This Row],[HomeMargin]]-Table3[[#This Row],[HomeForecast]])^2</f>
        <v>5.7975787817348943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0.57445793006555357</v>
      </c>
      <c r="J196">
        <f>(Table3[[#This Row],[HomeMargin]]-Table3[[#This Row],[HomeForecast]])^2</f>
        <v>12.776749493808522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0.20485155651614928</v>
      </c>
      <c r="J197">
        <f>(Table3[[#This Row],[HomeMargin]]-Table3[[#This Row],[HomeForecast]])^2</f>
        <v>1.4516672732393876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-1.6468605997175298</v>
      </c>
      <c r="J198">
        <f>(Table3[[#This Row],[HomeMargin]]-Table3[[#This Row],[HomeForecast]])^2</f>
        <v>7.0058710343370434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0.30560917380694219</v>
      </c>
      <c r="J199">
        <f>(Table3[[#This Row],[HomeMargin]]-Table3[[#This Row],[HomeForecast]])^2</f>
        <v>7.2597419242733086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0.49123338699280183</v>
      </c>
      <c r="J200">
        <f>(Table3[[#This Row],[HomeMargin]]-Table3[[#This Row],[HomeForecast]])^2</f>
        <v>6.2939099185396099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0.88354417429177534</v>
      </c>
      <c r="J201">
        <f>(Table3[[#This Row],[HomeMargin]]-Table3[[#This Row],[HomeForecast]])^2</f>
        <v>1.35619593413844E-2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0.73459069946037425</v>
      </c>
      <c r="J202">
        <f>(Table3[[#This Row],[HomeMargin]]-Table3[[#This Row],[HomeForecast]])^2</f>
        <v>3.0088048946544306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0.48265165230898444</v>
      </c>
      <c r="J203">
        <f>(Table3[[#This Row],[HomeMargin]]-Table3[[#This Row],[HomeForecast]])^2</f>
        <v>2.1982559220945612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-0.16021024825866775</v>
      </c>
      <c r="J204">
        <f>(Table3[[#This Row],[HomeMargin]]-Table3[[#This Row],[HomeForecast]])^2</f>
        <v>3.3848263306124329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-0.39779736785282971</v>
      </c>
      <c r="J205">
        <f>(Table3[[#This Row],[HomeMargin]]-Table3[[#This Row],[HomeForecast]])^2</f>
        <v>0.36264801016498011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-0.16953814012296262</v>
      </c>
      <c r="J206">
        <f>(Table3[[#This Row],[HomeMargin]]-Table3[[#This Row],[HomeForecast]])^2</f>
        <v>4.7068957414482044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-0.54380108627513957</v>
      </c>
      <c r="J207">
        <f>(Table3[[#This Row],[HomeMargin]]-Table3[[#This Row],[HomeForecast]])^2</f>
        <v>2.3833217939843014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-0.57714372556918969</v>
      </c>
      <c r="J208">
        <f>(Table3[[#This Row],[HomeMargin]]-Table3[[#This Row],[HomeForecast]])^2</f>
        <v>2.4873823311022631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0.72297417836471189</v>
      </c>
      <c r="J209">
        <f>(Table3[[#This Row],[HomeMargin]]-Table3[[#This Row],[HomeForecast]])^2</f>
        <v>10.738898235664434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-0.20355348099921602</v>
      </c>
      <c r="J210">
        <f>(Table3[[#This Row],[HomeMargin]]-Table3[[#This Row],[HomeForecast]])^2</f>
        <v>0.6343270576284662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1.4331341938731916</v>
      </c>
      <c r="J211">
        <f>(Table3[[#This Row],[HomeMargin]]-Table3[[#This Row],[HomeForecast]])^2</f>
        <v>0.18760522990217957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1.0175218928754275</v>
      </c>
      <c r="J212">
        <f>(Table3[[#This Row],[HomeMargin]]-Table3[[#This Row],[HomeForecast]])^2</f>
        <v>3.0701672993795667E-4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-8.654081870380248E-2</v>
      </c>
      <c r="J213">
        <f>(Table3[[#This Row],[HomeMargin]]-Table3[[#This Row],[HomeForecast]])^2</f>
        <v>9.5267342255247378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1.6666192442700525</v>
      </c>
      <c r="J214">
        <f>(Table3[[#This Row],[HomeMargin]]-Table3[[#This Row],[HomeForecast]])^2</f>
        <v>0.44438121683117587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-5.3779214073123138E-2</v>
      </c>
      <c r="J215">
        <f>(Table3[[#This Row],[HomeMargin]]-Table3[[#This Row],[HomeForecast]])^2</f>
        <v>0.89533377572007655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0.2875788973065343</v>
      </c>
      <c r="J216">
        <f>(Table3[[#This Row],[HomeMargin]]-Table3[[#This Row],[HomeForecast]])^2</f>
        <v>1.6578594167891108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-0.76911933847470881</v>
      </c>
      <c r="J217">
        <f>(Table3[[#This Row],[HomeMargin]]-Table3[[#This Row],[HomeForecast]])^2</f>
        <v>4.9768285259675222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0.79825157489432974</v>
      </c>
      <c r="J218">
        <f>(Table3[[#This Row],[HomeMargin]]-Table3[[#This Row],[HomeForecast]])^2</f>
        <v>4.0702427032618241E-2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-0.23652055273242734</v>
      </c>
      <c r="J219">
        <f>(Table3[[#This Row],[HomeMargin]]-Table3[[#This Row],[HomeForecast]])^2</f>
        <v>17.948106393724274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4.6770582702977348E-2</v>
      </c>
      <c r="J220">
        <f>(Table3[[#This Row],[HomeMargin]]-Table3[[#This Row],[HomeForecast]])^2</f>
        <v>25.469893314436145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-0.66224996652803669</v>
      </c>
      <c r="J221">
        <f>(Table3[[#This Row],[HomeMargin]]-Table3[[#This Row],[HomeForecast]])^2</f>
        <v>7.0875748842785331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-0.83577445699041508</v>
      </c>
      <c r="J222">
        <f>(Table3[[#This Row],[HomeMargin]]-Table3[[#This Row],[HomeForecast]])^2</f>
        <v>4.6838722010151326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1.933128700175053</v>
      </c>
      <c r="J223">
        <f>(Table3[[#This Row],[HomeMargin]]-Table3[[#This Row],[HomeForecast]])^2</f>
        <v>9.4056995696899595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0.37712160385104332</v>
      </c>
      <c r="J224">
        <f>(Table3[[#This Row],[HomeMargin]]-Table3[[#This Row],[HomeForecast]])^2</f>
        <v>0.38797749638909662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1.2208801080835399</v>
      </c>
      <c r="J225">
        <f>(Table3[[#This Row],[HomeMargin]]-Table3[[#This Row],[HomeForecast]])^2</f>
        <v>17.815828886815314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0.75878053003292478</v>
      </c>
      <c r="J226">
        <f>(Table3[[#This Row],[HomeMargin]]-Table3[[#This Row],[HomeForecast]])^2</f>
        <v>5.8186832691196705E-2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-0.19121059203815241</v>
      </c>
      <c r="J227">
        <f>(Table3[[#This Row],[HomeMargin]]-Table3[[#This Row],[HomeForecast]])^2</f>
        <v>3.2717191223549711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5.0577325828559644E-2</v>
      </c>
      <c r="J228">
        <f>(Table3[[#This Row],[HomeMargin]]-Table3[[#This Row],[HomeForecast]])^2</f>
        <v>9.3060220208593272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0.93495581479773071</v>
      </c>
      <c r="J229">
        <f>(Table3[[#This Row],[HomeMargin]]-Table3[[#This Row],[HomeForecast]])^2</f>
        <v>4.2307460286271073E-3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-0.98298722314049203</v>
      </c>
      <c r="J230">
        <f>(Table3[[#This Row],[HomeMargin]]-Table3[[#This Row],[HomeForecast]])^2</f>
        <v>1.0343149882954876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-0.2749620290014898</v>
      </c>
      <c r="J231">
        <f>(Table3[[#This Row],[HomeMargin]]-Table3[[#This Row],[HomeForecast]])^2</f>
        <v>5.1754522333985742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-5.7546144783819891E-2</v>
      </c>
      <c r="J232">
        <f>(Table3[[#This Row],[HomeMargin]]-Table3[[#This Row],[HomeForecast]])^2</f>
        <v>8.6580346900765601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-0.8257556396382999</v>
      </c>
      <c r="J233">
        <f>(Table3[[#This Row],[HomeMargin]]-Table3[[#This Row],[HomeForecast]])^2</f>
        <v>10.07582725928806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-5.731355446158215E-3</v>
      </c>
      <c r="J234">
        <f>(Table3[[#This Row],[HomeMargin]]-Table3[[#This Row],[HomeForecast]])^2</f>
        <v>8.9656447157583017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0.33952065253357644</v>
      </c>
      <c r="J235">
        <f>(Table3[[#This Row],[HomeMargin]]-Table3[[#This Row],[HomeForecast]])^2</f>
        <v>11.152398188698283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-0.11459942890893843</v>
      </c>
      <c r="J236">
        <f>(Table3[[#This Row],[HomeMargin]]-Table3[[#This Row],[HomeForecast]])^2</f>
        <v>1.2423318869241318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1.0799150111247369</v>
      </c>
      <c r="J237">
        <f>(Table3[[#This Row],[HomeMargin]]-Table3[[#This Row],[HomeForecast]])^2</f>
        <v>3.6867263645041195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-2.1551376218898217</v>
      </c>
      <c r="J238">
        <f>(Table3[[#This Row],[HomeMargin]]-Table3[[#This Row],[HomeForecast]])^2</f>
        <v>34.16241621904777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-0.4604105735852605</v>
      </c>
      <c r="J239">
        <f>(Table3[[#This Row],[HomeMargin]]-Table3[[#This Row],[HomeForecast]])^2</f>
        <v>19.895262484951193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0.4002318206464901</v>
      </c>
      <c r="J240">
        <f>(Table3[[#This Row],[HomeMargin]]-Table3[[#This Row],[HomeForecast]])^2</f>
        <v>0.35972186896502401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-1.5265079727204405</v>
      </c>
      <c r="J241">
        <f>(Table3[[#This Row],[HomeMargin]]-Table3[[#This Row],[HomeForecast]])^2</f>
        <v>0.27721064533818807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-0.34985946097536047</v>
      </c>
      <c r="J242">
        <f>(Table3[[#This Row],[HomeMargin]]-Table3[[#This Row],[HomeForecast]])^2</f>
        <v>21.623807032680364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-3.9612849455905097E-2</v>
      </c>
      <c r="J243">
        <f>(Table3[[#This Row],[HomeMargin]]-Table3[[#This Row],[HomeForecast]])^2</f>
        <v>0.92234347893020585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2.2518715623423696E-2</v>
      </c>
      <c r="J244">
        <f>(Table3[[#This Row],[HomeMargin]]-Table3[[#This Row],[HomeForecast]])^2</f>
        <v>3.9104322300596341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-0.93942902962558139</v>
      </c>
      <c r="J245">
        <f>(Table3[[#This Row],[HomeMargin]]-Table3[[#This Row],[HomeForecast]])^2</f>
        <v>3.6688424520986969E-3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0.12977412174085207</v>
      </c>
      <c r="J246">
        <f>(Table3[[#This Row],[HomeMargin]]-Table3[[#This Row],[HomeForecast]])^2</f>
        <v>0.75729307919190525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-0.6723530603228477</v>
      </c>
      <c r="J247">
        <f>(Table3[[#This Row],[HomeMargin]]-Table3[[#This Row],[HomeForecast]])^2</f>
        <v>1.7626463964341077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-0.24653937008454252</v>
      </c>
      <c r="J248">
        <f>(Table3[[#This Row],[HomeMargin]]-Table3[[#This Row],[HomeForecast]])^2</f>
        <v>1.5538604011707677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-0.22543587863111561</v>
      </c>
      <c r="J249">
        <f>(Table3[[#This Row],[HomeMargin]]-Table3[[#This Row],[HomeForecast]])^2</f>
        <v>0.59994957811195193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0.58585603383234974</v>
      </c>
      <c r="J250">
        <f>(Table3[[#This Row],[HomeMargin]]-Table3[[#This Row],[HomeForecast]])^2</f>
        <v>5.8280910893836717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0.62189394952498556</v>
      </c>
      <c r="J251">
        <f>(Table3[[#This Row],[HomeMargin]]-Table3[[#This Row],[HomeForecast]])^2</f>
        <v>0.14296418540581418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-0.38012105208527014</v>
      </c>
      <c r="J252">
        <f>(Table3[[#This Row],[HomeMargin]]-Table3[[#This Row],[HomeForecast]])^2</f>
        <v>13.103523597556251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1.0993833975402805</v>
      </c>
      <c r="J253">
        <f>(Table3[[#This Row],[HomeMargin]]-Table3[[#This Row],[HomeForecast]])^2</f>
        <v>0.81111026462608848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-4.8179187006578028E-2</v>
      </c>
      <c r="J254">
        <f>(Table3[[#This Row],[HomeMargin]]-Table3[[#This Row],[HomeForecast]])^2</f>
        <v>4.1950379820869266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0.25919062947134169</v>
      </c>
      <c r="J255">
        <f>(Table3[[#This Row],[HomeMargin]]-Table3[[#This Row],[HomeForecast]])^2</f>
        <v>1.5855610413484338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-1.2197721736039031</v>
      </c>
      <c r="J256">
        <f>(Table3[[#This Row],[HomeMargin]]-Table3[[#This Row],[HomeForecast]])^2</f>
        <v>4.8299808290584126E-2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-2.4257459954068321</v>
      </c>
      <c r="J257">
        <f>(Table3[[#This Row],[HomeMargin]]-Table3[[#This Row],[HomeForecast]])^2</f>
        <v>2.0327516434186186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2.4069003432467984E-2</v>
      </c>
      <c r="J258">
        <f>(Table3[[#This Row],[HomeMargin]]-Table3[[#This Row],[HomeForecast]])^2</f>
        <v>0.95244131006129618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0.17686325011112494</v>
      </c>
      <c r="J259">
        <f>(Table3[[#This Row],[HomeMargin]]-Table3[[#This Row],[HomeForecast]])^2</f>
        <v>1.3850071094621201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1.3374411127786141</v>
      </c>
      <c r="J260">
        <f>(Table3[[#This Row],[HomeMargin]]-Table3[[#This Row],[HomeForecast]])^2</f>
        <v>2.7641020534788128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0.33811863820876908</v>
      </c>
      <c r="J261">
        <f>(Table3[[#This Row],[HomeMargin]]-Table3[[#This Row],[HomeForecast]])^2</f>
        <v>1.7905614899216906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0.99119238337250193</v>
      </c>
      <c r="J262">
        <f>(Table3[[#This Row],[HomeMargin]]-Table3[[#This Row],[HomeForecast]])^2</f>
        <v>1.0176928073656528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0.36766641903322367</v>
      </c>
      <c r="J263">
        <f>(Table3[[#This Row],[HomeMargin]]-Table3[[#This Row],[HomeForecast]])^2</f>
        <v>11.341177109884056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1.2652444600258961</v>
      </c>
      <c r="J264">
        <f>(Table3[[#This Row],[HomeMargin]]-Table3[[#This Row],[HomeForecast]])^2</f>
        <v>3.0093767834708447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0.3305168192030935</v>
      </c>
      <c r="J265">
        <f>(Table3[[#This Row],[HomeMargin]]-Table3[[#This Row],[HomeForecast]])^2</f>
        <v>1.7702750061823178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-0.27553336467989897</v>
      </c>
      <c r="J266">
        <f>(Table3[[#This Row],[HomeMargin]]-Table3[[#This Row],[HomeForecast]])^2</f>
        <v>13.871651717612634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-0.18506857707438909</v>
      </c>
      <c r="J267">
        <f>(Table3[[#This Row],[HomeMargin]]-Table3[[#This Row],[HomeForecast]])^2</f>
        <v>0.66411322407156093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0.41969694678290992</v>
      </c>
      <c r="J268">
        <f>(Table3[[#This Row],[HomeMargin]]-Table3[[#This Row],[HomeForecast]])^2</f>
        <v>2.0155394207047164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-0.28321153011024425</v>
      </c>
      <c r="J269">
        <f>(Table3[[#This Row],[HomeMargin]]-Table3[[#This Row],[HomeForecast]])^2</f>
        <v>1.6466318310078742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-0.89348482459824063</v>
      </c>
      <c r="J270">
        <f>(Table3[[#This Row],[HomeMargin]]-Table3[[#This Row],[HomeForecast]])^2</f>
        <v>1.2243758333943862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7.0866470774536595E-3</v>
      </c>
      <c r="J271">
        <f>(Table3[[#This Row],[HomeMargin]]-Table3[[#This Row],[HomeForecast]])^2</f>
        <v>1.014223514721708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0.47400114329547893</v>
      </c>
      <c r="J272">
        <f>(Table3[[#This Row],[HomeMargin]]-Table3[[#This Row],[HomeForecast]])^2</f>
        <v>2.1726793704363789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0.85006636423199144</v>
      </c>
      <c r="J273">
        <f>(Table3[[#This Row],[HomeMargin]]-Table3[[#This Row],[HomeForecast]])^2</f>
        <v>23.523143737454525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0.52239280404887034</v>
      </c>
      <c r="J274">
        <f>(Table3[[#This Row],[HomeMargin]]-Table3[[#This Row],[HomeForecast]])^2</f>
        <v>6.1385374174288208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0.29477031961718625</v>
      </c>
      <c r="J275">
        <f>(Table3[[#This Row],[HomeMargin]]-Table3[[#This Row],[HomeForecast]])^2</f>
        <v>0.49734890209284566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-0.60944691681235996</v>
      </c>
      <c r="J276">
        <f>(Table3[[#This Row],[HomeMargin]]-Table3[[#This Row],[HomeForecast]])^2</f>
        <v>6.8092132116615316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2.1157372461807298</v>
      </c>
      <c r="J277">
        <f>(Table3[[#This Row],[HomeMargin]]-Table3[[#This Row],[HomeForecast]])^2</f>
        <v>0.78192061779203925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-0.86426779200061832</v>
      </c>
      <c r="J278">
        <f>(Table3[[#This Row],[HomeMargin]]-Table3[[#This Row],[HomeForecast]])^2</f>
        <v>14.932565568293334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-0.26589066125173688</v>
      </c>
      <c r="J279">
        <f>(Table3[[#This Row],[HomeMargin]]-Table3[[#This Row],[HomeForecast]])^2</f>
        <v>10.666041811251306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-0.59729996365307159</v>
      </c>
      <c r="J280">
        <f>(Table3[[#This Row],[HomeMargin]]-Table3[[#This Row],[HomeForecast]])^2</f>
        <v>40.994567755436961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-5.8282280801389016E-2</v>
      </c>
      <c r="J281">
        <f>(Table3[[#This Row],[HomeMargin]]-Table3[[#This Row],[HomeForecast]])^2</f>
        <v>4.2365259474609678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-0.22724850773078822</v>
      </c>
      <c r="J282">
        <f>(Table3[[#This Row],[HomeMargin]]-Table3[[#This Row],[HomeForecast]])^2</f>
        <v>4.960635915189024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-0.47737275762267517</v>
      </c>
      <c r="J283">
        <f>(Table3[[#This Row],[HomeMargin]]-Table3[[#This Row],[HomeForecast]])^2</f>
        <v>0.27313923447492705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0.12382143542315685</v>
      </c>
      <c r="J284">
        <f>(Table3[[#This Row],[HomeMargin]]-Table3[[#This Row],[HomeForecast]])^2</f>
        <v>1.2629746187165647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1.7087630834004934</v>
      </c>
      <c r="J285">
        <f>(Table3[[#This Row],[HomeMargin]]-Table3[[#This Row],[HomeForecast]])^2</f>
        <v>0.50234510839137481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-1.3045123416937825</v>
      </c>
      <c r="J286">
        <f>(Table3[[#This Row],[HomeMargin]]-Table3[[#This Row],[HomeForecast]])^2</f>
        <v>5.310777133018961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-0.85838256804579138</v>
      </c>
      <c r="J287">
        <f>(Table3[[#This Row],[HomeMargin]]-Table3[[#This Row],[HomeForecast]])^2</f>
        <v>2.0055497033304909E-2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2.1157331948308995E-2</v>
      </c>
      <c r="J288">
        <f>(Table3[[#This Row],[HomeMargin]]-Table3[[#This Row],[HomeForecast]])^2</f>
        <v>1.0427622965917889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1.4381547098834828</v>
      </c>
      <c r="J289">
        <f>(Table3[[#This Row],[HomeMargin]]-Table3[[#This Row],[HomeForecast]])^2</f>
        <v>5.9445983893270089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-5.5425728741933522E-2</v>
      </c>
      <c r="J290">
        <f>(Table3[[#This Row],[HomeMargin]]-Table3[[#This Row],[HomeForecast]])^2</f>
        <v>0.89222055392270738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-0.88346600724612545</v>
      </c>
      <c r="J291">
        <f>(Table3[[#This Row],[HomeMargin]]-Table3[[#This Row],[HomeForecast]])^2</f>
        <v>1.3580171467160085E-2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0.98446219329313345</v>
      </c>
      <c r="J292">
        <f>(Table3[[#This Row],[HomeMargin]]-Table3[[#This Row],[HomeForecast]])^2</f>
        <v>2.4142343725994721E-4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0.70294041110477556</v>
      </c>
      <c r="J293">
        <f>(Table3[[#This Row],[HomeMargin]]-Table3[[#This Row],[HomeForecast]])^2</f>
        <v>10.870601932725947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-1.3775005845784505E-2</v>
      </c>
      <c r="J294">
        <f>(Table3[[#This Row],[HomeMargin]]-Table3[[#This Row],[HomeForecast]])^2</f>
        <v>0.97263973909448243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-0.2362451214677618</v>
      </c>
      <c r="J295">
        <f>(Table3[[#This Row],[HomeMargin]]-Table3[[#This Row],[HomeForecast]])^2</f>
        <v>3.11083127154627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-0.36993864353819461</v>
      </c>
      <c r="J296">
        <f>(Table3[[#This Row],[HomeMargin]]-Table3[[#This Row],[HomeForecast]])^2</f>
        <v>5.6166091741356583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-0.4705136673800715</v>
      </c>
      <c r="J297">
        <f>(Table3[[#This Row],[HomeMargin]]-Table3[[#This Row],[HomeForecast]])^2</f>
        <v>0.28035577643130155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0.13669802189878352</v>
      </c>
      <c r="J298">
        <f>(Table3[[#This Row],[HomeMargin]]-Table3[[#This Row],[HomeForecast]])^2</f>
        <v>1.2920823929886072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4.6770582702977348E-2</v>
      </c>
      <c r="J299">
        <f>(Table3[[#This Row],[HomeMargin]]-Table3[[#This Row],[HomeForecast]])^2</f>
        <v>8.7215639911885123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-1.3676780310327765</v>
      </c>
      <c r="J300">
        <f>(Table3[[#This Row],[HomeMargin]]-Table3[[#This Row],[HomeForecast]])^2</f>
        <v>2.6644750103730335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0.35298919292948117</v>
      </c>
      <c r="J301">
        <f>(Table3[[#This Row],[HomeMargin]]-Table3[[#This Row],[HomeForecast]])^2</f>
        <v>1.8305797561839692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1.6145017740801686</v>
      </c>
      <c r="J302">
        <f>(Table3[[#This Row],[HomeMargin]]-Table3[[#This Row],[HomeForecast]])^2</f>
        <v>1.9196053340270003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1.491689661774815E-2</v>
      </c>
      <c r="J303">
        <f>(Table3[[#This Row],[HomeMargin]]-Table3[[#This Row],[HomeForecast]])^2</f>
        <v>0.97038872056920822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0.32457067849581245</v>
      </c>
      <c r="J304">
        <f>(Table3[[#This Row],[HomeMargin]]-Table3[[#This Row],[HomeForecast]])^2</f>
        <v>1.7544874823308569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1.6233516647434367</v>
      </c>
      <c r="J305">
        <f>(Table3[[#This Row],[HomeMargin]]-Table3[[#This Row],[HomeForecast]])^2</f>
        <v>5.6484573094777932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1.4708707861081218</v>
      </c>
      <c r="J306">
        <f>(Table3[[#This Row],[HomeMargin]]-Table3[[#This Row],[HomeForecast]])^2</f>
        <v>29.930427158291305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0.64693930515561782</v>
      </c>
      <c r="J307">
        <f>(Table3[[#This Row],[HomeMargin]]-Table3[[#This Row],[HomeForecast]])^2</f>
        <v>0.12465185424399795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-0.3879994517562283</v>
      </c>
      <c r="J308">
        <f>(Table3[[#This Row],[HomeMargin]]-Table3[[#This Row],[HomeForecast]])^2</f>
        <v>2.5985457675382211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0.51765936028357318</v>
      </c>
      <c r="J309">
        <f>(Table3[[#This Row],[HomeMargin]]-Table3[[#This Row],[HomeForecast]])^2</f>
        <v>12.126696331020613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0.19338771344448469</v>
      </c>
      <c r="J310">
        <f>(Table3[[#This Row],[HomeMargin]]-Table3[[#This Row],[HomeForecast]])^2</f>
        <v>0.65062338082231674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1.0752060031155328</v>
      </c>
      <c r="J311">
        <f>(Table3[[#This Row],[HomeMargin]]-Table3[[#This Row],[HomeForecast]])^2</f>
        <v>3.7048319304424822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0.69357231999765867</v>
      </c>
      <c r="J312">
        <f>(Table3[[#This Row],[HomeMargin]]-Table3[[#This Row],[HomeForecast]])^2</f>
        <v>9.389792307161729E-2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1.1445949626879541</v>
      </c>
      <c r="J313">
        <f>(Table3[[#This Row],[HomeMargin]]-Table3[[#This Row],[HomeForecast]])^2</f>
        <v>3.4425278524829142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0.15804672201612005</v>
      </c>
      <c r="J314">
        <f>(Table3[[#This Row],[HomeMargin]]-Table3[[#This Row],[HomeForecast]])^2</f>
        <v>1.341072210372281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-5.1163250437480323E-2</v>
      </c>
      <c r="J315">
        <f>(Table3[[#This Row],[HomeMargin]]-Table3[[#This Row],[HomeForecast]])^2</f>
        <v>4.2072706799452497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-5.3516157585670354E-2</v>
      </c>
      <c r="J316">
        <f>(Table3[[#This Row],[HomeMargin]]-Table3[[#This Row],[HomeForecast]])^2</f>
        <v>1.1098962942940751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0.32334365314550606</v>
      </c>
      <c r="J317">
        <f>(Table3[[#This Row],[HomeMargin]]-Table3[[#This Row],[HomeForecast]])^2</f>
        <v>13.517801892865434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0.76218362255471916</v>
      </c>
      <c r="J318">
        <f>(Table3[[#This Row],[HomeMargin]]-Table3[[#This Row],[HomeForecast]])^2</f>
        <v>5.655662938119628E-2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0.63310055792334441</v>
      </c>
      <c r="J319">
        <f>(Table3[[#This Row],[HomeMargin]]-Table3[[#This Row],[HomeForecast]])^2</f>
        <v>0.13461520059616114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0.80636511603852523</v>
      </c>
      <c r="J320">
        <f>(Table3[[#This Row],[HomeMargin]]-Table3[[#This Row],[HomeForecast]])^2</f>
        <v>4.8120340041326735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0.63683621136080681</v>
      </c>
      <c r="J321">
        <f>(Table3[[#This Row],[HomeMargin]]-Table3[[#This Row],[HomeForecast]])^2</f>
        <v>0.13188793737877258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0.7782489164484685</v>
      </c>
      <c r="J322">
        <f>(Table3[[#This Row],[HomeMargin]]-Table3[[#This Row],[HomeForecast]])^2</f>
        <v>22.831662707540964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-0.43994120698327044</v>
      </c>
      <c r="J323">
        <f>(Table3[[#This Row],[HomeMargin]]-Table3[[#This Row],[HomeForecast]])^2</f>
        <v>2.0734306795684376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1.2299079523750862</v>
      </c>
      <c r="J324">
        <f>(Table3[[#This Row],[HomeMargin]]-Table3[[#This Row],[HomeForecast]])^2</f>
        <v>3.1332258570649603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0.85453815368702291</v>
      </c>
      <c r="J325">
        <f>(Table3[[#This Row],[HomeMargin]]-Table3[[#This Row],[HomeForecast]])^2</f>
        <v>3.4393117634808719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0.48837746317261693</v>
      </c>
      <c r="J326">
        <f>(Table3[[#This Row],[HomeMargin]]-Table3[[#This Row],[HomeForecast]])^2</f>
        <v>2.2152674728801549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2.1237808965803562</v>
      </c>
      <c r="J327">
        <f>(Table3[[#This Row],[HomeMargin]]-Table3[[#This Row],[HomeForecast]])^2</f>
        <v>0.76775991719752446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-0.5150104779463458</v>
      </c>
      <c r="J328">
        <f>(Table3[[#This Row],[HomeMargin]]-Table3[[#This Row],[HomeForecast]])^2</f>
        <v>20.115131012931066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-7.232112984708286E-2</v>
      </c>
      <c r="J329">
        <f>(Table3[[#This Row],[HomeMargin]]-Table3[[#This Row],[HomeForecast]])^2</f>
        <v>1.1498726055165245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-0.80968602315273053</v>
      </c>
      <c r="J330">
        <f>(Table3[[#This Row],[HomeMargin]]-Table3[[#This Row],[HomeForecast]])^2</f>
        <v>10.178103270867039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1.1772218910954457</v>
      </c>
      <c r="J331">
        <f>(Table3[[#This Row],[HomeMargin]]-Table3[[#This Row],[HomeForecast]])^2</f>
        <v>3.1407598683446024E-2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0.1313610513196912</v>
      </c>
      <c r="J332">
        <f>(Table3[[#This Row],[HomeMargin]]-Table3[[#This Row],[HomeForecast]])^2</f>
        <v>0.75453362316443207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1.2002624125911112</v>
      </c>
      <c r="J333">
        <f>(Table3[[#This Row],[HomeMargin]]-Table3[[#This Row],[HomeForecast]])^2</f>
        <v>4.0105033896812463E-2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-7.6387783337606652E-2</v>
      </c>
      <c r="J334">
        <f>(Table3[[#This Row],[HomeMargin]]-Table3[[#This Row],[HomeForecast]])^2</f>
        <v>0.85305952676801988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5.6755558049979289E-2</v>
      </c>
      <c r="J335">
        <f>(Table3[[#This Row],[HomeMargin]]-Table3[[#This Row],[HomeForecast]])^2</f>
        <v>9.3437545416694405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-0.96929094334278365</v>
      </c>
      <c r="J336">
        <f>(Table3[[#This Row],[HomeMargin]]-Table3[[#This Row],[HomeForecast]])^2</f>
        <v>1.0623611594752089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-0.20692638471465849</v>
      </c>
      <c r="J337">
        <f>(Table3[[#This Row],[HomeMargin]]-Table3[[#This Row],[HomeForecast]])^2</f>
        <v>38.525935145266978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-3.5560641175345395E-2</v>
      </c>
      <c r="J338">
        <f>(Table3[[#This Row],[HomeMargin]]-Table3[[#This Row],[HomeForecast]])^2</f>
        <v>0.93014327685011089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0.11615208199821128</v>
      </c>
      <c r="J339">
        <f>(Table3[[#This Row],[HomeMargin]]-Table3[[#This Row],[HomeForecast]])^2</f>
        <v>26.175012126134632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-0.33701927422777123</v>
      </c>
      <c r="J340">
        <f>(Table3[[#This Row],[HomeMargin]]-Table3[[#This Row],[HomeForecast]])^2</f>
        <v>0.43954344274547119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0.54427520168076993</v>
      </c>
      <c r="J341">
        <f>(Table3[[#This Row],[HomeMargin]]-Table3[[#This Row],[HomeForecast]])^2</f>
        <v>0.20768509180310293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-0.95927212599066847</v>
      </c>
      <c r="J342">
        <f>(Table3[[#This Row],[HomeMargin]]-Table3[[#This Row],[HomeForecast]])^2</f>
        <v>3.8387472636839939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0.20911403482060242</v>
      </c>
      <c r="J343">
        <f>(Table3[[#This Row],[HomeMargin]]-Table3[[#This Row],[HomeForecast]])^2</f>
        <v>0.62550060991774725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0.80459762959852232</v>
      </c>
      <c r="J344">
        <f>(Table3[[#This Row],[HomeMargin]]-Table3[[#This Row],[HomeForecast]])^2</f>
        <v>14.474963123146695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0.36125905446760331</v>
      </c>
      <c r="J345">
        <f>(Table3[[#This Row],[HomeMargin]]-Table3[[#This Row],[HomeForecast]])^2</f>
        <v>6.962953777629207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-2.9829630247844889</v>
      </c>
      <c r="J346">
        <f>(Table3[[#This Row],[HomeMargin]]-Table3[[#This Row],[HomeForecast]])^2</f>
        <v>2.9025852449393824E-4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1.7221155801841013</v>
      </c>
      <c r="J347">
        <f>(Table3[[#This Row],[HomeMargin]]-Table3[[#This Row],[HomeForecast]])^2</f>
        <v>7.4099132318810259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-0.40291761615012622</v>
      </c>
      <c r="J348">
        <f>(Table3[[#This Row],[HomeMargin]]-Table3[[#This Row],[HomeForecast]])^2</f>
        <v>11.579848302304857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0.39989831849832747</v>
      </c>
      <c r="J349">
        <f>(Table3[[#This Row],[HomeMargin]]-Table3[[#This Row],[HomeForecast]])^2</f>
        <v>1.9597153021344449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0.15408269094573482</v>
      </c>
      <c r="J350">
        <f>(Table3[[#This Row],[HomeMargin]]-Table3[[#This Row],[HomeForecast]])^2</f>
        <v>1.3319068575405486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0.53043645444849652</v>
      </c>
      <c r="J351">
        <f>(Table3[[#This Row],[HomeMargin]]-Table3[[#This Row],[HomeForecast]])^2</f>
        <v>0.22048992331089889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0.18906520130880222</v>
      </c>
      <c r="J352">
        <f>(Table3[[#This Row],[HomeMargin]]-Table3[[#This Row],[HomeForecast]])^2</f>
        <v>4.7920064555811477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-0.76107568807508241</v>
      </c>
      <c r="J353">
        <f>(Table3[[#This Row],[HomeMargin]]-Table3[[#This Row],[HomeForecast]])^2</f>
        <v>14.145690331429453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-1.4305518768915899</v>
      </c>
      <c r="J354">
        <f>(Table3[[#This Row],[HomeMargin]]-Table3[[#This Row],[HomeForecast]])^2</f>
        <v>0.1853749186948708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0.62326688903369265</v>
      </c>
      <c r="J355">
        <f>(Table3[[#This Row],[HomeMargin]]-Table3[[#This Row],[HomeForecast]])^2</f>
        <v>0.14192783689835203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-6.3619251380481343E-2</v>
      </c>
      <c r="J356">
        <f>(Table3[[#This Row],[HomeMargin]]-Table3[[#This Row],[HomeForecast]])^2</f>
        <v>4.2585244146681385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0.14940084417271193</v>
      </c>
      <c r="J357">
        <f>(Table3[[#This Row],[HomeMargin]]-Table3[[#This Row],[HomeForecast]])^2</f>
        <v>9.9187256772757912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0.26234159428032633</v>
      </c>
      <c r="J358">
        <f>(Table3[[#This Row],[HomeMargin]]-Table3[[#This Row],[HomeForecast]])^2</f>
        <v>10.642872677771502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0.18214130115087077</v>
      </c>
      <c r="J359">
        <f>(Table3[[#This Row],[HomeMargin]]-Table3[[#This Row],[HomeForecast]])^2</f>
        <v>0.66889285128319065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0.85129338958229783</v>
      </c>
      <c r="J360">
        <f>(Table3[[#This Row],[HomeMargin]]-Table3[[#This Row],[HomeForecast]])^2</f>
        <v>2.2113655981922248E-2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-1.3135837094435354</v>
      </c>
      <c r="J361">
        <f>(Table3[[#This Row],[HomeMargin]]-Table3[[#This Row],[HomeForecast]])^2</f>
        <v>13.589665067280084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1.2128364576839137</v>
      </c>
      <c r="J362">
        <f>(Table3[[#This Row],[HomeMargin]]-Table3[[#This Row],[HomeForecast]])^2</f>
        <v>4.5299357719436377E-2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0.8856809308204594</v>
      </c>
      <c r="J363">
        <f>(Table3[[#This Row],[HomeMargin]]-Table3[[#This Row],[HomeForecast]])^2</f>
        <v>4.4703451262962384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5.6755558049979289E-2</v>
      </c>
      <c r="J364">
        <f>(Table3[[#This Row],[HomeMargin]]-Table3[[#This Row],[HomeForecast]])^2</f>
        <v>15.549176728969728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1.0945572942827271</v>
      </c>
      <c r="J365">
        <f>(Table3[[#This Row],[HomeMargin]]-Table3[[#This Row],[HomeForecast]])^2</f>
        <v>8.4415973162057085</v>
      </c>
    </row>
    <row r="366" spans="4:10" x14ac:dyDescent="0.2">
      <c r="D366" t="s">
        <v>39</v>
      </c>
      <c r="F366" t="s">
        <v>17</v>
      </c>
    </row>
    <row r="367" spans="4:10" x14ac:dyDescent="0.2">
      <c r="D367" t="s">
        <v>38</v>
      </c>
      <c r="F367" t="s">
        <v>31</v>
      </c>
    </row>
    <row r="368" spans="4:10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G1" zoomScale="85" zoomScaleNormal="70" workbookViewId="0">
      <pane ySplit="1" topLeftCell="A337" activePane="bottomLeft" state="frozen"/>
      <selection activeCell="I1" sqref="I1"/>
      <selection pane="bottomLeft" activeCell="P362" sqref="P362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0.15941966152482714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-0.21100886368613675</v>
      </c>
      <c r="H2" t="s">
        <v>10</v>
      </c>
      <c r="I2">
        <f>VLOOKUP(Table4[[#This Row],[Visitor]],'NHL Model'!$A$6:$B$38,2,FALSE)</f>
        <v>-0.13160108676160023</v>
      </c>
      <c r="J2">
        <f>($B$1+Table4[[#This Row],[Home Differential]])-Table4[[#This Row],[Away Differential]]</f>
        <v>8.0011884600290628E-2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0.60315349338073565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0.15748714981591383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-0.31985119938240425</v>
      </c>
      <c r="H3" t="s">
        <v>12</v>
      </c>
      <c r="I3">
        <f>VLOOKUP(Table4[[#This Row],[Visitor]],'NHL Model'!$A$6:$B$38,2,FALSE)</f>
        <v>1.4583704516548168</v>
      </c>
      <c r="J3">
        <f>($B$1+Table4[[#This Row],[Home Differential]])-Table4[[#This Row],[Away Differential]]</f>
        <v>-1.618801989512394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0.78389025296768167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4.6703422762372625E-2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206</v>
      </c>
      <c r="V3">
        <f>COUNTIF(Table4[Locked Correct],"YES")</f>
        <v>220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-0.50599078340071213</v>
      </c>
      <c r="H4" t="s">
        <v>14</v>
      </c>
      <c r="I4">
        <f>VLOOKUP(Table4[[#This Row],[Visitor]],'NHL Model'!$A$6:$B$38,2,FALSE)</f>
        <v>-0.2200802314358897</v>
      </c>
      <c r="J4">
        <f>($B$1+Table4[[#This Row],[Home Differential]])-Table4[[#This Row],[Away Differential]]</f>
        <v>-0.12649089043999531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0.47808158529480244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0.27239883160838663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139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-0.8561868317598319</v>
      </c>
      <c r="H5" t="s">
        <v>16</v>
      </c>
      <c r="I5">
        <f>VLOOKUP(Table4[[#This Row],[Visitor]],'NHL Model'!$A$6:$B$38,2,FALSE)</f>
        <v>-1.1167763879247272</v>
      </c>
      <c r="J5">
        <f>($B$1+Table4[[#This Row],[Home Differential]])-Table4[[#This Row],[Away Differential]]</f>
        <v>0.42000921768972244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0.63607622941431152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0.40459296962592789</v>
      </c>
      <c r="O5">
        <v>-4.1674767740132361E-3</v>
      </c>
      <c r="P5" s="11"/>
      <c r="Q5" t="s">
        <v>16</v>
      </c>
      <c r="R5" t="s">
        <v>248</v>
      </c>
      <c r="T5">
        <f>SUM(T3:T4)</f>
        <v>359</v>
      </c>
      <c r="V5">
        <f>SUM(V3:V4)</f>
        <v>359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-0.95664361852990654</v>
      </c>
      <c r="H6" t="s">
        <v>18</v>
      </c>
      <c r="I6">
        <f>VLOOKUP(Table4[[#This Row],[Visitor]],'NHL Model'!$A$6:$B$38,2,FALSE)</f>
        <v>-0.75480422558713034</v>
      </c>
      <c r="J6">
        <f>($B$1+Table4[[#This Row],[Home Differential]])-Table4[[#This Row],[Away Differential]]</f>
        <v>-4.241973141794908E-2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0.51316319567365043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0.26333646539399325</v>
      </c>
      <c r="O6">
        <v>-4.4363714293103977E-3</v>
      </c>
      <c r="P6" s="11"/>
      <c r="Q6" t="s">
        <v>18</v>
      </c>
      <c r="R6" t="s">
        <v>249</v>
      </c>
      <c r="T6" s="13">
        <f>T3/T5</f>
        <v>0.57381615598885793</v>
      </c>
      <c r="V6" s="13">
        <f>V3/V5</f>
        <v>0.61281337047353757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-3.2309887002194844E-2</v>
      </c>
      <c r="H7" t="s">
        <v>13</v>
      </c>
      <c r="I7">
        <f>VLOOKUP(Table4[[#This Row],[Visitor]],'NHL Model'!$A$6:$B$38,2,FALSE)</f>
        <v>-0.31985119938240425</v>
      </c>
      <c r="J7">
        <f>($B$1+Table4[[#This Row],[Home Differential]])-Table4[[#This Row],[Away Differential]]</f>
        <v>0.44696097390503653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0.52041379447924041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0.27083051748428105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0.21430145909042725</v>
      </c>
      <c r="H8" t="s">
        <v>21</v>
      </c>
      <c r="I8">
        <f>VLOOKUP(Table4[[#This Row],[Visitor]],'NHL Model'!$A$6:$B$38,2,FALSE)</f>
        <v>-0.12487089668223171</v>
      </c>
      <c r="J8">
        <f>($B$1+Table4[[#This Row],[Home Differential]])-Table4[[#This Row],[Away Differential]]</f>
        <v>0.49859201729748615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0.61127259565263947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0.37365418619591528</v>
      </c>
      <c r="O8">
        <v>-4.9858230986448791E-3</v>
      </c>
      <c r="P8" s="11"/>
      <c r="Q8" t="s">
        <v>21</v>
      </c>
      <c r="R8" t="s">
        <v>248</v>
      </c>
      <c r="T8">
        <f>SUM(Table4[Error])</f>
        <v>80.379455760964916</v>
      </c>
      <c r="V8">
        <f>COUNTIF(Table4[Locked Correct],"")</f>
        <v>953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-0.12487089668223171</v>
      </c>
      <c r="H9" t="s">
        <v>10</v>
      </c>
      <c r="I9">
        <f>VLOOKUP(Table4[[#This Row],[Visitor]],'NHL Model'!$A$6:$B$38,2,FALSE)</f>
        <v>-0.13160108676160023</v>
      </c>
      <c r="J9">
        <f>($B$1+Table4[[#This Row],[Home Differential]])-Table4[[#This Row],[Away Differential]]</f>
        <v>0.16614985160419565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0.61546671998610003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0.14786584343824841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-0.49794713300108584</v>
      </c>
      <c r="H10" t="s">
        <v>15</v>
      </c>
      <c r="I10">
        <f>VLOOKUP(Table4[[#This Row],[Visitor]],'NHL Model'!$A$6:$B$38,2,FALSE)</f>
        <v>-0.50599078340071213</v>
      </c>
      <c r="J10">
        <f>($B$1+Table4[[#This Row],[Home Differential]])-Table4[[#This Row],[Away Differential]]</f>
        <v>0.16746331192445341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0.49452673511635209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0.24455669174483866</v>
      </c>
      <c r="O10">
        <v>2.893763878885032E-2</v>
      </c>
      <c r="P10" s="11"/>
      <c r="Q10" t="s">
        <v>23</v>
      </c>
      <c r="R10" t="s">
        <v>249</v>
      </c>
      <c r="T10">
        <v>0.14294772715968801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0.42254821659882374</v>
      </c>
      <c r="H11" t="s">
        <v>24</v>
      </c>
      <c r="I11">
        <f>VLOOKUP(Table4[[#This Row],[Visitor]],'NHL Model'!$A$6:$B$38,2,FALSE)</f>
        <v>2.0731927685773251E-2</v>
      </c>
      <c r="J11">
        <f>($B$1+Table4[[#This Row],[Home Differential]])-Table4[[#This Row],[Away Differential]]</f>
        <v>0.56123595043787766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0.67113649442449275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0.10815120529941169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1.4583704516548168</v>
      </c>
      <c r="H12" t="s">
        <v>55</v>
      </c>
      <c r="I12">
        <f>VLOOKUP(Table4[[#This Row],[Visitor]],'NHL Model'!$A$6:$B$38,2,FALSE)</f>
        <v>-0.1349739904770427</v>
      </c>
      <c r="J12">
        <f>($B$1+Table4[[#This Row],[Home Differential]])-Table4[[#This Row],[Away Differential]]</f>
        <v>1.7527641036566866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0.88547427978544613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1.3116140590662273E-2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-0.67114180037169746</v>
      </c>
      <c r="H13" t="s">
        <v>18</v>
      </c>
      <c r="I13">
        <f>VLOOKUP(Table4[[#This Row],[Visitor]],'NHL Model'!$A$6:$B$38,2,FALSE)</f>
        <v>-0.75480422558713034</v>
      </c>
      <c r="J13">
        <f>($B$1+Table4[[#This Row],[Home Differential]])-Table4[[#This Row],[Away Differential]]</f>
        <v>0.24308208674025999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0.5602954770682288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0.31393102162311409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-0.21100886368613675</v>
      </c>
      <c r="H14" t="s">
        <v>27</v>
      </c>
      <c r="I14">
        <f>VLOOKUP(Table4[[#This Row],[Visitor]],'NHL Model'!$A$6:$B$38,2,FALSE)</f>
        <v>-0.54160534998918008</v>
      </c>
      <c r="J14">
        <f>($B$1+Table4[[#This Row],[Home Differential]])-Table4[[#This Row],[Away Differential]]</f>
        <v>0.49001614782787051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0.6617626709349006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0.11440449077309234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-1.6840122346544992</v>
      </c>
      <c r="H15" t="s">
        <v>28</v>
      </c>
      <c r="I15">
        <f>VLOOKUP(Table4[[#This Row],[Visitor]],'NHL Model'!$A$6:$B$38,2,FALSE)</f>
        <v>-0.72083617366747277</v>
      </c>
      <c r="J15">
        <f>($B$1+Table4[[#This Row],[Home Differential]])-Table4[[#This Row],[Away Differential]]</f>
        <v>-0.80375639946219934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0.57489515049317574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0.33050443406057117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-0.2200802314358897</v>
      </c>
      <c r="H16" t="s">
        <v>30</v>
      </c>
      <c r="I16">
        <f>VLOOKUP(Table4[[#This Row],[Visitor]],'NHL Model'!$A$6:$B$38,2,FALSE)</f>
        <v>3.2883390994754517E-3</v>
      </c>
      <c r="J16">
        <f>($B$1+Table4[[#This Row],[Home Differential]])-Table4[[#This Row],[Away Differential]]</f>
        <v>-6.3948909010538013E-2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0.54176452030525435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0.29350879546158237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-0.46055888840939002</v>
      </c>
      <c r="H17" t="s">
        <v>31</v>
      </c>
      <c r="I17">
        <f>VLOOKUP(Table4[[#This Row],[Visitor]],'NHL Model'!$A$6:$B$38,2,FALSE)</f>
        <v>0.35254565315374792</v>
      </c>
      <c r="J17">
        <f>($B$1+Table4[[#This Row],[Home Differential]])-Table4[[#This Row],[Away Differential]]</f>
        <v>-0.65368488003831082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0.54798822242558431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0.30029109191715164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-0.3479098095875402</v>
      </c>
      <c r="H18" t="s">
        <v>20</v>
      </c>
      <c r="I18">
        <f>VLOOKUP(Table4[[#This Row],[Visitor]],'NHL Model'!$A$6:$B$38,2,FALSE)</f>
        <v>-3.2309887002194844E-2</v>
      </c>
      <c r="J18">
        <f>($B$1+Table4[[#This Row],[Home Differential]])-Table4[[#This Row],[Away Differential]]</f>
        <v>-0.15618026106051822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0.48232561334580781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0.26798677059779408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-1.5594075795597986</v>
      </c>
      <c r="H19" t="s">
        <v>34</v>
      </c>
      <c r="I19">
        <f>VLOOKUP(Table4[[#This Row],[Visitor]],'NHL Model'!$A$6:$B$38,2,FALSE)</f>
        <v>-0.17681265190927384</v>
      </c>
      <c r="J19">
        <f>($B$1+Table4[[#This Row],[Home Differential]])-Table4[[#This Row],[Away Differential]]</f>
        <v>-1.2231752661256976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0.65561935497984569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0.11859802866449753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0.1846559193064522</v>
      </c>
      <c r="H20" t="s">
        <v>36</v>
      </c>
      <c r="I20">
        <f>VLOOKUP(Table4[[#This Row],[Visitor]],'NHL Model'!$A$6:$B$38,2,FALSE)</f>
        <v>-0.34257283900844787</v>
      </c>
      <c r="J20">
        <f>($B$1+Table4[[#This Row],[Home Differential]])-Table4[[#This Row],[Away Differential]]</f>
        <v>0.68664841983972713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0.65726026228378431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0.43199105237734897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-1.1267952052768424</v>
      </c>
      <c r="H21" t="s">
        <v>16</v>
      </c>
      <c r="I21">
        <f>VLOOKUP(Table4[[#This Row],[Visitor]],'NHL Model'!$A$6:$B$38,2,FALSE)</f>
        <v>-1.1167763879247272</v>
      </c>
      <c r="J21">
        <f>($B$1+Table4[[#This Row],[Home Differential]])-Table4[[#This Row],[Away Differential]]</f>
        <v>0.14940084417271193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0.56135651111022788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0.19240811034539163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-7.3890719153774626E-2</v>
      </c>
      <c r="H22" t="s">
        <v>39</v>
      </c>
      <c r="I22">
        <f>VLOOKUP(Table4[[#This Row],[Visitor]],'NHL Model'!$A$6:$B$38,2,FALSE)</f>
        <v>1.9153995907683643E-3</v>
      </c>
      <c r="J22">
        <f>($B$1+Table4[[#This Row],[Home Differential]])-Table4[[#This Row],[Away Differential]]</f>
        <v>8.3613542780284156E-2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0.47349082743867255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0.22419356366855878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-0.12487089668223171</v>
      </c>
      <c r="H23" t="s">
        <v>23</v>
      </c>
      <c r="I23">
        <f>VLOOKUP(Table4[[#This Row],[Visitor]],'NHL Model'!$A$6:$B$38,2,FALSE)</f>
        <v>-0.49794713300108584</v>
      </c>
      <c r="J23">
        <f>($B$1+Table4[[#This Row],[Home Differential]])-Table4[[#This Row],[Away Differential]]</f>
        <v>0.53249589784368123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0.6678350546499725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0.11033355091938675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0.42254821659882374</v>
      </c>
      <c r="H24" t="s">
        <v>27</v>
      </c>
      <c r="I24">
        <f>VLOOKUP(Table4[[#This Row],[Visitor]],'NHL Model'!$A$6:$B$38,2,FALSE)</f>
        <v>-0.54160534998918008</v>
      </c>
      <c r="J24">
        <f>($B$1+Table4[[#This Row],[Home Differential]])-Table4[[#This Row],[Away Differential]]</f>
        <v>1.123573228112831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0.75232821558756369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6.1341312794040329E-2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-1.1167763879247272</v>
      </c>
      <c r="H25" t="s">
        <v>35</v>
      </c>
      <c r="I25">
        <f>VLOOKUP(Table4[[#This Row],[Visitor]],'NHL Model'!$A$6:$B$38,2,FALSE)</f>
        <v>-1.5594075795597986</v>
      </c>
      <c r="J25">
        <f>($B$1+Table4[[#This Row],[Home Differential]])-Table4[[#This Row],[Away Differential]]</f>
        <v>0.60205085315989848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0.62606180109375864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0.39195337878876102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-0.13160108676160023</v>
      </c>
      <c r="H26" t="s">
        <v>18</v>
      </c>
      <c r="I26">
        <f>VLOOKUP(Table4[[#This Row],[Visitor]],'NHL Model'!$A$6:$B$38,2,FALSE)</f>
        <v>-0.75480422558713034</v>
      </c>
      <c r="J26">
        <f>($B$1+Table4[[#This Row],[Home Differential]])-Table4[[#This Row],[Away Differential]]</f>
        <v>0.78262280035035725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0.60477475905270361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0.36575250918725571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1.4583704516548168</v>
      </c>
      <c r="H27" t="s">
        <v>39</v>
      </c>
      <c r="I27">
        <f>VLOOKUP(Table4[[#This Row],[Visitor]],'NHL Model'!$A$6:$B$38,2,FALSE)</f>
        <v>1.9153995907683643E-3</v>
      </c>
      <c r="J27">
        <f>($B$1+Table4[[#This Row],[Home Differential]])-Table4[[#This Row],[Away Differential]]</f>
        <v>1.6158747135888756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0.78794764299879727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0.62086148810736008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-0.67114180037169746</v>
      </c>
      <c r="H28" t="s">
        <v>19</v>
      </c>
      <c r="I28">
        <f>VLOOKUP(Table4[[#This Row],[Visitor]],'NHL Model'!$A$6:$B$38,2,FALSE)</f>
        <v>-0.95664361852990654</v>
      </c>
      <c r="J28">
        <f>($B$1+Table4[[#This Row],[Home Differential]])-Table4[[#This Row],[Away Differential]]</f>
        <v>0.44492147968303619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0.63584658009351291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0.13260771322959031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-0.8561868317598319</v>
      </c>
      <c r="H29" t="s">
        <v>38</v>
      </c>
      <c r="I29">
        <f>VLOOKUP(Table4[[#This Row],[Visitor]],'NHL Model'!$A$6:$B$38,2,FALSE)</f>
        <v>-1.1267952052768424</v>
      </c>
      <c r="J29">
        <f>($B$1+Table4[[#This Row],[Home Differential]])-Table4[[#This Row],[Away Differential]]</f>
        <v>0.43002803504183762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0.61702708577973298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0.14666825302636399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-0.21100886368613675</v>
      </c>
      <c r="H30" t="s">
        <v>36</v>
      </c>
      <c r="I30">
        <f>VLOOKUP(Table4[[#This Row],[Visitor]],'NHL Model'!$A$6:$B$38,2,FALSE)</f>
        <v>-0.34257283900844787</v>
      </c>
      <c r="J30">
        <f>($B$1+Table4[[#This Row],[Home Differential]])-Table4[[#This Row],[Away Differential]]</f>
        <v>0.29098363684713824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0.63331142585931932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0.13446051040532547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-0.17681265190927384</v>
      </c>
      <c r="H31" t="s">
        <v>28</v>
      </c>
      <c r="I31">
        <f>VLOOKUP(Table4[[#This Row],[Visitor]],'NHL Model'!$A$6:$B$38,2,FALSE)</f>
        <v>-0.72083617366747277</v>
      </c>
      <c r="J31">
        <f>($B$1+Table4[[#This Row],[Home Differential]])-Table4[[#This Row],[Away Differential]]</f>
        <v>0.70344318328302613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0.64055560423628444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0.41031148211851148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-1.6840122346544992</v>
      </c>
      <c r="H32" t="s">
        <v>55</v>
      </c>
      <c r="I32">
        <f>VLOOKUP(Table4[[#This Row],[Visitor]],'NHL Model'!$A$6:$B$38,2,FALSE)</f>
        <v>-0.1349739904770427</v>
      </c>
      <c r="J32">
        <f>($B$1+Table4[[#This Row],[Home Differential]])-Table4[[#This Row],[Away Differential]]</f>
        <v>-1.3896185826526295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0.65864281800906044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0.11652472569679544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3.2883390994754517E-3</v>
      </c>
      <c r="H33" t="s">
        <v>22</v>
      </c>
      <c r="I33">
        <f>VLOOKUP(Table4[[#This Row],[Visitor]],'NHL Model'!$A$6:$B$38,2,FALSE)</f>
        <v>0.21430145909042725</v>
      </c>
      <c r="J33">
        <f>($B$1+Table4[[#This Row],[Home Differential]])-Table4[[#This Row],[Away Differential]]</f>
        <v>-5.1593458466124648E-2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0.48814439839327101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0.26199615689618655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-0.2200802314358897</v>
      </c>
      <c r="H34" t="s">
        <v>15</v>
      </c>
      <c r="I34">
        <f>VLOOKUP(Table4[[#This Row],[Visitor]],'NHL Model'!$A$6:$B$38,2,FALSE)</f>
        <v>-0.50599078340071213</v>
      </c>
      <c r="J34">
        <f>($B$1+Table4[[#This Row],[Home Differential]])-Table4[[#This Row],[Away Differential]]</f>
        <v>0.44533021348964957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0.5201806809843188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0.27058794086930965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-0.46055888840939002</v>
      </c>
      <c r="H35" t="s">
        <v>20</v>
      </c>
      <c r="I35">
        <f>VLOOKUP(Table4[[#This Row],[Visitor]],'NHL Model'!$A$6:$B$38,2,FALSE)</f>
        <v>-3.2309887002194844E-2</v>
      </c>
      <c r="J35">
        <f>($B$1+Table4[[#This Row],[Home Differential]])-Table4[[#This Row],[Away Differential]]</f>
        <v>-0.26882933988236801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0.47239080728096716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0.22315307480356386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-0.3479098095875402</v>
      </c>
      <c r="H36" t="s">
        <v>31</v>
      </c>
      <c r="I36">
        <f>VLOOKUP(Table4[[#This Row],[Visitor]],'NHL Model'!$A$6:$B$38,2,FALSE)</f>
        <v>0.35254565315374792</v>
      </c>
      <c r="J36">
        <f>($B$1+Table4[[#This Row],[Home Differential]])-Table4[[#This Row],[Away Differential]]</f>
        <v>-0.541035801216461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0.55810906886514455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0.19526759501922955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0.1846559193064522</v>
      </c>
      <c r="H37" t="s">
        <v>24</v>
      </c>
      <c r="I37">
        <f>VLOOKUP(Table4[[#This Row],[Visitor]],'NHL Model'!$A$6:$B$38,2,FALSE)</f>
        <v>2.0731927685773251E-2</v>
      </c>
      <c r="J37">
        <f>($B$1+Table4[[#This Row],[Home Differential]])-Table4[[#This Row],[Away Differential]]</f>
        <v>0.32334365314550606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0.60450344889761765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0.3654244197291146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-7.3890719153774626E-2</v>
      </c>
      <c r="H38" t="s">
        <v>13</v>
      </c>
      <c r="I38">
        <f>VLOOKUP(Table4[[#This Row],[Visitor]],'NHL Model'!$A$6:$B$38,2,FALSE)</f>
        <v>-0.31985119938240425</v>
      </c>
      <c r="J38">
        <f>($B$1+Table4[[#This Row],[Home Differential]])-Table4[[#This Row],[Away Differential]]</f>
        <v>0.40538014175345677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0.51696456334195173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0.23332323306743136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-0.50599078340071213</v>
      </c>
      <c r="H39" t="s">
        <v>22</v>
      </c>
      <c r="I39">
        <f>VLOOKUP(Table4[[#This Row],[Visitor]],'NHL Model'!$A$6:$B$38,2,FALSE)</f>
        <v>0.21430145909042725</v>
      </c>
      <c r="J39">
        <f>($B$1+Table4[[#This Row],[Home Differential]])-Table4[[#This Row],[Away Differential]]</f>
        <v>-0.56087258096631221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0.56094469144455317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0.19276956397071862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-0.12487089668223171</v>
      </c>
      <c r="H40" t="s">
        <v>37</v>
      </c>
      <c r="I40">
        <f>VLOOKUP(Table4[[#This Row],[Visitor]],'NHL Model'!$A$6:$B$38,2,FALSE)</f>
        <v>0.1846559193064522</v>
      </c>
      <c r="J40">
        <f>($B$1+Table4[[#This Row],[Home Differential]])-Table4[[#This Row],[Away Differential]]</f>
        <v>-0.15010715446385675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0.49514168708733236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0.25488191611702499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-0.49794713300108584</v>
      </c>
      <c r="H41" t="s">
        <v>12</v>
      </c>
      <c r="I41">
        <f>VLOOKUP(Table4[[#This Row],[Visitor]],'NHL Model'!$A$6:$B$38,2,FALSE)</f>
        <v>1.4583704516548168</v>
      </c>
      <c r="J41">
        <f>($B$1+Table4[[#This Row],[Home Differential]])-Table4[[#This Row],[Away Differential]]</f>
        <v>-1.7968979231310755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0.79532401251108942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4.189225985456068E-2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-0.72083617366747277</v>
      </c>
      <c r="H42" t="s">
        <v>24</v>
      </c>
      <c r="I42">
        <f>VLOOKUP(Table4[[#This Row],[Visitor]],'NHL Model'!$A$6:$B$38,2,FALSE)</f>
        <v>2.0731927685773251E-2</v>
      </c>
      <c r="J42">
        <f>($B$1+Table4[[#This Row],[Home Differential]])-Table4[[#This Row],[Away Differential]]</f>
        <v>-0.58214843982841891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0.53699830894807299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0.21437056591694406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-0.13160108676160023</v>
      </c>
      <c r="H43" t="s">
        <v>55</v>
      </c>
      <c r="I43">
        <f>VLOOKUP(Table4[[#This Row],[Visitor]],'NHL Model'!$A$6:$B$38,2,FALSE)</f>
        <v>-0.1349739904770427</v>
      </c>
      <c r="J43">
        <f>($B$1+Table4[[#This Row],[Home Differential]])-Table4[[#This Row],[Away Differential]]</f>
        <v>0.16279256524026961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0.56327082719959176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0.19073237037492885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-0.17681265190927384</v>
      </c>
      <c r="H44" t="s">
        <v>13</v>
      </c>
      <c r="I44">
        <f>VLOOKUP(Table4[[#This Row],[Visitor]],'NHL Model'!$A$6:$B$38,2,FALSE)</f>
        <v>-0.31985119938240425</v>
      </c>
      <c r="J44">
        <f>($B$1+Table4[[#This Row],[Home Differential]])-Table4[[#This Row],[Away Differential]]</f>
        <v>0.30245820899795756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0.49975745266748273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0.25024260616172578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3.2883390994754517E-3</v>
      </c>
      <c r="H45" t="s">
        <v>40</v>
      </c>
      <c r="I45">
        <f>VLOOKUP(Table4[[#This Row],[Visitor]],'NHL Model'!$A$6:$B$38,2,FALSE)</f>
        <v>-7.3890719153774626E-2</v>
      </c>
      <c r="J45">
        <f>($B$1+Table4[[#This Row],[Home Differential]])-Table4[[#This Row],[Away Differential]]</f>
        <v>0.23659871977807723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0.50750545976748385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0.25756179169380516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-0.34257283900844787</v>
      </c>
      <c r="H46" t="s">
        <v>29</v>
      </c>
      <c r="I46">
        <f>VLOOKUP(Table4[[#This Row],[Visitor]],'NHL Model'!$A$6:$B$38,2,FALSE)</f>
        <v>-1.6840122346544992</v>
      </c>
      <c r="J46">
        <f>($B$1+Table4[[#This Row],[Home Differential]])-Table4[[#This Row],[Away Differential]]</f>
        <v>1.5008590571708784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0.75703987021394925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0.57310936509355315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-0.54160534998918008</v>
      </c>
      <c r="H47" t="s">
        <v>11</v>
      </c>
      <c r="I47">
        <f>VLOOKUP(Table4[[#This Row],[Visitor]],'NHL Model'!$A$6:$B$38,2,FALSE)</f>
        <v>-0.21100886368613675</v>
      </c>
      <c r="J47">
        <f>($B$1+Table4[[#This Row],[Home Differential]])-Table4[[#This Row],[Away Differential]]</f>
        <v>-0.17117682477821622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0.4522232722361606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0.20450588795198063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-0.95664361852990654</v>
      </c>
      <c r="H48" t="s">
        <v>26</v>
      </c>
      <c r="I48">
        <f>VLOOKUP(Table4[[#This Row],[Visitor]],'NHL Model'!$A$6:$B$38,2,FALSE)</f>
        <v>-0.67114180037169746</v>
      </c>
      <c r="J48">
        <f>($B$1+Table4[[#This Row],[Home Differential]])-Table4[[#This Row],[Away Differential]]</f>
        <v>-0.12608215663338196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0.49879238849536445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0.25120906983018171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-1.1267952052768424</v>
      </c>
      <c r="H49" t="s">
        <v>35</v>
      </c>
      <c r="I49">
        <f>VLOOKUP(Table4[[#This Row],[Visitor]],'NHL Model'!$A$6:$B$38,2,FALSE)</f>
        <v>-1.5594075795597986</v>
      </c>
      <c r="J49">
        <f>($B$1+Table4[[#This Row],[Home Differential]])-Table4[[#This Row],[Away Differential]]</f>
        <v>0.5920320358077833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0.6246296339244457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0.39016217957658705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0.35254565315374792</v>
      </c>
      <c r="H50" t="s">
        <v>14</v>
      </c>
      <c r="I50">
        <f>VLOOKUP(Table4[[#This Row],[Visitor]],'NHL Model'!$A$6:$B$38,2,FALSE)</f>
        <v>-0.2200802314358897</v>
      </c>
      <c r="J50">
        <f>($B$1+Table4[[#This Row],[Home Differential]])-Table4[[#This Row],[Away Differential]]</f>
        <v>0.73204554611446482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0.7395648819150703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6.7826450731911278E-2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-1.1167763879247272</v>
      </c>
      <c r="H51" t="s">
        <v>20</v>
      </c>
      <c r="I51">
        <f>VLOOKUP(Table4[[#This Row],[Visitor]],'NHL Model'!$A$6:$B$38,2,FALSE)</f>
        <v>-3.2309887002194844E-2</v>
      </c>
      <c r="J51">
        <f>($B$1+Table4[[#This Row],[Home Differential]])-Table4[[#This Row],[Away Differential]]</f>
        <v>-0.92504683939770527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0.59223334320815491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0.16627364639119838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1.9153995907683643E-3</v>
      </c>
      <c r="H52" t="s">
        <v>34</v>
      </c>
      <c r="I52">
        <f>VLOOKUP(Table4[[#This Row],[Visitor]],'NHL Model'!$A$6:$B$38,2,FALSE)</f>
        <v>-0.17681265190927384</v>
      </c>
      <c r="J52">
        <f>($B$1+Table4[[#This Row],[Home Differential]])-Table4[[#This Row],[Away Differential]]</f>
        <v>0.33814771302486935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0.5700765774559341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0.18483414925200342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-0.75480422558713034</v>
      </c>
      <c r="H53" t="s">
        <v>32</v>
      </c>
      <c r="I53">
        <f>VLOOKUP(Table4[[#This Row],[Visitor]],'NHL Model'!$A$6:$B$38,2,FALSE)</f>
        <v>-0.46055888840939002</v>
      </c>
      <c r="J53">
        <f>($B$1+Table4[[#This Row],[Home Differential]])-Table4[[#This Row],[Away Differential]]</f>
        <v>-0.1348256756529132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0.47927302389735327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0.22970263143571296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-0.50599078340071213</v>
      </c>
      <c r="H54" t="s">
        <v>17</v>
      </c>
      <c r="I54">
        <f>VLOOKUP(Table4[[#This Row],[Visitor]],'NHL Model'!$A$6:$B$38,2,FALSE)</f>
        <v>-0.8561868317598319</v>
      </c>
      <c r="J54">
        <f>($B$1+Table4[[#This Row],[Home Differential]])-Table4[[#This Row],[Away Differential]]</f>
        <v>0.50961570988394689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0.61284840745278124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0.37558317051741019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-0.3479098095875402</v>
      </c>
      <c r="H55" t="s">
        <v>25</v>
      </c>
      <c r="I55">
        <f>VLOOKUP(Table4[[#This Row],[Visitor]],'NHL Model'!$A$6:$B$38,2,FALSE)</f>
        <v>0.42254821659882374</v>
      </c>
      <c r="J55">
        <f>($B$1+Table4[[#This Row],[Home Differential]])-Table4[[#This Row],[Away Differential]]</f>
        <v>-0.61103836466153683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0.61996971454359551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0.1444230178640763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-0.95664361852990654</v>
      </c>
      <c r="H56" t="s">
        <v>29</v>
      </c>
      <c r="I56">
        <f>VLOOKUP(Table4[[#This Row],[Visitor]],'NHL Model'!$A$6:$B$38,2,FALSE)</f>
        <v>-1.6840122346544992</v>
      </c>
      <c r="J56">
        <f>($B$1+Table4[[#This Row],[Home Differential]])-Table4[[#This Row],[Away Differential]]</f>
        <v>0.88678827764941981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0.66676436876183898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0.11104598592669564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0.21430145909042725</v>
      </c>
      <c r="H57" t="s">
        <v>37</v>
      </c>
      <c r="I57">
        <f>VLOOKUP(Table4[[#This Row],[Visitor]],'NHL Model'!$A$6:$B$38,2,FALSE)</f>
        <v>0.1846559193064522</v>
      </c>
      <c r="J57">
        <f>($B$1+Table4[[#This Row],[Home Differential]])-Table4[[#This Row],[Away Differential]]</f>
        <v>0.18906520130880222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0.50071065133839787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0.24928985368692688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-0.49794713300108584</v>
      </c>
      <c r="H58" t="s">
        <v>36</v>
      </c>
      <c r="I58">
        <f>VLOOKUP(Table4[[#This Row],[Visitor]],'NHL Model'!$A$6:$B$38,2,FALSE)</f>
        <v>-0.34257283900844787</v>
      </c>
      <c r="J58">
        <f>($B$1+Table4[[#This Row],[Home Differential]])-Table4[[#This Row],[Away Differential]]</f>
        <v>4.045367532189148E-3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0.55459489659286698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0.19838570614111886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-0.67114180037169746</v>
      </c>
      <c r="H59" t="s">
        <v>11</v>
      </c>
      <c r="I59">
        <f>VLOOKUP(Table4[[#This Row],[Visitor]],'NHL Model'!$A$6:$B$38,2,FALSE)</f>
        <v>-0.21100886368613675</v>
      </c>
      <c r="J59">
        <f>($B$1+Table4[[#This Row],[Home Differential]])-Table4[[#This Row],[Away Differential]]</f>
        <v>-0.3007132751607336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0.47074021340267519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0.22159634851439619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-1.5594075795597986</v>
      </c>
      <c r="H60" t="s">
        <v>10</v>
      </c>
      <c r="I60">
        <f>VLOOKUP(Table4[[#This Row],[Visitor]],'NHL Model'!$A$6:$B$38,2,FALSE)</f>
        <v>-0.13160108676160023</v>
      </c>
      <c r="J60">
        <f>($B$1+Table4[[#This Row],[Home Differential]])-Table4[[#This Row],[Away Differential]]</f>
        <v>-1.2683868312733713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0.64131301468980717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0.1286563534309145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-0.1349739904770427</v>
      </c>
      <c r="H61" t="s">
        <v>16</v>
      </c>
      <c r="I61">
        <f>VLOOKUP(Table4[[#This Row],[Visitor]],'NHL Model'!$A$6:$B$38,2,FALSE)</f>
        <v>-1.1167763879247272</v>
      </c>
      <c r="J61">
        <f>($B$1+Table4[[#This Row],[Home Differential]])-Table4[[#This Row],[Away Differential]]</f>
        <v>1.1412220589725117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0.76658337537668897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5.4483320650539686E-2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0.35254565315374792</v>
      </c>
      <c r="H62" t="s">
        <v>25</v>
      </c>
      <c r="I62">
        <f>VLOOKUP(Table4[[#This Row],[Visitor]],'NHL Model'!$A$6:$B$38,2,FALSE)</f>
        <v>0.42254821659882374</v>
      </c>
      <c r="J62">
        <f>($B$1+Table4[[#This Row],[Home Differential]])-Table4[[#This Row],[Away Differential]]</f>
        <v>8.9417098079751345E-2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0.57799936224406312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0.3340832627545437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-0.72083617366747277</v>
      </c>
      <c r="H63" t="s">
        <v>12</v>
      </c>
      <c r="I63">
        <f>VLOOKUP(Table4[[#This Row],[Visitor]],'NHL Model'!$A$6:$B$38,2,FALSE)</f>
        <v>1.4583704516548168</v>
      </c>
      <c r="J63">
        <f>($B$1+Table4[[#This Row],[Home Differential]])-Table4[[#This Row],[Away Differential]]</f>
        <v>-2.0197869637974626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0.83417850127615978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2.7496769439020543E-2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1.9153995907683643E-3</v>
      </c>
      <c r="H64" t="s">
        <v>38</v>
      </c>
      <c r="I64">
        <f>VLOOKUP(Table4[[#This Row],[Visitor]],'NHL Model'!$A$6:$B$38,2,FALSE)</f>
        <v>-1.1267952052768424</v>
      </c>
      <c r="J64">
        <f>($B$1+Table4[[#This Row],[Home Differential]])-Table4[[#This Row],[Away Differential]]</f>
        <v>1.2881302663924379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0.70587442430118508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0.49825870288252944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-0.31985119938240425</v>
      </c>
      <c r="H65" t="s">
        <v>14</v>
      </c>
      <c r="I65">
        <f>VLOOKUP(Table4[[#This Row],[Visitor]],'NHL Model'!$A$6:$B$38,2,FALSE)</f>
        <v>-0.2200802314358897</v>
      </c>
      <c r="J65">
        <f>($B$1+Table4[[#This Row],[Home Differential]])-Table4[[#This Row],[Away Differential]]</f>
        <v>5.9648693578312595E-2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0.54852664517506455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0.30088148046701119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-0.75480422558713034</v>
      </c>
      <c r="H66" t="s">
        <v>29</v>
      </c>
      <c r="I66">
        <f>VLOOKUP(Table4[[#This Row],[Visitor]],'NHL Model'!$A$6:$B$38,2,FALSE)</f>
        <v>-1.6840122346544992</v>
      </c>
      <c r="J66">
        <f>($B$1+Table4[[#This Row],[Home Differential]])-Table4[[#This Row],[Away Differential]]</f>
        <v>1.088627670592196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0.69561685123429995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9.2649101252522292E-2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2.0731927685773251E-2</v>
      </c>
      <c r="H67" t="s">
        <v>11</v>
      </c>
      <c r="I67">
        <f>VLOOKUP(Table4[[#This Row],[Visitor]],'NHL Model'!$A$6:$B$38,2,FALSE)</f>
        <v>-0.21100886368613675</v>
      </c>
      <c r="J67">
        <f>($B$1+Table4[[#This Row],[Home Differential]])-Table4[[#This Row],[Away Differential]]</f>
        <v>0.39116045289673718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0.71489408089238893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8.1285385110195674E-2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3.2883390994754517E-3</v>
      </c>
      <c r="H68" t="s">
        <v>17</v>
      </c>
      <c r="I68">
        <f>VLOOKUP(Table4[[#This Row],[Visitor]],'NHL Model'!$A$6:$B$38,2,FALSE)</f>
        <v>-0.8561868317598319</v>
      </c>
      <c r="J68">
        <f>($B$1+Table4[[#This Row],[Home Differential]])-Table4[[#This Row],[Away Differential]]</f>
        <v>1.0188948323841345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0.68564870050406335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9.8816739494784062E-2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-0.34257283900844787</v>
      </c>
      <c r="H69" t="s">
        <v>32</v>
      </c>
      <c r="I69">
        <f>VLOOKUP(Table4[[#This Row],[Visitor]],'NHL Model'!$A$6:$B$38,2,FALSE)</f>
        <v>-0.46055888840939002</v>
      </c>
      <c r="J69">
        <f>($B$1+Table4[[#This Row],[Home Differential]])-Table4[[#This Row],[Away Differential]]</f>
        <v>0.27740571092576927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0.58214999508229603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0.17459862660972522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-0.54160534998918008</v>
      </c>
      <c r="H70" t="s">
        <v>40</v>
      </c>
      <c r="I70">
        <f>VLOOKUP(Table4[[#This Row],[Visitor]],'NHL Model'!$A$6:$B$38,2,FALSE)</f>
        <v>-7.3890719153774626E-2</v>
      </c>
      <c r="J70">
        <f>($B$1+Table4[[#This Row],[Home Differential]])-Table4[[#This Row],[Away Differential]]</f>
        <v>-0.30829496931057832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0.53774095123366217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0.21368342816635949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-0.95664361852990654</v>
      </c>
      <c r="H71" t="s">
        <v>15</v>
      </c>
      <c r="I71">
        <f>VLOOKUP(Table4[[#This Row],[Visitor]],'NHL Model'!$A$6:$B$38,2,FALSE)</f>
        <v>-0.50599078340071213</v>
      </c>
      <c r="J71">
        <f>($B$1+Table4[[#This Row],[Home Differential]])-Table4[[#This Row],[Away Differential]]</f>
        <v>-0.29123317360436729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0.58510938110981248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0.34235298786270779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-3.2309887002194844E-2</v>
      </c>
      <c r="H72" t="s">
        <v>21</v>
      </c>
      <c r="I72">
        <f>VLOOKUP(Table4[[#This Row],[Visitor]],'NHL Model'!$A$6:$B$38,2,FALSE)</f>
        <v>-0.12487089668223171</v>
      </c>
      <c r="J72">
        <f>($B$1+Table4[[#This Row],[Home Differential]])-Table4[[#This Row],[Away Differential]]</f>
        <v>0.251980671204864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0.57602006423690799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0.17975898592967562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-0.13160108676160023</v>
      </c>
      <c r="H73" t="s">
        <v>38</v>
      </c>
      <c r="I73">
        <f>VLOOKUP(Table4[[#This Row],[Visitor]],'NHL Model'!$A$6:$B$38,2,FALSE)</f>
        <v>-1.1267952052768424</v>
      </c>
      <c r="J73">
        <f>($B$1+Table4[[#This Row],[Home Differential]])-Table4[[#This Row],[Away Differential]]</f>
        <v>1.1546137800400693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0.68428018483475306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0.46823937135748384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-0.67114180037169746</v>
      </c>
      <c r="H74" t="s">
        <v>37</v>
      </c>
      <c r="I74">
        <f>VLOOKUP(Table4[[#This Row],[Visitor]],'NHL Model'!$A$6:$B$38,2,FALSE)</f>
        <v>0.1846559193064522</v>
      </c>
      <c r="J74">
        <f>($B$1+Table4[[#This Row],[Home Differential]])-Table4[[#This Row],[Away Differential]]</f>
        <v>-0.69637805815332254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0.59321654673284374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0.35190587131764017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-0.1349739904770427</v>
      </c>
      <c r="H75" t="s">
        <v>33</v>
      </c>
      <c r="I75">
        <f>VLOOKUP(Table4[[#This Row],[Visitor]],'NHL Model'!$A$6:$B$38,2,FALSE)</f>
        <v>-0.3479098095875402</v>
      </c>
      <c r="J75">
        <f>($B$1+Table4[[#This Row],[Home Differential]])-Table4[[#This Row],[Away Differential]]</f>
        <v>0.37235548063532464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0.65667564551434188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0.11787161238299385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0.21430145909042725</v>
      </c>
      <c r="H76" t="s">
        <v>34</v>
      </c>
      <c r="I76">
        <f>VLOOKUP(Table4[[#This Row],[Visitor]],'NHL Model'!$A$6:$B$38,2,FALSE)</f>
        <v>-0.17681265190927384</v>
      </c>
      <c r="J76">
        <f>($B$1+Table4[[#This Row],[Home Differential]])-Table4[[#This Row],[Away Differential]]</f>
        <v>0.55053377252452829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0.59792832073779922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0.16166163526472604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-0.49794713300108584</v>
      </c>
      <c r="H77" t="s">
        <v>11</v>
      </c>
      <c r="I77">
        <f>VLOOKUP(Table4[[#This Row],[Visitor]],'NHL Model'!$A$6:$B$38,2,FALSE)</f>
        <v>-0.21100886368613675</v>
      </c>
      <c r="J77">
        <f>($B$1+Table4[[#This Row],[Home Differential]])-Table4[[#This Row],[Away Differential]]</f>
        <v>-0.12751860779012197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0.46421187465555075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0.21549266457122077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-0.72083617366747277</v>
      </c>
      <c r="H78" t="s">
        <v>37</v>
      </c>
      <c r="I78">
        <f>VLOOKUP(Table4[[#This Row],[Visitor]],'NHL Model'!$A$6:$B$38,2,FALSE)</f>
        <v>0.1846559193064522</v>
      </c>
      <c r="J78">
        <f>($B$1+Table4[[#This Row],[Home Differential]])-Table4[[#This Row],[Away Differential]]</f>
        <v>-0.74607243144909785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0.62588012760292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0.39172593412824741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1.4583704516548168</v>
      </c>
      <c r="H79" t="s">
        <v>21</v>
      </c>
      <c r="I79">
        <f>VLOOKUP(Table4[[#This Row],[Visitor]],'NHL Model'!$A$6:$B$38,2,FALSE)</f>
        <v>-0.12487089668223171</v>
      </c>
      <c r="J79">
        <f>($B$1+Table4[[#This Row],[Home Differential]])-Table4[[#This Row],[Away Differential]]</f>
        <v>1.7426610098618756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0.88403006549019669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1.3449025710208068E-2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-0.31985119938240425</v>
      </c>
      <c r="H80" t="s">
        <v>25</v>
      </c>
      <c r="I80">
        <f>VLOOKUP(Table4[[#This Row],[Visitor]],'NHL Model'!$A$6:$B$38,2,FALSE)</f>
        <v>0.42254821659882374</v>
      </c>
      <c r="J80">
        <f>($B$1+Table4[[#This Row],[Home Differential]])-Table4[[#This Row],[Away Differential]]</f>
        <v>-0.58297975445640082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0.61595879998751168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0.14748764330703207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-0.75480422558713034</v>
      </c>
      <c r="H81" t="s">
        <v>15</v>
      </c>
      <c r="I81">
        <f>VLOOKUP(Table4[[#This Row],[Visitor]],'NHL Model'!$A$6:$B$38,2,FALSE)</f>
        <v>-0.50599078340071213</v>
      </c>
      <c r="J81">
        <f>($B$1+Table4[[#This Row],[Home Differential]])-Table4[[#This Row],[Away Differential]]</f>
        <v>-8.9393780661591093E-2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0.55625689863735139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0.19690794000694184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2.0731927685773251E-2</v>
      </c>
      <c r="H82" t="s">
        <v>17</v>
      </c>
      <c r="I82">
        <f>VLOOKUP(Table4[[#This Row],[Visitor]],'NHL Model'!$A$6:$B$38,2,FALSE)</f>
        <v>-0.8561868317598319</v>
      </c>
      <c r="J82">
        <f>($B$1+Table4[[#This Row],[Home Differential]])-Table4[[#This Row],[Away Differential]]</f>
        <v>1.0363384209704323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0.80712080504202943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3.7202383847634822E-2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-0.34257283900844787</v>
      </c>
      <c r="H83" t="s">
        <v>30</v>
      </c>
      <c r="I83">
        <f>VLOOKUP(Table4[[#This Row],[Visitor]],'NHL Model'!$A$6:$B$38,2,FALSE)</f>
        <v>3.2883390994754517E-3</v>
      </c>
      <c r="J83">
        <f>($B$1+Table4[[#This Row],[Home Differential]])-Table4[[#This Row],[Away Differential]]</f>
        <v>-0.18644151658309618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0.55677187297146979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0.1964511725892189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-0.54160534998918008</v>
      </c>
      <c r="H84" t="s">
        <v>34</v>
      </c>
      <c r="I84">
        <f>VLOOKUP(Table4[[#This Row],[Visitor]],'NHL Model'!$A$6:$B$38,2,FALSE)</f>
        <v>-0.17681265190927384</v>
      </c>
      <c r="J84">
        <f>($B$1+Table4[[#This Row],[Home Differential]])-Table4[[#This Row],[Away Differential]]</f>
        <v>-0.20537303655507913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0.47763347086439761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0.22813373248997137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-0.3479098095875402</v>
      </c>
      <c r="H85" t="s">
        <v>14</v>
      </c>
      <c r="I85">
        <f>VLOOKUP(Table4[[#This Row],[Visitor]],'NHL Model'!$A$6:$B$38,2,FALSE)</f>
        <v>-0.2200802314358897</v>
      </c>
      <c r="J85">
        <f>($B$1+Table4[[#This Row],[Home Differential]])-Table4[[#This Row],[Away Differential]]</f>
        <v>3.1590083373176647E-2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0.54451573061898073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0.29649738089152239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-1.5594075795597986</v>
      </c>
      <c r="H86" t="s">
        <v>39</v>
      </c>
      <c r="I86">
        <f>VLOOKUP(Table4[[#This Row],[Visitor]],'NHL Model'!$A$6:$B$38,2,FALSE)</f>
        <v>1.9153995907683643E-3</v>
      </c>
      <c r="J86">
        <f>($B$1+Table4[[#This Row],[Home Differential]])-Table4[[#This Row],[Away Differential]]</f>
        <v>-1.4019033176257398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0.74135716188576517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0.54961044147931659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-0.95664361852990654</v>
      </c>
      <c r="H87" t="s">
        <v>32</v>
      </c>
      <c r="I87">
        <f>VLOOKUP(Table4[[#This Row],[Visitor]],'NHL Model'!$A$6:$B$38,2,FALSE)</f>
        <v>-0.46055888840939002</v>
      </c>
      <c r="J87">
        <f>($B$1+Table4[[#This Row],[Home Differential]])-Table4[[#This Row],[Away Differential]]</f>
        <v>-0.3366650685956894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0.50812550636981424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0.24194051748395165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-3.2309887002194844E-2</v>
      </c>
      <c r="H88" t="s">
        <v>16</v>
      </c>
      <c r="I88">
        <f>VLOOKUP(Table4[[#This Row],[Visitor]],'NHL Model'!$A$6:$B$38,2,FALSE)</f>
        <v>-1.1167763879247272</v>
      </c>
      <c r="J88">
        <f>($B$1+Table4[[#This Row],[Home Differential]])-Table4[[#This Row],[Away Differential]]</f>
        <v>1.2438861624473596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0.71781069976723655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7.9630801165856704E-2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-7.3890719153774626E-2</v>
      </c>
      <c r="H89" t="s">
        <v>29</v>
      </c>
      <c r="I89">
        <f>VLOOKUP(Table4[[#This Row],[Visitor]],'NHL Model'!$A$6:$B$38,2,FALSE)</f>
        <v>-1.6840122346544992</v>
      </c>
      <c r="J89">
        <f>($B$1+Table4[[#This Row],[Home Differential]])-Table4[[#This Row],[Away Differential]]</f>
        <v>1.7695411770255518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0.7954473685756217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4.1841779022637554E-2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-0.13160108676160023</v>
      </c>
      <c r="H90" t="s">
        <v>31</v>
      </c>
      <c r="I90">
        <f>VLOOKUP(Table4[[#This Row],[Visitor]],'NHL Model'!$A$6:$B$38,2,FALSE)</f>
        <v>0.35254565315374792</v>
      </c>
      <c r="J90">
        <f>($B$1+Table4[[#This Row],[Home Differential]])-Table4[[#This Row],[Away Differential]]</f>
        <v>-0.32472707839052101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0.52718822857236158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0.27792742834526457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-0.67114180037169746</v>
      </c>
      <c r="H91" t="s">
        <v>17</v>
      </c>
      <c r="I91">
        <f>VLOOKUP(Table4[[#This Row],[Visitor]],'NHL Model'!$A$6:$B$38,2,FALSE)</f>
        <v>-0.8561868317598319</v>
      </c>
      <c r="J91">
        <f>($B$1+Table4[[#This Row],[Home Differential]])-Table4[[#This Row],[Away Differential]]</f>
        <v>0.34446469291296156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0.62148651074696537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0.14327246154650716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-0.1349739904770427</v>
      </c>
      <c r="H92" t="s">
        <v>21</v>
      </c>
      <c r="I92">
        <f>VLOOKUP(Table4[[#This Row],[Visitor]],'NHL Model'!$A$6:$B$38,2,FALSE)</f>
        <v>-0.12487089668223171</v>
      </c>
      <c r="J92">
        <f>($B$1+Table4[[#This Row],[Home Differential]])-Table4[[#This Row],[Away Differential]]</f>
        <v>0.14931656773001617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0.62479273984636041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0.14078048807200097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0.21430145909042725</v>
      </c>
      <c r="H93" t="s">
        <v>38</v>
      </c>
      <c r="I93">
        <f>VLOOKUP(Table4[[#This Row],[Visitor]],'NHL Model'!$A$6:$B$38,2,FALSE)</f>
        <v>-1.1267952052768424</v>
      </c>
      <c r="J93">
        <f>($B$1+Table4[[#This Row],[Home Differential]])-Table4[[#This Row],[Away Differential]]</f>
        <v>1.5005163258920968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0.7337261675830502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0.53835408899611026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-1.1167763879247272</v>
      </c>
      <c r="H94" t="s">
        <v>40</v>
      </c>
      <c r="I94">
        <f>VLOOKUP(Table4[[#This Row],[Visitor]],'NHL Model'!$A$6:$B$38,2,FALSE)</f>
        <v>-7.3890719153774626E-2</v>
      </c>
      <c r="J94">
        <f>($B$1+Table4[[#This Row],[Home Differential]])-Table4[[#This Row],[Away Differential]]</f>
        <v>-0.88346600724612545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0.65260524723236224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0.12068311425048817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-0.75480422558713034</v>
      </c>
      <c r="H95" t="s">
        <v>23</v>
      </c>
      <c r="I95">
        <f>VLOOKUP(Table4[[#This Row],[Visitor]],'NHL Model'!$A$6:$B$38,2,FALSE)</f>
        <v>-0.49794713300108584</v>
      </c>
      <c r="J95">
        <f>($B$1+Table4[[#This Row],[Home Differential]])-Table4[[#This Row],[Away Differential]]</f>
        <v>-9.7437431061217383E-2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0.47392845931047983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0.22460818454440515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-0.50599078340071213</v>
      </c>
      <c r="H96" t="s">
        <v>34</v>
      </c>
      <c r="I96">
        <f>VLOOKUP(Table4[[#This Row],[Visitor]],'NHL Model'!$A$6:$B$38,2,FALSE)</f>
        <v>-0.17681265190927384</v>
      </c>
      <c r="J96">
        <f>($B$1+Table4[[#This Row],[Home Differential]])-Table4[[#This Row],[Away Differential]]</f>
        <v>-0.16975846996661118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0.505035818217064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0.24498954124805131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-0.54160534998918008</v>
      </c>
      <c r="H97" t="s">
        <v>32</v>
      </c>
      <c r="I97">
        <f>VLOOKUP(Table4[[#This Row],[Visitor]],'NHL Model'!$A$6:$B$38,2,FALSE)</f>
        <v>-0.46055888840939002</v>
      </c>
      <c r="J97">
        <f>($B$1+Table4[[#This Row],[Home Differential]])-Table4[[#This Row],[Away Differential]]</f>
        <v>7.8373199945037053E-2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0.58344933661067244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0.17351445517008887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-3.2309887002194844E-2</v>
      </c>
      <c r="H98" t="s">
        <v>25</v>
      </c>
      <c r="I98">
        <f>VLOOKUP(Table4[[#This Row],[Visitor]],'NHL Model'!$A$6:$B$38,2,FALSE)</f>
        <v>0.42254821659882374</v>
      </c>
      <c r="J98">
        <f>($B$1+Table4[[#This Row],[Home Differential]])-Table4[[#This Row],[Away Differential]]</f>
        <v>-0.29543844207619141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0.57485542291824698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0.33045875725851659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-0.12487089668223171</v>
      </c>
      <c r="H99" t="s">
        <v>11</v>
      </c>
      <c r="I99">
        <f>VLOOKUP(Table4[[#This Row],[Visitor]],'NHL Model'!$A$6:$B$38,2,FALSE)</f>
        <v>-0.21100886368613675</v>
      </c>
      <c r="J99">
        <f>($B$1+Table4[[#This Row],[Home Differential]])-Table4[[#This Row],[Away Differential]]</f>
        <v>0.2455576285287322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0.62681788121626614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0.39290065621244913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1.9153995907683643E-3</v>
      </c>
      <c r="H100" t="s">
        <v>28</v>
      </c>
      <c r="I100">
        <f>VLOOKUP(Table4[[#This Row],[Visitor]],'NHL Model'!$A$6:$B$38,2,FALSE)</f>
        <v>-0.72083617366747277</v>
      </c>
      <c r="J100">
        <f>($B$1+Table4[[#This Row],[Home Differential]])-Table4[[#This Row],[Away Differential]]</f>
        <v>0.88217123478306825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0.66859985218223505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0.44702576233810659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-1.6840122346544992</v>
      </c>
      <c r="H101" t="s">
        <v>31</v>
      </c>
      <c r="I101">
        <f>VLOOKUP(Table4[[#This Row],[Visitor]],'NHL Model'!$A$6:$B$38,2,FALSE)</f>
        <v>0.35254565315374792</v>
      </c>
      <c r="J101">
        <f>($B$1+Table4[[#This Row],[Home Differential]])-Table4[[#This Row],[Away Differential]]</f>
        <v>-1.87713822628342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0.74910187378101378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6.2949869740198339E-2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3.2883390994754517E-3</v>
      </c>
      <c r="H102" t="s">
        <v>33</v>
      </c>
      <c r="I102">
        <f>VLOOKUP(Table4[[#This Row],[Visitor]],'NHL Model'!$A$6:$B$38,2,FALSE)</f>
        <v>-0.3479098095875402</v>
      </c>
      <c r="J102">
        <f>($B$1+Table4[[#This Row],[Home Differential]])-Table4[[#This Row],[Away Differential]]</f>
        <v>0.51061781021184283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0.61299165541703993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0.14977545877684317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-0.34257283900844787</v>
      </c>
      <c r="H103" t="s">
        <v>17</v>
      </c>
      <c r="I103">
        <f>VLOOKUP(Table4[[#This Row],[Visitor]],'NHL Model'!$A$6:$B$38,2,FALSE)</f>
        <v>-0.8561868317598319</v>
      </c>
      <c r="J103">
        <f>($B$1+Table4[[#This Row],[Home Differential]])-Table4[[#This Row],[Away Differential]]</f>
        <v>0.6730336542762112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0.63870411038510355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0.40794294062282654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-0.2200802314358897</v>
      </c>
      <c r="H104" t="s">
        <v>38</v>
      </c>
      <c r="I104">
        <f>VLOOKUP(Table4[[#This Row],[Visitor]],'NHL Model'!$A$6:$B$38,2,FALSE)</f>
        <v>-1.1267952052768424</v>
      </c>
      <c r="J104">
        <f>($B$1+Table4[[#This Row],[Home Differential]])-Table4[[#This Row],[Away Differential]]</f>
        <v>1.0661346353657799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0.67163229220253018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0.10782535152416452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-1.5594075795597986</v>
      </c>
      <c r="H105" t="s">
        <v>13</v>
      </c>
      <c r="I105">
        <f>VLOOKUP(Table4[[#This Row],[Visitor]],'NHL Model'!$A$6:$B$38,2,FALSE)</f>
        <v>-0.31985119938240425</v>
      </c>
      <c r="J105">
        <f>($B$1+Table4[[#This Row],[Home Differential]])-Table4[[#This Row],[Away Differential]]</f>
        <v>-1.0801367186525672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0.69788134982267314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9.1275678784970005E-2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-0.95664361852990654</v>
      </c>
      <c r="H106" t="s">
        <v>24</v>
      </c>
      <c r="I106">
        <f>VLOOKUP(Table4[[#This Row],[Visitor]],'NHL Model'!$A$6:$B$38,2,FALSE)</f>
        <v>2.0731927685773251E-2</v>
      </c>
      <c r="J106">
        <f>($B$1+Table4[[#This Row],[Home Differential]])-Table4[[#This Row],[Away Differential]]</f>
        <v>-0.81795588469085267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0.57775442772100682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0.17829132330921446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-0.1349739904770427</v>
      </c>
      <c r="H107" t="s">
        <v>12</v>
      </c>
      <c r="I107">
        <f>VLOOKUP(Table4[[#This Row],[Visitor]],'NHL Model'!$A$6:$B$38,2,FALSE)</f>
        <v>1.4583704516548168</v>
      </c>
      <c r="J107">
        <f>($B$1+Table4[[#This Row],[Home Differential]])-Table4[[#This Row],[Away Differential]]</f>
        <v>-1.4339247806070323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0.69278116635451004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0.4799457444555153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0.21430145909042725</v>
      </c>
      <c r="H108" t="s">
        <v>32</v>
      </c>
      <c r="I108">
        <f>VLOOKUP(Table4[[#This Row],[Visitor]],'NHL Model'!$A$6:$B$38,2,FALSE)</f>
        <v>-0.46055888840939002</v>
      </c>
      <c r="J108">
        <f>($B$1+Table4[[#This Row],[Home Differential]])-Table4[[#This Row],[Away Differential]]</f>
        <v>0.8342800090246445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0.65925843110483695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0.11610481677313715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-0.49794713300108584</v>
      </c>
      <c r="H109" t="s">
        <v>26</v>
      </c>
      <c r="I109">
        <f>VLOOKUP(Table4[[#This Row],[Visitor]],'NHL Model'!$A$6:$B$38,2,FALSE)</f>
        <v>-0.67114180037169746</v>
      </c>
      <c r="J109">
        <f>($B$1+Table4[[#This Row],[Home Differential]])-Table4[[#This Row],[Away Differential]]</f>
        <v>0.33261432889543874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0.58087979566968118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0.1756617456778882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-1.1167763879247272</v>
      </c>
      <c r="H110" t="s">
        <v>18</v>
      </c>
      <c r="I110">
        <f>VLOOKUP(Table4[[#This Row],[Visitor]],'NHL Model'!$A$6:$B$38,2,FALSE)</f>
        <v>-0.75480422558713034</v>
      </c>
      <c r="J110">
        <f>($B$1+Table4[[#This Row],[Home Differential]])-Table4[[#This Row],[Away Differential]]</f>
        <v>-0.20255250081276976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0.53605381110242656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0.21524606619258291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2.0731927685773251E-2</v>
      </c>
      <c r="H111" t="s">
        <v>34</v>
      </c>
      <c r="I111">
        <f>VLOOKUP(Table4[[#This Row],[Visitor]],'NHL Model'!$A$6:$B$38,2,FALSE)</f>
        <v>-0.17681265190927384</v>
      </c>
      <c r="J111">
        <f>($B$1+Table4[[#This Row],[Home Differential]])-Table4[[#This Row],[Away Differential]]</f>
        <v>0.35696424111987424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0.69102722694536889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9.5464174489068576E-2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-0.12487089668223171</v>
      </c>
      <c r="H112" t="s">
        <v>31</v>
      </c>
      <c r="I112">
        <f>VLOOKUP(Table4[[#This Row],[Visitor]],'NHL Model'!$A$6:$B$38,2,FALSE)</f>
        <v>0.35254565315374792</v>
      </c>
      <c r="J112">
        <f>($B$1+Table4[[#This Row],[Home Differential]])-Table4[[#This Row],[Away Differential]]</f>
        <v>-0.31799688831115247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0.47402836099936102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0.27664616503301853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1.4583704516548168</v>
      </c>
      <c r="H113" t="s">
        <v>25</v>
      </c>
      <c r="I113">
        <f>VLOOKUP(Table4[[#This Row],[Visitor]],'NHL Model'!$A$6:$B$38,2,FALSE)</f>
        <v>0.42254821659882374</v>
      </c>
      <c r="J113">
        <f>($B$1+Table4[[#This Row],[Home Differential]])-Table4[[#This Row],[Away Differential]]</f>
        <v>1.1952418965808203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0.73607450382661088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0.54180567518359135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1.9153995907683643E-3</v>
      </c>
      <c r="H114" t="s">
        <v>13</v>
      </c>
      <c r="I114">
        <f>VLOOKUP(Table4[[#This Row],[Visitor]],'NHL Model'!$A$6:$B$38,2,FALSE)</f>
        <v>-0.31985119938240425</v>
      </c>
      <c r="J114">
        <f>($B$1+Table4[[#This Row],[Home Differential]])-Table4[[#This Row],[Away Differential]]</f>
        <v>0.48118626049799973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0.52780087572128154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0.2785737644121517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-0.8561868317598319</v>
      </c>
      <c r="H115" t="s">
        <v>18</v>
      </c>
      <c r="I115">
        <f>VLOOKUP(Table4[[#This Row],[Visitor]],'NHL Model'!$A$6:$B$38,2,FALSE)</f>
        <v>-0.75480422558713034</v>
      </c>
      <c r="J115">
        <f>($B$1+Table4[[#This Row],[Home Differential]])-Table4[[#This Row],[Away Differential]]</f>
        <v>5.8037055352125555E-2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0.53770802985950972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0.21371386565637596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-0.21100886368613675</v>
      </c>
      <c r="H116" t="s">
        <v>14</v>
      </c>
      <c r="I116">
        <f>VLOOKUP(Table4[[#This Row],[Visitor]],'NHL Model'!$A$6:$B$38,2,FALSE)</f>
        <v>-0.2200802314358897</v>
      </c>
      <c r="J116">
        <f>($B$1+Table4[[#This Row],[Home Differential]])-Table4[[#This Row],[Away Differential]]</f>
        <v>0.1684910292745801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0.61580138601295853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0.37921134701548076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-1.6840122346544992</v>
      </c>
      <c r="H117" t="s">
        <v>38</v>
      </c>
      <c r="I117">
        <f>VLOOKUP(Table4[[#This Row],[Visitor]],'NHL Model'!$A$6:$B$38,2,FALSE)</f>
        <v>-1.1267952052768424</v>
      </c>
      <c r="J117">
        <f>($B$1+Table4[[#This Row],[Home Differential]])-Table4[[#This Row],[Away Differential]]</f>
        <v>-0.39779736785282971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0.53763346037389903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0.28904973771361286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3.2883390994754517E-3</v>
      </c>
      <c r="H118" t="s">
        <v>26</v>
      </c>
      <c r="I118">
        <f>VLOOKUP(Table4[[#This Row],[Visitor]],'NHL Model'!$A$6:$B$38,2,FALSE)</f>
        <v>-0.67114180037169746</v>
      </c>
      <c r="J118">
        <f>($B$1+Table4[[#This Row],[Home Differential]])-Table4[[#This Row],[Away Differential]]</f>
        <v>0.83384980099600003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0.63842770307570562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0.1307345259031101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-0.50599078340071213</v>
      </c>
      <c r="H119" t="s">
        <v>33</v>
      </c>
      <c r="I119">
        <f>VLOOKUP(Table4[[#This Row],[Visitor]],'NHL Model'!$A$6:$B$38,2,FALSE)</f>
        <v>-0.3479098095875402</v>
      </c>
      <c r="J119">
        <f>($B$1+Table4[[#This Row],[Home Differential]])-Table4[[#This Row],[Away Differential]]</f>
        <v>1.3386877116551843E-3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0.54019136236575771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0.29180670797457336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-0.34257283900844787</v>
      </c>
      <c r="H120" t="s">
        <v>27</v>
      </c>
      <c r="I120">
        <f>VLOOKUP(Table4[[#This Row],[Visitor]],'NHL Model'!$A$6:$B$38,2,FALSE)</f>
        <v>-0.54160534998918008</v>
      </c>
      <c r="J120">
        <f>($B$1+Table4[[#This Row],[Home Differential]])-Table4[[#This Row],[Away Differential]]</f>
        <v>0.35845217250555939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0.59373540255946211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0.16505092313352229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-1.5594075795597986</v>
      </c>
      <c r="H121" t="s">
        <v>55</v>
      </c>
      <c r="I121">
        <f>VLOOKUP(Table4[[#This Row],[Visitor]],'NHL Model'!$A$6:$B$38,2,FALSE)</f>
        <v>-0.1349739904770427</v>
      </c>
      <c r="J121">
        <f>($B$1+Table4[[#This Row],[Home Differential]])-Table4[[#This Row],[Away Differential]]</f>
        <v>-1.2650139275579289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0.64083086576975612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0.12900246698370293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0.1846559193064522</v>
      </c>
      <c r="H122" t="s">
        <v>10</v>
      </c>
      <c r="I122">
        <f>VLOOKUP(Table4[[#This Row],[Visitor]],'NHL Model'!$A$6:$B$38,2,FALSE)</f>
        <v>-0.13160108676160023</v>
      </c>
      <c r="J122">
        <f>($B$1+Table4[[#This Row],[Home Differential]])-Table4[[#This Row],[Away Differential]]</f>
        <v>0.47567666759287952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0.62710232980520064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0.39325733204711066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-7.3890719153774626E-2</v>
      </c>
      <c r="H123" t="s">
        <v>32</v>
      </c>
      <c r="I123">
        <f>VLOOKUP(Table4[[#This Row],[Visitor]],'NHL Model'!$A$6:$B$38,2,FALSE)</f>
        <v>-0.46055888840939002</v>
      </c>
      <c r="J123">
        <f>($B$1+Table4[[#This Row],[Home Differential]])-Table4[[#This Row],[Away Differential]]</f>
        <v>0.54608783078044254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0.62055749344396849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0.38509160266946102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-0.49794713300108584</v>
      </c>
      <c r="H124" t="s">
        <v>19</v>
      </c>
      <c r="I124">
        <f>VLOOKUP(Table4[[#This Row],[Visitor]],'NHL Model'!$A$6:$B$38,2,FALSE)</f>
        <v>-0.95664361852990654</v>
      </c>
      <c r="J124">
        <f>($B$1+Table4[[#This Row],[Home Differential]])-Table4[[#This Row],[Away Differential]]</f>
        <v>0.61811614705364781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0.64237491884063747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0.12789569867424064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-0.72083617366747277</v>
      </c>
      <c r="H125" t="s">
        <v>22</v>
      </c>
      <c r="I125">
        <f>VLOOKUP(Table4[[#This Row],[Visitor]],'NHL Model'!$A$6:$B$38,2,FALSE)</f>
        <v>0.21430145909042725</v>
      </c>
      <c r="J125">
        <f>($B$1+Table4[[#This Row],[Home Differential]])-Table4[[#This Row],[Away Differential]]</f>
        <v>-0.77571797123307284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0.58457133143100781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0.17258097866900557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2.0731927685773251E-2</v>
      </c>
      <c r="H126" t="s">
        <v>33</v>
      </c>
      <c r="I126">
        <f>VLOOKUP(Table4[[#This Row],[Visitor]],'NHL Model'!$A$6:$B$38,2,FALSE)</f>
        <v>-0.3479098095875402</v>
      </c>
      <c r="J126">
        <f>($B$1+Table4[[#This Row],[Home Differential]])-Table4[[#This Row],[Away Differential]]</f>
        <v>0.52806139879814062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0.73446375995500601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7.0509494777232673E-2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-7.3890719153774626E-2</v>
      </c>
      <c r="H127" t="s">
        <v>16</v>
      </c>
      <c r="I127">
        <f>VLOOKUP(Table4[[#This Row],[Visitor]],'NHL Model'!$A$6:$B$38,2,FALSE)</f>
        <v>-1.1167763879247272</v>
      </c>
      <c r="J127">
        <f>($B$1+Table4[[#This Row],[Home Differential]])-Table4[[#This Row],[Away Differential]]</f>
        <v>1.2023053302957798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0.71436229352209968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8.1588899361955139E-2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-0.12487089668223171</v>
      </c>
      <c r="H128" t="s">
        <v>12</v>
      </c>
      <c r="I128">
        <f>VLOOKUP(Table4[[#This Row],[Visitor]],'NHL Model'!$A$6:$B$38,2,FALSE)</f>
        <v>1.4583704516548168</v>
      </c>
      <c r="J128">
        <f>($B$1+Table4[[#This Row],[Home Differential]])-Table4[[#This Row],[Away Differential]]</f>
        <v>-1.4238216868122213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0.70353207401048012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0.49495737916148769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1.9153995907683643E-3</v>
      </c>
      <c r="H129" t="s">
        <v>25</v>
      </c>
      <c r="I129">
        <f>VLOOKUP(Table4[[#This Row],[Visitor]],'NHL Model'!$A$6:$B$38,2,FALSE)</f>
        <v>0.42254821659882374</v>
      </c>
      <c r="J129">
        <f>($B$1+Table4[[#This Row],[Home Differential]])-Table4[[#This Row],[Away Differential]]</f>
        <v>-0.26121315548322821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0.5674603088082486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0.32201120207275286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-0.67114180037169746</v>
      </c>
      <c r="H130" t="s">
        <v>35</v>
      </c>
      <c r="I130">
        <f>VLOOKUP(Table4[[#This Row],[Visitor]],'NHL Model'!$A$6:$B$38,2,FALSE)</f>
        <v>-1.5594075795597986</v>
      </c>
      <c r="J130">
        <f>($B$1+Table4[[#This Row],[Home Differential]])-Table4[[#This Row],[Away Differential]]</f>
        <v>1.0476854407129284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0.72201031833650675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7.7278263111370316E-2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-0.21100886368613675</v>
      </c>
      <c r="H131" t="s">
        <v>20</v>
      </c>
      <c r="I131">
        <f>VLOOKUP(Table4[[#This Row],[Visitor]],'NHL Model'!$A$6:$B$38,2,FALSE)</f>
        <v>-3.2309887002194844E-2</v>
      </c>
      <c r="J131">
        <f>($B$1+Table4[[#This Row],[Home Differential]])-Table4[[#This Row],[Away Differential]]</f>
        <v>-1.9279315159114761E-2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0.41103995795182985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0.16895384703304206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-0.17681265190927384</v>
      </c>
      <c r="H132" t="s">
        <v>55</v>
      </c>
      <c r="I132">
        <f>VLOOKUP(Table4[[#This Row],[Visitor]],'NHL Model'!$A$6:$B$38,2,FALSE)</f>
        <v>-0.1349739904770427</v>
      </c>
      <c r="J132">
        <f>($B$1+Table4[[#This Row],[Home Differential]])-Table4[[#This Row],[Away Differential]]</f>
        <v>0.11758100009259601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0.55680793672039974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0.31003507839482869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-1.6840122346544992</v>
      </c>
      <c r="H133" t="s">
        <v>13</v>
      </c>
      <c r="I133">
        <f>VLOOKUP(Table4[[#This Row],[Visitor]],'NHL Model'!$A$6:$B$38,2,FALSE)</f>
        <v>-0.31985119938240425</v>
      </c>
      <c r="J133">
        <f>($B$1+Table4[[#This Row],[Home Differential]])-Table4[[#This Row],[Away Differential]]</f>
        <v>-1.2047413737472679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0.71569330206197745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0.51221690261637687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-0.54160534998918008</v>
      </c>
      <c r="H134" t="s">
        <v>30</v>
      </c>
      <c r="I134">
        <f>VLOOKUP(Table4[[#This Row],[Visitor]],'NHL Model'!$A$6:$B$38,2,FALSE)</f>
        <v>3.2883390994754517E-3</v>
      </c>
      <c r="J134">
        <f>($B$1+Table4[[#This Row],[Home Differential]])-Table4[[#This Row],[Away Differential]]</f>
        <v>-0.38547402756382843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0.55510263611934019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0.3081389366266406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-0.2200802314358897</v>
      </c>
      <c r="H135" t="s">
        <v>28</v>
      </c>
      <c r="I135">
        <f>VLOOKUP(Table4[[#This Row],[Visitor]],'NHL Model'!$A$6:$B$38,2,FALSE)</f>
        <v>-0.72083617366747277</v>
      </c>
      <c r="J135">
        <f>($B$1+Table4[[#This Row],[Home Differential]])-Table4[[#This Row],[Away Differential]]</f>
        <v>0.66017560375641016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0.63437060208325369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0.40242606078746979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-0.46055888840939002</v>
      </c>
      <c r="H136" t="s">
        <v>17</v>
      </c>
      <c r="I136">
        <f>VLOOKUP(Table4[[#This Row],[Visitor]],'NHL Model'!$A$6:$B$38,2,FALSE)</f>
        <v>-0.8561868317598319</v>
      </c>
      <c r="J136">
        <f>($B$1+Table4[[#This Row],[Home Differential]])-Table4[[#This Row],[Away Differential]]</f>
        <v>0.55504760487526905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0.64538052943140489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0.12575496890635068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0.1846559193064522</v>
      </c>
      <c r="H137" t="s">
        <v>31</v>
      </c>
      <c r="I137">
        <f>VLOOKUP(Table4[[#This Row],[Visitor]],'NHL Model'!$A$6:$B$38,2,FALSE)</f>
        <v>0.35254565315374792</v>
      </c>
      <c r="J137">
        <f>($B$1+Table4[[#This Row],[Home Differential]])-Table4[[#This Row],[Away Differential]]</f>
        <v>-8.4700723224686025E-3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0.46274923912583654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0.21413685831154064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-0.95664361852990654</v>
      </c>
      <c r="H138" t="s">
        <v>23</v>
      </c>
      <c r="I138">
        <f>VLOOKUP(Table4[[#This Row],[Visitor]],'NHL Model'!$A$6:$B$38,2,FALSE)</f>
        <v>-0.49794713300108584</v>
      </c>
      <c r="J138">
        <f>($B$1+Table4[[#This Row],[Home Differential]])-Table4[[#This Row],[Away Differential]]</f>
        <v>-0.29927682400399358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0.50278094178294086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0.25278867542014094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-1.1267952052768424</v>
      </c>
      <c r="H139" t="s">
        <v>18</v>
      </c>
      <c r="I139">
        <f>VLOOKUP(Table4[[#This Row],[Visitor]],'NHL Model'!$A$6:$B$38,2,FALSE)</f>
        <v>-0.75480422558713034</v>
      </c>
      <c r="J139">
        <f>($B$1+Table4[[#This Row],[Home Differential]])-Table4[[#This Row],[Away Differential]]</f>
        <v>-0.21257131816488495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0.5374859782717395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0.21391922029524982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0.21430145909042725</v>
      </c>
      <c r="H140" t="s">
        <v>36</v>
      </c>
      <c r="I140">
        <f>VLOOKUP(Table4[[#This Row],[Visitor]],'NHL Model'!$A$6:$B$38,2,FALSE)</f>
        <v>-0.34257283900844787</v>
      </c>
      <c r="J140">
        <f>($B$1+Table4[[#This Row],[Home Differential]])-Table4[[#This Row],[Away Differential]]</f>
        <v>0.71629395962370235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0.64239259350642164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0.41266824419190667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-1.1167763879247272</v>
      </c>
      <c r="H141" t="s">
        <v>15</v>
      </c>
      <c r="I141">
        <f>VLOOKUP(Table4[[#This Row],[Visitor]],'NHL Model'!$A$6:$B$38,2,FALSE)</f>
        <v>-0.50599078340071213</v>
      </c>
      <c r="J141">
        <f>($B$1+Table4[[#This Row],[Home Differential]])-Table4[[#This Row],[Away Differential]]</f>
        <v>-0.45136594299918797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0.60799999653858849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0.36966399579092363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-0.13160108676160023</v>
      </c>
      <c r="H142" t="s">
        <v>13</v>
      </c>
      <c r="I142">
        <f>VLOOKUP(Table4[[#This Row],[Visitor]],'NHL Model'!$A$6:$B$38,2,FALSE)</f>
        <v>-0.31985119938240425</v>
      </c>
      <c r="J142">
        <f>($B$1+Table4[[#This Row],[Home Differential]])-Table4[[#This Row],[Away Differential]]</f>
        <v>0.34766977414563116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0.50622034314667486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0.25625903581553722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-0.17681265190927384</v>
      </c>
      <c r="H143" t="s">
        <v>33</v>
      </c>
      <c r="I143">
        <f>VLOOKUP(Table4[[#This Row],[Visitor]],'NHL Model'!$A$6:$B$38,2,FALSE)</f>
        <v>-0.3479098095875402</v>
      </c>
      <c r="J143">
        <f>($B$1+Table4[[#This Row],[Home Differential]])-Table4[[#This Row],[Away Differential]]</f>
        <v>0.3305168192030935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0.58724662809313177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0.34485860220675302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2.0731927685773251E-2</v>
      </c>
      <c r="H144" t="s">
        <v>12</v>
      </c>
      <c r="I144">
        <f>VLOOKUP(Table4[[#This Row],[Visitor]],'NHL Model'!$A$6:$B$38,2,FALSE)</f>
        <v>1.4583704516548168</v>
      </c>
      <c r="J144">
        <f>($B$1+Table4[[#This Row],[Home Differential]])-Table4[[#This Row],[Away Differential]]</f>
        <v>-1.2782188624442163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0.61128990977047115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0.37367535378719074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-1.6840122346544992</v>
      </c>
      <c r="H145" t="s">
        <v>39</v>
      </c>
      <c r="I145">
        <f>VLOOKUP(Table4[[#This Row],[Visitor]],'NHL Model'!$A$6:$B$38,2,FALSE)</f>
        <v>1.9153995907683643E-3</v>
      </c>
      <c r="J145">
        <f>($B$1+Table4[[#This Row],[Home Differential]])-Table4[[#This Row],[Away Differential]]</f>
        <v>-1.5265079727204405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0.75916911412506949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5.7999515591303806E-2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0.1846559193064522</v>
      </c>
      <c r="H146" t="s">
        <v>20</v>
      </c>
      <c r="I146">
        <f>VLOOKUP(Table4[[#This Row],[Visitor]],'NHL Model'!$A$6:$B$38,2,FALSE)</f>
        <v>-3.2309887002194844E-2</v>
      </c>
      <c r="J146">
        <f>($B$1+Table4[[#This Row],[Home Differential]])-Table4[[#This Row],[Away Differential]]</f>
        <v>0.37638546783347415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0.61290887847263509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0.14983953636531319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-1.1267952052768424</v>
      </c>
      <c r="H147" t="s">
        <v>17</v>
      </c>
      <c r="I147">
        <f>VLOOKUP(Table4[[#This Row],[Visitor]],'NHL Model'!$A$6:$B$38,2,FALSE)</f>
        <v>-0.8561868317598319</v>
      </c>
      <c r="J147">
        <f>($B$1+Table4[[#This Row],[Home Differential]])-Table4[[#This Row],[Away Differential]]</f>
        <v>-0.11118871199218339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0.47589417366509579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0.22647526452838435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-7.3890719153774626E-2</v>
      </c>
      <c r="H148" t="s">
        <v>55</v>
      </c>
      <c r="I148">
        <f>VLOOKUP(Table4[[#This Row],[Visitor]],'NHL Model'!$A$6:$B$38,2,FALSE)</f>
        <v>-0.1349739904770427</v>
      </c>
      <c r="J148">
        <f>($B$1+Table4[[#This Row],[Home Differential]])-Table4[[#This Row],[Away Differential]]</f>
        <v>0.22050293284809522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0.57401587228702045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0.32949422163742897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-0.34257283900844787</v>
      </c>
      <c r="H149" t="s">
        <v>21</v>
      </c>
      <c r="I149">
        <f>VLOOKUP(Table4[[#This Row],[Visitor]],'NHL Model'!$A$6:$B$38,2,FALSE)</f>
        <v>-0.12487089668223171</v>
      </c>
      <c r="J149">
        <f>($B$1+Table4[[#This Row],[Home Differential]])-Table4[[#This Row],[Away Differential]]</f>
        <v>-5.8282280801389016E-2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0.46583584036990133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0.21700303017313219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-0.2200802314358897</v>
      </c>
      <c r="H150" t="s">
        <v>35</v>
      </c>
      <c r="I150">
        <f>VLOOKUP(Table4[[#This Row],[Visitor]],'NHL Model'!$A$6:$B$38,2,FALSE)</f>
        <v>-1.5594075795597986</v>
      </c>
      <c r="J150">
        <f>($B$1+Table4[[#This Row],[Home Differential]])-Table4[[#This Row],[Away Differential]]</f>
        <v>1.4987470096487361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0.75424247861666582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6.0396759316479955E-2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-0.12487089668223171</v>
      </c>
      <c r="H151" t="s">
        <v>30</v>
      </c>
      <c r="I151">
        <f>VLOOKUP(Table4[[#This Row],[Visitor]],'NHL Model'!$A$6:$B$38,2,FALSE)</f>
        <v>3.2883390994754517E-3</v>
      </c>
      <c r="J151">
        <f>($B$1+Table4[[#This Row],[Home Differential]])-Table4[[#This Row],[Away Differential]]</f>
        <v>3.1260425743119984E-2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0.52446860681002327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0.22613010590920024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-0.49794713300108584</v>
      </c>
      <c r="H152" t="s">
        <v>28</v>
      </c>
      <c r="I152">
        <f>VLOOKUP(Table4[[#This Row],[Visitor]],'NHL Model'!$A$6:$B$38,2,FALSE)</f>
        <v>-0.72083617366747277</v>
      </c>
      <c r="J152">
        <f>($B$1+Table4[[#This Row],[Home Differential]])-Table4[[#This Row],[Away Differential]]</f>
        <v>0.38230870219121404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0.60866678055021906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0.3704752497453685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0.42254821659882374</v>
      </c>
      <c r="H153" t="s">
        <v>20</v>
      </c>
      <c r="I153">
        <f>VLOOKUP(Table4[[#This Row],[Visitor]],'NHL Model'!$A$6:$B$38,2,FALSE)</f>
        <v>-3.2309887002194844E-2</v>
      </c>
      <c r="J153">
        <f>($B$1+Table4[[#This Row],[Home Differential]])-Table4[[#This Row],[Away Differential]]</f>
        <v>0.61427776512584575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0.67952558670083318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0.46175502298111154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-0.13160108676160023</v>
      </c>
      <c r="H154" t="s">
        <v>36</v>
      </c>
      <c r="I154">
        <f>VLOOKUP(Table4[[#This Row],[Visitor]],'NHL Model'!$A$6:$B$38,2,FALSE)</f>
        <v>-0.34257283900844787</v>
      </c>
      <c r="J154">
        <f>($B$1+Table4[[#This Row],[Home Differential]])-Table4[[#This Row],[Away Differential]]</f>
        <v>0.37039141377167478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0.59294661075812449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0.16569246169329782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1.4583704516548168</v>
      </c>
      <c r="H155" t="s">
        <v>24</v>
      </c>
      <c r="I155">
        <f>VLOOKUP(Table4[[#This Row],[Visitor]],'NHL Model'!$A$6:$B$38,2,FALSE)</f>
        <v>2.0731927685773251E-2</v>
      </c>
      <c r="J155">
        <f>($B$1+Table4[[#This Row],[Home Differential]])-Table4[[#This Row],[Away Differential]]</f>
        <v>1.5970581854938708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0.86244217922153887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1.8922154057319233E-2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1.9153995907683643E-3</v>
      </c>
      <c r="H156" t="s">
        <v>22</v>
      </c>
      <c r="I156">
        <f>VLOOKUP(Table4[[#This Row],[Visitor]],'NHL Model'!$A$6:$B$38,2,FALSE)</f>
        <v>0.21430145909042725</v>
      </c>
      <c r="J156">
        <f>($B$1+Table4[[#This Row],[Home Differential]])-Table4[[#This Row],[Away Differential]]</f>
        <v>-5.2966397974831742E-2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0.48583229577155512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0.23603301961465981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-0.8561868317598319</v>
      </c>
      <c r="H157" t="s">
        <v>55</v>
      </c>
      <c r="I157">
        <f>VLOOKUP(Table4[[#This Row],[Visitor]],'NHL Model'!$A$6:$B$38,2,FALSE)</f>
        <v>-0.1349739904770427</v>
      </c>
      <c r="J157">
        <f>($B$1+Table4[[#This Row],[Home Differential]])-Table4[[#This Row],[Away Differential]]</f>
        <v>-0.56179317975796206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0.50427019182076771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0.25428842635895388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-0.21100886368613675</v>
      </c>
      <c r="H158" t="s">
        <v>31</v>
      </c>
      <c r="I158">
        <f>VLOOKUP(Table4[[#This Row],[Visitor]],'NHL Model'!$A$6:$B$38,2,FALSE)</f>
        <v>0.35254565315374792</v>
      </c>
      <c r="J158">
        <f>($B$1+Table4[[#This Row],[Home Differential]])-Table4[[#This Row],[Away Differential]]</f>
        <v>-0.40413485531505755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0.48634158760472546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0.26384496462443391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-0.17681265190927384</v>
      </c>
      <c r="H159" t="s">
        <v>40</v>
      </c>
      <c r="I159">
        <f>VLOOKUP(Table4[[#This Row],[Visitor]],'NHL Model'!$A$6:$B$38,2,FALSE)</f>
        <v>-7.3890719153774626E-2</v>
      </c>
      <c r="J159">
        <f>($B$1+Table4[[#This Row],[Home Differential]])-Table4[[#This Row],[Away Differential]]</f>
        <v>5.6497728769327932E-2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0.48176043244357569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0.23209311426822105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-1.6840122346544992</v>
      </c>
      <c r="H160" t="s">
        <v>37</v>
      </c>
      <c r="I160">
        <f>VLOOKUP(Table4[[#This Row],[Visitor]],'NHL Model'!$A$6:$B$38,2,FALSE)</f>
        <v>0.1846559193064522</v>
      </c>
      <c r="J160">
        <f>($B$1+Table4[[#This Row],[Home Differential]])-Table4[[#This Row],[Away Differential]]</f>
        <v>-1.7092484924361244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0.77064897661855136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5.2601891926117798E-2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-0.54160534998918008</v>
      </c>
      <c r="H161" t="s">
        <v>14</v>
      </c>
      <c r="I161">
        <f>VLOOKUP(Table4[[#This Row],[Visitor]],'NHL Model'!$A$6:$B$38,2,FALSE)</f>
        <v>-0.2200802314358897</v>
      </c>
      <c r="J161">
        <f>($B$1+Table4[[#This Row],[Home Differential]])-Table4[[#This Row],[Away Differential]]</f>
        <v>-0.16210545702846327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0.45092654083410372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0.20333474522861061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-0.46055888840939002</v>
      </c>
      <c r="H162" t="s">
        <v>18</v>
      </c>
      <c r="I162">
        <f>VLOOKUP(Table4[[#This Row],[Visitor]],'NHL Model'!$A$6:$B$38,2,FALSE)</f>
        <v>-0.75480422558713034</v>
      </c>
      <c r="J162">
        <f>($B$1+Table4[[#This Row],[Home Differential]])-Table4[[#This Row],[Away Differential]]</f>
        <v>0.45366499870256749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0.58408114968720415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0.34115078941992616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-0.3479098095875402</v>
      </c>
      <c r="H163" t="s">
        <v>13</v>
      </c>
      <c r="I163">
        <f>VLOOKUP(Table4[[#This Row],[Visitor]],'NHL Model'!$A$6:$B$38,2,FALSE)</f>
        <v>-0.31985119938240425</v>
      </c>
      <c r="J163">
        <f>($B$1+Table4[[#This Row],[Home Differential]])-Table4[[#This Row],[Away Differential]]</f>
        <v>0.1313610513196912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0.47529950285389178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0.22590961741315668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-1.5594075795597986</v>
      </c>
      <c r="H164" t="s">
        <v>26</v>
      </c>
      <c r="I164">
        <f>VLOOKUP(Table4[[#This Row],[Visitor]],'NHL Model'!$A$6:$B$38,2,FALSE)</f>
        <v>-0.67114180037169746</v>
      </c>
      <c r="J164">
        <f>($B$1+Table4[[#This Row],[Home Differential]])-Table4[[#This Row],[Away Differential]]</f>
        <v>-0.72884611766327401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0.58495612673835828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0.17226141673202572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-0.95664361852990654</v>
      </c>
      <c r="H165" t="s">
        <v>16</v>
      </c>
      <c r="I165">
        <f>VLOOKUP(Table4[[#This Row],[Visitor]],'NHL Model'!$A$6:$B$38,2,FALSE)</f>
        <v>-1.1167763879247272</v>
      </c>
      <c r="J165">
        <f>($B$1+Table4[[#This Row],[Home Differential]])-Table4[[#This Row],[Away Differential]]</f>
        <v>0.3195524309196478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0.58567929370831695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0.17166164766203909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-1.1267952052768424</v>
      </c>
      <c r="H166" t="s">
        <v>15</v>
      </c>
      <c r="I166">
        <f>VLOOKUP(Table4[[#This Row],[Visitor]],'NHL Model'!$A$6:$B$38,2,FALSE)</f>
        <v>-0.50599078340071213</v>
      </c>
      <c r="J166">
        <f>($B$1+Table4[[#This Row],[Home Differential]])-Table4[[#This Row],[Away Differential]]</f>
        <v>-0.46138476035130316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0.60943216370790143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0.15254323474589151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-0.72083617366747277</v>
      </c>
      <c r="H167" t="s">
        <v>19</v>
      </c>
      <c r="I167">
        <f>VLOOKUP(Table4[[#This Row],[Visitor]],'NHL Model'!$A$6:$B$38,2,FALSE)</f>
        <v>-0.95664361852990654</v>
      </c>
      <c r="J167">
        <f>($B$1+Table4[[#This Row],[Home Differential]])-Table4[[#This Row],[Away Differential]]</f>
        <v>0.39522710638726088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0.6035427684299155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0.15717833646421561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-0.12487089668223171</v>
      </c>
      <c r="H168" t="s">
        <v>23</v>
      </c>
      <c r="I168">
        <f>VLOOKUP(Table4[[#This Row],[Visitor]],'NHL Model'!$A$6:$B$38,2,FALSE)</f>
        <v>-0.49794713300108584</v>
      </c>
      <c r="J168">
        <f>($B$1+Table4[[#This Row],[Home Differential]])-Table4[[#This Row],[Away Differential]]</f>
        <v>0.53249589784368123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0.6678350546499725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0.11033355091938675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0.42254821659882374</v>
      </c>
      <c r="H169" t="s">
        <v>30</v>
      </c>
      <c r="I169">
        <f>VLOOKUP(Table4[[#This Row],[Visitor]],'NHL Model'!$A$6:$B$38,2,FALSE)</f>
        <v>3.2883390994754517E-3</v>
      </c>
      <c r="J169">
        <f>($B$1+Table4[[#This Row],[Home Differential]])-Table4[[#This Row],[Away Differential]]</f>
        <v>0.57867953902417546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0.60272092485732187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0.15783066354622169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-0.8561868317598319</v>
      </c>
      <c r="H170" t="s">
        <v>15</v>
      </c>
      <c r="I170">
        <f>VLOOKUP(Table4[[#This Row],[Visitor]],'NHL Model'!$A$6:$B$38,2,FALSE)</f>
        <v>-0.50599078340071213</v>
      </c>
      <c r="J170">
        <f>($B$1+Table4[[#This Row],[Home Differential]])-Table4[[#This Row],[Away Differential]]</f>
        <v>-0.19077638683429265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0.53431330441482638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0.21686409844503815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-0.31985119938240425</v>
      </c>
      <c r="H171" t="s">
        <v>26</v>
      </c>
      <c r="I171">
        <f>VLOOKUP(Table4[[#This Row],[Visitor]],'NHL Model'!$A$6:$B$38,2,FALSE)</f>
        <v>-0.67114180037169746</v>
      </c>
      <c r="J171">
        <f>($B$1+Table4[[#This Row],[Home Differential]])-Table4[[#This Row],[Away Differential]]</f>
        <v>0.51071026251412033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0.59223564049429034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0.35074305387168231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-0.17681265190927384</v>
      </c>
      <c r="H172" t="s">
        <v>14</v>
      </c>
      <c r="I172">
        <f>VLOOKUP(Table4[[#This Row],[Visitor]],'NHL Model'!$A$6:$B$38,2,FALSE)</f>
        <v>-0.2200802314358897</v>
      </c>
      <c r="J172">
        <f>($B$1+Table4[[#This Row],[Home Differential]])-Table4[[#This Row],[Away Differential]]</f>
        <v>0.20268724105144301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0.56897368043257157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0.32373104902498606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-0.34257283900844787</v>
      </c>
      <c r="H173" t="s">
        <v>16</v>
      </c>
      <c r="I173">
        <f>VLOOKUP(Table4[[#This Row],[Visitor]],'NHL Model'!$A$6:$B$38,2,FALSE)</f>
        <v>-1.1167763879247272</v>
      </c>
      <c r="J173">
        <f>($B$1+Table4[[#This Row],[Home Differential]])-Table4[[#This Row],[Away Differential]]</f>
        <v>0.93362321044110652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0.67595479516042722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0.10500529477952068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-0.54160534998918008</v>
      </c>
      <c r="H174" t="s">
        <v>29</v>
      </c>
      <c r="I174">
        <f>VLOOKUP(Table4[[#This Row],[Visitor]],'NHL Model'!$A$6:$B$38,2,FALSE)</f>
        <v>-1.6840122346544992</v>
      </c>
      <c r="J174">
        <f>($B$1+Table4[[#This Row],[Home Differential]])-Table4[[#This Row],[Away Differential]]</f>
        <v>1.3018265461901461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0.75833921174232555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5.8399936581320568E-2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-0.3479098095875402</v>
      </c>
      <c r="H175" t="s">
        <v>24</v>
      </c>
      <c r="I175">
        <f>VLOOKUP(Table4[[#This Row],[Visitor]],'NHL Model'!$A$6:$B$38,2,FALSE)</f>
        <v>2.0731927685773251E-2</v>
      </c>
      <c r="J175">
        <f>($B$1+Table4[[#This Row],[Home Differential]])-Table4[[#This Row],[Away Differential]]</f>
        <v>-0.20922207574848631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0.49073731328743575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0.24082311065257087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-1.5594075795597986</v>
      </c>
      <c r="H176" t="s">
        <v>38</v>
      </c>
      <c r="I176">
        <f>VLOOKUP(Table4[[#This Row],[Visitor]],'NHL Model'!$A$6:$B$38,2,FALSE)</f>
        <v>-1.1267952052768424</v>
      </c>
      <c r="J176">
        <f>($B$1+Table4[[#This Row],[Home Differential]])-Table4[[#This Row],[Away Differential]]</f>
        <v>-0.27319271275812906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0.51982150813459482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0.230571384050135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0.1846559193064522</v>
      </c>
      <c r="H177" t="s">
        <v>39</v>
      </c>
      <c r="I177">
        <f>VLOOKUP(Table4[[#This Row],[Visitor]],'NHL Model'!$A$6:$B$38,2,FALSE)</f>
        <v>1.9153995907683643E-3</v>
      </c>
      <c r="J177">
        <f>($B$1+Table4[[#This Row],[Home Differential]])-Table4[[#This Row],[Away Differential]]</f>
        <v>0.34216018124051095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0.52717188979809537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0.22356642179710448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-7.3890719153774626E-2</v>
      </c>
      <c r="H178" t="s">
        <v>10</v>
      </c>
      <c r="I178">
        <f>VLOOKUP(Table4[[#This Row],[Visitor]],'NHL Model'!$A$6:$B$38,2,FALSE)</f>
        <v>-0.13160108676160023</v>
      </c>
      <c r="J178">
        <f>($B$1+Table4[[#This Row],[Home Differential]])-Table4[[#This Row],[Away Differential]]</f>
        <v>0.21713002913265275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0.57353372336696951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0.18187348510524048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0.35254565315374792</v>
      </c>
      <c r="H179" t="s">
        <v>26</v>
      </c>
      <c r="I179">
        <f>VLOOKUP(Table4[[#This Row],[Visitor]],'NHL Model'!$A$6:$B$38,2,FALSE)</f>
        <v>-0.67114180037169746</v>
      </c>
      <c r="J179">
        <f>($B$1+Table4[[#This Row],[Home Differential]])-Table4[[#This Row],[Away Differential]]</f>
        <v>1.1831071150502726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0.78450708846750739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4.6437194920750685E-2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-3.2309887002194844E-2</v>
      </c>
      <c r="H180" t="s">
        <v>12</v>
      </c>
      <c r="I180">
        <f>VLOOKUP(Table4[[#This Row],[Visitor]],'NHL Model'!$A$6:$B$38,2,FALSE)</f>
        <v>1.4583704516548168</v>
      </c>
      <c r="J180">
        <f>($B$1+Table4[[#This Row],[Home Differential]])-Table4[[#This Row],[Away Differential]]</f>
        <v>-1.3312606771321844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0.74278687589841685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6.6158591210096415E-2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0.21430145909042725</v>
      </c>
      <c r="H181" t="s">
        <v>30</v>
      </c>
      <c r="I181">
        <f>VLOOKUP(Table4[[#This Row],[Visitor]],'NHL Model'!$A$6:$B$38,2,FALSE)</f>
        <v>3.2883390994754517E-3</v>
      </c>
      <c r="J181">
        <f>($B$1+Table4[[#This Row],[Home Differential]])-Table4[[#This Row],[Away Differential]]</f>
        <v>0.37043278151577896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0.52032935507526568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0.27074263775304191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-0.12487089668223171</v>
      </c>
      <c r="H182" t="s">
        <v>25</v>
      </c>
      <c r="I182">
        <f>VLOOKUP(Table4[[#This Row],[Visitor]],'NHL Model'!$A$6:$B$38,2,FALSE)</f>
        <v>0.42254821659882374</v>
      </c>
      <c r="J182">
        <f>($B$1+Table4[[#This Row],[Home Differential]])-Table4[[#This Row],[Away Differential]]</f>
        <v>-0.3879994517562283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0.5354636397677579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0.28672130951333519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-0.49794713300108584</v>
      </c>
      <c r="H183" t="s">
        <v>22</v>
      </c>
      <c r="I183">
        <f>VLOOKUP(Table4[[#This Row],[Visitor]],'NHL Model'!$A$6:$B$38,2,FALSE)</f>
        <v>0.21430145909042725</v>
      </c>
      <c r="J183">
        <f>($B$1+Table4[[#This Row],[Home Differential]])-Table4[[#This Row],[Away Differential]]</f>
        <v>-0.55282893056668603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0.5456923057992954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0.29778009260855171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-0.72083617366747277</v>
      </c>
      <c r="H184" t="s">
        <v>35</v>
      </c>
      <c r="I184">
        <f>VLOOKUP(Table4[[#This Row],[Visitor]],'NHL Model'!$A$6:$B$38,2,FALSE)</f>
        <v>-1.5594075795597986</v>
      </c>
      <c r="J184">
        <f>($B$1+Table4[[#This Row],[Home Differential]])-Table4[[#This Row],[Away Differential]]</f>
        <v>0.99799106741715293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0.68970650667290934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9.6282052001129256E-2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-0.8561868317598319</v>
      </c>
      <c r="H185" t="s">
        <v>10</v>
      </c>
      <c r="I185">
        <f>VLOOKUP(Table4[[#This Row],[Visitor]],'NHL Model'!$A$6:$B$38,2,FALSE)</f>
        <v>-0.13160108676160023</v>
      </c>
      <c r="J185">
        <f>($B$1+Table4[[#This Row],[Home Differential]])-Table4[[#This Row],[Away Differential]]</f>
        <v>-0.56516608347340458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0.50475234074081876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0.25477492548333563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-0.21100886368613675</v>
      </c>
      <c r="H186" t="s">
        <v>39</v>
      </c>
      <c r="I186">
        <f>VLOOKUP(Table4[[#This Row],[Visitor]],'NHL Model'!$A$6:$B$38,2,FALSE)</f>
        <v>1.9153995907683643E-3</v>
      </c>
      <c r="J186">
        <f>($B$1+Table4[[#This Row],[Home Differential]])-Table4[[#This Row],[Away Differential]]</f>
        <v>-5.3504601752077968E-2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0.49602045423629965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0.24603629102078503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-0.31985119938240425</v>
      </c>
      <c r="H187" t="s">
        <v>24</v>
      </c>
      <c r="I187">
        <f>VLOOKUP(Table4[[#This Row],[Visitor]],'NHL Model'!$A$6:$B$38,2,FALSE)</f>
        <v>2.0731927685773251E-2</v>
      </c>
      <c r="J187">
        <f>($B$1+Table4[[#This Row],[Home Differential]])-Table4[[#This Row],[Away Differential]]</f>
        <v>-0.18116346554335036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0.48672639873135193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0.26344978975928712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-0.17681265190927384</v>
      </c>
      <c r="H188" t="s">
        <v>38</v>
      </c>
      <c r="I188">
        <f>VLOOKUP(Table4[[#This Row],[Visitor]],'NHL Model'!$A$6:$B$38,2,FALSE)</f>
        <v>-1.1267952052768424</v>
      </c>
      <c r="J188">
        <f>($B$1+Table4[[#This Row],[Home Differential]])-Table4[[#This Row],[Away Differential]]</f>
        <v>1.1094022148923957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0.67781729435556104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0.10380169581637121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-0.75480422558713034</v>
      </c>
      <c r="H189" t="s">
        <v>36</v>
      </c>
      <c r="I189">
        <f>VLOOKUP(Table4[[#This Row],[Visitor]],'NHL Model'!$A$6:$B$38,2,FALSE)</f>
        <v>-0.34257283900844787</v>
      </c>
      <c r="J189">
        <f>($B$1+Table4[[#This Row],[Home Differential]])-Table4[[#This Row],[Away Differential]]</f>
        <v>-0.25281172505385535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0.49613886149576858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0.24615376988631743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-1.6840122346544992</v>
      </c>
      <c r="H190" t="s">
        <v>16</v>
      </c>
      <c r="I190">
        <f>VLOOKUP(Table4[[#This Row],[Visitor]],'NHL Model'!$A$6:$B$38,2,FALSE)</f>
        <v>-1.1167763879247272</v>
      </c>
      <c r="J190">
        <f>($B$1+Table4[[#This Row],[Home Differential]])-Table4[[#This Row],[Away Differential]]</f>
        <v>-0.40781618520494489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0.51829639677398132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0.26863115490889228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-0.54160534998918008</v>
      </c>
      <c r="H191" t="s">
        <v>19</v>
      </c>
      <c r="I191">
        <f>VLOOKUP(Table4[[#This Row],[Visitor]],'NHL Model'!$A$6:$B$38,2,FALSE)</f>
        <v>-0.95664361852990654</v>
      </c>
      <c r="J191">
        <f>($B$1+Table4[[#This Row],[Home Differential]])-Table4[[#This Row],[Away Differential]]</f>
        <v>0.57445793006555357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0.6543635212600275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0.42819161795582245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-0.46055888840939002</v>
      </c>
      <c r="H192" t="s">
        <v>15</v>
      </c>
      <c r="I192">
        <f>VLOOKUP(Table4[[#This Row],[Visitor]],'NHL Model'!$A$6:$B$38,2,FALSE)</f>
        <v>-0.50599078340071213</v>
      </c>
      <c r="J192">
        <f>($B$1+Table4[[#This Row],[Home Differential]])-Table4[[#This Row],[Away Differential]]</f>
        <v>0.20485155651614928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0.51204168509876302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0.26218668727878081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-0.3479098095875402</v>
      </c>
      <c r="H193" t="s">
        <v>12</v>
      </c>
      <c r="I193">
        <f>VLOOKUP(Table4[[#This Row],[Visitor]],'NHL Model'!$A$6:$B$38,2,FALSE)</f>
        <v>1.4583704516548168</v>
      </c>
      <c r="J193">
        <f>($B$1+Table4[[#This Row],[Home Differential]])-Table4[[#This Row],[Away Differential]]</f>
        <v>-1.6468605997175298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0.78790116752376549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0.62078824978531277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-7.3890719153774626E-2</v>
      </c>
      <c r="H194" t="s">
        <v>14</v>
      </c>
      <c r="I194">
        <f>VLOOKUP(Table4[[#This Row],[Visitor]],'NHL Model'!$A$6:$B$38,2,FALSE)</f>
        <v>-0.2200802314358897</v>
      </c>
      <c r="J194">
        <f>($B$1+Table4[[#This Row],[Home Differential]])-Table4[[#This Row],[Away Differential]]</f>
        <v>0.30560917380694219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0.58618161599919238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0.17124565493703986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0.35254565315374792</v>
      </c>
      <c r="H195" t="s">
        <v>24</v>
      </c>
      <c r="I195">
        <f>VLOOKUP(Table4[[#This Row],[Visitor]],'NHL Model'!$A$6:$B$38,2,FALSE)</f>
        <v>2.0731927685773251E-2</v>
      </c>
      <c r="J195">
        <f>($B$1+Table4[[#This Row],[Home Differential]])-Table4[[#This Row],[Away Differential]]</f>
        <v>0.49123338699280183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0.70436703763899111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8.7398848434345699E-2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3.2883390994754517E-3</v>
      </c>
      <c r="H196" t="s">
        <v>28</v>
      </c>
      <c r="I196">
        <f>VLOOKUP(Table4[[#This Row],[Visitor]],'NHL Model'!$A$6:$B$38,2,FALSE)</f>
        <v>-0.72083617366747277</v>
      </c>
      <c r="J196">
        <f>($B$1+Table4[[#This Row],[Home Differential]])-Table4[[#This Row],[Away Differential]]</f>
        <v>0.88354417429177534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0.66630063156019259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0.11135526849712633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-0.54160534998918008</v>
      </c>
      <c r="H197" t="s">
        <v>16</v>
      </c>
      <c r="I197">
        <f>VLOOKUP(Table4[[#This Row],[Visitor]],'NHL Model'!$A$6:$B$38,2,FALSE)</f>
        <v>-1.1167763879247272</v>
      </c>
      <c r="J197">
        <f>($B$1+Table4[[#This Row],[Home Differential]])-Table4[[#This Row],[Away Differential]]</f>
        <v>0.73459069946037425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0.67725413668880363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0.4586731656620967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-0.3479098095875402</v>
      </c>
      <c r="H198" t="s">
        <v>26</v>
      </c>
      <c r="I198">
        <f>VLOOKUP(Table4[[#This Row],[Visitor]],'NHL Model'!$A$6:$B$38,2,FALSE)</f>
        <v>-0.67114180037169746</v>
      </c>
      <c r="J198">
        <f>($B$1+Table4[[#This Row],[Home Differential]])-Table4[[#This Row],[Away Differential]]</f>
        <v>0.48265165230898444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0.58822472593820663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0.34600832820507832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-0.1349739904770427</v>
      </c>
      <c r="H199" t="s">
        <v>37</v>
      </c>
      <c r="I199">
        <f>VLOOKUP(Table4[[#This Row],[Visitor]],'NHL Model'!$A$6:$B$38,2,FALSE)</f>
        <v>0.1846559193064522</v>
      </c>
      <c r="J199">
        <f>($B$1+Table4[[#This Row],[Home Differential]])-Table4[[#This Row],[Away Differential]]</f>
        <v>-0.16021024825866775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0.48444015239472749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0.26580195646277183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-1.6840122346544992</v>
      </c>
      <c r="H200" t="s">
        <v>38</v>
      </c>
      <c r="I200">
        <f>VLOOKUP(Table4[[#This Row],[Visitor]],'NHL Model'!$A$6:$B$38,2,FALSE)</f>
        <v>-1.1267952052768424</v>
      </c>
      <c r="J200">
        <f>($B$1+Table4[[#This Row],[Home Differential]])-Table4[[#This Row],[Away Differential]]</f>
        <v>-0.39779736785282971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0.53763346037389903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0.2137828169658148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-0.46055888840939002</v>
      </c>
      <c r="H201" t="s">
        <v>10</v>
      </c>
      <c r="I201">
        <f>VLOOKUP(Table4[[#This Row],[Visitor]],'NHL Model'!$A$6:$B$38,2,FALSE)</f>
        <v>-0.13160108676160023</v>
      </c>
      <c r="J201">
        <f>($B$1+Table4[[#This Row],[Home Differential]])-Table4[[#This Row],[Away Differential]]</f>
        <v>-0.16953814012296262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0.45819735594840161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0.20994481699810624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-1.5594075795597986</v>
      </c>
      <c r="H202" t="s">
        <v>17</v>
      </c>
      <c r="I202">
        <f>VLOOKUP(Table4[[#This Row],[Visitor]],'NHL Model'!$A$6:$B$38,2,FALSE)</f>
        <v>-0.8561868317598319</v>
      </c>
      <c r="J202">
        <f>($B$1+Table4[[#This Row],[Home Differential]])-Table4[[#This Row],[Away Differential]]</f>
        <v>-0.54380108627513957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0.53773512931000067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0.28915906929404317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-0.95664361852990654</v>
      </c>
      <c r="H203" t="s">
        <v>14</v>
      </c>
      <c r="I203">
        <f>VLOOKUP(Table4[[#This Row],[Visitor]],'NHL Model'!$A$6:$B$38,2,FALSE)</f>
        <v>-0.2200802314358897</v>
      </c>
      <c r="J203">
        <f>($B$1+Table4[[#This Row],[Home Differential]])-Table4[[#This Row],[Away Differential]]</f>
        <v>-0.57714372556918969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0.54250138381459045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0.29430775144074561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0.35254565315374792</v>
      </c>
      <c r="H204" t="s">
        <v>11</v>
      </c>
      <c r="I204">
        <f>VLOOKUP(Table4[[#This Row],[Visitor]],'NHL Model'!$A$6:$B$38,2,FALSE)</f>
        <v>-0.21100886368613675</v>
      </c>
      <c r="J204">
        <f>($B$1+Table4[[#This Row],[Home Differential]])-Table4[[#This Row],[Away Differential]]</f>
        <v>0.72297417836471189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0.73826815051301342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6.8503561035878596E-2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-0.49794713300108584</v>
      </c>
      <c r="H205" t="s">
        <v>55</v>
      </c>
      <c r="I205">
        <f>VLOOKUP(Table4[[#This Row],[Visitor]],'NHL Model'!$A$6:$B$38,2,FALSE)</f>
        <v>-0.1349739904770427</v>
      </c>
      <c r="J205">
        <f>($B$1+Table4[[#This Row],[Home Differential]])-Table4[[#This Row],[Away Differential]]</f>
        <v>-0.20355348099921602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0.47508088696566581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0.27554007522875218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1.4583704516548168</v>
      </c>
      <c r="H206" t="s">
        <v>37</v>
      </c>
      <c r="I206">
        <f>VLOOKUP(Table4[[#This Row],[Visitor]],'NHL Model'!$A$6:$B$38,2,FALSE)</f>
        <v>0.1846559193064522</v>
      </c>
      <c r="J206">
        <f>($B$1+Table4[[#This Row],[Home Differential]])-Table4[[#This Row],[Away Differential]]</f>
        <v>1.4331341938731916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0.77629184715757593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5.0045337648169368E-2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1.9153995907683643E-3</v>
      </c>
      <c r="H207" t="s">
        <v>17</v>
      </c>
      <c r="I207">
        <f>VLOOKUP(Table4[[#This Row],[Visitor]],'NHL Model'!$A$6:$B$38,2,FALSE)</f>
        <v>-0.8561868317598319</v>
      </c>
      <c r="J207">
        <f>($B$1+Table4[[#This Row],[Home Differential]])-Table4[[#This Row],[Away Differential]]</f>
        <v>1.0175218928754275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0.68794792112610581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9.7376499929519078E-2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-0.31985119938240425</v>
      </c>
      <c r="H208" t="s">
        <v>40</v>
      </c>
      <c r="I208">
        <f>VLOOKUP(Table4[[#This Row],[Visitor]],'NHL Model'!$A$6:$B$38,2,FALSE)</f>
        <v>-7.3890719153774626E-2</v>
      </c>
      <c r="J208">
        <f>($B$1+Table4[[#This Row],[Home Differential]])-Table4[[#This Row],[Away Differential]]</f>
        <v>-8.654081870380248E-2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0.53868660281393133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0.2901832560512142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-0.17681265190927384</v>
      </c>
      <c r="H209" t="s">
        <v>29</v>
      </c>
      <c r="I209">
        <f>VLOOKUP(Table4[[#This Row],[Visitor]],'NHL Model'!$A$6:$B$38,2,FALSE)</f>
        <v>-1.6840122346544992</v>
      </c>
      <c r="J209">
        <f>($B$1+Table4[[#This Row],[Home Differential]])-Table4[[#This Row],[Away Differential]]</f>
        <v>1.6666192442700525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0.77823943300900089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4.9177749072169402E-2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-0.75480422558713034</v>
      </c>
      <c r="H210" t="s">
        <v>27</v>
      </c>
      <c r="I210">
        <f>VLOOKUP(Table4[[#This Row],[Visitor]],'NHL Model'!$A$6:$B$38,2,FALSE)</f>
        <v>-0.54160534998918008</v>
      </c>
      <c r="J210">
        <f>($B$1+Table4[[#This Row],[Home Differential]])-Table4[[#This Row],[Away Differential]]</f>
        <v>-5.3779214073123138E-2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0.4676876164201873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0.28335647371242167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3.2883390994754517E-3</v>
      </c>
      <c r="H211" t="s">
        <v>21</v>
      </c>
      <c r="I211">
        <f>VLOOKUP(Table4[[#This Row],[Visitor]],'NHL Model'!$A$6:$B$38,2,FALSE)</f>
        <v>-0.12487089668223171</v>
      </c>
      <c r="J211">
        <f>($B$1+Table4[[#This Row],[Home Differential]])-Table4[[#This Row],[Away Differential]]</f>
        <v>0.2875788973065343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0.58110874974905846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0.33768737903491386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-0.50599078340071213</v>
      </c>
      <c r="H212" t="s">
        <v>25</v>
      </c>
      <c r="I212">
        <f>VLOOKUP(Table4[[#This Row],[Visitor]],'NHL Model'!$A$6:$B$38,2,FALSE)</f>
        <v>0.42254821659882374</v>
      </c>
      <c r="J212">
        <f>($B$1+Table4[[#This Row],[Home Differential]])-Table4[[#This Row],[Away Differential]]</f>
        <v>-0.76911933847470881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0.64256703045737862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0.1277583277160565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-3.2309887002194844E-2</v>
      </c>
      <c r="H213" t="s">
        <v>26</v>
      </c>
      <c r="I213">
        <f>VLOOKUP(Table4[[#This Row],[Visitor]],'NHL Model'!$A$6:$B$38,2,FALSE)</f>
        <v>-0.67114180037169746</v>
      </c>
      <c r="J213">
        <f>($B$1+Table4[[#This Row],[Home Differential]])-Table4[[#This Row],[Away Differential]]</f>
        <v>0.79825157489432974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0.63333901756355515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0.13444027604125891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-1.1167763879247272</v>
      </c>
      <c r="H214" t="s">
        <v>28</v>
      </c>
      <c r="I214">
        <f>VLOOKUP(Table4[[#This Row],[Visitor]],'NHL Model'!$A$6:$B$38,2,FALSE)</f>
        <v>-0.72083617366747277</v>
      </c>
      <c r="J214">
        <f>($B$1+Table4[[#This Row],[Home Differential]])-Table4[[#This Row],[Away Differential]]</f>
        <v>-0.23652055273242734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0.49381007543965366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0.24384839060571645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-0.46055888840939002</v>
      </c>
      <c r="H215" t="s">
        <v>33</v>
      </c>
      <c r="I215">
        <f>VLOOKUP(Table4[[#This Row],[Visitor]],'NHL Model'!$A$6:$B$38,2,FALSE)</f>
        <v>-0.3479098095875402</v>
      </c>
      <c r="J215">
        <f>($B$1+Table4[[#This Row],[Home Differential]])-Table4[[#This Row],[Away Differential]]</f>
        <v>4.6770582702977348E-2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0.57272348434438147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0.32801218951956895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-0.95664361852990654</v>
      </c>
      <c r="H216" t="s">
        <v>55</v>
      </c>
      <c r="I216">
        <f>VLOOKUP(Table4[[#This Row],[Visitor]],'NHL Model'!$A$6:$B$38,2,FALSE)</f>
        <v>-0.1349739904770427</v>
      </c>
      <c r="J216">
        <f>($B$1+Table4[[#This Row],[Home Differential]])-Table4[[#This Row],[Away Differential]]</f>
        <v>-0.66224996652803669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0.55466712752676228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0.30765562235878957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-1.1267952052768424</v>
      </c>
      <c r="H217" t="s">
        <v>10</v>
      </c>
      <c r="I217">
        <f>VLOOKUP(Table4[[#This Row],[Visitor]],'NHL Model'!$A$6:$B$38,2,FALSE)</f>
        <v>-0.13160108676160023</v>
      </c>
      <c r="J217">
        <f>($B$1+Table4[[#This Row],[Home Differential]])-Table4[[#This Row],[Away Differential]]</f>
        <v>-0.83577445699041508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0.57947205904490229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0.17684374912393414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0.21430145909042725</v>
      </c>
      <c r="H218" t="s">
        <v>35</v>
      </c>
      <c r="I218">
        <f>VLOOKUP(Table4[[#This Row],[Visitor]],'NHL Model'!$A$6:$B$38,2,FALSE)</f>
        <v>-1.5594075795597986</v>
      </c>
      <c r="J218">
        <f>($B$1+Table4[[#This Row],[Home Differential]])-Table4[[#This Row],[Away Differential]]</f>
        <v>1.933128700175053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0.81633635399718585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3.3732334863047032E-2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-0.12487089668223171</v>
      </c>
      <c r="H219" t="s">
        <v>36</v>
      </c>
      <c r="I219">
        <f>VLOOKUP(Table4[[#This Row],[Visitor]],'NHL Model'!$A$6:$B$38,2,FALSE)</f>
        <v>-0.34257283900844787</v>
      </c>
      <c r="J219">
        <f>($B$1+Table4[[#This Row],[Home Differential]])-Table4[[#This Row],[Away Differential]]</f>
        <v>0.37712160385104332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0.6456246524646837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0.12558188694077621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-0.49794713300108584</v>
      </c>
      <c r="H220" t="s">
        <v>35</v>
      </c>
      <c r="I220">
        <f>VLOOKUP(Table4[[#This Row],[Visitor]],'NHL Model'!$A$6:$B$38,2,FALSE)</f>
        <v>-1.5594075795597986</v>
      </c>
      <c r="J220">
        <f>($B$1+Table4[[#This Row],[Home Differential]])-Table4[[#This Row],[Away Differential]]</f>
        <v>1.2208801080835399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0.7285386570836313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0.53076857486522089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0.42254821659882374</v>
      </c>
      <c r="H221" t="s">
        <v>34</v>
      </c>
      <c r="I221">
        <f>VLOOKUP(Table4[[#This Row],[Visitor]],'NHL Model'!$A$6:$B$38,2,FALSE)</f>
        <v>-0.17681265190927384</v>
      </c>
      <c r="J221">
        <f>($B$1+Table4[[#This Row],[Home Differential]])-Table4[[#This Row],[Away Differential]]</f>
        <v>0.75878053003292478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0.67989452360980152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0.10246751601499592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1.9153995907683643E-3</v>
      </c>
      <c r="H222" t="s">
        <v>31</v>
      </c>
      <c r="I222">
        <f>VLOOKUP(Table4[[#This Row],[Visitor]],'NHL Model'!$A$6:$B$38,2,FALSE)</f>
        <v>0.35254565315374792</v>
      </c>
      <c r="J222">
        <f>($B$1+Table4[[#This Row],[Home Differential]])-Table4[[#This Row],[Away Differential]]</f>
        <v>-0.19121059203815241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0.50559398910592968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0.24443730360818758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-0.31985119938240425</v>
      </c>
      <c r="H223" t="s">
        <v>11</v>
      </c>
      <c r="I223">
        <f>VLOOKUP(Table4[[#This Row],[Visitor]],'NHL Model'!$A$6:$B$38,2,FALSE)</f>
        <v>-0.21100886368613675</v>
      </c>
      <c r="J223">
        <f>($B$1+Table4[[#This Row],[Home Differential]])-Table4[[#This Row],[Away Differential]]</f>
        <v>5.0577325828559644E-2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0.54722991377300767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0.29946057852801339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2.0731927685773251E-2</v>
      </c>
      <c r="H224" t="s">
        <v>18</v>
      </c>
      <c r="I224">
        <f>VLOOKUP(Table4[[#This Row],[Visitor]],'NHL Model'!$A$6:$B$38,2,FALSE)</f>
        <v>-0.75480422558713034</v>
      </c>
      <c r="J224">
        <f>($B$1+Table4[[#This Row],[Home Differential]])-Table4[[#This Row],[Away Differential]]</f>
        <v>0.93495581479773071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0.74903442410468513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6.2983720284467054E-2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-1.6840122346544992</v>
      </c>
      <c r="H225" t="s">
        <v>27</v>
      </c>
      <c r="I225">
        <f>VLOOKUP(Table4[[#This Row],[Visitor]],'NHL Model'!$A$6:$B$38,2,FALSE)</f>
        <v>-0.54160534998918008</v>
      </c>
      <c r="J225">
        <f>($B$1+Table4[[#This Row],[Home Differential]])-Table4[[#This Row],[Away Differential]]</f>
        <v>-0.98298722314049203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0.60051578937494643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0.15958763453872216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-0.2200802314358897</v>
      </c>
      <c r="H226" t="s">
        <v>22</v>
      </c>
      <c r="I226">
        <f>VLOOKUP(Table4[[#This Row],[Visitor]],'NHL Model'!$A$6:$B$38,2,FALSE)</f>
        <v>0.21430145909042725</v>
      </c>
      <c r="J226">
        <f>($B$1+Table4[[#This Row],[Home Differential]])-Table4[[#This Row],[Away Differential]]</f>
        <v>-0.2749620290014898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0.52007442787020985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0.27047741052452612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-3.2309887002194844E-2</v>
      </c>
      <c r="H227" t="s">
        <v>37</v>
      </c>
      <c r="I227">
        <f>VLOOKUP(Table4[[#This Row],[Visitor]],'NHL Model'!$A$6:$B$38,2,FALSE)</f>
        <v>0.1846559193064522</v>
      </c>
      <c r="J227">
        <f>($B$1+Table4[[#This Row],[Home Differential]])-Table4[[#This Row],[Away Differential]]</f>
        <v>-5.7546144783819891E-2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0.53454188007733361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0.2166512614019433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-1.1167763879247272</v>
      </c>
      <c r="H228" t="s">
        <v>10</v>
      </c>
      <c r="I228">
        <f>VLOOKUP(Table4[[#This Row],[Visitor]],'NHL Model'!$A$6:$B$38,2,FALSE)</f>
        <v>-0.13160108676160023</v>
      </c>
      <c r="J228">
        <f>($B$1+Table4[[#This Row],[Home Differential]])-Table4[[#This Row],[Away Differential]]</f>
        <v>-0.8257556396382999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0.57803989187558935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0.17805033284836433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-0.67114180037169746</v>
      </c>
      <c r="H229" t="s">
        <v>15</v>
      </c>
      <c r="I229">
        <f>VLOOKUP(Table4[[#This Row],[Visitor]],'NHL Model'!$A$6:$B$38,2,FALSE)</f>
        <v>-0.50599078340071213</v>
      </c>
      <c r="J229">
        <f>($B$1+Table4[[#This Row],[Home Differential]])-Table4[[#This Row],[Away Differential]]</f>
        <v>-5.731355446158215E-3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0.51173631480225834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0.23840142628287936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3.2883390994754517E-3</v>
      </c>
      <c r="H230" t="s">
        <v>34</v>
      </c>
      <c r="I230">
        <f>VLOOKUP(Table4[[#This Row],[Visitor]],'NHL Model'!$A$6:$B$38,2,FALSE)</f>
        <v>-0.17681265190927384</v>
      </c>
      <c r="J230">
        <f>($B$1+Table4[[#This Row],[Home Differential]])-Table4[[#This Row],[Away Differential]]</f>
        <v>0.33952065253357644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0.56776447483421821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0.3223564988837756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-0.3479098095875402</v>
      </c>
      <c r="H231" t="s">
        <v>40</v>
      </c>
      <c r="I231">
        <f>VLOOKUP(Table4[[#This Row],[Visitor]],'NHL Model'!$A$6:$B$38,2,FALSE)</f>
        <v>-7.3890719153774626E-2</v>
      </c>
      <c r="J231">
        <f>($B$1+Table4[[#This Row],[Home Differential]])-Table4[[#This Row],[Away Differential]]</f>
        <v>-0.11459942890893843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0.54269751737001515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0.29452059535957792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0.42254821659882374</v>
      </c>
      <c r="H232" t="s">
        <v>23</v>
      </c>
      <c r="I232">
        <f>VLOOKUP(Table4[[#This Row],[Visitor]],'NHL Model'!$A$6:$B$38,2,FALSE)</f>
        <v>-0.49794713300108584</v>
      </c>
      <c r="J232">
        <f>($B$1+Table4[[#This Row],[Home Differential]])-Table4[[#This Row],[Away Differential]]</f>
        <v>1.0799150111247369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0.74608737269727121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6.4471622303774456E-2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-0.8561868317598319</v>
      </c>
      <c r="H233" t="s">
        <v>12</v>
      </c>
      <c r="I233">
        <f>VLOOKUP(Table4[[#This Row],[Visitor]],'NHL Model'!$A$6:$B$38,2,FALSE)</f>
        <v>1.4583704516548168</v>
      </c>
      <c r="J233">
        <f>($B$1+Table4[[#This Row],[Home Differential]])-Table4[[#This Row],[Away Differential]]</f>
        <v>-2.1551376218898217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0.82420105702354962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3.090526835163725E-2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-0.75480422558713034</v>
      </c>
      <c r="H234" t="s">
        <v>55</v>
      </c>
      <c r="I234">
        <f>VLOOKUP(Table4[[#This Row],[Visitor]],'NHL Model'!$A$6:$B$38,2,FALSE)</f>
        <v>-0.1349739904770427</v>
      </c>
      <c r="J234">
        <f>($B$1+Table4[[#This Row],[Home Differential]])-Table4[[#This Row],[Away Differential]]</f>
        <v>-0.4604105735852605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0.52581464505430131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0.27648104095358089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2.0731927685773251E-2</v>
      </c>
      <c r="H235" t="s">
        <v>14</v>
      </c>
      <c r="I235">
        <f>VLOOKUP(Table4[[#This Row],[Visitor]],'NHL Model'!$A$6:$B$38,2,FALSE)</f>
        <v>-0.2200802314358897</v>
      </c>
      <c r="J235">
        <f>($B$1+Table4[[#This Row],[Home Differential]])-Table4[[#This Row],[Away Differential]]</f>
        <v>0.4002318206464901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0.71619081229444581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8.054765502608649E-2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-1.6840122346544992</v>
      </c>
      <c r="H236" t="s">
        <v>39</v>
      </c>
      <c r="I236">
        <f>VLOOKUP(Table4[[#This Row],[Visitor]],'NHL Model'!$A$6:$B$38,2,FALSE)</f>
        <v>1.9153995907683643E-3</v>
      </c>
      <c r="J236">
        <f>($B$1+Table4[[#This Row],[Home Differential]])-Table4[[#This Row],[Away Differential]]</f>
        <v>-1.5265079727204405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0.75916911412506949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5.7999515591303806E-2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-0.50599078340071213</v>
      </c>
      <c r="H237" t="s">
        <v>30</v>
      </c>
      <c r="I237">
        <f>VLOOKUP(Table4[[#This Row],[Visitor]],'NHL Model'!$A$6:$B$38,2,FALSE)</f>
        <v>3.2883390994754517E-3</v>
      </c>
      <c r="J237">
        <f>($B$1+Table4[[#This Row],[Home Differential]])-Table4[[#This Row],[Away Differential]]</f>
        <v>-0.34985946097536047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0.58263478387959755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0.17419372362723023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-0.54160534998918008</v>
      </c>
      <c r="H238" t="s">
        <v>36</v>
      </c>
      <c r="I238">
        <f>VLOOKUP(Table4[[#This Row],[Visitor]],'NHL Model'!$A$6:$B$38,2,FALSE)</f>
        <v>-0.34257283900844787</v>
      </c>
      <c r="J238">
        <f>($B$1+Table4[[#This Row],[Home Differential]])-Table4[[#This Row],[Away Differential]]</f>
        <v>-3.9612849455905097E-2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0.43341650098774293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0.32101686135297236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-0.3479098095875402</v>
      </c>
      <c r="H239" t="s">
        <v>11</v>
      </c>
      <c r="I239">
        <f>VLOOKUP(Table4[[#This Row],[Visitor]],'NHL Model'!$A$6:$B$38,2,FALSE)</f>
        <v>-0.21100886368613675</v>
      </c>
      <c r="J239">
        <f>($B$1+Table4[[#This Row],[Home Differential]])-Table4[[#This Row],[Away Differential]]</f>
        <v>2.2518715623423696E-2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0.54321899921692385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0.20864888267638862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-1.5594075795597986</v>
      </c>
      <c r="H240" t="s">
        <v>32</v>
      </c>
      <c r="I240">
        <f>VLOOKUP(Table4[[#This Row],[Visitor]],'NHL Model'!$A$6:$B$38,2,FALSE)</f>
        <v>-0.46055888840939002</v>
      </c>
      <c r="J240">
        <f>($B$1+Table4[[#This Row],[Home Differential]])-Table4[[#This Row],[Away Differential]]</f>
        <v>-0.93942902962558139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0.59428924461280808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0.16460121703684588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0.1846559193064522</v>
      </c>
      <c r="H241" t="s">
        <v>22</v>
      </c>
      <c r="I241">
        <f>VLOOKUP(Table4[[#This Row],[Visitor]],'NHL Model'!$A$6:$B$38,2,FALSE)</f>
        <v>0.21430145909042725</v>
      </c>
      <c r="J241">
        <f>($B$1+Table4[[#This Row],[Home Differential]])-Table4[[#This Row],[Away Differential]]</f>
        <v>0.12977412174085207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0.55701245420853784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0.19623796572634278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-0.95664361852990654</v>
      </c>
      <c r="H242" t="s">
        <v>21</v>
      </c>
      <c r="I242">
        <f>VLOOKUP(Table4[[#This Row],[Visitor]],'NHL Model'!$A$6:$B$38,2,FALSE)</f>
        <v>-0.12487089668223171</v>
      </c>
      <c r="J242">
        <f>($B$1+Table4[[#This Row],[Home Differential]])-Table4[[#This Row],[Away Differential]]</f>
        <v>-0.6723530603228477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0.55611134182201172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0.19703714085905491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-1.1267952052768424</v>
      </c>
      <c r="H243" t="s">
        <v>28</v>
      </c>
      <c r="I243">
        <f>VLOOKUP(Table4[[#This Row],[Visitor]],'NHL Model'!$A$6:$B$38,2,FALSE)</f>
        <v>-0.72083617366747277</v>
      </c>
      <c r="J243">
        <f>($B$1+Table4[[#This Row],[Home Differential]])-Table4[[#This Row],[Away Differential]]</f>
        <v>-0.24653937008454252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0.49524224260896654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0.24526487886435847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-3.2309887002194844E-2</v>
      </c>
      <c r="H244" t="s">
        <v>31</v>
      </c>
      <c r="I244">
        <f>VLOOKUP(Table4[[#This Row],[Visitor]],'NHL Model'!$A$6:$B$38,2,FALSE)</f>
        <v>0.35254565315374792</v>
      </c>
      <c r="J244">
        <f>($B$1+Table4[[#This Row],[Home Differential]])-Table4[[#This Row],[Away Differential]]</f>
        <v>-0.22543587863111561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0.51299477723979603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0.2371740869957159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0.35254565315374792</v>
      </c>
      <c r="H245" t="s">
        <v>40</v>
      </c>
      <c r="I245">
        <f>VLOOKUP(Table4[[#This Row],[Visitor]],'NHL Model'!$A$6:$B$38,2,FALSE)</f>
        <v>-7.3890719153774626E-2</v>
      </c>
      <c r="J245">
        <f>($B$1+Table4[[#This Row],[Home Differential]])-Table4[[#This Row],[Away Differential]]</f>
        <v>0.58585603383234974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0.65517535990769515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0.11890403241478757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1.9153995907683643E-3</v>
      </c>
      <c r="H246" t="s">
        <v>32</v>
      </c>
      <c r="I246">
        <f>VLOOKUP(Table4[[#This Row],[Visitor]],'NHL Model'!$A$6:$B$38,2,FALSE)</f>
        <v>-0.46055888840939002</v>
      </c>
      <c r="J246">
        <f>($B$1+Table4[[#This Row],[Home Differential]])-Table4[[#This Row],[Away Differential]]</f>
        <v>0.62189394952498556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0.6313938058232984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0.13587052638543223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-0.67114180037169746</v>
      </c>
      <c r="H247" t="s">
        <v>10</v>
      </c>
      <c r="I247">
        <f>VLOOKUP(Table4[[#This Row],[Visitor]],'NHL Model'!$A$6:$B$38,2,FALSE)</f>
        <v>-0.13160108676160023</v>
      </c>
      <c r="J247">
        <f>($B$1+Table4[[#This Row],[Home Differential]])-Table4[[#This Row],[Away Differential]]</f>
        <v>-0.38012105208527014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0.48209137463284119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0.26822934422970002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-0.17681265190927384</v>
      </c>
      <c r="H248" t="s">
        <v>16</v>
      </c>
      <c r="I248">
        <f>VLOOKUP(Table4[[#This Row],[Visitor]],'NHL Model'!$A$6:$B$38,2,FALSE)</f>
        <v>-1.1167763879247272</v>
      </c>
      <c r="J248">
        <f>($B$1+Table4[[#This Row],[Home Differential]])-Table4[[#This Row],[Away Differential]]</f>
        <v>1.0993833975402805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0.69715435795547886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9.1715482905358234E-2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-0.34257283900844787</v>
      </c>
      <c r="H249" t="s">
        <v>55</v>
      </c>
      <c r="I249">
        <f>VLOOKUP(Table4[[#This Row],[Visitor]],'NHL Model'!$A$6:$B$38,2,FALSE)</f>
        <v>-0.1349739904770427</v>
      </c>
      <c r="J249">
        <f>($B$1+Table4[[#This Row],[Home Differential]])-Table4[[#This Row],[Away Differential]]</f>
        <v>-4.8179187006578028E-2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0.46439162607465195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0.21565958236825936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-0.2200802314358897</v>
      </c>
      <c r="H250" t="s">
        <v>13</v>
      </c>
      <c r="I250">
        <f>VLOOKUP(Table4[[#This Row],[Visitor]],'NHL Model'!$A$6:$B$38,2,FALSE)</f>
        <v>-0.31985119938240425</v>
      </c>
      <c r="J250">
        <f>($B$1+Table4[[#This Row],[Home Differential]])-Table4[[#This Row],[Away Differential]]</f>
        <v>0.25919062947134169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0.49357245051445198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0.24361376390684114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-0.95664361852990654</v>
      </c>
      <c r="H251" t="s">
        <v>25</v>
      </c>
      <c r="I251">
        <f>VLOOKUP(Table4[[#This Row],[Visitor]],'NHL Model'!$A$6:$B$38,2,FALSE)</f>
        <v>0.42254821659882374</v>
      </c>
      <c r="J251">
        <f>($B$1+Table4[[#This Row],[Home Differential]])-Table4[[#This Row],[Away Differential]]</f>
        <v>-1.2197721736039031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0.70698682897716658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8.5856718392856232E-2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-1.1267952052768424</v>
      </c>
      <c r="H252" t="s">
        <v>12</v>
      </c>
      <c r="I252">
        <f>VLOOKUP(Table4[[#This Row],[Visitor]],'NHL Model'!$A$6:$B$38,2,FALSE)</f>
        <v>1.4583704516548168</v>
      </c>
      <c r="J252">
        <f>($B$1+Table4[[#This Row],[Home Differential]])-Table4[[#This Row],[Away Differential]]</f>
        <v>-2.4257459954068321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0.89924106455542552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1.0152363071923928E-2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-0.8561868317598319</v>
      </c>
      <c r="H253" t="s">
        <v>28</v>
      </c>
      <c r="I253">
        <f>VLOOKUP(Table4[[#This Row],[Visitor]],'NHL Model'!$A$6:$B$38,2,FALSE)</f>
        <v>-0.72083617366747277</v>
      </c>
      <c r="J253">
        <f>($B$1+Table4[[#This Row],[Home Differential]])-Table4[[#This Row],[Away Differential]]</f>
        <v>2.4069003432467984E-2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0.57947747569511709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0.17683919344775084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2.0731927685773251E-2</v>
      </c>
      <c r="H254" t="s">
        <v>30</v>
      </c>
      <c r="I254">
        <f>VLOOKUP(Table4[[#This Row],[Visitor]],'NHL Model'!$A$6:$B$38,2,FALSE)</f>
        <v>3.2883390994754517E-3</v>
      </c>
      <c r="J254">
        <f>($B$1+Table4[[#This Row],[Home Differential]])-Table4[[#This Row],[Away Differential]]</f>
        <v>0.17686325011112494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0.61619129053055155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0.37969170652570661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-0.50599078340071213</v>
      </c>
      <c r="H255" t="s">
        <v>29</v>
      </c>
      <c r="I255">
        <f>VLOOKUP(Table4[[#This Row],[Visitor]],'NHL Model'!$A$6:$B$38,2,FALSE)</f>
        <v>-1.6840122346544992</v>
      </c>
      <c r="J255">
        <f>($B$1+Table4[[#This Row],[Home Differential]])-Table4[[#This Row],[Away Differential]]</f>
        <v>1.3374411127786141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0.73118416728162683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7.2261951920072384E-2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-3.2309887002194844E-2</v>
      </c>
      <c r="H256" t="s">
        <v>11</v>
      </c>
      <c r="I256">
        <f>VLOOKUP(Table4[[#This Row],[Visitor]],'NHL Model'!$A$6:$B$38,2,FALSE)</f>
        <v>-0.21100886368613675</v>
      </c>
      <c r="J256">
        <f>($B$1+Table4[[#This Row],[Home Differential]])-Table4[[#This Row],[Away Differential]]</f>
        <v>0.33811863820876908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0.58833329084227237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0.34613606111329787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-0.12487089668223171</v>
      </c>
      <c r="H257" t="s">
        <v>19</v>
      </c>
      <c r="I257">
        <f>VLOOKUP(Table4[[#This Row],[Visitor]],'NHL Model'!$A$6:$B$38,2,FALSE)</f>
        <v>-0.95664361852990654</v>
      </c>
      <c r="J257">
        <f>($B$1+Table4[[#This Row],[Home Differential]])-Table4[[#This Row],[Away Differential]]</f>
        <v>0.99119238337250193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0.73340467471245407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7.1073067465172418E-2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0.42254821659882374</v>
      </c>
      <c r="H258" t="s">
        <v>22</v>
      </c>
      <c r="I258">
        <f>VLOOKUP(Table4[[#This Row],[Visitor]],'NHL Model'!$A$6:$B$38,2,FALSE)</f>
        <v>0.21430145909042725</v>
      </c>
      <c r="J258">
        <f>($B$1+Table4[[#This Row],[Home Differential]])-Table4[[#This Row],[Away Differential]]</f>
        <v>0.36766641903322367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0.62398565038231224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0.38935809188303722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1.4583704516548168</v>
      </c>
      <c r="H259" t="s">
        <v>31</v>
      </c>
      <c r="I259">
        <f>VLOOKUP(Table4[[#This Row],[Visitor]],'NHL Model'!$A$6:$B$38,2,FALSE)</f>
        <v>0.35254565315374792</v>
      </c>
      <c r="J259">
        <f>($B$1+Table4[[#This Row],[Home Differential]])-Table4[[#This Row],[Away Differential]]</f>
        <v>1.2652444600258961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0.79624843524670397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4.1514700139416584E-2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-0.17681265190927384</v>
      </c>
      <c r="H260" t="s">
        <v>33</v>
      </c>
      <c r="I260">
        <f>VLOOKUP(Table4[[#This Row],[Visitor]],'NHL Model'!$A$6:$B$38,2,FALSE)</f>
        <v>-0.3479098095875402</v>
      </c>
      <c r="J260">
        <f>($B$1+Table4[[#This Row],[Home Differential]])-Table4[[#This Row],[Away Differential]]</f>
        <v>0.3305168192030935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0.58724662809313177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0.34485860220675302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-0.75480422558713034</v>
      </c>
      <c r="H261" t="s">
        <v>13</v>
      </c>
      <c r="I261">
        <f>VLOOKUP(Table4[[#This Row],[Visitor]],'NHL Model'!$A$6:$B$38,2,FALSE)</f>
        <v>-0.31985119938240425</v>
      </c>
      <c r="J261">
        <f>($B$1+Table4[[#This Row],[Home Differential]])-Table4[[#This Row],[Away Differential]]</f>
        <v>-0.27553336467989897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0.58286512910721833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0.17400150051473764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-0.34257283900844787</v>
      </c>
      <c r="H262" t="s">
        <v>39</v>
      </c>
      <c r="I262">
        <f>VLOOKUP(Table4[[#This Row],[Visitor]],'NHL Model'!$A$6:$B$38,2,FALSE)</f>
        <v>1.9153995907683643E-3</v>
      </c>
      <c r="J262">
        <f>($B$1+Table4[[#This Row],[Home Differential]])-Table4[[#This Row],[Away Differential]]</f>
        <v>-0.18506857707438909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0.56491667092300002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0.18929750324072506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-0.46055888840939002</v>
      </c>
      <c r="H263" t="s">
        <v>28</v>
      </c>
      <c r="I263">
        <f>VLOOKUP(Table4[[#This Row],[Visitor]],'NHL Model'!$A$6:$B$38,2,FALSE)</f>
        <v>-0.72083617366747277</v>
      </c>
      <c r="J263">
        <f>($B$1+Table4[[#This Row],[Home Differential]])-Table4[[#This Row],[Away Differential]]</f>
        <v>0.41969694678290992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0.62603246048753414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0.39191664158407596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-1.5594075795597986</v>
      </c>
      <c r="H264" t="s">
        <v>16</v>
      </c>
      <c r="I264">
        <f>VLOOKUP(Table4[[#This Row],[Visitor]],'NHL Model'!$A$6:$B$38,2,FALSE)</f>
        <v>-1.1167763879247272</v>
      </c>
      <c r="J264">
        <f>($B$1+Table4[[#This Row],[Home Differential]])-Table4[[#This Row],[Away Differential]]</f>
        <v>-0.28321153011024425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0.500484444534677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0.25048467922118417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-1.1267952052768424</v>
      </c>
      <c r="H265" t="s">
        <v>40</v>
      </c>
      <c r="I265">
        <f>VLOOKUP(Table4[[#This Row],[Visitor]],'NHL Model'!$A$6:$B$38,2,FALSE)</f>
        <v>-7.3890719153774626E-2</v>
      </c>
      <c r="J265">
        <f>($B$1+Table4[[#This Row],[Home Differential]])-Table4[[#This Row],[Away Differential]]</f>
        <v>-0.89348482459824063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0.65403741440167518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0.11969011063387823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-0.13160108676160023</v>
      </c>
      <c r="H266" t="s">
        <v>24</v>
      </c>
      <c r="I266">
        <f>VLOOKUP(Table4[[#This Row],[Visitor]],'NHL Model'!$A$6:$B$38,2,FALSE)</f>
        <v>2.0731927685773251E-2</v>
      </c>
      <c r="J266">
        <f>($B$1+Table4[[#This Row],[Home Differential]])-Table4[[#This Row],[Away Differential]]</f>
        <v>7.0866470774536595E-3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0.54018352700534722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0.29179824284793671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-0.54160534998918008</v>
      </c>
      <c r="H267" t="s">
        <v>17</v>
      </c>
      <c r="I267">
        <f>VLOOKUP(Table4[[#This Row],[Visitor]],'NHL Model'!$A$6:$B$38,2,FALSE)</f>
        <v>-0.8561868317598319</v>
      </c>
      <c r="J267">
        <f>($B$1+Table4[[#This Row],[Home Differential]])-Table4[[#This Row],[Away Differential]]</f>
        <v>0.47400114329547893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0.64000345191347996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0.40960441846117007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0.1846559193064522</v>
      </c>
      <c r="H268" t="s">
        <v>15</v>
      </c>
      <c r="I268">
        <f>VLOOKUP(Table4[[#This Row],[Visitor]],'NHL Model'!$A$6:$B$38,2,FALSE)</f>
        <v>-0.50599078340071213</v>
      </c>
      <c r="J268">
        <f>($B$1+Table4[[#This Row],[Home Differential]])-Table4[[#This Row],[Away Differential]]</f>
        <v>0.85006636423199144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0.59724321004166847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0.35669945194087654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-0.1349739904770427</v>
      </c>
      <c r="H269" t="s">
        <v>23</v>
      </c>
      <c r="I269">
        <f>VLOOKUP(Table4[[#This Row],[Visitor]],'NHL Model'!$A$6:$B$38,2,FALSE)</f>
        <v>-0.49794713300108584</v>
      </c>
      <c r="J269">
        <f>($B$1+Table4[[#This Row],[Home Differential]])-Table4[[#This Row],[Away Differential]]</f>
        <v>0.52239280404887034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0.67812313988543127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0.10360471307721365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-0.72083617366747277</v>
      </c>
      <c r="H270" t="s">
        <v>17</v>
      </c>
      <c r="I270">
        <f>VLOOKUP(Table4[[#This Row],[Visitor]],'NHL Model'!$A$6:$B$38,2,FALSE)</f>
        <v>-0.8561868317598319</v>
      </c>
      <c r="J270">
        <f>($B$1+Table4[[#This Row],[Home Differential]])-Table4[[#This Row],[Away Differential]]</f>
        <v>0.29477031961718625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0.58918269908336784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0.1687708547324267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-1.1167763879247272</v>
      </c>
      <c r="H271" t="s">
        <v>33</v>
      </c>
      <c r="I271">
        <f>VLOOKUP(Table4[[#This Row],[Visitor]],'NHL Model'!$A$6:$B$38,2,FALSE)</f>
        <v>-0.3479098095875402</v>
      </c>
      <c r="J271">
        <f>($B$1+Table4[[#This Row],[Home Differential]])-Table4[[#This Row],[Away Differential]]</f>
        <v>-0.60944691681235996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0.54711905158280638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0.29933925660486954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1.4583704516548168</v>
      </c>
      <c r="H272" t="s">
        <v>23</v>
      </c>
      <c r="I272">
        <f>VLOOKUP(Table4[[#This Row],[Visitor]],'NHL Model'!$A$6:$B$38,2,FALSE)</f>
        <v>-0.49794713300108584</v>
      </c>
      <c r="J272">
        <f>($B$1+Table4[[#This Row],[Home Differential]])-Table4[[#This Row],[Away Differential]]</f>
        <v>2.1157372461807298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0.93736046552926755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3.9237112787100792E-3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-0.67114180037169746</v>
      </c>
      <c r="H273" t="s">
        <v>31</v>
      </c>
      <c r="I273">
        <f>VLOOKUP(Table4[[#This Row],[Visitor]],'NHL Model'!$A$6:$B$38,2,FALSE)</f>
        <v>0.35254565315374792</v>
      </c>
      <c r="J273">
        <f>($B$1+Table4[[#This Row],[Home Differential]])-Table4[[#This Row],[Away Differential]]</f>
        <v>-0.86426779200061832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0.57182097859277592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0.32697923155879988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-0.21100886368613675</v>
      </c>
      <c r="H274" t="s">
        <v>22</v>
      </c>
      <c r="I274">
        <f>VLOOKUP(Table4[[#This Row],[Visitor]],'NHL Model'!$A$6:$B$38,2,FALSE)</f>
        <v>0.21430145909042725</v>
      </c>
      <c r="J274">
        <f>($B$1+Table4[[#This Row],[Home Differential]])-Table4[[#This Row],[Away Differential]]</f>
        <v>-0.26589066125173688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0.4665798942703509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0.21769679773733183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-0.75480422558713034</v>
      </c>
      <c r="H275" t="s">
        <v>39</v>
      </c>
      <c r="I275">
        <f>VLOOKUP(Table4[[#This Row],[Visitor]],'NHL Model'!$A$6:$B$38,2,FALSE)</f>
        <v>1.9153995907683643E-3</v>
      </c>
      <c r="J275">
        <f>($B$1+Table4[[#This Row],[Home Differential]])-Table4[[#This Row],[Away Differential]]</f>
        <v>-0.59729996365307159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0.62634094117031036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0.13962109224548946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-0.34257283900844787</v>
      </c>
      <c r="H276" t="s">
        <v>21</v>
      </c>
      <c r="I276">
        <f>VLOOKUP(Table4[[#This Row],[Visitor]],'NHL Model'!$A$6:$B$38,2,FALSE)</f>
        <v>-0.12487089668223171</v>
      </c>
      <c r="J276">
        <f>($B$1+Table4[[#This Row],[Home Differential]])-Table4[[#This Row],[Away Differential]]</f>
        <v>-5.8282280801389016E-2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0.46583584036990133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0.21700303017313219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-0.46055888840939002</v>
      </c>
      <c r="H277" t="s">
        <v>40</v>
      </c>
      <c r="I277">
        <f>VLOOKUP(Table4[[#This Row],[Visitor]],'NHL Model'!$A$6:$B$38,2,FALSE)</f>
        <v>-7.3890719153774626E-2</v>
      </c>
      <c r="J277">
        <f>($B$1+Table4[[#This Row],[Home Differential]])-Table4[[#This Row],[Away Differential]]</f>
        <v>-0.22724850773078822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0.53248465768054698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0.28353991066516931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-0.95664361852990654</v>
      </c>
      <c r="H278" t="s">
        <v>13</v>
      </c>
      <c r="I278">
        <f>VLOOKUP(Table4[[#This Row],[Visitor]],'NHL Model'!$A$6:$B$38,2,FALSE)</f>
        <v>-0.31985119938240425</v>
      </c>
      <c r="J278">
        <f>($B$1+Table4[[#This Row],[Home Differential]])-Table4[[#This Row],[Away Differential]]</f>
        <v>-0.47737275762267517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0.6117176115796793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0.1507632131573888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-3.2309887002194844E-2</v>
      </c>
      <c r="H279" t="s">
        <v>30</v>
      </c>
      <c r="I279">
        <f>VLOOKUP(Table4[[#This Row],[Visitor]],'NHL Model'!$A$6:$B$38,2,FALSE)</f>
        <v>3.2883390994754517E-3</v>
      </c>
      <c r="J279">
        <f>($B$1+Table4[[#This Row],[Home Differential]])-Table4[[#This Row],[Away Differential]]</f>
        <v>0.12382143542315685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0.4850768236595342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0.23529952485162284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0.42254821659882374</v>
      </c>
      <c r="H280" t="s">
        <v>38</v>
      </c>
      <c r="I280">
        <f>VLOOKUP(Table4[[#This Row],[Visitor]],'NHL Model'!$A$6:$B$38,2,FALSE)</f>
        <v>-1.1267952052768424</v>
      </c>
      <c r="J280">
        <f>($B$1+Table4[[#This Row],[Home Differential]])-Table4[[#This Row],[Away Differential]]</f>
        <v>1.7087630834004934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0.8156923704550525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3.3969302308477604E-2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-1.6840122346544992</v>
      </c>
      <c r="H281" t="s">
        <v>14</v>
      </c>
      <c r="I281">
        <f>VLOOKUP(Table4[[#This Row],[Visitor]],'NHL Model'!$A$6:$B$38,2,FALSE)</f>
        <v>-0.2200802314358897</v>
      </c>
      <c r="J281">
        <f>($B$1+Table4[[#This Row],[Home Differential]])-Table4[[#This Row],[Away Differential]]</f>
        <v>-1.3045123416937825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0.6464770742968885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0.41793260759146467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-1.5594075795597986</v>
      </c>
      <c r="H282" t="s">
        <v>27</v>
      </c>
      <c r="I282">
        <f>VLOOKUP(Table4[[#This Row],[Visitor]],'NHL Model'!$A$6:$B$38,2,FALSE)</f>
        <v>-0.54160534998918008</v>
      </c>
      <c r="J282">
        <f>($B$1+Table4[[#This Row],[Home Differential]])-Table4[[#This Row],[Away Differential]]</f>
        <v>-0.85838256804579138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0.58270383713564211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0.17413608754131671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-0.1349739904770427</v>
      </c>
      <c r="H283" t="s">
        <v>30</v>
      </c>
      <c r="I283">
        <f>VLOOKUP(Table4[[#This Row],[Visitor]],'NHL Model'!$A$6:$B$38,2,FALSE)</f>
        <v>3.2883390994754517E-3</v>
      </c>
      <c r="J283">
        <f>($B$1+Table4[[#This Row],[Home Differential]])-Table4[[#This Row],[Away Differential]]</f>
        <v>2.1157331948308995E-2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0.53518813520483222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0.28642634006402579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0.42254821659882374</v>
      </c>
      <c r="H284" t="s">
        <v>17</v>
      </c>
      <c r="I284">
        <f>VLOOKUP(Table4[[#This Row],[Visitor]],'NHL Model'!$A$6:$B$38,2,FALSE)</f>
        <v>-0.8561868317598319</v>
      </c>
      <c r="J284">
        <f>($B$1+Table4[[#This Row],[Home Differential]])-Table4[[#This Row],[Away Differential]]</f>
        <v>1.4381547098834828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0.79729692341320524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0.63568238408416244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-0.72083617366747277</v>
      </c>
      <c r="H285" t="s">
        <v>15</v>
      </c>
      <c r="I285">
        <f>VLOOKUP(Table4[[#This Row],[Visitor]],'NHL Model'!$A$6:$B$38,2,FALSE)</f>
        <v>-0.50599078340071213</v>
      </c>
      <c r="J285">
        <f>($B$1+Table4[[#This Row],[Home Differential]])-Table4[[#This Row],[Away Differential]]</f>
        <v>-5.5425728741933522E-2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0.54434682300943138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0.20761981770159846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-1.1167763879247272</v>
      </c>
      <c r="H286" t="s">
        <v>40</v>
      </c>
      <c r="I286">
        <f>VLOOKUP(Table4[[#This Row],[Visitor]],'NHL Model'!$A$6:$B$38,2,FALSE)</f>
        <v>-7.3890719153774626E-2</v>
      </c>
      <c r="J286">
        <f>($B$1+Table4[[#This Row],[Home Differential]])-Table4[[#This Row],[Away Differential]]</f>
        <v>-0.88346600724612545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0.65260524723236224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0.12068311425048817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-0.13160108676160023</v>
      </c>
      <c r="H287" t="s">
        <v>19</v>
      </c>
      <c r="I287">
        <f>VLOOKUP(Table4[[#This Row],[Visitor]],'NHL Model'!$A$6:$B$38,2,FALSE)</f>
        <v>-0.95664361852990654</v>
      </c>
      <c r="J287">
        <f>($B$1+Table4[[#This Row],[Home Differential]])-Table4[[#This Row],[Away Differential]]</f>
        <v>0.98446219329313345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0.68072663300589498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0.10193548287175247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1.9153995907683643E-3</v>
      </c>
      <c r="H288" t="s">
        <v>27</v>
      </c>
      <c r="I288">
        <f>VLOOKUP(Table4[[#This Row],[Visitor]],'NHL Model'!$A$6:$B$38,2,FALSE)</f>
        <v>-0.54160534998918008</v>
      </c>
      <c r="J288">
        <f>($B$1+Table4[[#This Row],[Home Differential]])-Table4[[#This Row],[Away Differential]]</f>
        <v>0.70294041110477556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0.64297921330046437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0.12746384213555531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-0.67114180037169746</v>
      </c>
      <c r="H289" t="s">
        <v>23</v>
      </c>
      <c r="I289">
        <f>VLOOKUP(Table4[[#This Row],[Visitor]],'NHL Model'!$A$6:$B$38,2,FALSE)</f>
        <v>-0.49794713300108584</v>
      </c>
      <c r="J289">
        <f>($B$1+Table4[[#This Row],[Home Differential]])-Table4[[#This Row],[Away Differential]]</f>
        <v>-1.3775005845784505E-2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0.42972303996896877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0.32521581114223441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-0.21100886368613675</v>
      </c>
      <c r="H290" t="s">
        <v>37</v>
      </c>
      <c r="I290">
        <f>VLOOKUP(Table4[[#This Row],[Visitor]],'NHL Model'!$A$6:$B$38,2,FALSE)</f>
        <v>0.1846559193064522</v>
      </c>
      <c r="J290">
        <f>($B$1+Table4[[#This Row],[Home Differential]])-Table4[[#This Row],[Away Differential]]</f>
        <v>-0.2362451214677618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0.5074549136926968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0.24260066204546876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-0.17681265190927384</v>
      </c>
      <c r="H291" t="s">
        <v>31</v>
      </c>
      <c r="I291">
        <f>VLOOKUP(Table4[[#This Row],[Visitor]],'NHL Model'!$A$6:$B$38,2,FALSE)</f>
        <v>0.35254565315374792</v>
      </c>
      <c r="J291">
        <f>($B$1+Table4[[#This Row],[Home Differential]])-Table4[[#This Row],[Away Differential]]</f>
        <v>-0.36993864353819461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0.5336511190515536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0.28478351686497544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-0.75480422558713034</v>
      </c>
      <c r="H292" t="s">
        <v>21</v>
      </c>
      <c r="I292">
        <f>VLOOKUP(Table4[[#This Row],[Visitor]],'NHL Model'!$A$6:$B$38,2,FALSE)</f>
        <v>-0.12487089668223171</v>
      </c>
      <c r="J292">
        <f>($B$1+Table4[[#This Row],[Home Differential]])-Table4[[#This Row],[Away Differential]]</f>
        <v>-0.4705136673800715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0.52725885934955063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0.22348418606348794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-0.34257283900844787</v>
      </c>
      <c r="H293" t="s">
        <v>13</v>
      </c>
      <c r="I293">
        <f>VLOOKUP(Table4[[#This Row],[Visitor]],'NHL Model'!$A$6:$B$38,2,FALSE)</f>
        <v>-0.31985119938240425</v>
      </c>
      <c r="J293">
        <f>($B$1+Table4[[#This Row],[Home Differential]])-Table4[[#This Row],[Away Differential]]</f>
        <v>0.13669802189878352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0.47855706498027933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0.2290168644425393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-0.46055888840939002</v>
      </c>
      <c r="H294" t="s">
        <v>33</v>
      </c>
      <c r="I294">
        <f>VLOOKUP(Table4[[#This Row],[Visitor]],'NHL Model'!$A$6:$B$38,2,FALSE)</f>
        <v>-0.3479098095875402</v>
      </c>
      <c r="J294">
        <f>($B$1+Table4[[#This Row],[Home Differential]])-Table4[[#This Row],[Away Differential]]</f>
        <v>4.6770582702977348E-2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0.57272348434438147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0.18256522083080604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-1.5594075795597986</v>
      </c>
      <c r="H295" t="s">
        <v>20</v>
      </c>
      <c r="I295">
        <f>VLOOKUP(Table4[[#This Row],[Visitor]],'NHL Model'!$A$6:$B$38,2,FALSE)</f>
        <v>-3.2309887002194844E-2</v>
      </c>
      <c r="J295">
        <f>($B$1+Table4[[#This Row],[Home Differential]])-Table4[[#This Row],[Away Differential]]</f>
        <v>-1.3676780310327765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0.65550646602237261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0.11867579495239472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0.21430145909042725</v>
      </c>
      <c r="H296" t="s">
        <v>24</v>
      </c>
      <c r="I296">
        <f>VLOOKUP(Table4[[#This Row],[Visitor]],'NHL Model'!$A$6:$B$38,2,FALSE)</f>
        <v>2.0731927685773251E-2</v>
      </c>
      <c r="J296">
        <f>($B$1+Table4[[#This Row],[Home Differential]])-Table4[[#This Row],[Away Differential]]</f>
        <v>0.35298919292948117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0.58962950975364437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0.34766295877232301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1.4583704516548168</v>
      </c>
      <c r="H297" t="s">
        <v>30</v>
      </c>
      <c r="I297">
        <f>VLOOKUP(Table4[[#This Row],[Visitor]],'NHL Model'!$A$6:$B$38,2,FALSE)</f>
        <v>3.2883390994754517E-3</v>
      </c>
      <c r="J297">
        <f>($B$1+Table4[[#This Row],[Home Differential]])-Table4[[#This Row],[Away Differential]]</f>
        <v>1.6145017740801686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0.79600675040439195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4.1613245880576043E-2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-0.17681265190927384</v>
      </c>
      <c r="H298" t="s">
        <v>20</v>
      </c>
      <c r="I298">
        <f>VLOOKUP(Table4[[#This Row],[Visitor]],'NHL Model'!$A$6:$B$38,2,FALSE)</f>
        <v>-3.2309887002194844E-2</v>
      </c>
      <c r="J298">
        <f>($B$1+Table4[[#This Row],[Home Differential]])-Table4[[#This Row],[Away Differential]]</f>
        <v>1.491689661774815E-2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0.54213233646778314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0.20964279730845134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-0.50599078340071213</v>
      </c>
      <c r="H299" t="s">
        <v>26</v>
      </c>
      <c r="I299">
        <f>VLOOKUP(Table4[[#This Row],[Visitor]],'NHL Model'!$A$6:$B$38,2,FALSE)</f>
        <v>-0.67114180037169746</v>
      </c>
      <c r="J299">
        <f>($B$1+Table4[[#This Row],[Home Differential]])-Table4[[#This Row],[Away Differential]]</f>
        <v>0.32457067849581245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0.56562741002442352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0.3199343669709373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-0.2200802314358897</v>
      </c>
      <c r="H300" t="s">
        <v>29</v>
      </c>
      <c r="I300">
        <f>VLOOKUP(Table4[[#This Row],[Visitor]],'NHL Model'!$A$6:$B$38,2,FALSE)</f>
        <v>-1.6840122346544992</v>
      </c>
      <c r="J300">
        <f>($B$1+Table4[[#This Row],[Home Differential]])-Table4[[#This Row],[Away Differential]]</f>
        <v>1.6233516647434367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0.77205443085597014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5.19591824923957E-2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0.1846559193064522</v>
      </c>
      <c r="H301" t="s">
        <v>38</v>
      </c>
      <c r="I301">
        <f>VLOOKUP(Table4[[#This Row],[Visitor]],'NHL Model'!$A$6:$B$38,2,FALSE)</f>
        <v>-1.1267952052768424</v>
      </c>
      <c r="J301">
        <f>($B$1+Table4[[#This Row],[Home Differential]])-Table4[[#This Row],[Away Differential]]</f>
        <v>1.4708707861081218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0.74871917428127799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0.56058040193643877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0.35254565315374792</v>
      </c>
      <c r="H302" t="s">
        <v>55</v>
      </c>
      <c r="I302">
        <f>VLOOKUP(Table4[[#This Row],[Visitor]],'NHL Model'!$A$6:$B$38,2,FALSE)</f>
        <v>-0.1349739904770427</v>
      </c>
      <c r="J302">
        <f>($B$1+Table4[[#This Row],[Home Differential]])-Table4[[#This Row],[Away Differential]]</f>
        <v>0.64693930515561782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0.72739913820289837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7.4311229852522503E-2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-0.12487089668223171</v>
      </c>
      <c r="H303" t="s">
        <v>25</v>
      </c>
      <c r="I303">
        <f>VLOOKUP(Table4[[#This Row],[Visitor]],'NHL Model'!$A$6:$B$38,2,FALSE)</f>
        <v>0.42254821659882374</v>
      </c>
      <c r="J303">
        <f>($B$1+Table4[[#This Row],[Home Differential]])-Table4[[#This Row],[Away Differential]]</f>
        <v>-0.3879994517562283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0.5354636397677579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0.21579402997781941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-0.49794713300108584</v>
      </c>
      <c r="H304" t="s">
        <v>17</v>
      </c>
      <c r="I304">
        <f>VLOOKUP(Table4[[#This Row],[Visitor]],'NHL Model'!$A$6:$B$38,2,FALSE)</f>
        <v>-0.8561868317598319</v>
      </c>
      <c r="J304">
        <f>($B$1+Table4[[#This Row],[Home Differential]])-Table4[[#This Row],[Away Differential]]</f>
        <v>0.51765936028357318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0.62801484949408981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0.13837295219690465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-0.72083617366747277</v>
      </c>
      <c r="H305" t="s">
        <v>18</v>
      </c>
      <c r="I305">
        <f>VLOOKUP(Table4[[#This Row],[Visitor]],'NHL Model'!$A$6:$B$38,2,FALSE)</f>
        <v>-0.75480422558713034</v>
      </c>
      <c r="J305">
        <f>($B$1+Table4[[#This Row],[Home Differential]])-Table4[[#This Row],[Away Differential]]</f>
        <v>0.19338771344448469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0.52764433409749811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0.22311987511019599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-0.21100886368613675</v>
      </c>
      <c r="H306" t="s">
        <v>38</v>
      </c>
      <c r="I306">
        <f>VLOOKUP(Table4[[#This Row],[Visitor]],'NHL Model'!$A$6:$B$38,2,FALSE)</f>
        <v>-1.1267952052768424</v>
      </c>
      <c r="J306">
        <f>($B$1+Table4[[#This Row],[Home Differential]])-Table4[[#This Row],[Away Differential]]</f>
        <v>1.0752060031155328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0.7251268258023893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7.5555261893470033E-2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0.21430145909042725</v>
      </c>
      <c r="H307" t="s">
        <v>13</v>
      </c>
      <c r="I307">
        <f>VLOOKUP(Table4[[#This Row],[Visitor]],'NHL Model'!$A$6:$B$38,2,FALSE)</f>
        <v>-0.31985119938240425</v>
      </c>
      <c r="J307">
        <f>($B$1+Table4[[#This Row],[Home Differential]])-Table4[[#This Row],[Away Differential]]</f>
        <v>0.69357231999765867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0.55566632589497189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0.19743241394367333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-0.13160108676160023</v>
      </c>
      <c r="H308" t="s">
        <v>16</v>
      </c>
      <c r="I308">
        <f>VLOOKUP(Table4[[#This Row],[Visitor]],'NHL Model'!$A$6:$B$38,2,FALSE)</f>
        <v>-1.1167763879247272</v>
      </c>
      <c r="J308">
        <f>($B$1+Table4[[#This Row],[Home Differential]])-Table4[[#This Row],[Away Differential]]</f>
        <v>1.1445949626879541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0.70361724843467099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8.7842735425435539E-2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1.9153995907683643E-3</v>
      </c>
      <c r="H309" t="s">
        <v>30</v>
      </c>
      <c r="I309">
        <f>VLOOKUP(Table4[[#This Row],[Visitor]],'NHL Model'!$A$6:$B$38,2,FALSE)</f>
        <v>3.2883390994754517E-3</v>
      </c>
      <c r="J309">
        <f>($B$1+Table4[[#This Row],[Home Differential]])-Table4[[#This Row],[Away Differential]]</f>
        <v>0.15804672201612005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0.49247193776953252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0.2425286094904783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-0.67114180037169746</v>
      </c>
      <c r="H310" t="s">
        <v>32</v>
      </c>
      <c r="I310">
        <f>VLOOKUP(Table4[[#This Row],[Visitor]],'NHL Model'!$A$6:$B$38,2,FALSE)</f>
        <v>-0.46055888840939002</v>
      </c>
      <c r="J310">
        <f>($B$1+Table4[[#This Row],[Home Differential]])-Table4[[#This Row],[Away Differential]]</f>
        <v>-5.1163250437480323E-2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0.43506760455584215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0.18928382053395865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-0.3479098095875402</v>
      </c>
      <c r="H311" t="s">
        <v>55</v>
      </c>
      <c r="I311">
        <f>VLOOKUP(Table4[[#This Row],[Visitor]],'NHL Model'!$A$6:$B$38,2,FALSE)</f>
        <v>-0.1349739904770427</v>
      </c>
      <c r="J311">
        <f>($B$1+Table4[[#This Row],[Home Differential]])-Table4[[#This Row],[Away Differential]]</f>
        <v>-5.3516157585670354E-2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0.46765001309319132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0.21869653474606202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0.1846559193064522</v>
      </c>
      <c r="H312" t="s">
        <v>24</v>
      </c>
      <c r="I312">
        <f>VLOOKUP(Table4[[#This Row],[Visitor]],'NHL Model'!$A$6:$B$38,2,FALSE)</f>
        <v>2.0731927685773251E-2</v>
      </c>
      <c r="J312">
        <f>($B$1+Table4[[#This Row],[Home Differential]])-Table4[[#This Row],[Away Differential]]</f>
        <v>0.32334365314550606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0.60450344889761765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0.15641752193387934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-0.95664361852990654</v>
      </c>
      <c r="H313" t="s">
        <v>35</v>
      </c>
      <c r="I313">
        <f>VLOOKUP(Table4[[#This Row],[Visitor]],'NHL Model'!$A$6:$B$38,2,FALSE)</f>
        <v>-1.5594075795597986</v>
      </c>
      <c r="J313">
        <f>($B$1+Table4[[#This Row],[Home Differential]])-Table4[[#This Row],[Away Differential]]</f>
        <v>0.76218362255471916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0.64895241652253466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0.12323440586536799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-3.2309887002194844E-2</v>
      </c>
      <c r="H314" t="s">
        <v>15</v>
      </c>
      <c r="I314">
        <f>VLOOKUP(Table4[[#This Row],[Visitor]],'NHL Model'!$A$6:$B$38,2,FALSE)</f>
        <v>-0.50599078340071213</v>
      </c>
      <c r="J314">
        <f>($B$1+Table4[[#This Row],[Home Differential]])-Table4[[#This Row],[Away Differential]]</f>
        <v>0.63310055792334441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0.54702202494910734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0.20518904588120712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-7.3890719153774626E-2</v>
      </c>
      <c r="H315" t="s">
        <v>28</v>
      </c>
      <c r="I315">
        <f>VLOOKUP(Table4[[#This Row],[Visitor]],'NHL Model'!$A$6:$B$38,2,FALSE)</f>
        <v>-0.72083617366747277</v>
      </c>
      <c r="J315">
        <f>($B$1+Table4[[#This Row],[Home Differential]])-Table4[[#This Row],[Away Differential]]</f>
        <v>0.80636511603852523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0.65776353980290525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0.11712579468823762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0.35254565315374792</v>
      </c>
      <c r="H316" t="s">
        <v>21</v>
      </c>
      <c r="I316">
        <f>VLOOKUP(Table4[[#This Row],[Visitor]],'NHL Model'!$A$6:$B$38,2,FALSE)</f>
        <v>-0.12487089668223171</v>
      </c>
      <c r="J316">
        <f>($B$1+Table4[[#This Row],[Home Differential]])-Table4[[#This Row],[Away Differential]]</f>
        <v>0.63683621136080681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0.72595492390764904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7.5100703730462431E-2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-0.49794713300108584</v>
      </c>
      <c r="H317" t="s">
        <v>16</v>
      </c>
      <c r="I317">
        <f>VLOOKUP(Table4[[#This Row],[Visitor]],'NHL Model'!$A$6:$B$38,2,FALSE)</f>
        <v>-1.1167763879247272</v>
      </c>
      <c r="J317">
        <f>($B$1+Table4[[#This Row],[Home Differential]])-Table4[[#This Row],[Away Differential]]</f>
        <v>0.7782489164484685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0.66526553426941348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0.44257823108676819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-0.17681265190927384</v>
      </c>
      <c r="H318" t="s">
        <v>25</v>
      </c>
      <c r="I318">
        <f>VLOOKUP(Table4[[#This Row],[Visitor]],'NHL Model'!$A$6:$B$38,2,FALSE)</f>
        <v>0.42254821659882374</v>
      </c>
      <c r="J318">
        <f>($B$1+Table4[[#This Row],[Home Differential]])-Table4[[#This Row],[Away Differential]]</f>
        <v>-0.43994120698327044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0.59551176473000456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0.35463426193184427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0.21430145909042725</v>
      </c>
      <c r="H319" t="s">
        <v>17</v>
      </c>
      <c r="I319">
        <f>VLOOKUP(Table4[[#This Row],[Visitor]],'NHL Model'!$A$6:$B$38,2,FALSE)</f>
        <v>-0.8561868317598319</v>
      </c>
      <c r="J319">
        <f>($B$1+Table4[[#This Row],[Home Differential]])-Table4[[#This Row],[Away Differential]]</f>
        <v>1.2299079523750862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0.71581254640764436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8.0762508779307296E-2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0.35254565315374792</v>
      </c>
      <c r="H320" t="s">
        <v>36</v>
      </c>
      <c r="I320">
        <f>VLOOKUP(Table4[[#This Row],[Visitor]],'NHL Model'!$A$6:$B$38,2,FALSE)</f>
        <v>-0.34257283900844787</v>
      </c>
      <c r="J320">
        <f>($B$1+Table4[[#This Row],[Home Differential]])-Table4[[#This Row],[Away Differential]]</f>
        <v>0.85453815368702291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0.7570749217614311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0.57316243716007698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-0.13160108676160023</v>
      </c>
      <c r="H321" t="s">
        <v>32</v>
      </c>
      <c r="I321">
        <f>VLOOKUP(Table4[[#This Row],[Visitor]],'NHL Model'!$A$6:$B$38,2,FALSE)</f>
        <v>-0.46055888840939002</v>
      </c>
      <c r="J321">
        <f>($B$1+Table4[[#This Row],[Home Differential]])-Table4[[#This Row],[Away Differential]]</f>
        <v>0.48837746317261693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0.60981244835653992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0.37187122217059765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1.4583704516548168</v>
      </c>
      <c r="H322" t="s">
        <v>15</v>
      </c>
      <c r="I322">
        <f>VLOOKUP(Table4[[#This Row],[Visitor]],'NHL Model'!$A$6:$B$38,2,FALSE)</f>
        <v>-0.50599078340071213</v>
      </c>
      <c r="J322">
        <f>($B$1+Table4[[#This Row],[Home Differential]])-Table4[[#This Row],[Away Differential]]</f>
        <v>2.1237808965803562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0.85804509769588067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2.0151194288172063E-2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-0.67114180037169746</v>
      </c>
      <c r="H323" t="s">
        <v>30</v>
      </c>
      <c r="I323">
        <f>VLOOKUP(Table4[[#This Row],[Visitor]],'NHL Model'!$A$6:$B$38,2,FALSE)</f>
        <v>3.2883390994754517E-3</v>
      </c>
      <c r="J323">
        <f>($B$1+Table4[[#This Row],[Home Differential]])-Table4[[#This Row],[Away Differential]]</f>
        <v>-0.5150104779463458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0.57361957728585478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0.18180026487389317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-0.21100886368613675</v>
      </c>
      <c r="H324" t="s">
        <v>24</v>
      </c>
      <c r="I324">
        <f>VLOOKUP(Table4[[#This Row],[Visitor]],'NHL Model'!$A$6:$B$38,2,FALSE)</f>
        <v>2.0731927685773251E-2</v>
      </c>
      <c r="J324">
        <f>($B$1+Table4[[#This Row],[Home Differential]])-Table4[[#This Row],[Away Differential]]</f>
        <v>-7.232112984708286E-2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0.41942905022817029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0.17592072817530499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-0.75480422558713034</v>
      </c>
      <c r="H325" t="s">
        <v>22</v>
      </c>
      <c r="I325">
        <f>VLOOKUP(Table4[[#This Row],[Visitor]],'NHL Model'!$A$6:$B$38,2,FALSE)</f>
        <v>0.21430145909042725</v>
      </c>
      <c r="J325">
        <f>($B$1+Table4[[#This Row],[Home Differential]])-Table4[[#This Row],[Away Differential]]</f>
        <v>-0.80968602315273053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0.59651200749188005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0.16280256009823266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-0.54160534998918008</v>
      </c>
      <c r="H326" t="s">
        <v>35</v>
      </c>
      <c r="I326">
        <f>VLOOKUP(Table4[[#This Row],[Visitor]],'NHL Model'!$A$6:$B$38,2,FALSE)</f>
        <v>-1.5594075795597986</v>
      </c>
      <c r="J326">
        <f>($B$1+Table4[[#This Row],[Home Differential]])-Table4[[#This Row],[Away Differential]]</f>
        <v>1.1772218910954457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0.74052725950302134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6.7326103061012429E-2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-0.3479098095875402</v>
      </c>
      <c r="H327" t="s">
        <v>13</v>
      </c>
      <c r="I327">
        <f>VLOOKUP(Table4[[#This Row],[Visitor]],'NHL Model'!$A$6:$B$38,2,FALSE)</f>
        <v>-0.31985119938240425</v>
      </c>
      <c r="J327">
        <f>($B$1+Table4[[#This Row],[Home Differential]])-Table4[[#This Row],[Away Differential]]</f>
        <v>0.1313610513196912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0.47529950285389178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0.27531061170537313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0.1846559193064522</v>
      </c>
      <c r="H328" t="s">
        <v>17</v>
      </c>
      <c r="I328">
        <f>VLOOKUP(Table4[[#This Row],[Visitor]],'NHL Model'!$A$6:$B$38,2,FALSE)</f>
        <v>-0.8561868317598319</v>
      </c>
      <c r="J328">
        <f>($B$1+Table4[[#This Row],[Home Differential]])-Table4[[#This Row],[Away Differential]]</f>
        <v>1.2002624125911112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0.73068021518500714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7.2533146492794062E-2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-0.95664361852990654</v>
      </c>
      <c r="H329" t="s">
        <v>28</v>
      </c>
      <c r="I329">
        <f>VLOOKUP(Table4[[#This Row],[Visitor]],'NHL Model'!$A$6:$B$38,2,FALSE)</f>
        <v>-0.72083617366747277</v>
      </c>
      <c r="J329">
        <f>($B$1+Table4[[#This Row],[Home Differential]])-Table4[[#This Row],[Away Differential]]</f>
        <v>-7.6387783337606652E-2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0.47091946001087759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0.27992621779518134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-0.1349739904770427</v>
      </c>
      <c r="H330" t="s">
        <v>20</v>
      </c>
      <c r="I330">
        <f>VLOOKUP(Table4[[#This Row],[Visitor]],'NHL Model'!$A$6:$B$38,2,FALSE)</f>
        <v>-3.2309887002194844E-2</v>
      </c>
      <c r="J330">
        <f>($B$1+Table4[[#This Row],[Home Differential]])-Table4[[#This Row],[Away Differential]]</f>
        <v>5.6755558049979289E-2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0.61156135388899324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0.37400728957053841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-1.1267952052768424</v>
      </c>
      <c r="H331" t="s">
        <v>39</v>
      </c>
      <c r="I331">
        <f>VLOOKUP(Table4[[#This Row],[Visitor]],'NHL Model'!$A$6:$B$38,2,FALSE)</f>
        <v>1.9153995907683643E-3</v>
      </c>
      <c r="J331">
        <f>($B$1+Table4[[#This Row],[Home Differential]])-Table4[[#This Row],[Away Differential]]</f>
        <v>-0.96929094334278365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0.6795162062408604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0.10270986206225073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-0.49794713300108584</v>
      </c>
      <c r="H332" t="s">
        <v>10</v>
      </c>
      <c r="I332">
        <f>VLOOKUP(Table4[[#This Row],[Visitor]],'NHL Model'!$A$6:$B$38,2,FALSE)</f>
        <v>-0.13160108676160023</v>
      </c>
      <c r="J332">
        <f>($B$1+Table4[[#This Row],[Home Differential]])-Table4[[#This Row],[Away Differential]]</f>
        <v>-0.20692638471465849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0.47556303588571675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0.22616020110083951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-0.31985119938240425</v>
      </c>
      <c r="H333" t="s">
        <v>21</v>
      </c>
      <c r="I333">
        <f>VLOOKUP(Table4[[#This Row],[Visitor]],'NHL Model'!$A$6:$B$38,2,FALSE)</f>
        <v>-0.12487089668223171</v>
      </c>
      <c r="J333">
        <f>($B$1+Table4[[#This Row],[Home Differential]])-Table4[[#This Row],[Away Differential]]</f>
        <v>-3.5560641175345395E-2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0.46508331283235688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0.28613586221040621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-0.2200802314358897</v>
      </c>
      <c r="H334" t="s">
        <v>34</v>
      </c>
      <c r="I334">
        <f>VLOOKUP(Table4[[#This Row],[Visitor]],'NHL Model'!$A$6:$B$38,2,FALSE)</f>
        <v>-0.17681265190927384</v>
      </c>
      <c r="J334">
        <f>($B$1+Table4[[#This Row],[Home Differential]])-Table4[[#This Row],[Away Differential]]</f>
        <v>0.11615208199821128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0.53583444535727931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0.28711855283134313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-7.3890719153774626E-2</v>
      </c>
      <c r="H335" t="s">
        <v>25</v>
      </c>
      <c r="I335">
        <f>VLOOKUP(Table4[[#This Row],[Visitor]],'NHL Model'!$A$6:$B$38,2,FALSE)</f>
        <v>0.42254821659882374</v>
      </c>
      <c r="J335">
        <f>($B$1+Table4[[#This Row],[Home Differential]])-Table4[[#This Row],[Away Differential]]</f>
        <v>-0.33701927422777123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0.57829662118757841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0.17783373970181274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0.35254565315374792</v>
      </c>
      <c r="H336" t="s">
        <v>20</v>
      </c>
      <c r="I336">
        <f>VLOOKUP(Table4[[#This Row],[Visitor]],'NHL Model'!$A$6:$B$38,2,FALSE)</f>
        <v>-3.2309887002194844E-2</v>
      </c>
      <c r="J336">
        <f>($B$1+Table4[[#This Row],[Home Differential]])-Table4[[#This Row],[Away Differential]]</f>
        <v>0.54427520168076993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0.71272353795028187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8.2527765647803134E-2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-1.1167763879247272</v>
      </c>
      <c r="H337" t="s">
        <v>39</v>
      </c>
      <c r="I337">
        <f>VLOOKUP(Table4[[#This Row],[Visitor]],'NHL Model'!$A$6:$B$38,2,FALSE)</f>
        <v>1.9153995907683643E-3</v>
      </c>
      <c r="J337">
        <f>($B$1+Table4[[#This Row],[Home Differential]])-Table4[[#This Row],[Away Differential]]</f>
        <v>-0.95927212599066847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0.67808403907154746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0.45979796404358392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-0.67114180037169746</v>
      </c>
      <c r="H338" t="s">
        <v>28</v>
      </c>
      <c r="I338">
        <f>VLOOKUP(Table4[[#This Row],[Visitor]],'NHL Model'!$A$6:$B$38,2,FALSE)</f>
        <v>-0.72083617366747277</v>
      </c>
      <c r="J338">
        <f>($B$1+Table4[[#This Row],[Home Differential]])-Table4[[#This Row],[Away Differential]]</f>
        <v>0.20911403482060242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0.60213844180309462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0.15829381949086954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-0.21100886368613675</v>
      </c>
      <c r="H339" t="s">
        <v>17</v>
      </c>
      <c r="I339">
        <f>VLOOKUP(Table4[[#This Row],[Visitor]],'NHL Model'!$A$6:$B$38,2,FALSE)</f>
        <v>-0.8561868317598319</v>
      </c>
      <c r="J339">
        <f>($B$1+Table4[[#This Row],[Home Differential]])-Table4[[#This Row],[Away Differential]]</f>
        <v>0.80459762959852232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0.70673137876054215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0.49946924172477691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-0.75480422558713034</v>
      </c>
      <c r="H340" t="s">
        <v>19</v>
      </c>
      <c r="I340">
        <f>VLOOKUP(Table4[[#This Row],[Visitor]],'NHL Model'!$A$6:$B$38,2,FALSE)</f>
        <v>-0.95664361852990654</v>
      </c>
      <c r="J340">
        <f>($B$1+Table4[[#This Row],[Home Differential]])-Table4[[#This Row],[Away Differential]]</f>
        <v>0.36125905446760331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0.5916411607520019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0.16675694159197235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-1.6840122346544992</v>
      </c>
      <c r="H341" t="s">
        <v>12</v>
      </c>
      <c r="I341">
        <f>VLOOKUP(Table4[[#This Row],[Visitor]],'NHL Model'!$A$6:$B$38,2,FALSE)</f>
        <v>1.4583704516548168</v>
      </c>
      <c r="J341">
        <f>($B$1+Table4[[#This Row],[Home Differential]])-Table4[[#This Row],[Away Differential]]</f>
        <v>-2.9829630247844889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0.97889397243963461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4.454643993789035E-4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3.2883390994754517E-3</v>
      </c>
      <c r="H342" t="s">
        <v>35</v>
      </c>
      <c r="I342">
        <f>VLOOKUP(Table4[[#This Row],[Visitor]],'NHL Model'!$A$6:$B$38,2,FALSE)</f>
        <v>-1.5594075795597986</v>
      </c>
      <c r="J342">
        <f>($B$1+Table4[[#This Row],[Home Differential]])-Table4[[#This Row],[Away Differential]]</f>
        <v>1.7221155801841013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0.78617250809360473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0.61806721248218899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-0.54160534998918008</v>
      </c>
      <c r="H343" t="s">
        <v>24</v>
      </c>
      <c r="I343">
        <f>VLOOKUP(Table4[[#This Row],[Visitor]],'NHL Model'!$A$6:$B$38,2,FALSE)</f>
        <v>2.0731927685773251E-2</v>
      </c>
      <c r="J343">
        <f>($B$1+Table4[[#This Row],[Home Differential]])-Table4[[#This Row],[Away Differential]]</f>
        <v>-0.40291761615012622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0.48616758603268867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0.23635892170885173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-0.2200802314358897</v>
      </c>
      <c r="H344" t="s">
        <v>32</v>
      </c>
      <c r="I344">
        <f>VLOOKUP(Table4[[#This Row],[Visitor]],'NHL Model'!$A$6:$B$38,2,FALSE)</f>
        <v>-0.46055888840939002</v>
      </c>
      <c r="J344">
        <f>($B$1+Table4[[#This Row],[Home Differential]])-Table4[[#This Row],[Away Differential]]</f>
        <v>0.39989831849832747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0.59716455572431693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0.35660550661342083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-0.3479098095875402</v>
      </c>
      <c r="H345" t="s">
        <v>36</v>
      </c>
      <c r="I345">
        <f>VLOOKUP(Table4[[#This Row],[Visitor]],'NHL Model'!$A$6:$B$38,2,FALSE)</f>
        <v>-0.34257283900844787</v>
      </c>
      <c r="J345">
        <f>($B$1+Table4[[#This Row],[Home Differential]])-Table4[[#This Row],[Away Differential]]</f>
        <v>0.15408269094573482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0.56202577046534152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0.31587296666716075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-0.1349739904770427</v>
      </c>
      <c r="H346" t="s">
        <v>15</v>
      </c>
      <c r="I346">
        <f>VLOOKUP(Table4[[#This Row],[Visitor]],'NHL Model'!$A$6:$B$38,2,FALSE)</f>
        <v>-0.50599078340071213</v>
      </c>
      <c r="J346">
        <f>($B$1+Table4[[#This Row],[Home Differential]])-Table4[[#This Row],[Away Differential]]</f>
        <v>0.53043645444849652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0.5971012813107367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0.16232737752145013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0.21430145909042725</v>
      </c>
      <c r="H347" t="s">
        <v>37</v>
      </c>
      <c r="I347">
        <f>VLOOKUP(Table4[[#This Row],[Visitor]],'NHL Model'!$A$6:$B$38,2,FALSE)</f>
        <v>0.1846559193064522</v>
      </c>
      <c r="J347">
        <f>($B$1+Table4[[#This Row],[Home Differential]])-Table4[[#This Row],[Away Differential]]</f>
        <v>0.18906520130880222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0.50071065133839787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0.25071115636372265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-0.49794713300108584</v>
      </c>
      <c r="H348" t="s">
        <v>25</v>
      </c>
      <c r="I348">
        <f>VLOOKUP(Table4[[#This Row],[Visitor]],'NHL Model'!$A$6:$B$38,2,FALSE)</f>
        <v>0.42254821659882374</v>
      </c>
      <c r="J348">
        <f>($B$1+Table4[[#This Row],[Home Differential]])-Table4[[#This Row],[Away Differential]]</f>
        <v>-0.76107568807508241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0.62731255832534727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0.39352104583269221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-0.13160108676160023</v>
      </c>
      <c r="H349" t="s">
        <v>12</v>
      </c>
      <c r="I349">
        <f>VLOOKUP(Table4[[#This Row],[Visitor]],'NHL Model'!$A$6:$B$38,2,FALSE)</f>
        <v>1.4583704516548168</v>
      </c>
      <c r="J349">
        <f>($B$1+Table4[[#This Row],[Home Differential]])-Table4[[#This Row],[Away Differential]]</f>
        <v>-1.4305518768915899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0.75698032723098252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5.9058561352760337E-2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3.2883390994754517E-3</v>
      </c>
      <c r="H350" t="s">
        <v>32</v>
      </c>
      <c r="I350">
        <f>VLOOKUP(Table4[[#This Row],[Visitor]],'NHL Model'!$A$6:$B$38,2,FALSE)</f>
        <v>-0.46055888840939002</v>
      </c>
      <c r="J350">
        <f>($B$1+Table4[[#This Row],[Home Differential]])-Table4[[#This Row],[Away Differential]]</f>
        <v>0.62326688903369265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0.62909458520125583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0.13757082672702847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-0.3479098095875402</v>
      </c>
      <c r="H351" t="s">
        <v>21</v>
      </c>
      <c r="I351">
        <f>VLOOKUP(Table4[[#This Row],[Visitor]],'NHL Model'!$A$6:$B$38,2,FALSE)</f>
        <v>-0.12487089668223171</v>
      </c>
      <c r="J351">
        <f>($B$1+Table4[[#This Row],[Home Differential]])-Table4[[#This Row],[Away Differential]]</f>
        <v>-6.3619251380481343E-2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0.46909422738844064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0.22004939416915806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-1.1267952052768424</v>
      </c>
      <c r="H352" t="s">
        <v>16</v>
      </c>
      <c r="I352">
        <f>VLOOKUP(Table4[[#This Row],[Visitor]],'NHL Model'!$A$6:$B$38,2,FALSE)</f>
        <v>-1.1167763879247272</v>
      </c>
      <c r="J352">
        <f>($B$1+Table4[[#This Row],[Home Differential]])-Table4[[#This Row],[Away Differential]]</f>
        <v>0.14940084417271193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0.56135651111022788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0.31512113256584739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-7.3890719153774626E-2</v>
      </c>
      <c r="H353" t="s">
        <v>34</v>
      </c>
      <c r="I353">
        <f>VLOOKUP(Table4[[#This Row],[Visitor]],'NHL Model'!$A$6:$B$38,2,FALSE)</f>
        <v>-0.17681265190927384</v>
      </c>
      <c r="J353">
        <f>($B$1+Table4[[#This Row],[Home Differential]])-Table4[[#This Row],[Away Differential]]</f>
        <v>0.26234159428032633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0.55924026507660429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0.31274967408295062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-0.31985119938240425</v>
      </c>
      <c r="H354" t="s">
        <v>36</v>
      </c>
      <c r="I354">
        <f>VLOOKUP(Table4[[#This Row],[Visitor]],'NHL Model'!$A$6:$B$38,2,FALSE)</f>
        <v>-0.34257283900844787</v>
      </c>
      <c r="J354">
        <f>($B$1+Table4[[#This Row],[Home Differential]])-Table4[[#This Row],[Away Differential]]</f>
        <v>0.18214130115087077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0.56603668502142523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0.18832415874719369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2.0731927685773251E-2</v>
      </c>
      <c r="H355" t="s">
        <v>26</v>
      </c>
      <c r="I355">
        <f>VLOOKUP(Table4[[#This Row],[Visitor]],'NHL Model'!$A$6:$B$38,2,FALSE)</f>
        <v>-0.67114180037169746</v>
      </c>
      <c r="J355">
        <f>($B$1+Table4[[#This Row],[Home Differential]])-Table4[[#This Row],[Away Differential]]</f>
        <v>0.85129338958229783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0.7616904551868563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5.6791439149047745E-2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-1.6840122346544992</v>
      </c>
      <c r="H356" t="s">
        <v>11</v>
      </c>
      <c r="I356">
        <f>VLOOKUP(Table4[[#This Row],[Visitor]],'NHL Model'!$A$6:$B$38,2,FALSE)</f>
        <v>-0.21100886368613675</v>
      </c>
      <c r="J356">
        <f>($B$1+Table4[[#This Row],[Home Differential]])-Table4[[#This Row],[Away Differential]]</f>
        <v>-1.3135837094435354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0.64777380569894538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0.12406329195180428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-0.50599078340071213</v>
      </c>
      <c r="H357" t="s">
        <v>35</v>
      </c>
      <c r="I357">
        <f>VLOOKUP(Table4[[#This Row],[Visitor]],'NHL Model'!$A$6:$B$38,2,FALSE)</f>
        <v>-1.5594075795597986</v>
      </c>
      <c r="J357">
        <f>($B$1+Table4[[#This Row],[Home Differential]])-Table4[[#This Row],[Away Differential]]</f>
        <v>1.2128364576839137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0.71337221504232262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8.2155487109744546E-2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0.1846559193064522</v>
      </c>
      <c r="H358" t="s">
        <v>27</v>
      </c>
      <c r="I358">
        <f>VLOOKUP(Table4[[#This Row],[Visitor]],'NHL Model'!$A$6:$B$38,2,FALSE)</f>
        <v>-0.54160534998918008</v>
      </c>
      <c r="J358">
        <f>($B$1+Table4[[#This Row],[Home Differential]])-Table4[[#This Row],[Away Differential]]</f>
        <v>0.8856809308204594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0.68571150735936559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9.8777256606322111E-2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-0.1349739904770427</v>
      </c>
      <c r="H359" t="s">
        <v>20</v>
      </c>
      <c r="I359">
        <f>VLOOKUP(Table4[[#This Row],[Visitor]],'NHL Model'!$A$6:$B$38,2,FALSE)</f>
        <v>-3.2309887002194844E-2</v>
      </c>
      <c r="J359">
        <f>($B$1+Table4[[#This Row],[Home Differential]])-Table4[[#This Row],[Away Differential]]</f>
        <v>5.6755558049979289E-2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0.61156135388899324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0.15088458179255196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0.21430145909042725</v>
      </c>
      <c r="H360" t="s">
        <v>28</v>
      </c>
      <c r="I360">
        <f>VLOOKUP(Table4[[#This Row],[Visitor]],'NHL Model'!$A$6:$B$38,2,FALSE)</f>
        <v>-0.72083617366747277</v>
      </c>
      <c r="J360">
        <f>($B$1+Table4[[#This Row],[Home Differential]])-Table4[[#This Row],[Away Differential]]</f>
        <v>1.0945572942827271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0.6964644774637736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9.2133813441340001E-2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-0.8561868317598319</v>
      </c>
      <c r="H361" t="s">
        <v>39</v>
      </c>
      <c r="I361">
        <f>VLOOKUP(Table4[[#This Row],[Visitor]],'NHL Model'!$A$6:$B$38,2,FALSE)</f>
        <v>1.9153995907683643E-3</v>
      </c>
      <c r="J361">
        <f>($B$1+Table4[[#This Row],[Home Differential]])-Table4[[#This Row],[Away Differential]]</f>
        <v>-0.69868256982577315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0.60437958986718887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O361">
        <v>-0.69868256982577315</v>
      </c>
      <c r="P361" s="11">
        <v>0.60437958986718887</v>
      </c>
      <c r="Q361" t="s">
        <v>39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0.35254565315374792</v>
      </c>
      <c r="H362" t="s">
        <v>38</v>
      </c>
      <c r="I362">
        <f>VLOOKUP(Table4[[#This Row],[Visitor]],'NHL Model'!$A$6:$B$38,2,FALSE)</f>
        <v>-1.1267952052768424</v>
      </c>
      <c r="J362">
        <f>($B$1+Table4[[#This Row],[Home Differential]])-Table4[[#This Row],[Away Differential]]</f>
        <v>1.6387605199554174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0.84964170707127085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0.42254821659882374</v>
      </c>
      <c r="H363" t="s">
        <v>15</v>
      </c>
      <c r="I363">
        <f>VLOOKUP(Table4[[#This Row],[Visitor]],'NHL Model'!$A$6:$B$38,2,FALSE)</f>
        <v>-0.50599078340071213</v>
      </c>
      <c r="J363">
        <f>($B$1+Table4[[#This Row],[Home Differential]])-Table4[[#This Row],[Away Differential]]</f>
        <v>1.087958661524363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0.66461212699951311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-0.72083617366747277</v>
      </c>
      <c r="H364" t="s">
        <v>19</v>
      </c>
      <c r="I364">
        <f>VLOOKUP(Table4[[#This Row],[Visitor]],'NHL Model'!$A$6:$B$38,2,FALSE)</f>
        <v>-0.95664361852990654</v>
      </c>
      <c r="J364">
        <f>($B$1+Table4[[#This Row],[Home Differential]])-Table4[[#This Row],[Away Differential]]</f>
        <v>0.39522710638726088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0.6035427684299155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-0.13160108676160023</v>
      </c>
      <c r="H365" t="s">
        <v>34</v>
      </c>
      <c r="I365">
        <f>VLOOKUP(Table4[[#This Row],[Visitor]],'NHL Model'!$A$6:$B$38,2,FALSE)</f>
        <v>-0.17681265190927384</v>
      </c>
      <c r="J365">
        <f>($B$1+Table4[[#This Row],[Home Differential]])-Table4[[#This Row],[Away Differential]]</f>
        <v>0.20463122667250075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0.54848233798950219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1.4583704516548168</v>
      </c>
      <c r="H366" t="s">
        <v>33</v>
      </c>
      <c r="I366">
        <f>VLOOKUP(Table4[[#This Row],[Visitor]],'NHL Model'!$A$6:$B$38,2,FALSE)</f>
        <v>-0.3479098095875402</v>
      </c>
      <c r="J366">
        <f>($B$1+Table4[[#This Row],[Home Differential]])-Table4[[#This Row],[Away Differential]]</f>
        <v>1.9656999227671841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0.91591297115817816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-0.67114180037169746</v>
      </c>
      <c r="H367" t="s">
        <v>29</v>
      </c>
      <c r="I367">
        <f>VLOOKUP(Table4[[#This Row],[Visitor]],'NHL Model'!$A$6:$B$38,2,FALSE)</f>
        <v>-1.6840122346544992</v>
      </c>
      <c r="J367">
        <f>($B$1+Table4[[#This Row],[Home Differential]])-Table4[[#This Row],[Away Differential]]</f>
        <v>1.1722900958076288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0.73982227057581107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-0.21100886368613675</v>
      </c>
      <c r="H368" t="s">
        <v>27</v>
      </c>
      <c r="I368">
        <f>VLOOKUP(Table4[[#This Row],[Visitor]],'NHL Model'!$A$6:$B$38,2,FALSE)</f>
        <v>-0.54160534998918008</v>
      </c>
      <c r="J368">
        <f>($B$1+Table4[[#This Row],[Home Differential]])-Table4[[#This Row],[Away Differential]]</f>
        <v>0.49001614782787051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0.6617626709349006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2.0731927685773251E-2</v>
      </c>
      <c r="H369" t="s">
        <v>35</v>
      </c>
      <c r="I369">
        <f>VLOOKUP(Table4[[#This Row],[Visitor]],'NHL Model'!$A$6:$B$38,2,FALSE)</f>
        <v>-1.5594075795597986</v>
      </c>
      <c r="J369">
        <f>($B$1+Table4[[#This Row],[Home Differential]])-Table4[[#This Row],[Away Differential]]</f>
        <v>1.7395591687703991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0.90764461263157092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3.2883390994754517E-3</v>
      </c>
      <c r="H370" t="s">
        <v>21</v>
      </c>
      <c r="I370">
        <f>VLOOKUP(Table4[[#This Row],[Visitor]],'NHL Model'!$A$6:$B$38,2,FALSE)</f>
        <v>-0.12487089668223171</v>
      </c>
      <c r="J370">
        <f>($B$1+Table4[[#This Row],[Home Differential]])-Table4[[#This Row],[Away Differential]]</f>
        <v>0.2875788973065343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0.58110874974905846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-0.2200802314358897</v>
      </c>
      <c r="H371" t="s">
        <v>23</v>
      </c>
      <c r="I371">
        <f>VLOOKUP(Table4[[#This Row],[Visitor]],'NHL Model'!$A$6:$B$38,2,FALSE)</f>
        <v>-0.49794713300108584</v>
      </c>
      <c r="J371">
        <f>($B$1+Table4[[#This Row],[Home Differential]])-Table4[[#This Row],[Away Differential]]</f>
        <v>0.43728656309002328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0.60250912031119042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-0.46055888840939002</v>
      </c>
      <c r="H372" t="s">
        <v>39</v>
      </c>
      <c r="I372">
        <f>VLOOKUP(Table4[[#This Row],[Visitor]],'NHL Model'!$A$6:$B$38,2,FALSE)</f>
        <v>1.9153995907683643E-3</v>
      </c>
      <c r="J372">
        <f>($B$1+Table4[[#This Row],[Home Differential]])-Table4[[#This Row],[Away Differential]]</f>
        <v>-0.30305462647533121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0.55802685241281802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0.1846559193064522</v>
      </c>
      <c r="H373" t="s">
        <v>16</v>
      </c>
      <c r="I373">
        <f>VLOOKUP(Table4[[#This Row],[Visitor]],'NHL Model'!$A$6:$B$38,2,FALSE)</f>
        <v>-1.1167763879247272</v>
      </c>
      <c r="J373">
        <f>($B$1+Table4[[#This Row],[Home Differential]])-Table4[[#This Row],[Away Differential]]</f>
        <v>1.4608519687560064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0.7679308999603307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-0.1349739904770427</v>
      </c>
      <c r="H374" t="s">
        <v>18</v>
      </c>
      <c r="I374">
        <f>VLOOKUP(Table4[[#This Row],[Visitor]],'NHL Model'!$A$6:$B$38,2,FALSE)</f>
        <v>-0.75480422558713034</v>
      </c>
      <c r="J374">
        <f>($B$1+Table4[[#This Row],[Home Differential]])-Table4[[#This Row],[Away Differential]]</f>
        <v>0.77924989663491484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0.66891412550718821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-3.2309887002194844E-2</v>
      </c>
      <c r="H375" t="s">
        <v>36</v>
      </c>
      <c r="I375">
        <f>VLOOKUP(Table4[[#This Row],[Visitor]],'NHL Model'!$A$6:$B$38,2,FALSE)</f>
        <v>-0.34257283900844787</v>
      </c>
      <c r="J375">
        <f>($B$1+Table4[[#This Row],[Home Differential]])-Table4[[#This Row],[Away Differential]]</f>
        <v>0.46968261353108021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0.60714006209069005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0.21430145909042725</v>
      </c>
      <c r="H376" t="s">
        <v>40</v>
      </c>
      <c r="I376">
        <f>VLOOKUP(Table4[[#This Row],[Visitor]],'NHL Model'!$A$6:$B$38,2,FALSE)</f>
        <v>-7.3890719153774626E-2</v>
      </c>
      <c r="J376">
        <f>($B$1+Table4[[#This Row],[Home Differential]])-Table4[[#This Row],[Away Differential]]</f>
        <v>0.44761183976902907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0.53766930567106486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0.35254565315374792</v>
      </c>
      <c r="H377" t="s">
        <v>13</v>
      </c>
      <c r="I377">
        <f>VLOOKUP(Table4[[#This Row],[Visitor]],'NHL Model'!$A$6:$B$38,2,FALSE)</f>
        <v>-0.31985119938240425</v>
      </c>
      <c r="J377">
        <f>($B$1+Table4[[#This Row],[Home Differential]])-Table4[[#This Row],[Away Differential]]</f>
        <v>0.83181651406097934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0.67336172564346608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-0.12487089668223171</v>
      </c>
      <c r="H378" t="s">
        <v>15</v>
      </c>
      <c r="I378">
        <f>VLOOKUP(Table4[[#This Row],[Visitor]],'NHL Model'!$A$6:$B$38,2,FALSE)</f>
        <v>-0.50599078340071213</v>
      </c>
      <c r="J378">
        <f>($B$1+Table4[[#This Row],[Home Differential]])-Table4[[#This Row],[Away Differential]]</f>
        <v>0.54053954824330752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0.5863598089522144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-0.49794713300108584</v>
      </c>
      <c r="H379" t="s">
        <v>24</v>
      </c>
      <c r="I379">
        <f>VLOOKUP(Table4[[#This Row],[Visitor]],'NHL Model'!$A$6:$B$38,2,FALSE)</f>
        <v>2.0731927685773251E-2</v>
      </c>
      <c r="J379">
        <f>($B$1+Table4[[#This Row],[Home Differential]])-Table4[[#This Row],[Away Differential]]</f>
        <v>-0.35925939916203198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0.49816382520926555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0.42254821659882374</v>
      </c>
      <c r="H380" t="s">
        <v>40</v>
      </c>
      <c r="I380">
        <f>VLOOKUP(Table4[[#This Row],[Visitor]],'NHL Model'!$A$6:$B$38,2,FALSE)</f>
        <v>-7.3890719153774626E-2</v>
      </c>
      <c r="J380">
        <f>($B$1+Table4[[#This Row],[Home Differential]])-Table4[[#This Row],[Away Differential]]</f>
        <v>0.65585859727742557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0.62006928529263328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-0.72083617366747277</v>
      </c>
      <c r="H381" t="s">
        <v>14</v>
      </c>
      <c r="I381">
        <f>VLOOKUP(Table4[[#This Row],[Visitor]],'NHL Model'!$A$6:$B$38,2,FALSE)</f>
        <v>-0.2200802314358897</v>
      </c>
      <c r="J381">
        <f>($B$1+Table4[[#This Row],[Home Differential]])-Table4[[#This Row],[Away Differential]]</f>
        <v>-0.34133628070675592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0.50174729366421578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-0.13160108676160023</v>
      </c>
      <c r="H382" t="s">
        <v>29</v>
      </c>
      <c r="I382">
        <f>VLOOKUP(Table4[[#This Row],[Visitor]],'NHL Model'!$A$6:$B$38,2,FALSE)</f>
        <v>-1.6840122346544992</v>
      </c>
      <c r="J382">
        <f>($B$1+Table4[[#This Row],[Home Differential]])-Table4[[#This Row],[Away Differential]]</f>
        <v>1.7118308094177261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0.78470232348819302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1.9153995907683643E-3</v>
      </c>
      <c r="H383" t="s">
        <v>55</v>
      </c>
      <c r="I383">
        <f>VLOOKUP(Table4[[#This Row],[Visitor]],'NHL Model'!$A$6:$B$38,2,FALSE)</f>
        <v>-0.1349739904770427</v>
      </c>
      <c r="J383">
        <f>($B$1+Table4[[#This Row],[Home Differential]])-Table4[[#This Row],[Away Differential]]</f>
        <v>0.29630905159263821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0.58485218466635025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-0.67114180037169746</v>
      </c>
      <c r="H384" t="s">
        <v>37</v>
      </c>
      <c r="I384">
        <f>VLOOKUP(Table4[[#This Row],[Visitor]],'NHL Model'!$A$6:$B$38,2,FALSE)</f>
        <v>0.1846559193064522</v>
      </c>
      <c r="J384">
        <f>($B$1+Table4[[#This Row],[Home Differential]])-Table4[[#This Row],[Away Differential]]</f>
        <v>-0.69637805815332254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0.59321654673284374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-0.21100886368613675</v>
      </c>
      <c r="H385" t="s">
        <v>16</v>
      </c>
      <c r="I385">
        <f>VLOOKUP(Table4[[#This Row],[Visitor]],'NHL Model'!$A$6:$B$38,2,FALSE)</f>
        <v>-1.1167763879247272</v>
      </c>
      <c r="J385">
        <f>($B$1+Table4[[#This Row],[Home Differential]])-Table4[[#This Row],[Away Differential]]</f>
        <v>1.0651871857634176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0.74398206353586582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-0.17681265190927384</v>
      </c>
      <c r="H386" t="s">
        <v>12</v>
      </c>
      <c r="I386">
        <f>VLOOKUP(Table4[[#This Row],[Visitor]],'NHL Model'!$A$6:$B$38,2,FALSE)</f>
        <v>1.4583704516548168</v>
      </c>
      <c r="J386">
        <f>($B$1+Table4[[#This Row],[Home Differential]])-Table4[[#This Row],[Away Differential]]</f>
        <v>-1.4757634420392636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0.76344321771017465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3.2883390994754517E-3</v>
      </c>
      <c r="H387" t="s">
        <v>27</v>
      </c>
      <c r="I387">
        <f>VLOOKUP(Table4[[#This Row],[Visitor]],'NHL Model'!$A$6:$B$38,2,FALSE)</f>
        <v>-0.54160534998918008</v>
      </c>
      <c r="J387">
        <f>($B$1+Table4[[#This Row],[Home Differential]])-Table4[[#This Row],[Away Differential]]</f>
        <v>0.70431335061348266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0.64067999267842179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-0.3479098095875402</v>
      </c>
      <c r="H388" t="s">
        <v>38</v>
      </c>
      <c r="I388">
        <f>VLOOKUP(Table4[[#This Row],[Visitor]],'NHL Model'!$A$6:$B$38,2,FALSE)</f>
        <v>-1.1267952052768424</v>
      </c>
      <c r="J388">
        <f>($B$1+Table4[[#This Row],[Home Differential]])-Table4[[#This Row],[Away Differential]]</f>
        <v>0.93830505721412938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0.65335934454197009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-1.5594075795597986</v>
      </c>
      <c r="H389" t="s">
        <v>36</v>
      </c>
      <c r="I389">
        <f>VLOOKUP(Table4[[#This Row],[Visitor]],'NHL Model'!$A$6:$B$38,2,FALSE)</f>
        <v>-0.34257283900844787</v>
      </c>
      <c r="J389">
        <f>($B$1+Table4[[#This Row],[Home Differential]])-Table4[[#This Row],[Away Differential]]</f>
        <v>-1.0574150790265235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0.6111550822112235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-3.2309887002194844E-2</v>
      </c>
      <c r="H390" t="s">
        <v>18</v>
      </c>
      <c r="I390">
        <f>VLOOKUP(Table4[[#This Row],[Visitor]],'NHL Model'!$A$6:$B$38,2,FALSE)</f>
        <v>-0.75480422558713034</v>
      </c>
      <c r="J390">
        <f>($B$1+Table4[[#This Row],[Home Differential]])-Table4[[#This Row],[Away Differential]]</f>
        <v>0.88191400010976262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0.61896821038526917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0.21430145909042725</v>
      </c>
      <c r="H391" t="s">
        <v>19</v>
      </c>
      <c r="I391">
        <f>VLOOKUP(Table4[[#This Row],[Visitor]],'NHL Model'!$A$6:$B$38,2,FALSE)</f>
        <v>-0.95664361852990654</v>
      </c>
      <c r="J391">
        <f>($B$1+Table4[[#This Row],[Home Differential]])-Table4[[#This Row],[Away Differential]]</f>
        <v>1.330364739145161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0.73017261575419201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-0.12487089668223171</v>
      </c>
      <c r="H392" t="s">
        <v>26</v>
      </c>
      <c r="I392">
        <f>VLOOKUP(Table4[[#This Row],[Visitor]],'NHL Model'!$A$6:$B$38,2,FALSE)</f>
        <v>-0.67114180037169746</v>
      </c>
      <c r="J392">
        <f>($B$1+Table4[[#This Row],[Home Differential]])-Table4[[#This Row],[Away Differential]]</f>
        <v>0.70569056521429285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0.67230543380399022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1.4583704516548168</v>
      </c>
      <c r="H393" t="s">
        <v>18</v>
      </c>
      <c r="I393">
        <f>VLOOKUP(Table4[[#This Row],[Visitor]],'NHL Model'!$A$6:$B$38,2,FALSE)</f>
        <v>-0.75480422558713034</v>
      </c>
      <c r="J393">
        <f>($B$1+Table4[[#This Row],[Home Differential]])-Table4[[#This Row],[Away Differential]]</f>
        <v>2.3725943387667741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0.92932090262488276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-0.31985119938240425</v>
      </c>
      <c r="H394" t="s">
        <v>38</v>
      </c>
      <c r="I394">
        <f>VLOOKUP(Table4[[#This Row],[Visitor]],'NHL Model'!$A$6:$B$38,2,FALSE)</f>
        <v>-1.1267952052768424</v>
      </c>
      <c r="J394">
        <f>($B$1+Table4[[#This Row],[Home Differential]])-Table4[[#This Row],[Away Differential]]</f>
        <v>0.96636366741926527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0.65737025909805391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-0.17681265190927384</v>
      </c>
      <c r="H395" t="s">
        <v>23</v>
      </c>
      <c r="I395">
        <f>VLOOKUP(Table4[[#This Row],[Visitor]],'NHL Model'!$A$6:$B$38,2,FALSE)</f>
        <v>-0.49794713300108584</v>
      </c>
      <c r="J395">
        <f>($B$1+Table4[[#This Row],[Home Differential]])-Table4[[#This Row],[Away Differential]]</f>
        <v>0.48055414261663915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0.60869412246422117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2.0731927685773251E-2</v>
      </c>
      <c r="H396" t="s">
        <v>27</v>
      </c>
      <c r="I396">
        <f>VLOOKUP(Table4[[#This Row],[Visitor]],'NHL Model'!$A$6:$B$38,2,FALSE)</f>
        <v>-0.54160534998918008</v>
      </c>
      <c r="J396">
        <f>($B$1+Table4[[#This Row],[Home Differential]])-Table4[[#This Row],[Away Differential]]</f>
        <v>0.72175693919978046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0.76215209721638799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-1.6840122346544992</v>
      </c>
      <c r="H397" t="s">
        <v>40</v>
      </c>
      <c r="I397">
        <f>VLOOKUP(Table4[[#This Row],[Visitor]],'NHL Model'!$A$6:$B$38,2,FALSE)</f>
        <v>-7.3890719153774626E-2</v>
      </c>
      <c r="J397">
        <f>($B$1+Table4[[#This Row],[Home Differential]])-Table4[[#This Row],[Away Differential]]</f>
        <v>-1.4507018539758976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0.73369032228588438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-0.50599078340071213</v>
      </c>
      <c r="H398" t="s">
        <v>37</v>
      </c>
      <c r="I398">
        <f>VLOOKUP(Table4[[#This Row],[Visitor]],'NHL Model'!$A$6:$B$38,2,FALSE)</f>
        <v>0.1846559193064522</v>
      </c>
      <c r="J398">
        <f>($B$1+Table4[[#This Row],[Home Differential]])-Table4[[#This Row],[Away Differential]]</f>
        <v>-0.53122704118233721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0.60225348761646524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-0.2200802314358897</v>
      </c>
      <c r="H399" t="s">
        <v>19</v>
      </c>
      <c r="I399">
        <f>VLOOKUP(Table4[[#This Row],[Visitor]],'NHL Model'!$A$6:$B$38,2,FALSE)</f>
        <v>-0.95664361852990654</v>
      </c>
      <c r="J399">
        <f>($B$1+Table4[[#This Row],[Home Differential]])-Table4[[#This Row],[Away Differential]]</f>
        <v>0.89598304861884404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0.6680787403736721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-0.46055888840939002</v>
      </c>
      <c r="H400" t="s">
        <v>17</v>
      </c>
      <c r="I400">
        <f>VLOOKUP(Table4[[#This Row],[Visitor]],'NHL Model'!$A$6:$B$38,2,FALSE)</f>
        <v>-0.8561868317598319</v>
      </c>
      <c r="J400">
        <f>($B$1+Table4[[#This Row],[Home Differential]])-Table4[[#This Row],[Away Differential]]</f>
        <v>0.55504760487526905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0.64538052943140489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-1.5594075795597986</v>
      </c>
      <c r="H401" t="s">
        <v>55</v>
      </c>
      <c r="I401">
        <f>VLOOKUP(Table4[[#This Row],[Visitor]],'NHL Model'!$A$6:$B$38,2,FALSE)</f>
        <v>-0.1349739904770427</v>
      </c>
      <c r="J401">
        <f>($B$1+Table4[[#This Row],[Home Differential]])-Table4[[#This Row],[Away Differential]]</f>
        <v>-1.2650139275579289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0.64083086576975612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-3.2309887002194844E-2</v>
      </c>
      <c r="H402" t="s">
        <v>33</v>
      </c>
      <c r="I402">
        <f>VLOOKUP(Table4[[#This Row],[Visitor]],'NHL Model'!$A$6:$B$38,2,FALSE)</f>
        <v>-0.3479098095875402</v>
      </c>
      <c r="J402">
        <f>($B$1+Table4[[#This Row],[Home Differential]])-Table4[[#This Row],[Away Differential]]</f>
        <v>0.47501958411017253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0.60790296990488946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0.42254821659882374</v>
      </c>
      <c r="H403" t="s">
        <v>16</v>
      </c>
      <c r="I403">
        <f>VLOOKUP(Table4[[#This Row],[Visitor]],'NHL Model'!$A$6:$B$38,2,FALSE)</f>
        <v>-1.1167763879247272</v>
      </c>
      <c r="J403">
        <f>($B$1+Table4[[#This Row],[Home Differential]])-Table4[[#This Row],[Away Differential]]</f>
        <v>1.698744266048378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0.8345476081885288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-0.13160108676160023</v>
      </c>
      <c r="H404" t="s">
        <v>31</v>
      </c>
      <c r="I404">
        <f>VLOOKUP(Table4[[#This Row],[Visitor]],'NHL Model'!$A$6:$B$38,2,FALSE)</f>
        <v>0.35254565315374792</v>
      </c>
      <c r="J404">
        <f>($B$1+Table4[[#This Row],[Home Differential]])-Table4[[#This Row],[Away Differential]]</f>
        <v>-0.32472707839052101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0.52718822857236158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1.9153995907683643E-3</v>
      </c>
      <c r="H405" t="s">
        <v>36</v>
      </c>
      <c r="I405">
        <f>VLOOKUP(Table4[[#This Row],[Visitor]],'NHL Model'!$A$6:$B$38,2,FALSE)</f>
        <v>-0.34257283900844787</v>
      </c>
      <c r="J405">
        <f>($B$1+Table4[[#This Row],[Home Differential]])-Table4[[#This Row],[Away Differential]]</f>
        <v>0.50390790012404341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0.61452796822488298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3.2883390994754517E-3</v>
      </c>
      <c r="H406" t="s">
        <v>22</v>
      </c>
      <c r="I406">
        <f>VLOOKUP(Table4[[#This Row],[Visitor]],'NHL Model'!$A$6:$B$38,2,FALSE)</f>
        <v>0.21430145909042725</v>
      </c>
      <c r="J406">
        <f>($B$1+Table4[[#This Row],[Home Differential]])-Table4[[#This Row],[Away Differential]]</f>
        <v>-5.1593458466124648E-2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0.48814439839327101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-0.49794713300108584</v>
      </c>
      <c r="H407" t="s">
        <v>40</v>
      </c>
      <c r="I407">
        <f>VLOOKUP(Table4[[#This Row],[Visitor]],'NHL Model'!$A$6:$B$38,2,FALSE)</f>
        <v>-7.3890719153774626E-2</v>
      </c>
      <c r="J407">
        <f>($B$1+Table4[[#This Row],[Home Differential]])-Table4[[#This Row],[Away Differential]]</f>
        <v>-0.26463675232248407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0.55002434421863988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2.0731927685773251E-2</v>
      </c>
      <c r="H408" t="s">
        <v>28</v>
      </c>
      <c r="I408">
        <f>VLOOKUP(Table4[[#This Row],[Visitor]],'NHL Model'!$A$6:$B$38,2,FALSE)</f>
        <v>-0.72083617366747277</v>
      </c>
      <c r="J408">
        <f>($B$1+Table4[[#This Row],[Home Differential]])-Table4[[#This Row],[Away Differential]]</f>
        <v>0.90098776287807314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0.78777273609815868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-0.54160534998918008</v>
      </c>
      <c r="H409" t="s">
        <v>14</v>
      </c>
      <c r="I409">
        <f>VLOOKUP(Table4[[#This Row],[Visitor]],'NHL Model'!$A$6:$B$38,2,FALSE)</f>
        <v>-0.2200802314358897</v>
      </c>
      <c r="J409">
        <f>($B$1+Table4[[#This Row],[Home Differential]])-Table4[[#This Row],[Away Differential]]</f>
        <v>-0.16210545702846327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0.45092654083410372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-0.3479098095875402</v>
      </c>
      <c r="H410" t="s">
        <v>55</v>
      </c>
      <c r="I410">
        <f>VLOOKUP(Table4[[#This Row],[Visitor]],'NHL Model'!$A$6:$B$38,2,FALSE)</f>
        <v>-0.1349739904770427</v>
      </c>
      <c r="J410">
        <f>($B$1+Table4[[#This Row],[Home Differential]])-Table4[[#This Row],[Away Differential]]</f>
        <v>-5.3516157585670354E-2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0.46765001309319132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-1.5594075795597986</v>
      </c>
      <c r="H411" t="s">
        <v>31</v>
      </c>
      <c r="I411">
        <f>VLOOKUP(Table4[[#This Row],[Visitor]],'NHL Model'!$A$6:$B$38,2,FALSE)</f>
        <v>0.35254565315374792</v>
      </c>
      <c r="J411">
        <f>($B$1+Table4[[#This Row],[Home Differential]])-Table4[[#This Row],[Away Differential]]</f>
        <v>-1.7525335711887193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0.73128992154170946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1.4583704516548168</v>
      </c>
      <c r="H412" t="s">
        <v>38</v>
      </c>
      <c r="I412">
        <f>VLOOKUP(Table4[[#This Row],[Visitor]],'NHL Model'!$A$6:$B$38,2,FALSE)</f>
        <v>-1.1267952052768424</v>
      </c>
      <c r="J412">
        <f>($B$1+Table4[[#This Row],[Home Differential]])-Table4[[#This Row],[Away Differential]]</f>
        <v>2.7445853184564863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-0.67114180037169746</v>
      </c>
      <c r="H413" t="s">
        <v>21</v>
      </c>
      <c r="I413">
        <f>VLOOKUP(Table4[[#This Row],[Visitor]],'NHL Model'!$A$6:$B$38,2,FALSE)</f>
        <v>-0.12487089668223171</v>
      </c>
      <c r="J413">
        <f>($B$1+Table4[[#This Row],[Home Differential]])-Table4[[#This Row],[Away Differential]]</f>
        <v>-0.38685124216463862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0.48305344000803957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-0.8561868317598319</v>
      </c>
      <c r="H414" t="s">
        <v>34</v>
      </c>
      <c r="I414">
        <f>VLOOKUP(Table4[[#This Row],[Visitor]],'NHL Model'!$A$6:$B$38,2,FALSE)</f>
        <v>-0.17681265190927384</v>
      </c>
      <c r="J414">
        <f>($B$1+Table4[[#This Row],[Home Differential]])-Table4[[#This Row],[Away Differential]]</f>
        <v>-0.51995451832573092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0.518770761065518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-0.21100886368613675</v>
      </c>
      <c r="H415" t="s">
        <v>19</v>
      </c>
      <c r="I415">
        <f>VLOOKUP(Table4[[#This Row],[Visitor]],'NHL Model'!$A$6:$B$38,2,FALSE)</f>
        <v>-0.95664361852990654</v>
      </c>
      <c r="J415">
        <f>($B$1+Table4[[#This Row],[Home Differential]])-Table4[[#This Row],[Away Differential]]</f>
        <v>0.90505441636859696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0.72109144810708969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-0.31985119938240425</v>
      </c>
      <c r="H416" t="s">
        <v>22</v>
      </c>
      <c r="I416">
        <f>VLOOKUP(Table4[[#This Row],[Visitor]],'NHL Model'!$A$6:$B$38,2,FALSE)</f>
        <v>0.21430145909042725</v>
      </c>
      <c r="J416">
        <f>($B$1+Table4[[#This Row],[Home Differential]])-Table4[[#This Row],[Away Differential]]</f>
        <v>-0.37473299694800433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0.53433646097468623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-0.75480422558713034</v>
      </c>
      <c r="H417" t="s">
        <v>36</v>
      </c>
      <c r="I417">
        <f>VLOOKUP(Table4[[#This Row],[Visitor]],'NHL Model'!$A$6:$B$38,2,FALSE)</f>
        <v>-0.34257283900844787</v>
      </c>
      <c r="J417">
        <f>($B$1+Table4[[#This Row],[Home Differential]])-Table4[[#This Row],[Away Differential]]</f>
        <v>-0.25281172505385535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0.49613886149576858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-1.6840122346544992</v>
      </c>
      <c r="H418" t="s">
        <v>16</v>
      </c>
      <c r="I418">
        <f>VLOOKUP(Table4[[#This Row],[Visitor]],'NHL Model'!$A$6:$B$38,2,FALSE)</f>
        <v>-1.1167763879247272</v>
      </c>
      <c r="J418">
        <f>($B$1+Table4[[#This Row],[Home Differential]])-Table4[[#This Row],[Away Differential]]</f>
        <v>-0.40781618520494489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0.51829639677398132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3.2883390994754517E-3</v>
      </c>
      <c r="H419" t="s">
        <v>37</v>
      </c>
      <c r="I419">
        <f>VLOOKUP(Table4[[#This Row],[Visitor]],'NHL Model'!$A$6:$B$38,2,FALSE)</f>
        <v>0.1846559193064522</v>
      </c>
      <c r="J419">
        <f>($B$1+Table4[[#This Row],[Home Differential]])-Table4[[#This Row],[Away Differential]]</f>
        <v>-2.1947918682149598E-2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0.52945319456518314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-0.50599078340071213</v>
      </c>
      <c r="H420" t="s">
        <v>39</v>
      </c>
      <c r="I420">
        <f>VLOOKUP(Table4[[#This Row],[Visitor]],'NHL Model'!$A$6:$B$38,2,FALSE)</f>
        <v>1.9153995907683643E-3</v>
      </c>
      <c r="J420">
        <f>($B$1+Table4[[#This Row],[Home Differential]])-Table4[[#This Row],[Away Differential]]</f>
        <v>-0.34848652146665338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0.59077362512298337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-3.2309887002194844E-2</v>
      </c>
      <c r="H421" t="s">
        <v>10</v>
      </c>
      <c r="I421">
        <f>VLOOKUP(Table4[[#This Row],[Visitor]],'NHL Model'!$A$6:$B$38,2,FALSE)</f>
        <v>-0.13160108676160023</v>
      </c>
      <c r="J421">
        <f>($B$1+Table4[[#This Row],[Home Differential]])-Table4[[#This Row],[Away Differential]]</f>
        <v>0.25871086128423254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0.57698212961210638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0.35254565315374792</v>
      </c>
      <c r="H422" t="s">
        <v>55</v>
      </c>
      <c r="I422">
        <f>VLOOKUP(Table4[[#This Row],[Visitor]],'NHL Model'!$A$6:$B$38,2,FALSE)</f>
        <v>-0.1349739904770427</v>
      </c>
      <c r="J422">
        <f>($B$1+Table4[[#This Row],[Home Differential]])-Table4[[#This Row],[Away Differential]]</f>
        <v>0.64693930515561782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0.72739913820289837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-0.75480422558713034</v>
      </c>
      <c r="H423" t="s">
        <v>40</v>
      </c>
      <c r="I423">
        <f>VLOOKUP(Table4[[#This Row],[Visitor]],'NHL Model'!$A$6:$B$38,2,FALSE)</f>
        <v>-7.3890719153774626E-2</v>
      </c>
      <c r="J423">
        <f>($B$1+Table4[[#This Row],[Home Differential]])-Table4[[#This Row],[Away Differential]]</f>
        <v>-0.52149384490852857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0.60086214933112514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2.0731927685773251E-2</v>
      </c>
      <c r="H424" t="s">
        <v>39</v>
      </c>
      <c r="I424">
        <f>VLOOKUP(Table4[[#This Row],[Visitor]],'NHL Model'!$A$6:$B$38,2,FALSE)</f>
        <v>1.9153995907683643E-3</v>
      </c>
      <c r="J424">
        <f>($B$1+Table4[[#This Row],[Home Differential]])-Table4[[#This Row],[Away Differential]]</f>
        <v>0.17823618961983204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0.60825991515740052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-0.54160534998918008</v>
      </c>
      <c r="H425" t="s">
        <v>23</v>
      </c>
      <c r="I425">
        <f>VLOOKUP(Table4[[#This Row],[Visitor]],'NHL Model'!$A$6:$B$38,2,FALSE)</f>
        <v>-0.49794713300108584</v>
      </c>
      <c r="J425">
        <f>($B$1+Table4[[#This Row],[Home Differential]])-Table4[[#This Row],[Away Differential]]</f>
        <v>0.11576144453673287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0.58879390119754582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-0.3479098095875402</v>
      </c>
      <c r="H426" t="s">
        <v>22</v>
      </c>
      <c r="I426">
        <f>VLOOKUP(Table4[[#This Row],[Visitor]],'NHL Model'!$A$6:$B$38,2,FALSE)</f>
        <v>0.21430145909042725</v>
      </c>
      <c r="J426">
        <f>($B$1+Table4[[#This Row],[Home Differential]])-Table4[[#This Row],[Away Differential]]</f>
        <v>-0.40279160715314033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0.53834737553077006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-0.12487089668223171</v>
      </c>
      <c r="H427" t="s">
        <v>35</v>
      </c>
      <c r="I427">
        <f>VLOOKUP(Table4[[#This Row],[Visitor]],'NHL Model'!$A$6:$B$38,2,FALSE)</f>
        <v>-1.5594075795597986</v>
      </c>
      <c r="J427">
        <f>($B$1+Table4[[#This Row],[Home Differential]])-Table4[[#This Row],[Away Differential]]</f>
        <v>1.5939563444023941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0.81956841295544802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0.42254821659882374</v>
      </c>
      <c r="H428" t="s">
        <v>19</v>
      </c>
      <c r="I428">
        <f>VLOOKUP(Table4[[#This Row],[Visitor]],'NHL Model'!$A$6:$B$38,2,FALSE)</f>
        <v>-0.95664361852990654</v>
      </c>
      <c r="J428">
        <f>($B$1+Table4[[#This Row],[Home Differential]])-Table4[[#This Row],[Away Differential]]</f>
        <v>1.5386114966535573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0.81165699275975278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-0.72083617366747277</v>
      </c>
      <c r="H429" t="s">
        <v>26</v>
      </c>
      <c r="I429">
        <f>VLOOKUP(Table4[[#This Row],[Visitor]],'NHL Model'!$A$6:$B$38,2,FALSE)</f>
        <v>-0.67114180037169746</v>
      </c>
      <c r="J429">
        <f>($B$1+Table4[[#This Row],[Home Differential]])-Table4[[#This Row],[Away Differential]]</f>
        <v>0.10972528822905181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0.54200077003796876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-1.1167763879247272</v>
      </c>
      <c r="H430" t="s">
        <v>34</v>
      </c>
      <c r="I430">
        <f>VLOOKUP(Table4[[#This Row],[Visitor]],'NHL Model'!$A$6:$B$38,2,FALSE)</f>
        <v>-0.17681265190927384</v>
      </c>
      <c r="J430">
        <f>($B$1+Table4[[#This Row],[Home Differential]])-Table4[[#This Row],[Away Differential]]</f>
        <v>-0.78054407449062624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0.59234623216562798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-0.8561868317598319</v>
      </c>
      <c r="H431" t="s">
        <v>32</v>
      </c>
      <c r="I431">
        <f>VLOOKUP(Table4[[#This Row],[Visitor]],'NHL Model'!$A$6:$B$38,2,FALSE)</f>
        <v>-0.46055888840939002</v>
      </c>
      <c r="J431">
        <f>($B$1+Table4[[#This Row],[Home Differential]])-Table4[[#This Row],[Away Differential]]</f>
        <v>-0.23620828182561476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0.45772857066381972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-0.21100886368613675</v>
      </c>
      <c r="H432" t="s">
        <v>29</v>
      </c>
      <c r="I432">
        <f>VLOOKUP(Table4[[#This Row],[Visitor]],'NHL Model'!$A$6:$B$38,2,FALSE)</f>
        <v>-1.6840122346544992</v>
      </c>
      <c r="J432">
        <f>($B$1+Table4[[#This Row],[Home Differential]])-Table4[[#This Row],[Away Differential]]</f>
        <v>1.6324230324931897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0.82506713858938785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-0.31985119938240425</v>
      </c>
      <c r="H433" t="s">
        <v>10</v>
      </c>
      <c r="I433">
        <f>VLOOKUP(Table4[[#This Row],[Visitor]],'NHL Model'!$A$6:$B$38,2,FALSE)</f>
        <v>-0.13160108676160023</v>
      </c>
      <c r="J433">
        <f>($B$1+Table4[[#This Row],[Home Differential]])-Table4[[#This Row],[Away Differential]]</f>
        <v>-2.8830451095976872E-2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0.46412124745715844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3.2883390994754517E-3</v>
      </c>
      <c r="H434" t="s">
        <v>12</v>
      </c>
      <c r="I434">
        <f>VLOOKUP(Table4[[#This Row],[Visitor]],'NHL Model'!$A$6:$B$38,2,FALSE)</f>
        <v>1.4583704516548168</v>
      </c>
      <c r="J434">
        <f>($B$1+Table4[[#This Row],[Home Differential]])-Table4[[#This Row],[Away Differential]]</f>
        <v>-1.2956624510305141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0.73769819038626649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-0.34257283900844787</v>
      </c>
      <c r="H435" t="s">
        <v>15</v>
      </c>
      <c r="I435">
        <f>VLOOKUP(Table4[[#This Row],[Visitor]],'NHL Model'!$A$6:$B$38,2,FALSE)</f>
        <v>-0.50599078340071213</v>
      </c>
      <c r="J435">
        <f>($B$1+Table4[[#This Row],[Home Differential]])-Table4[[#This Row],[Away Differential]]</f>
        <v>0.32283760591709143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0.50516529545014621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0.1846559193064522</v>
      </c>
      <c r="H436" t="s">
        <v>14</v>
      </c>
      <c r="I436">
        <f>VLOOKUP(Table4[[#This Row],[Visitor]],'NHL Model'!$A$6:$B$38,2,FALSE)</f>
        <v>-0.2200802314358897</v>
      </c>
      <c r="J436">
        <f>($B$1+Table4[[#This Row],[Home Differential]])-Table4[[#This Row],[Away Differential]]</f>
        <v>0.56415581226716904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0.63975022243742352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0.35254565315374792</v>
      </c>
      <c r="H437" t="s">
        <v>22</v>
      </c>
      <c r="I437">
        <f>VLOOKUP(Table4[[#This Row],[Visitor]],'NHL Model'!$A$6:$B$38,2,FALSE)</f>
        <v>0.21430145909042725</v>
      </c>
      <c r="J437">
        <f>($B$1+Table4[[#This Row],[Home Differential]])-Table4[[#This Row],[Away Differential]]</f>
        <v>0.29766385558814784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0.6579349869985307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1.9153995907683643E-3</v>
      </c>
      <c r="H438" t="s">
        <v>33</v>
      </c>
      <c r="I438">
        <f>VLOOKUP(Table4[[#This Row],[Visitor]],'NHL Model'!$A$6:$B$38,2,FALSE)</f>
        <v>-0.3479098095875402</v>
      </c>
      <c r="J438">
        <f>($B$1+Table4[[#This Row],[Home Differential]])-Table4[[#This Row],[Away Differential]]</f>
        <v>0.50924487070313573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0.61529087603908239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2.0731927685773251E-2</v>
      </c>
      <c r="H439" t="s">
        <v>20</v>
      </c>
      <c r="I439">
        <f>VLOOKUP(Table4[[#This Row],[Visitor]],'NHL Model'!$A$6:$B$38,2,FALSE)</f>
        <v>-3.2309887002194844E-2</v>
      </c>
      <c r="J439">
        <f>($B$1+Table4[[#This Row],[Home Differential]])-Table4[[#This Row],[Away Differential]]</f>
        <v>0.21246147621279524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0.68934946832965738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-1.1267952052768424</v>
      </c>
      <c r="H440" t="s">
        <v>55</v>
      </c>
      <c r="I440">
        <f>VLOOKUP(Table4[[#This Row],[Visitor]],'NHL Model'!$A$6:$B$38,2,FALSE)</f>
        <v>-0.1349739904770427</v>
      </c>
      <c r="J440">
        <f>($B$1+Table4[[#This Row],[Home Differential]])-Table4[[#This Row],[Away Differential]]</f>
        <v>-0.83240155327497256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0.57898991012485135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-7.3890719153774626E-2</v>
      </c>
      <c r="H441" t="s">
        <v>23</v>
      </c>
      <c r="I441">
        <f>VLOOKUP(Table4[[#This Row],[Visitor]],'NHL Model'!$A$6:$B$38,2,FALSE)</f>
        <v>-0.49794713300108584</v>
      </c>
      <c r="J441">
        <f>($B$1+Table4[[#This Row],[Home Differential]])-Table4[[#This Row],[Away Differential]]</f>
        <v>0.58347607537213841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0.62590205803084198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-0.12487089668223171</v>
      </c>
      <c r="H442" t="s">
        <v>24</v>
      </c>
      <c r="I442">
        <f>VLOOKUP(Table4[[#This Row],[Visitor]],'NHL Model'!$A$6:$B$38,2,FALSE)</f>
        <v>2.0731927685773251E-2</v>
      </c>
      <c r="J442">
        <f>($B$1+Table4[[#This Row],[Home Differential]])-Table4[[#This Row],[Away Differential]]</f>
        <v>1.3816837156822182E-2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0.59288417637719404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0.42254821659882374</v>
      </c>
      <c r="H443" t="s">
        <v>29</v>
      </c>
      <c r="I443">
        <f>VLOOKUP(Table4[[#This Row],[Visitor]],'NHL Model'!$A$6:$B$38,2,FALSE)</f>
        <v>-1.6840122346544992</v>
      </c>
      <c r="J443">
        <f>($B$1+Table4[[#This Row],[Home Differential]])-Table4[[#This Row],[Away Differential]]</f>
        <v>2.2659801127781503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0.91563268324205094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-1.1167763879247272</v>
      </c>
      <c r="H444" t="s">
        <v>55</v>
      </c>
      <c r="I444">
        <f>VLOOKUP(Table4[[#This Row],[Visitor]],'NHL Model'!$A$6:$B$38,2,FALSE)</f>
        <v>-0.1349739904770427</v>
      </c>
      <c r="J444">
        <f>($B$1+Table4[[#This Row],[Home Differential]])-Table4[[#This Row],[Away Differential]]</f>
        <v>-0.82238273592285738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0.57755774295553841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-0.8561868317598319</v>
      </c>
      <c r="H445" t="s">
        <v>40</v>
      </c>
      <c r="I445">
        <f>VLOOKUP(Table4[[#This Row],[Visitor]],'NHL Model'!$A$6:$B$38,2,FALSE)</f>
        <v>-7.3890719153774626E-2</v>
      </c>
      <c r="J445">
        <f>($B$1+Table4[[#This Row],[Home Differential]])-Table4[[#This Row],[Away Differential]]</f>
        <v>-0.62287645108123013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0.57883469135070131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-0.21100886368613675</v>
      </c>
      <c r="H446" t="s">
        <v>28</v>
      </c>
      <c r="I446">
        <f>VLOOKUP(Table4[[#This Row],[Visitor]],'NHL Model'!$A$6:$B$38,2,FALSE)</f>
        <v>-0.72083617366747277</v>
      </c>
      <c r="J446">
        <f>($B$1+Table4[[#This Row],[Home Differential]])-Table4[[#This Row],[Away Differential]]</f>
        <v>0.66924697150616319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0.6873833098166714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-0.31985119938240425</v>
      </c>
      <c r="H447" t="s">
        <v>10</v>
      </c>
      <c r="I447">
        <f>VLOOKUP(Table4[[#This Row],[Visitor]],'NHL Model'!$A$6:$B$38,2,FALSE)</f>
        <v>-0.13160108676160023</v>
      </c>
      <c r="J447">
        <f>($B$1+Table4[[#This Row],[Home Differential]])-Table4[[#This Row],[Away Differential]]</f>
        <v>-2.8830451095976872E-2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0.46412124745715844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-0.50599078340071213</v>
      </c>
      <c r="H448" t="s">
        <v>12</v>
      </c>
      <c r="I448">
        <f>VLOOKUP(Table4[[#This Row],[Visitor]],'NHL Model'!$A$6:$B$38,2,FALSE)</f>
        <v>1.4583704516548168</v>
      </c>
      <c r="J448">
        <f>($B$1+Table4[[#This Row],[Home Differential]])-Table4[[#This Row],[Away Differential]]</f>
        <v>-1.8049415735307019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0.8104984834375486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-0.34257283900844787</v>
      </c>
      <c r="H449" t="s">
        <v>35</v>
      </c>
      <c r="I449">
        <f>VLOOKUP(Table4[[#This Row],[Visitor]],'NHL Model'!$A$6:$B$38,2,FALSE)</f>
        <v>-1.5594075795597986</v>
      </c>
      <c r="J449">
        <f>($B$1+Table4[[#This Row],[Home Differential]])-Table4[[#This Row],[Away Differential]]</f>
        <v>1.3762544020761778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0.73922791797464493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-0.46055888840939002</v>
      </c>
      <c r="H450" t="s">
        <v>26</v>
      </c>
      <c r="I450">
        <f>VLOOKUP(Table4[[#This Row],[Visitor]],'NHL Model'!$A$6:$B$38,2,FALSE)</f>
        <v>-0.67114180037169746</v>
      </c>
      <c r="J450">
        <f>($B$1+Table4[[#This Row],[Home Differential]])-Table4[[#This Row],[Away Differential]]</f>
        <v>0.37000257348713461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0.59834557237776675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0.1846559193064522</v>
      </c>
      <c r="H451" t="s">
        <v>30</v>
      </c>
      <c r="I451">
        <f>VLOOKUP(Table4[[#This Row],[Visitor]],'NHL Model'!$A$6:$B$38,2,FALSE)</f>
        <v>3.2883390994754517E-3</v>
      </c>
      <c r="J451">
        <f>($B$1+Table4[[#This Row],[Home Differential]])-Table4[[#This Row],[Away Differential]]</f>
        <v>0.34078724173180386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0.53534577769336122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-0.95664361852990654</v>
      </c>
      <c r="H452" t="s">
        <v>18</v>
      </c>
      <c r="I452">
        <f>VLOOKUP(Table4[[#This Row],[Visitor]],'NHL Model'!$A$6:$B$38,2,FALSE)</f>
        <v>-0.75480422558713034</v>
      </c>
      <c r="J452">
        <f>($B$1+Table4[[#This Row],[Home Differential]])-Table4[[#This Row],[Away Differential]]</f>
        <v>-4.241973141794908E-2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0.51316319567365043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-1.1267952052768424</v>
      </c>
      <c r="H453" t="s">
        <v>34</v>
      </c>
      <c r="I453">
        <f>VLOOKUP(Table4[[#This Row],[Visitor]],'NHL Model'!$A$6:$B$38,2,FALSE)</f>
        <v>-0.17681265190927384</v>
      </c>
      <c r="J453">
        <f>($B$1+Table4[[#This Row],[Home Differential]])-Table4[[#This Row],[Away Differential]]</f>
        <v>-0.79056289184274142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0.59377839933494081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0.35254565315374792</v>
      </c>
      <c r="H454" t="s">
        <v>10</v>
      </c>
      <c r="I454">
        <f>VLOOKUP(Table4[[#This Row],[Visitor]],'NHL Model'!$A$6:$B$38,2,FALSE)</f>
        <v>-0.13160108676160023</v>
      </c>
      <c r="J454">
        <f>($B$1+Table4[[#This Row],[Home Differential]])-Table4[[#This Row],[Away Differential]]</f>
        <v>0.6435664014401753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0.72691698928284743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0.42254821659882374</v>
      </c>
      <c r="H455" t="s">
        <v>33</v>
      </c>
      <c r="I455">
        <f>VLOOKUP(Table4[[#This Row],[Visitor]],'NHL Model'!$A$6:$B$38,2,FALSE)</f>
        <v>-0.3479098095875402</v>
      </c>
      <c r="J455">
        <f>($B$1+Table4[[#This Row],[Home Differential]])-Table4[[#This Row],[Away Differential]]</f>
        <v>0.92987768771119117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0.72463987832618182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1.9153995907683643E-3</v>
      </c>
      <c r="H456" t="s">
        <v>14</v>
      </c>
      <c r="I456">
        <f>VLOOKUP(Table4[[#This Row],[Visitor]],'NHL Model'!$A$6:$B$38,2,FALSE)</f>
        <v>-0.2200802314358897</v>
      </c>
      <c r="J456">
        <f>($B$1+Table4[[#This Row],[Home Differential]])-Table4[[#This Row],[Away Differential]]</f>
        <v>0.38141529255148521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0.59701792837852219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-0.21100886368613675</v>
      </c>
      <c r="H457" t="s">
        <v>30</v>
      </c>
      <c r="I457">
        <f>VLOOKUP(Table4[[#This Row],[Visitor]],'NHL Model'!$A$6:$B$38,2,FALSE)</f>
        <v>3.2883390994754517E-3</v>
      </c>
      <c r="J457">
        <f>($B$1+Table4[[#This Row],[Home Differential]])-Table4[[#This Row],[Away Differential]]</f>
        <v>-5.4877541260785055E-2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0.48784461979534133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-0.75480422558713034</v>
      </c>
      <c r="H458" t="s">
        <v>35</v>
      </c>
      <c r="I458">
        <f>VLOOKUP(Table4[[#This Row],[Visitor]],'NHL Model'!$A$6:$B$38,2,FALSE)</f>
        <v>-1.5594075795597986</v>
      </c>
      <c r="J458">
        <f>($B$1+Table4[[#This Row],[Home Differential]])-Table4[[#This Row],[Away Differential]]</f>
        <v>0.96402301549749536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0.67780489899499563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-0.50599078340071213</v>
      </c>
      <c r="H459" t="s">
        <v>20</v>
      </c>
      <c r="I459">
        <f>VLOOKUP(Table4[[#This Row],[Visitor]],'NHL Model'!$A$6:$B$38,2,FALSE)</f>
        <v>-3.2309887002194844E-2</v>
      </c>
      <c r="J459">
        <f>($B$1+Table4[[#This Row],[Home Differential]])-Table4[[#This Row],[Away Differential]]</f>
        <v>-0.31426123487369018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0.50492292925959092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-0.54160534998918008</v>
      </c>
      <c r="H460" t="s">
        <v>12</v>
      </c>
      <c r="I460">
        <f>VLOOKUP(Table4[[#This Row],[Visitor]],'NHL Model'!$A$6:$B$38,2,FALSE)</f>
        <v>1.4583704516548168</v>
      </c>
      <c r="J460">
        <f>($B$1+Table4[[#This Row],[Home Differential]])-Table4[[#This Row],[Away Differential]]</f>
        <v>-1.8405561401191699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0.78310331693984359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0.21430145909042725</v>
      </c>
      <c r="H461" t="s">
        <v>28</v>
      </c>
      <c r="I461">
        <f>VLOOKUP(Table4[[#This Row],[Visitor]],'NHL Model'!$A$6:$B$38,2,FALSE)</f>
        <v>-0.72083617366747277</v>
      </c>
      <c r="J461">
        <f>($B$1+Table4[[#This Row],[Home Differential]])-Table4[[#This Row],[Away Differential]]</f>
        <v>1.0945572942827271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0.6964644774637736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-1.1167763879247272</v>
      </c>
      <c r="H462" t="s">
        <v>23</v>
      </c>
      <c r="I462">
        <f>VLOOKUP(Table4[[#This Row],[Visitor]],'NHL Model'!$A$6:$B$38,2,FALSE)</f>
        <v>-0.49794713300108584</v>
      </c>
      <c r="J462">
        <f>($B$1+Table4[[#This Row],[Home Differential]])-Table4[[#This Row],[Away Differential]]</f>
        <v>-0.45940959339881426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0.52567155721171699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-0.46055888840939002</v>
      </c>
      <c r="H463" t="s">
        <v>34</v>
      </c>
      <c r="I463">
        <f>VLOOKUP(Table4[[#This Row],[Visitor]],'NHL Model'!$A$6:$B$38,2,FALSE)</f>
        <v>-0.17681265190927384</v>
      </c>
      <c r="J463">
        <f>($B$1+Table4[[#This Row],[Home Differential]])-Table4[[#This Row],[Away Differential]]</f>
        <v>-0.12432657497528901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0.47231765586372065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-0.95664361852990654</v>
      </c>
      <c r="H464" t="s">
        <v>37</v>
      </c>
      <c r="I464">
        <f>VLOOKUP(Table4[[#This Row],[Visitor]],'NHL Model'!$A$6:$B$38,2,FALSE)</f>
        <v>0.1846559193064522</v>
      </c>
      <c r="J464">
        <f>($B$1+Table4[[#This Row],[Home Differential]])-Table4[[#This Row],[Away Differential]]</f>
        <v>-0.98187987631153162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0.66667328613625321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-0.1349739904770427</v>
      </c>
      <c r="H465" t="s">
        <v>13</v>
      </c>
      <c r="I465">
        <f>VLOOKUP(Table4[[#This Row],[Visitor]],'NHL Model'!$A$6:$B$38,2,FALSE)</f>
        <v>-0.31985119938240425</v>
      </c>
      <c r="J465">
        <f>($B$1+Table4[[#This Row],[Home Differential]])-Table4[[#This Row],[Away Differential]]</f>
        <v>0.3442968704301887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0.57049305084086988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-1.1267952052768424</v>
      </c>
      <c r="H466" t="s">
        <v>26</v>
      </c>
      <c r="I466">
        <f>VLOOKUP(Table4[[#This Row],[Visitor]],'NHL Model'!$A$6:$B$38,2,FALSE)</f>
        <v>-0.67114180037169746</v>
      </c>
      <c r="J466">
        <f>($B$1+Table4[[#This Row],[Home Differential]])-Table4[[#This Row],[Away Differential]]</f>
        <v>-0.29623374338031783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0.5231151710934534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0.42254821659882374</v>
      </c>
      <c r="H467" t="s">
        <v>28</v>
      </c>
      <c r="I467">
        <f>VLOOKUP(Table4[[#This Row],[Visitor]],'NHL Model'!$A$6:$B$38,2,FALSE)</f>
        <v>-0.72083617366747277</v>
      </c>
      <c r="J467">
        <f>($B$1+Table4[[#This Row],[Home Differential]])-Table4[[#This Row],[Away Differential]]</f>
        <v>1.3028040517911237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0.77794885446933448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-0.8561868317598319</v>
      </c>
      <c r="H468" t="s">
        <v>23</v>
      </c>
      <c r="I468">
        <f>VLOOKUP(Table4[[#This Row],[Visitor]],'NHL Model'!$A$6:$B$38,2,FALSE)</f>
        <v>-0.49794713300108584</v>
      </c>
      <c r="J468">
        <f>($B$1+Table4[[#This Row],[Home Differential]])-Table4[[#This Row],[Away Differential]]</f>
        <v>-0.19882003723391894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0.45238400607694629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-0.75480422558713034</v>
      </c>
      <c r="H469" t="s">
        <v>37</v>
      </c>
      <c r="I469">
        <f>VLOOKUP(Table4[[#This Row],[Visitor]],'NHL Model'!$A$6:$B$38,2,FALSE)</f>
        <v>0.1846559193064522</v>
      </c>
      <c r="J469">
        <f>($B$1+Table4[[#This Row],[Home Differential]])-Table4[[#This Row],[Away Differential]]</f>
        <v>-0.78004048336875542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0.63782080366379224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-1.6840122346544992</v>
      </c>
      <c r="H470" t="s">
        <v>12</v>
      </c>
      <c r="I470">
        <f>VLOOKUP(Table4[[#This Row],[Visitor]],'NHL Model'!$A$6:$B$38,2,FALSE)</f>
        <v>1.4583704516548168</v>
      </c>
      <c r="J470">
        <f>($B$1+Table4[[#This Row],[Home Differential]])-Table4[[#This Row],[Away Differential]]</f>
        <v>-2.9829630247844889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0.97889397243963461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3.2883390994754517E-3</v>
      </c>
      <c r="H471" t="s">
        <v>20</v>
      </c>
      <c r="I471">
        <f>VLOOKUP(Table4[[#This Row],[Visitor]],'NHL Model'!$A$6:$B$38,2,FALSE)</f>
        <v>-3.2309887002194844E-2</v>
      </c>
      <c r="J471">
        <f>($B$1+Table4[[#This Row],[Home Differential]])-Table4[[#This Row],[Away Differential]]</f>
        <v>0.19501788762649744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0.56787736379169129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-0.34257283900844787</v>
      </c>
      <c r="H472" t="s">
        <v>24</v>
      </c>
      <c r="I472">
        <f>VLOOKUP(Table4[[#This Row],[Visitor]],'NHL Model'!$A$6:$B$38,2,FALSE)</f>
        <v>2.0731927685773251E-2</v>
      </c>
      <c r="J472">
        <f>($B$1+Table4[[#This Row],[Home Differential]])-Table4[[#This Row],[Away Differential]]</f>
        <v>-0.20388510516939398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0.48747824571901216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-0.54160534998918008</v>
      </c>
      <c r="H473" t="s">
        <v>33</v>
      </c>
      <c r="I473">
        <f>VLOOKUP(Table4[[#This Row],[Visitor]],'NHL Model'!$A$6:$B$38,2,FALSE)</f>
        <v>-0.3479098095875402</v>
      </c>
      <c r="J473">
        <f>($B$1+Table4[[#This Row],[Home Differential]])-Table4[[#This Row],[Away Differential]]</f>
        <v>-3.4275878876812771E-2</v>
      </c>
      <c r="K473" t="str">
        <f>IF(Table4[[#This Row],[HomeIce Differential]]&gt;0,Table4[[#This Row],[Home]],Table4[[#This Row],[Visitor]])</f>
        <v>San Jose Sharks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0.43265359317354357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-0.2200802314358897</v>
      </c>
      <c r="H474" t="s">
        <v>31</v>
      </c>
      <c r="I474">
        <f>VLOOKUP(Table4[[#This Row],[Visitor]],'NHL Model'!$A$6:$B$38,2,FALSE)</f>
        <v>0.35254565315374792</v>
      </c>
      <c r="J474">
        <f>($B$1+Table4[[#This Row],[Home Differential]])-Table4[[#This Row],[Away Differential]]</f>
        <v>-0.41320622306481047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0.53983612120458446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-1.5594075795597986</v>
      </c>
      <c r="H475" t="s">
        <v>21</v>
      </c>
      <c r="I475">
        <f>VLOOKUP(Table4[[#This Row],[Visitor]],'NHL Model'!$A$6:$B$38,2,FALSE)</f>
        <v>-0.12487089668223171</v>
      </c>
      <c r="J475">
        <f>($B$1+Table4[[#This Row],[Home Differential]])-Table4[[#This Row],[Away Differential]]</f>
        <v>-1.2751170213527399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0.64227508006500555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-7.3890719153774626E-2</v>
      </c>
      <c r="H476" t="s">
        <v>39</v>
      </c>
      <c r="I476">
        <f>VLOOKUP(Table4[[#This Row],[Visitor]],'NHL Model'!$A$6:$B$38,2,FALSE)</f>
        <v>1.9153995907683643E-3</v>
      </c>
      <c r="J476">
        <f>($B$1+Table4[[#This Row],[Home Differential]])-Table4[[#This Row],[Away Differential]]</f>
        <v>8.3613542780284156E-2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0.47349082743867255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-1.1167763879247272</v>
      </c>
      <c r="H477" t="s">
        <v>26</v>
      </c>
      <c r="I477">
        <f>VLOOKUP(Table4[[#This Row],[Visitor]],'NHL Model'!$A$6:$B$38,2,FALSE)</f>
        <v>-0.67114180037169746</v>
      </c>
      <c r="J477">
        <f>($B$1+Table4[[#This Row],[Home Differential]])-Table4[[#This Row],[Away Differential]]</f>
        <v>-0.28621492602820264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0.52168300392414058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-0.13160108676160023</v>
      </c>
      <c r="H478" t="s">
        <v>15</v>
      </c>
      <c r="I478">
        <f>VLOOKUP(Table4[[#This Row],[Visitor]],'NHL Model'!$A$6:$B$38,2,FALSE)</f>
        <v>-0.50599078340071213</v>
      </c>
      <c r="J478">
        <f>($B$1+Table4[[#This Row],[Home Differential]])-Table4[[#This Row],[Away Differential]]</f>
        <v>0.53380935816393904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0.53282857361654179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-0.46055888840939002</v>
      </c>
      <c r="H479" t="s">
        <v>13</v>
      </c>
      <c r="I479">
        <f>VLOOKUP(Table4[[#This Row],[Visitor]],'NHL Model'!$A$6:$B$38,2,FALSE)</f>
        <v>-0.31985119938240425</v>
      </c>
      <c r="J479">
        <f>($B$1+Table4[[#This Row],[Home Differential]])-Table4[[#This Row],[Away Differential]]</f>
        <v>1.87119724978414E-2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0.48543345462889614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-0.1349739904770427</v>
      </c>
      <c r="H480" t="s">
        <v>11</v>
      </c>
      <c r="I480">
        <f>VLOOKUP(Table4[[#This Row],[Visitor]],'NHL Model'!$A$6:$B$38,2,FALSE)</f>
        <v>-0.21100886368613675</v>
      </c>
      <c r="J480">
        <f>($B$1+Table4[[#This Row],[Home Differential]])-Table4[[#This Row],[Away Differential]]</f>
        <v>0.23545453473392119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0.63710596645172479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-0.72083617366747277</v>
      </c>
      <c r="H481" t="s">
        <v>36</v>
      </c>
      <c r="I481">
        <f>VLOOKUP(Table4[[#This Row],[Visitor]],'NHL Model'!$A$6:$B$38,2,FALSE)</f>
        <v>-0.34257283900844787</v>
      </c>
      <c r="J481">
        <f>($B$1+Table4[[#This Row],[Home Differential]])-Table4[[#This Row],[Away Differential]]</f>
        <v>-0.21884367313419778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0.48423725381785504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1.4583704516548168</v>
      </c>
      <c r="H482" t="s">
        <v>11</v>
      </c>
      <c r="I482">
        <f>VLOOKUP(Table4[[#This Row],[Visitor]],'NHL Model'!$A$6:$B$38,2,FALSE)</f>
        <v>-0.21100886368613675</v>
      </c>
      <c r="J482">
        <f>($B$1+Table4[[#This Row],[Home Differential]])-Table4[[#This Row],[Away Differential]]</f>
        <v>1.8287989768657806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0.89634329209556118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-0.8561868317598319</v>
      </c>
      <c r="H483" t="s">
        <v>26</v>
      </c>
      <c r="I483">
        <f>VLOOKUP(Table4[[#This Row],[Visitor]],'NHL Model'!$A$6:$B$38,2,FALSE)</f>
        <v>-0.67114180037169746</v>
      </c>
      <c r="J483">
        <f>($B$1+Table4[[#This Row],[Home Differential]])-Table4[[#This Row],[Away Differential]]</f>
        <v>-2.5625369863307323E-2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0.44810753282403054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-0.17681265190927384</v>
      </c>
      <c r="H484" t="s">
        <v>39</v>
      </c>
      <c r="I484">
        <f>VLOOKUP(Table4[[#This Row],[Visitor]],'NHL Model'!$A$6:$B$38,2,FALSE)</f>
        <v>1.9153995907683643E-3</v>
      </c>
      <c r="J484">
        <f>($B$1+Table4[[#This Row],[Home Differential]])-Table4[[#This Row],[Away Differential]]</f>
        <v>-1.9308389975215057E-2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0.54371835939560942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2.0731927685773251E-2</v>
      </c>
      <c r="H485" t="s">
        <v>37</v>
      </c>
      <c r="I485">
        <f>VLOOKUP(Table4[[#This Row],[Visitor]],'NHL Model'!$A$6:$B$38,2,FALSE)</f>
        <v>0.1846559193064522</v>
      </c>
      <c r="J485">
        <f>($B$1+Table4[[#This Row],[Home Differential]])-Table4[[#This Row],[Away Differential]]</f>
        <v>-4.5043300958517996E-3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0.40362895837644469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-1.6840122346544992</v>
      </c>
      <c r="H486" t="s">
        <v>35</v>
      </c>
      <c r="I486">
        <f>VLOOKUP(Table4[[#This Row],[Visitor]],'NHL Model'!$A$6:$B$38,2,FALSE)</f>
        <v>-1.5594075795597986</v>
      </c>
      <c r="J486">
        <f>($B$1+Table4[[#This Row],[Home Differential]])-Table4[[#This Row],[Away Differential]]</f>
        <v>3.4815006430126472E-2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0.5449767260402365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3.2883390994754517E-3</v>
      </c>
      <c r="H487" t="s">
        <v>31</v>
      </c>
      <c r="I487">
        <f>VLOOKUP(Table4[[#This Row],[Visitor]],'NHL Model'!$A$6:$B$38,2,FALSE)</f>
        <v>0.35254565315374792</v>
      </c>
      <c r="J487">
        <f>($B$1+Table4[[#This Row],[Home Differential]])-Table4[[#This Row],[Away Differential]]</f>
        <v>-0.18983765252944532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0.50790609172764556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-0.54160534998918008</v>
      </c>
      <c r="H488" t="s">
        <v>20</v>
      </c>
      <c r="I488">
        <f>VLOOKUP(Table4[[#This Row],[Visitor]],'NHL Model'!$A$6:$B$38,2,FALSE)</f>
        <v>-3.2309887002194844E-2</v>
      </c>
      <c r="J488">
        <f>($B$1+Table4[[#This Row],[Home Differential]])-Table4[[#This Row],[Away Differential]]</f>
        <v>-0.34987580146215813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0.47776788479889221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-0.2200802314358897</v>
      </c>
      <c r="H489" t="s">
        <v>18</v>
      </c>
      <c r="I489">
        <f>VLOOKUP(Table4[[#This Row],[Visitor]],'NHL Model'!$A$6:$B$38,2,FALSE)</f>
        <v>-0.75480422558713034</v>
      </c>
      <c r="J489">
        <f>($B$1+Table4[[#This Row],[Home Differential]])-Table4[[#This Row],[Away Differential]]</f>
        <v>0.69414365567606784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0.59212686642048074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-0.95664361852990654</v>
      </c>
      <c r="H490" t="s">
        <v>33</v>
      </c>
      <c r="I490">
        <f>VLOOKUP(Table4[[#This Row],[Visitor]],'NHL Model'!$A$6:$B$38,2,FALSE)</f>
        <v>-0.3479098095875402</v>
      </c>
      <c r="J490">
        <f>($B$1+Table4[[#This Row],[Home Differential]])-Table4[[#This Row],[Away Differential]]</f>
        <v>-0.44931414741753922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0.52422843615403025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-1.1267952052768424</v>
      </c>
      <c r="H491" t="s">
        <v>23</v>
      </c>
      <c r="I491">
        <f>VLOOKUP(Table4[[#This Row],[Visitor]],'NHL Model'!$A$6:$B$38,2,FALSE)</f>
        <v>-0.49794713300108584</v>
      </c>
      <c r="J491">
        <f>($B$1+Table4[[#This Row],[Home Differential]])-Table4[[#This Row],[Away Differential]]</f>
        <v>-0.46942841075092945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0.52710372438102981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-7.3890719153774626E-2</v>
      </c>
      <c r="H492" t="s">
        <v>21</v>
      </c>
      <c r="I492">
        <f>VLOOKUP(Table4[[#This Row],[Visitor]],'NHL Model'!$A$6:$B$38,2,FALSE)</f>
        <v>-0.12487089668223171</v>
      </c>
      <c r="J492">
        <f>($B$1+Table4[[#This Row],[Home Differential]])-Table4[[#This Row],[Away Differential]]</f>
        <v>0.21039983905328424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0.57257165799177112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0.21430145909042725</v>
      </c>
      <c r="H493" t="s">
        <v>25</v>
      </c>
      <c r="I493">
        <f>VLOOKUP(Table4[[#This Row],[Visitor]],'NHL Model'!$A$6:$B$38,2,FALSE)</f>
        <v>0.42254821659882374</v>
      </c>
      <c r="J493">
        <f>($B$1+Table4[[#This Row],[Home Differential]])-Table4[[#This Row],[Away Differential]]</f>
        <v>-4.8827095983569324E-2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0.53960289150251539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-1.5594075795597986</v>
      </c>
      <c r="H494" t="s">
        <v>10</v>
      </c>
      <c r="I494">
        <f>VLOOKUP(Table4[[#This Row],[Visitor]],'NHL Model'!$A$6:$B$38,2,FALSE)</f>
        <v>-0.13160108676160023</v>
      </c>
      <c r="J494">
        <f>($B$1+Table4[[#This Row],[Home Differential]])-Table4[[#This Row],[Away Differential]]</f>
        <v>-1.2683868312733713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0.64131301468980717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-0.1349739904770427</v>
      </c>
      <c r="H495" t="s">
        <v>32</v>
      </c>
      <c r="I495">
        <f>VLOOKUP(Table4[[#This Row],[Visitor]],'NHL Model'!$A$6:$B$38,2,FALSE)</f>
        <v>-0.46055888840939002</v>
      </c>
      <c r="J495">
        <f>($B$1+Table4[[#This Row],[Home Differential]])-Table4[[#This Row],[Away Differential]]</f>
        <v>0.48500455945717447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0.67277857529855778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-0.72083617366747277</v>
      </c>
      <c r="H496" t="s">
        <v>20</v>
      </c>
      <c r="I496">
        <f>VLOOKUP(Table4[[#This Row],[Visitor]],'NHL Model'!$A$6:$B$38,2,FALSE)</f>
        <v>-3.2309887002194844E-2</v>
      </c>
      <c r="J496">
        <f>($B$1+Table4[[#This Row],[Home Differential]])-Table4[[#This Row],[Away Differential]]</f>
        <v>-0.52910662514045081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0.52858863762900432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-0.13160108676160023</v>
      </c>
      <c r="H497" t="s">
        <v>26</v>
      </c>
      <c r="I497">
        <f>VLOOKUP(Table4[[#This Row],[Visitor]],'NHL Model'!$A$6:$B$38,2,FALSE)</f>
        <v>-0.67114180037169746</v>
      </c>
      <c r="J497">
        <f>($B$1+Table4[[#This Row],[Home Differential]])-Table4[[#This Row],[Away Differential]]</f>
        <v>0.69896037513492437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0.6191455662309896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1.4583704516548168</v>
      </c>
      <c r="H498" t="s">
        <v>29</v>
      </c>
      <c r="I498">
        <f>VLOOKUP(Table4[[#This Row],[Visitor]],'NHL Model'!$A$6:$B$38,2,FALSE)</f>
        <v>-1.6840122346544992</v>
      </c>
      <c r="J498">
        <f>($B$1+Table4[[#This Row],[Home Differential]])-Table4[[#This Row],[Away Differential]]</f>
        <v>3.3018023478341432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1.9153995907683643E-3</v>
      </c>
      <c r="H499" t="s">
        <v>11</v>
      </c>
      <c r="I499">
        <f>VLOOKUP(Table4[[#This Row],[Visitor]],'NHL Model'!$A$6:$B$38,2,FALSE)</f>
        <v>-0.21100886368613675</v>
      </c>
      <c r="J499">
        <f>($B$1+Table4[[#This Row],[Home Differential]])-Table4[[#This Row],[Away Differential]]</f>
        <v>0.37234392480173228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0.59572119697646531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-0.31985119938240425</v>
      </c>
      <c r="H500" t="s">
        <v>16</v>
      </c>
      <c r="I500">
        <f>VLOOKUP(Table4[[#This Row],[Visitor]],'NHL Model'!$A$6:$B$38,2,FALSE)</f>
        <v>-1.1167763879247272</v>
      </c>
      <c r="J500">
        <f>($B$1+Table4[[#This Row],[Home Differential]])-Table4[[#This Row],[Away Differential]]</f>
        <v>0.95634485006715009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0.67670732269797174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-0.17681265190927384</v>
      </c>
      <c r="H501" t="s">
        <v>36</v>
      </c>
      <c r="I501">
        <f>VLOOKUP(Table4[[#This Row],[Visitor]],'NHL Model'!$A$6:$B$38,2,FALSE)</f>
        <v>-0.34257283900844787</v>
      </c>
      <c r="J501">
        <f>($B$1+Table4[[#This Row],[Home Differential]])-Table4[[#This Row],[Away Differential]]</f>
        <v>0.32517984862400118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0.58648372027893236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2.0731927685773251E-2</v>
      </c>
      <c r="H502" t="s">
        <v>31</v>
      </c>
      <c r="I502">
        <f>VLOOKUP(Table4[[#This Row],[Visitor]],'NHL Model'!$A$6:$B$38,2,FALSE)</f>
        <v>0.35254565315374792</v>
      </c>
      <c r="J502">
        <f>($B$1+Table4[[#This Row],[Home Differential]])-Table4[[#This Row],[Away Differential]]</f>
        <v>-0.17239406394314752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0.38464333961649483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3.2883390994754517E-3</v>
      </c>
      <c r="H503" t="s">
        <v>37</v>
      </c>
      <c r="I503">
        <f>VLOOKUP(Table4[[#This Row],[Visitor]],'NHL Model'!$A$6:$B$38,2,FALSE)</f>
        <v>0.1846559193064522</v>
      </c>
      <c r="J503">
        <f>($B$1+Table4[[#This Row],[Home Differential]])-Table4[[#This Row],[Away Differential]]</f>
        <v>-2.1947918682149598E-2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0.52945319456518314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-0.50599078340071213</v>
      </c>
      <c r="H504" t="s">
        <v>18</v>
      </c>
      <c r="I504">
        <f>VLOOKUP(Table4[[#This Row],[Visitor]],'NHL Model'!$A$6:$B$38,2,FALSE)</f>
        <v>-0.75480422558713034</v>
      </c>
      <c r="J504">
        <f>($B$1+Table4[[#This Row],[Home Differential]])-Table4[[#This Row],[Away Differential]]</f>
        <v>0.40823310371124533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0.55125660284613742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-0.54160534998918008</v>
      </c>
      <c r="H505" t="s">
        <v>25</v>
      </c>
      <c r="I505">
        <f>VLOOKUP(Table4[[#This Row],[Visitor]],'NHL Model'!$A$6:$B$38,2,FALSE)</f>
        <v>0.42254821659882374</v>
      </c>
      <c r="J505">
        <f>($B$1+Table4[[#This Row],[Home Differential]])-Table4[[#This Row],[Away Differential]]</f>
        <v>-0.80473390506317677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0.61503488269712125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-0.2200802314358897</v>
      </c>
      <c r="H506" t="s">
        <v>33</v>
      </c>
      <c r="I506">
        <f>VLOOKUP(Table4[[#This Row],[Visitor]],'NHL Model'!$A$6:$B$38,2,FALSE)</f>
        <v>-0.3479098095875402</v>
      </c>
      <c r="J506">
        <f>($B$1+Table4[[#This Row],[Home Differential]])-Table4[[#This Row],[Away Differential]]</f>
        <v>0.28724923967647764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0.58106162594010102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-0.95664361852990654</v>
      </c>
      <c r="H507" t="s">
        <v>17</v>
      </c>
      <c r="I507">
        <f>VLOOKUP(Table4[[#This Row],[Visitor]],'NHL Model'!$A$6:$B$38,2,FALSE)</f>
        <v>-0.8561868317598319</v>
      </c>
      <c r="J507">
        <f>($B$1+Table4[[#This Row],[Home Differential]])-Table4[[#This Row],[Away Differential]]</f>
        <v>5.8962874754752481E-2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0.54842860893299328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-7.3890719153774626E-2</v>
      </c>
      <c r="H508" t="s">
        <v>22</v>
      </c>
      <c r="I508">
        <f>VLOOKUP(Table4[[#This Row],[Visitor]],'NHL Model'!$A$6:$B$38,2,FALSE)</f>
        <v>0.21430145909042725</v>
      </c>
      <c r="J508">
        <f>($B$1+Table4[[#This Row],[Home Differential]])-Table4[[#This Row],[Away Differential]]</f>
        <v>-0.12877251671937473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0.49666860815088493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0.42254821659882374</v>
      </c>
      <c r="H509" t="s">
        <v>27</v>
      </c>
      <c r="I509">
        <f>VLOOKUP(Table4[[#This Row],[Visitor]],'NHL Model'!$A$6:$B$38,2,FALSE)</f>
        <v>-0.54160534998918008</v>
      </c>
      <c r="J509">
        <f>($B$1+Table4[[#This Row],[Home Differential]])-Table4[[#This Row],[Away Differential]]</f>
        <v>1.123573228112831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0.75232821558756369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-0.17681265190927384</v>
      </c>
      <c r="H510" t="s">
        <v>21</v>
      </c>
      <c r="I510">
        <f>VLOOKUP(Table4[[#This Row],[Visitor]],'NHL Model'!$A$6:$B$38,2,FALSE)</f>
        <v>-0.12487089668223171</v>
      </c>
      <c r="J510">
        <f>($B$1+Table4[[#This Row],[Home Differential]])-Table4[[#This Row],[Away Differential]]</f>
        <v>0.10747790629778502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0.55536372242515031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-0.75480422558713034</v>
      </c>
      <c r="H511" t="s">
        <v>17</v>
      </c>
      <c r="I511">
        <f>VLOOKUP(Table4[[#This Row],[Visitor]],'NHL Model'!$A$6:$B$38,2,FALSE)</f>
        <v>-0.8561868317598319</v>
      </c>
      <c r="J511">
        <f>($B$1+Table4[[#This Row],[Home Differential]])-Table4[[#This Row],[Away Differential]]</f>
        <v>0.26080226769752868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0.57728109140545425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2.0731927685773251E-2</v>
      </c>
      <c r="H512" t="s">
        <v>38</v>
      </c>
      <c r="I512">
        <f>VLOOKUP(Table4[[#This Row],[Visitor]],'NHL Model'!$A$6:$B$38,2,FALSE)</f>
        <v>-1.1267952052768424</v>
      </c>
      <c r="J512">
        <f>($B$1+Table4[[#This Row],[Home Differential]])-Table4[[#This Row],[Away Differential]]</f>
        <v>1.3069467944874429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0.82682507379061987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-0.2200802314358897</v>
      </c>
      <c r="H513" t="s">
        <v>55</v>
      </c>
      <c r="I513">
        <f>VLOOKUP(Table4[[#This Row],[Visitor]],'NHL Model'!$A$6:$B$38,2,FALSE)</f>
        <v>-0.1349739904770427</v>
      </c>
      <c r="J513">
        <f>($B$1+Table4[[#This Row],[Home Differential]])-Table4[[#This Row],[Away Differential]]</f>
        <v>7.4313420565980143E-2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0.55062293456736888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-0.46055888840939002</v>
      </c>
      <c r="H514" t="s">
        <v>23</v>
      </c>
      <c r="I514">
        <f>VLOOKUP(Table4[[#This Row],[Visitor]],'NHL Model'!$A$6:$B$38,2,FALSE)</f>
        <v>-0.49794713300108584</v>
      </c>
      <c r="J514">
        <f>($B$1+Table4[[#This Row],[Home Differential]])-Table4[[#This Row],[Away Differential]]</f>
        <v>0.19680790611652299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0.59417097871547075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1.9153995907683643E-3</v>
      </c>
      <c r="H515" t="s">
        <v>13</v>
      </c>
      <c r="I515">
        <f>VLOOKUP(Table4[[#This Row],[Visitor]],'NHL Model'!$A$6:$B$38,2,FALSE)</f>
        <v>-0.31985119938240425</v>
      </c>
      <c r="J515">
        <f>($B$1+Table4[[#This Row],[Home Differential]])-Table4[[#This Row],[Away Differential]]</f>
        <v>0.48118626049799973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0.52780087572128154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-0.50599078340071213</v>
      </c>
      <c r="H516" t="s">
        <v>31</v>
      </c>
      <c r="I516">
        <f>VLOOKUP(Table4[[#This Row],[Visitor]],'NHL Model'!$A$6:$B$38,2,FALSE)</f>
        <v>0.35254565315374792</v>
      </c>
      <c r="J516">
        <f>($B$1+Table4[[#This Row],[Home Differential]])-Table4[[#This Row],[Away Differential]]</f>
        <v>-0.69911677502963299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0.58070638477892766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-1.5594075795597986</v>
      </c>
      <c r="H517" t="s">
        <v>29</v>
      </c>
      <c r="I517">
        <f>VLOOKUP(Table4[[#This Row],[Visitor]],'NHL Model'!$A$6:$B$38,2,FALSE)</f>
        <v>-1.6840122346544992</v>
      </c>
      <c r="J517">
        <f>($B$1+Table4[[#This Row],[Home Differential]])-Table4[[#This Row],[Away Differential]]</f>
        <v>0.28402431661952776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0.58060063051884514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0.1846559193064522</v>
      </c>
      <c r="H518" t="s">
        <v>11</v>
      </c>
      <c r="I518">
        <f>VLOOKUP(Table4[[#This Row],[Visitor]],'NHL Model'!$A$6:$B$38,2,FALSE)</f>
        <v>-0.21100886368613675</v>
      </c>
      <c r="J518">
        <f>($B$1+Table4[[#This Row],[Home Differential]])-Table4[[#This Row],[Away Differential]]</f>
        <v>0.55508444451741612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0.63845349103536664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-7.3890719153774626E-2</v>
      </c>
      <c r="H519" t="s">
        <v>36</v>
      </c>
      <c r="I519">
        <f>VLOOKUP(Table4[[#This Row],[Visitor]],'NHL Model'!$A$6:$B$38,2,FALSE)</f>
        <v>-0.34257283900844787</v>
      </c>
      <c r="J519">
        <f>($B$1+Table4[[#This Row],[Home Differential]])-Table4[[#This Row],[Away Differential]]</f>
        <v>0.42810178137950039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0.60369165584555318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-0.12487089668223171</v>
      </c>
      <c r="H520" t="s">
        <v>55</v>
      </c>
      <c r="I520">
        <f>VLOOKUP(Table4[[#This Row],[Visitor]],'NHL Model'!$A$6:$B$38,2,FALSE)</f>
        <v>-0.1349739904770427</v>
      </c>
      <c r="J520">
        <f>($B$1+Table4[[#This Row],[Home Differential]])-Table4[[#This Row],[Away Differential]]</f>
        <v>0.16952275531963812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0.61594886890615108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-0.72083617366747277</v>
      </c>
      <c r="H521" t="s">
        <v>31</v>
      </c>
      <c r="I521">
        <f>VLOOKUP(Table4[[#This Row],[Visitor]],'NHL Model'!$A$6:$B$38,2,FALSE)</f>
        <v>0.35254565315374792</v>
      </c>
      <c r="J521">
        <f>($B$1+Table4[[#This Row],[Home Differential]])-Table4[[#This Row],[Away Differential]]</f>
        <v>-0.91396216529639362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0.60433302476538231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-0.67114180037169746</v>
      </c>
      <c r="H522" t="s">
        <v>30</v>
      </c>
      <c r="I522">
        <f>VLOOKUP(Table4[[#This Row],[Visitor]],'NHL Model'!$A$6:$B$38,2,FALSE)</f>
        <v>3.2883390994754517E-3</v>
      </c>
      <c r="J522">
        <f>($B$1+Table4[[#This Row],[Home Differential]])-Table4[[#This Row],[Away Differential]]</f>
        <v>-0.5150104779463458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0.57361957728585478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-0.17681265190927384</v>
      </c>
      <c r="H523" t="s">
        <v>22</v>
      </c>
      <c r="I523">
        <f>VLOOKUP(Table4[[#This Row],[Visitor]],'NHL Model'!$A$6:$B$38,2,FALSE)</f>
        <v>0.21430145909042725</v>
      </c>
      <c r="J523">
        <f>($B$1+Table4[[#This Row],[Home Differential]])-Table4[[#This Row],[Away Differential]]</f>
        <v>-0.23169444947487394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0.5138894257171791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-0.75480422558713034</v>
      </c>
      <c r="H524" t="s">
        <v>27</v>
      </c>
      <c r="I524">
        <f>VLOOKUP(Table4[[#This Row],[Visitor]],'NHL Model'!$A$6:$B$38,2,FALSE)</f>
        <v>-0.54160534998918008</v>
      </c>
      <c r="J524">
        <f>($B$1+Table4[[#This Row],[Home Differential]])-Table4[[#This Row],[Away Differential]]</f>
        <v>-5.3779214073123138E-2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0.4676876164201873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-0.50599078340071213</v>
      </c>
      <c r="H525" t="s">
        <v>38</v>
      </c>
      <c r="I525">
        <f>VLOOKUP(Table4[[#This Row],[Visitor]],'NHL Model'!$A$6:$B$38,2,FALSE)</f>
        <v>-1.1267952052768424</v>
      </c>
      <c r="J525">
        <f>($B$1+Table4[[#This Row],[Home Differential]])-Table4[[#This Row],[Away Differential]]</f>
        <v>0.78022408340095739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0.63076202862818698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-0.2200802314358897</v>
      </c>
      <c r="H526" t="s">
        <v>17</v>
      </c>
      <c r="I526">
        <f>VLOOKUP(Table4[[#This Row],[Visitor]],'NHL Model'!$A$6:$B$38,2,FALSE)</f>
        <v>-0.8561868317598319</v>
      </c>
      <c r="J526">
        <f>($B$1+Table4[[#This Row],[Home Differential]])-Table4[[#This Row],[Away Differential]]</f>
        <v>0.79552626184876929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0.65371867102712444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-0.46055888840939002</v>
      </c>
      <c r="H527" t="s">
        <v>12</v>
      </c>
      <c r="I527">
        <f>VLOOKUP(Table4[[#This Row],[Visitor]],'NHL Model'!$A$6:$B$38,2,FALSE)</f>
        <v>1.4583704516548168</v>
      </c>
      <c r="J527">
        <f>($B$1+Table4[[#This Row],[Home Differential]])-Table4[[#This Row],[Away Differential]]</f>
        <v>-1.7595096785393798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0.77783369893636178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-0.3479098095875402</v>
      </c>
      <c r="H528" t="s">
        <v>16</v>
      </c>
      <c r="I528">
        <f>VLOOKUP(Table4[[#This Row],[Visitor]],'NHL Model'!$A$6:$B$38,2,FALSE)</f>
        <v>-1.1167763879247272</v>
      </c>
      <c r="J528">
        <f>($B$1+Table4[[#This Row],[Home Differential]])-Table4[[#This Row],[Away Differential]]</f>
        <v>0.9282862398620142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0.67269640814188791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-0.95664361852990654</v>
      </c>
      <c r="H529" t="s">
        <v>10</v>
      </c>
      <c r="I529">
        <f>VLOOKUP(Table4[[#This Row],[Visitor]],'NHL Model'!$A$6:$B$38,2,FALSE)</f>
        <v>-0.13160108676160023</v>
      </c>
      <c r="J529">
        <f>($B$1+Table4[[#This Row],[Home Differential]])-Table4[[#This Row],[Away Differential]]</f>
        <v>-0.66562287024347921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0.55514927644681333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-0.67114180037169746</v>
      </c>
      <c r="H530" t="s">
        <v>55</v>
      </c>
      <c r="I530">
        <f>VLOOKUP(Table4[[#This Row],[Visitor]],'NHL Model'!$A$6:$B$38,2,FALSE)</f>
        <v>-0.1349739904770427</v>
      </c>
      <c r="J530">
        <f>($B$1+Table4[[#This Row],[Home Differential]])-Table4[[#This Row],[Away Differential]]</f>
        <v>-0.37674814836982762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0.48160922571279019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-0.21100886368613675</v>
      </c>
      <c r="H531" t="s">
        <v>13</v>
      </c>
      <c r="I531">
        <f>VLOOKUP(Table4[[#This Row],[Visitor]],'NHL Model'!$A$6:$B$38,2,FALSE)</f>
        <v>-0.31985119938240425</v>
      </c>
      <c r="J531">
        <f>($B$1+Table4[[#This Row],[Home Differential]])-Table4[[#This Row],[Away Differential]]</f>
        <v>0.26826199722109467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0.54743835187698309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-1.6840122346544992</v>
      </c>
      <c r="H532" t="s">
        <v>25</v>
      </c>
      <c r="I532">
        <f>VLOOKUP(Table4[[#This Row],[Visitor]],'NHL Model'!$A$6:$B$38,2,FALSE)</f>
        <v>0.42254821659882374</v>
      </c>
      <c r="J532">
        <f>($B$1+Table4[[#This Row],[Home Differential]])-Table4[[#This Row],[Away Differential]]</f>
        <v>-1.9471407897284958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0.81096251945946474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-1.5594075795597986</v>
      </c>
      <c r="H533" t="s">
        <v>40</v>
      </c>
      <c r="I533">
        <f>VLOOKUP(Table4[[#This Row],[Visitor]],'NHL Model'!$A$6:$B$38,2,FALSE)</f>
        <v>-7.3890719153774626E-2</v>
      </c>
      <c r="J533">
        <f>($B$1+Table4[[#This Row],[Home Differential]])-Table4[[#This Row],[Away Differential]]</f>
        <v>-1.3260971988811969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0.71587837004658006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-3.2309887002194844E-2</v>
      </c>
      <c r="H534" t="s">
        <v>24</v>
      </c>
      <c r="I534">
        <f>VLOOKUP(Table4[[#This Row],[Visitor]],'NHL Model'!$A$6:$B$38,2,FALSE)</f>
        <v>2.0731927685773251E-2</v>
      </c>
      <c r="J534">
        <f>($B$1+Table4[[#This Row],[Home Differential]])-Table4[[#This Row],[Away Differential]]</f>
        <v>0.10637784683685905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0.55437697833791277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-0.12487089668223171</v>
      </c>
      <c r="H535" t="s">
        <v>17</v>
      </c>
      <c r="I535">
        <f>VLOOKUP(Table4[[#This Row],[Visitor]],'NHL Model'!$A$6:$B$38,2,FALSE)</f>
        <v>-0.8561868317598319</v>
      </c>
      <c r="J535">
        <f>($B$1+Table4[[#This Row],[Home Differential]])-Table4[[#This Row],[Away Differential]]</f>
        <v>0.89073559660242729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0.71904460536590653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-0.49794713300108584</v>
      </c>
      <c r="H536" t="s">
        <v>27</v>
      </c>
      <c r="I536">
        <f>VLOOKUP(Table4[[#This Row],[Visitor]],'NHL Model'!$A$6:$B$38,2,FALSE)</f>
        <v>-0.54160534998918008</v>
      </c>
      <c r="J536">
        <f>($B$1+Table4[[#This Row],[Home Differential]])-Table4[[#This Row],[Away Differential]]</f>
        <v>0.20307787851292136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0.58304614166844837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-0.72083617366747277</v>
      </c>
      <c r="H537" t="s">
        <v>34</v>
      </c>
      <c r="I537">
        <f>VLOOKUP(Table4[[#This Row],[Visitor]],'NHL Model'!$A$6:$B$38,2,FALSE)</f>
        <v>-0.17681265190927384</v>
      </c>
      <c r="J537">
        <f>($B$1+Table4[[#This Row],[Home Differential]])-Table4[[#This Row],[Away Differential]]</f>
        <v>-0.38460386023337179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0.52866245820351854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-1.1167763879247272</v>
      </c>
      <c r="H538" t="s">
        <v>32</v>
      </c>
      <c r="I538">
        <f>VLOOKUP(Table4[[#This Row],[Visitor]],'NHL Model'!$A$6:$B$38,2,FALSE)</f>
        <v>-0.46055888840939002</v>
      </c>
      <c r="J538">
        <f>($B$1+Table4[[#This Row],[Home Differential]])-Table4[[#This Row],[Away Differential]]</f>
        <v>-0.49679783799051008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0.53101612179859037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-0.75480422558713034</v>
      </c>
      <c r="H539" t="s">
        <v>10</v>
      </c>
      <c r="I539">
        <f>VLOOKUP(Table4[[#This Row],[Visitor]],'NHL Model'!$A$6:$B$38,2,FALSE)</f>
        <v>-0.13160108676160023</v>
      </c>
      <c r="J539">
        <f>($B$1+Table4[[#This Row],[Home Differential]])-Table4[[#This Row],[Away Differential]]</f>
        <v>-0.46378347730070302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0.52629679397435225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-0.34257283900844787</v>
      </c>
      <c r="H540" t="s">
        <v>14</v>
      </c>
      <c r="I540">
        <f>VLOOKUP(Table4[[#This Row],[Visitor]],'NHL Model'!$A$6:$B$38,2,FALSE)</f>
        <v>-0.2200802314358897</v>
      </c>
      <c r="J540">
        <f>($B$1+Table4[[#This Row],[Home Differential]])-Table4[[#This Row],[Away Differential]]</f>
        <v>3.6927053952268973E-2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0.54777411763751993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-0.3479098095875402</v>
      </c>
      <c r="H541" t="s">
        <v>39</v>
      </c>
      <c r="I541">
        <f>VLOOKUP(Table4[[#This Row],[Visitor]],'NHL Model'!$A$6:$B$38,2,FALSE)</f>
        <v>1.9153995907683643E-3</v>
      </c>
      <c r="J541">
        <f>($B$1+Table4[[#This Row],[Home Differential]])-Table4[[#This Row],[Away Differential]]</f>
        <v>-0.19040554765348142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0.56817630920920037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-1.5594075795597986</v>
      </c>
      <c r="H542" t="s">
        <v>15</v>
      </c>
      <c r="I542">
        <f>VLOOKUP(Table4[[#This Row],[Visitor]],'NHL Model'!$A$6:$B$38,2,FALSE)</f>
        <v>-0.50599078340071213</v>
      </c>
      <c r="J542">
        <f>($B$1+Table4[[#This Row],[Home Differential]])-Table4[[#This Row],[Away Differential]]</f>
        <v>-0.89399713463425934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0.67127311935280631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0.1846559193064522</v>
      </c>
      <c r="H543" t="s">
        <v>13</v>
      </c>
      <c r="I543">
        <f>VLOOKUP(Table4[[#This Row],[Visitor]],'NHL Model'!$A$6:$B$38,2,FALSE)</f>
        <v>-0.31985119938240425</v>
      </c>
      <c r="J543">
        <f>($B$1+Table4[[#This Row],[Home Differential]])-Table4[[#This Row],[Away Differential]]</f>
        <v>0.66392678021368357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0.57063497957180165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0.21430145909042725</v>
      </c>
      <c r="H544" t="s">
        <v>19</v>
      </c>
      <c r="I544">
        <f>VLOOKUP(Table4[[#This Row],[Visitor]],'NHL Model'!$A$6:$B$38,2,FALSE)</f>
        <v>-0.95664361852990654</v>
      </c>
      <c r="J544">
        <f>($B$1+Table4[[#This Row],[Home Differential]])-Table4[[#This Row],[Away Differential]]</f>
        <v>1.330364739145161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0.73017261575419201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0.35254565315374792</v>
      </c>
      <c r="H545" t="s">
        <v>39</v>
      </c>
      <c r="I545">
        <f>VLOOKUP(Table4[[#This Row],[Visitor]],'NHL Model'!$A$6:$B$38,2,FALSE)</f>
        <v>1.9153995907683643E-3</v>
      </c>
      <c r="J545">
        <f>($B$1+Table4[[#This Row],[Home Differential]])-Table4[[#This Row],[Away Differential]]</f>
        <v>0.51004991508780673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0.62987250141624951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1.4583704516548168</v>
      </c>
      <c r="H546" t="s">
        <v>40</v>
      </c>
      <c r="I546">
        <f>VLOOKUP(Table4[[#This Row],[Visitor]],'NHL Model'!$A$6:$B$38,2,FALSE)</f>
        <v>-7.3890719153774626E-2</v>
      </c>
      <c r="J546">
        <f>($B$1+Table4[[#This Row],[Home Differential]])-Table4[[#This Row],[Away Differential]]</f>
        <v>1.6916808323334185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0.81325050149024292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-0.21100886368613675</v>
      </c>
      <c r="H547" t="s">
        <v>25</v>
      </c>
      <c r="I547">
        <f>VLOOKUP(Table4[[#This Row],[Visitor]],'NHL Model'!$A$6:$B$38,2,FALSE)</f>
        <v>0.42254821659882374</v>
      </c>
      <c r="J547">
        <f>($B$1+Table4[[#This Row],[Home Differential]])-Table4[[#This Row],[Away Differential]]</f>
        <v>-0.47413741876013338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0.5477768663731224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3.2883390994754517E-3</v>
      </c>
      <c r="H548" t="s">
        <v>38</v>
      </c>
      <c r="I548">
        <f>VLOOKUP(Table4[[#This Row],[Visitor]],'NHL Model'!$A$6:$B$38,2,FALSE)</f>
        <v>-1.1267952052768424</v>
      </c>
      <c r="J548">
        <f>($B$1+Table4[[#This Row],[Home Differential]])-Table4[[#This Row],[Away Differential]]</f>
        <v>1.2895032059011451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0.70356232167946908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-0.1349739904770427</v>
      </c>
      <c r="H549" t="s">
        <v>24</v>
      </c>
      <c r="I549">
        <f>VLOOKUP(Table4[[#This Row],[Visitor]],'NHL Model'!$A$6:$B$38,2,FALSE)</f>
        <v>2.0731927685773251E-2</v>
      </c>
      <c r="J549">
        <f>($B$1+Table4[[#This Row],[Home Differential]])-Table4[[#This Row],[Away Differential]]</f>
        <v>3.7137433620111938E-3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0.60317987779537052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0.35254565315374792</v>
      </c>
      <c r="H550" t="s">
        <v>28</v>
      </c>
      <c r="I550">
        <f>VLOOKUP(Table4[[#This Row],[Visitor]],'NHL Model'!$A$6:$B$38,2,FALSE)</f>
        <v>-0.72083617366747277</v>
      </c>
      <c r="J550">
        <f>($B$1+Table4[[#This Row],[Home Differential]])-Table4[[#This Row],[Away Differential]]</f>
        <v>1.2328014883460479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0.81114680571878317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-0.12487089668223171</v>
      </c>
      <c r="H551" t="s">
        <v>38</v>
      </c>
      <c r="I551">
        <f>VLOOKUP(Table4[[#This Row],[Visitor]],'NHL Model'!$A$6:$B$38,2,FALSE)</f>
        <v>-1.1267952052768424</v>
      </c>
      <c r="J551">
        <f>($B$1+Table4[[#This Row],[Home Differential]])-Table4[[#This Row],[Away Differential]]</f>
        <v>1.1613439701194379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0.73744005240775379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-0.49794713300108584</v>
      </c>
      <c r="H552" t="s">
        <v>30</v>
      </c>
      <c r="I552">
        <f>VLOOKUP(Table4[[#This Row],[Visitor]],'NHL Model'!$A$6:$B$38,2,FALSE)</f>
        <v>3.2883390994754517E-3</v>
      </c>
      <c r="J552">
        <f>($B$1+Table4[[#This Row],[Home Differential]])-Table4[[#This Row],[Away Differential]]</f>
        <v>-0.34181581057573418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0.5673803117475662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-1.1167763879247272</v>
      </c>
      <c r="H553" t="s">
        <v>20</v>
      </c>
      <c r="I553">
        <f>VLOOKUP(Table4[[#This Row],[Visitor]],'NHL Model'!$A$6:$B$38,2,FALSE)</f>
        <v>-3.2309887002194844E-2</v>
      </c>
      <c r="J553">
        <f>($B$1+Table4[[#This Row],[Home Differential]])-Table4[[#This Row],[Away Differential]]</f>
        <v>-0.92504683939770527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0.59223334320815491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-0.21100886368613675</v>
      </c>
      <c r="H554" t="s">
        <v>35</v>
      </c>
      <c r="I554">
        <f>VLOOKUP(Table4[[#This Row],[Visitor]],'NHL Model'!$A$6:$B$38,2,FALSE)</f>
        <v>-1.5594075795597986</v>
      </c>
      <c r="J554">
        <f>($B$1+Table4[[#This Row],[Home Differential]])-Table4[[#This Row],[Away Differential]]</f>
        <v>1.507818377398489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0.80725518635008353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-0.17681265190927384</v>
      </c>
      <c r="H555" t="s">
        <v>17</v>
      </c>
      <c r="I555">
        <f>VLOOKUP(Table4[[#This Row],[Visitor]],'NHL Model'!$A$6:$B$38,2,FALSE)</f>
        <v>-0.8561868317598319</v>
      </c>
      <c r="J555">
        <f>($B$1+Table4[[#This Row],[Home Differential]])-Table4[[#This Row],[Away Differential]]</f>
        <v>0.83879384137538526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0.65990367318015519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-0.75480422558713034</v>
      </c>
      <c r="H556" t="s">
        <v>14</v>
      </c>
      <c r="I556">
        <f>VLOOKUP(Table4[[#This Row],[Visitor]],'NHL Model'!$A$6:$B$38,2,FALSE)</f>
        <v>-0.2200802314358897</v>
      </c>
      <c r="J556">
        <f>($B$1+Table4[[#This Row],[Home Differential]])-Table4[[#This Row],[Away Differential]]</f>
        <v>-0.37530433262641349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0.51364890134212937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-1.6840122346544992</v>
      </c>
      <c r="H557" t="s">
        <v>19</v>
      </c>
      <c r="I557">
        <f>VLOOKUP(Table4[[#This Row],[Visitor]],'NHL Model'!$A$6:$B$38,2,FALSE)</f>
        <v>-0.95664361852990654</v>
      </c>
      <c r="J557">
        <f>($B$1+Table4[[#This Row],[Home Differential]])-Table4[[#This Row],[Away Differential]]</f>
        <v>-0.56794895459976558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0.54118701220275733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-0.50599078340071213</v>
      </c>
      <c r="H558" t="s">
        <v>27</v>
      </c>
      <c r="I558">
        <f>VLOOKUP(Table4[[#This Row],[Visitor]],'NHL Model'!$A$6:$B$38,2,FALSE)</f>
        <v>-0.54160534998918008</v>
      </c>
      <c r="J558">
        <f>($B$1+Table4[[#This Row],[Home Differential]])-Table4[[#This Row],[Away Differential]]</f>
        <v>0.19503422811329507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0.56787969962713969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-0.34257283900844787</v>
      </c>
      <c r="H559" t="s">
        <v>10</v>
      </c>
      <c r="I559">
        <f>VLOOKUP(Table4[[#This Row],[Visitor]],'NHL Model'!$A$6:$B$38,2,FALSE)</f>
        <v>-0.13160108676160023</v>
      </c>
      <c r="J559">
        <f>($B$1+Table4[[#This Row],[Home Differential]])-Table4[[#This Row],[Away Differential]]</f>
        <v>-5.1552090722020494E-2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0.46487377499470295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-0.3479098095875402</v>
      </c>
      <c r="H560" t="s">
        <v>32</v>
      </c>
      <c r="I560">
        <f>VLOOKUP(Table4[[#This Row],[Visitor]],'NHL Model'!$A$6:$B$38,2,FALSE)</f>
        <v>-0.46055888840939002</v>
      </c>
      <c r="J560">
        <f>($B$1+Table4[[#This Row],[Home Differential]])-Table4[[#This Row],[Away Differential]]</f>
        <v>0.27206874034667694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0.57889160806375684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0.1846559193064522</v>
      </c>
      <c r="H561" t="s">
        <v>25</v>
      </c>
      <c r="I561">
        <f>VLOOKUP(Table4[[#This Row],[Visitor]],'NHL Model'!$A$6:$B$38,2,FALSE)</f>
        <v>0.42254821659882374</v>
      </c>
      <c r="J561">
        <f>($B$1+Table4[[#This Row],[Home Differential]])-Table4[[#This Row],[Away Differential]]</f>
        <v>-7.847263576754443E-2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0.52458646888441973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0.21430145909042725</v>
      </c>
      <c r="H562" t="s">
        <v>26</v>
      </c>
      <c r="I562">
        <f>VLOOKUP(Table4[[#This Row],[Visitor]],'NHL Model'!$A$6:$B$38,2,FALSE)</f>
        <v>-0.67114180037169746</v>
      </c>
      <c r="J562">
        <f>($B$1+Table4[[#This Row],[Home Differential]])-Table4[[#This Row],[Away Differential]]</f>
        <v>1.0448629209869518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0.66859154897928674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-0.12487089668223171</v>
      </c>
      <c r="H563" t="s">
        <v>36</v>
      </c>
      <c r="I563">
        <f>VLOOKUP(Table4[[#This Row],[Visitor]],'NHL Model'!$A$6:$B$38,2,FALSE)</f>
        <v>-0.34257283900844787</v>
      </c>
      <c r="J563">
        <f>($B$1+Table4[[#This Row],[Home Differential]])-Table4[[#This Row],[Away Differential]]</f>
        <v>0.37712160385104332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0.6456246524646837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1.9153995907683643E-3</v>
      </c>
      <c r="H564" t="s">
        <v>19</v>
      </c>
      <c r="I564">
        <f>VLOOKUP(Table4[[#This Row],[Visitor]],'NHL Model'!$A$6:$B$38,2,FALSE)</f>
        <v>-0.95664361852990654</v>
      </c>
      <c r="J564">
        <f>($B$1+Table4[[#This Row],[Home Differential]])-Table4[[#This Row],[Away Differential]]</f>
        <v>1.117978679645502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0.70230799047265347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-0.67114180037169746</v>
      </c>
      <c r="H565" t="s">
        <v>22</v>
      </c>
      <c r="I565">
        <f>VLOOKUP(Table4[[#This Row],[Visitor]],'NHL Model'!$A$6:$B$38,2,FALSE)</f>
        <v>0.21430145909042725</v>
      </c>
      <c r="J565">
        <f>($B$1+Table4[[#This Row],[Home Differential]])-Table4[[#This Row],[Away Differential]]</f>
        <v>-0.72602359793729754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0.55205928525840142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-0.8561868317598319</v>
      </c>
      <c r="H566" t="s">
        <v>20</v>
      </c>
      <c r="I566">
        <f>VLOOKUP(Table4[[#This Row],[Visitor]],'NHL Model'!$A$6:$B$38,2,FALSE)</f>
        <v>-3.2309887002194844E-2</v>
      </c>
      <c r="J566">
        <f>($B$1+Table4[[#This Row],[Home Differential]])-Table4[[#This Row],[Away Differential]]</f>
        <v>-0.66445728323280995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0.51894579207338432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-0.17681265190927384</v>
      </c>
      <c r="H567" t="s">
        <v>12</v>
      </c>
      <c r="I567">
        <f>VLOOKUP(Table4[[#This Row],[Visitor]],'NHL Model'!$A$6:$B$38,2,FALSE)</f>
        <v>1.4583704516548168</v>
      </c>
      <c r="J567">
        <f>($B$1+Table4[[#This Row],[Home Differential]])-Table4[[#This Row],[Away Differential]]</f>
        <v>-1.4757634420392636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0.76344321771017465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2.0731927685773251E-2</v>
      </c>
      <c r="H568" t="s">
        <v>23</v>
      </c>
      <c r="I568">
        <f>VLOOKUP(Table4[[#This Row],[Visitor]],'NHL Model'!$A$6:$B$38,2,FALSE)</f>
        <v>-0.49794713300108584</v>
      </c>
      <c r="J568">
        <f>($B$1+Table4[[#This Row],[Home Differential]])-Table4[[#This Row],[Away Differential]]</f>
        <v>0.67809872221168621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0.75591125432609541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-1.6840122346544992</v>
      </c>
      <c r="H569" t="s">
        <v>15</v>
      </c>
      <c r="I569">
        <f>VLOOKUP(Table4[[#This Row],[Visitor]],'NHL Model'!$A$6:$B$38,2,FALSE)</f>
        <v>-0.50599078340071213</v>
      </c>
      <c r="J569">
        <f>($B$1+Table4[[#This Row],[Home Differential]])-Table4[[#This Row],[Away Differential]]</f>
        <v>-1.0186017897289599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0.68908507159211052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-0.2200802314358897</v>
      </c>
      <c r="H570" t="s">
        <v>18</v>
      </c>
      <c r="I570">
        <f>VLOOKUP(Table4[[#This Row],[Visitor]],'NHL Model'!$A$6:$B$38,2,FALSE)</f>
        <v>-0.75480422558713034</v>
      </c>
      <c r="J570">
        <f>($B$1+Table4[[#This Row],[Home Differential]])-Table4[[#This Row],[Away Differential]]</f>
        <v>0.69414365567606784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0.59212686642048074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-0.1349739904770427</v>
      </c>
      <c r="H571" t="s">
        <v>40</v>
      </c>
      <c r="I571">
        <f>VLOOKUP(Table4[[#This Row],[Visitor]],'NHL Model'!$A$6:$B$38,2,FALSE)</f>
        <v>-7.3890719153774626E-2</v>
      </c>
      <c r="J571">
        <f>($B$1+Table4[[#This Row],[Home Differential]])-Table4[[#This Row],[Away Differential]]</f>
        <v>9.8336390201559071E-2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0.55251850193793961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0.35254565315374792</v>
      </c>
      <c r="H572" t="s">
        <v>32</v>
      </c>
      <c r="I572">
        <f>VLOOKUP(Table4[[#This Row],[Visitor]],'NHL Model'!$A$6:$B$38,2,FALSE)</f>
        <v>-0.46055888840939002</v>
      </c>
      <c r="J572">
        <f>($B$1+Table4[[#This Row],[Home Differential]])-Table4[[#This Row],[Away Differential]]</f>
        <v>0.97252420308796506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0.77394075935984641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-0.31985119938240425</v>
      </c>
      <c r="H573" t="s">
        <v>28</v>
      </c>
      <c r="I573">
        <f>VLOOKUP(Table4[[#This Row],[Visitor]],'NHL Model'!$A$6:$B$38,2,FALSE)</f>
        <v>-0.72083617366747277</v>
      </c>
      <c r="J573">
        <f>($B$1+Table4[[#This Row],[Home Differential]])-Table4[[#This Row],[Away Differential]]</f>
        <v>0.56040463580989563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0.62010856897877731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-0.54160534998918008</v>
      </c>
      <c r="H574" t="s">
        <v>38</v>
      </c>
      <c r="I574">
        <f>VLOOKUP(Table4[[#This Row],[Visitor]],'NHL Model'!$A$6:$B$38,2,FALSE)</f>
        <v>-1.1267952052768424</v>
      </c>
      <c r="J574">
        <f>($B$1+Table4[[#This Row],[Home Differential]])-Table4[[#This Row],[Away Differential]]</f>
        <v>0.74460951681248944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0.65816437598085331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0.1846559193064522</v>
      </c>
      <c r="H575" t="s">
        <v>35</v>
      </c>
      <c r="I575">
        <f>VLOOKUP(Table4[[#This Row],[Visitor]],'NHL Model'!$A$6:$B$38,2,FALSE)</f>
        <v>-1.5594075795597986</v>
      </c>
      <c r="J575">
        <f>($B$1+Table4[[#This Row],[Home Differential]])-Table4[[#This Row],[Away Differential]]</f>
        <v>1.9034831603910778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0.83120402277454852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-0.12487089668223171</v>
      </c>
      <c r="H576" t="s">
        <v>18</v>
      </c>
      <c r="I576">
        <f>VLOOKUP(Table4[[#This Row],[Visitor]],'NHL Model'!$A$6:$B$38,2,FALSE)</f>
        <v>-0.75480422558713034</v>
      </c>
      <c r="J576">
        <f>($B$1+Table4[[#This Row],[Home Differential]])-Table4[[#This Row],[Away Differential]]</f>
        <v>0.78935299042972573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0.65829076136317766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0.42254821659882374</v>
      </c>
      <c r="H577" t="s">
        <v>11</v>
      </c>
      <c r="I577">
        <f>VLOOKUP(Table4[[#This Row],[Visitor]],'NHL Model'!$A$6:$B$38,2,FALSE)</f>
        <v>-0.21100886368613675</v>
      </c>
      <c r="J577">
        <f>($B$1+Table4[[#This Row],[Home Differential]])-Table4[[#This Row],[Away Differential]]</f>
        <v>0.79297674180978772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0.70507019926356473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-0.13160108676160023</v>
      </c>
      <c r="H578" t="s">
        <v>27</v>
      </c>
      <c r="I578">
        <f>VLOOKUP(Table4[[#This Row],[Visitor]],'NHL Model'!$A$6:$B$38,2,FALSE)</f>
        <v>-0.54160534998918008</v>
      </c>
      <c r="J578">
        <f>($B$1+Table4[[#This Row],[Home Differential]])-Table4[[#This Row],[Away Differential]]</f>
        <v>0.569423924752407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0.62139785583370588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1.4583704516548168</v>
      </c>
      <c r="H579" t="s">
        <v>55</v>
      </c>
      <c r="I579">
        <f>VLOOKUP(Table4[[#This Row],[Visitor]],'NHL Model'!$A$6:$B$38,2,FALSE)</f>
        <v>-0.1349739904770427</v>
      </c>
      <c r="J579">
        <f>($B$1+Table4[[#This Row],[Home Differential]])-Table4[[#This Row],[Away Differential]]</f>
        <v>1.7527641036566866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0.88547427978544613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-0.67114180037169746</v>
      </c>
      <c r="H580" t="s">
        <v>39</v>
      </c>
      <c r="I580">
        <f>VLOOKUP(Table4[[#This Row],[Visitor]],'NHL Model'!$A$6:$B$38,2,FALSE)</f>
        <v>1.9153995907683643E-3</v>
      </c>
      <c r="J580">
        <f>($B$1+Table4[[#This Row],[Home Differential]])-Table4[[#This Row],[Away Differential]]</f>
        <v>-0.51363753843763871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0.58180320697171384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-0.8561868317598319</v>
      </c>
      <c r="H581" t="s">
        <v>16</v>
      </c>
      <c r="I581">
        <f>VLOOKUP(Table4[[#This Row],[Visitor]],'NHL Model'!$A$6:$B$38,2,FALSE)</f>
        <v>-1.1167763879247272</v>
      </c>
      <c r="J581">
        <f>($B$1+Table4[[#This Row],[Home Differential]])-Table4[[#This Row],[Away Differential]]</f>
        <v>0.42000921768972244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0.63607622941431152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-0.31985119938240425</v>
      </c>
      <c r="H582" t="s">
        <v>32</v>
      </c>
      <c r="I582">
        <f>VLOOKUP(Table4[[#This Row],[Visitor]],'NHL Model'!$A$6:$B$38,2,FALSE)</f>
        <v>-0.46055888840939002</v>
      </c>
      <c r="J582">
        <f>($B$1+Table4[[#This Row],[Home Differential]])-Table4[[#This Row],[Away Differential]]</f>
        <v>0.30012735055181294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0.58290252261984066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-0.17681265190927384</v>
      </c>
      <c r="H583" t="s">
        <v>29</v>
      </c>
      <c r="I583">
        <f>VLOOKUP(Table4[[#This Row],[Visitor]],'NHL Model'!$A$6:$B$38,2,FALSE)</f>
        <v>-1.6840122346544992</v>
      </c>
      <c r="J583">
        <f>($B$1+Table4[[#This Row],[Home Differential]])-Table4[[#This Row],[Away Differential]]</f>
        <v>1.6666192442700525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0.77823943300900089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3.2883390994754517E-3</v>
      </c>
      <c r="H584" t="s">
        <v>24</v>
      </c>
      <c r="I584">
        <f>VLOOKUP(Table4[[#This Row],[Visitor]],'NHL Model'!$A$6:$B$38,2,FALSE)</f>
        <v>2.0731927685773251E-2</v>
      </c>
      <c r="J584">
        <f>($B$1+Table4[[#This Row],[Home Differential]])-Table4[[#This Row],[Away Differential]]</f>
        <v>0.14197607293852935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0.55946566385006324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-0.34257283900844787</v>
      </c>
      <c r="H585" t="s">
        <v>23</v>
      </c>
      <c r="I585">
        <f>VLOOKUP(Table4[[#This Row],[Visitor]],'NHL Model'!$A$6:$B$38,2,FALSE)</f>
        <v>-0.49794713300108584</v>
      </c>
      <c r="J585">
        <f>($B$1+Table4[[#This Row],[Home Differential]])-Table4[[#This Row],[Away Differential]]</f>
        <v>0.31479395551746514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0.58749455966916952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-0.95664361852990654</v>
      </c>
      <c r="H586" t="s">
        <v>14</v>
      </c>
      <c r="I586">
        <f>VLOOKUP(Table4[[#This Row],[Visitor]],'NHL Model'!$A$6:$B$38,2,FALSE)</f>
        <v>-0.2200802314358897</v>
      </c>
      <c r="J586">
        <f>($B$1+Table4[[#This Row],[Home Differential]])-Table4[[#This Row],[Away Differential]]</f>
        <v>-0.57714372556918969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0.54250138381459045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-3.2309887002194844E-2</v>
      </c>
      <c r="H587" t="s">
        <v>33</v>
      </c>
      <c r="I587">
        <f>VLOOKUP(Table4[[#This Row],[Visitor]],'NHL Model'!$A$6:$B$38,2,FALSE)</f>
        <v>-0.3479098095875402</v>
      </c>
      <c r="J587">
        <f>($B$1+Table4[[#This Row],[Home Differential]])-Table4[[#This Row],[Away Differential]]</f>
        <v>0.47501958411017253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0.60790296990488946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0.21430145909042725</v>
      </c>
      <c r="H588" t="s">
        <v>15</v>
      </c>
      <c r="I588">
        <f>VLOOKUP(Table4[[#This Row],[Visitor]],'NHL Model'!$A$6:$B$38,2,FALSE)</f>
        <v>-0.50599078340071213</v>
      </c>
      <c r="J588">
        <f>($B$1+Table4[[#This Row],[Home Differential]])-Table4[[#This Row],[Away Differential]]</f>
        <v>0.87971190401596655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0.58227455636483882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-0.49794713300108584</v>
      </c>
      <c r="H589" t="s">
        <v>21</v>
      </c>
      <c r="I589">
        <f>VLOOKUP(Table4[[#This Row],[Visitor]],'NHL Model'!$A$6:$B$38,2,FALSE)</f>
        <v>-0.12487089668223171</v>
      </c>
      <c r="J589">
        <f>($B$1+Table4[[#This Row],[Home Differential]])-Table4[[#This Row],[Away Differential]]</f>
        <v>-0.213656574794027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0.47652510126091518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0.42254821659882374</v>
      </c>
      <c r="H590" t="s">
        <v>26</v>
      </c>
      <c r="I590">
        <f>VLOOKUP(Table4[[#This Row],[Visitor]],'NHL Model'!$A$6:$B$38,2,FALSE)</f>
        <v>-0.67114180037169746</v>
      </c>
      <c r="J590">
        <f>($B$1+Table4[[#This Row],[Home Differential]])-Table4[[#This Row],[Away Differential]]</f>
        <v>1.2531096784953484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0.75055775185128892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-1.1167763879247272</v>
      </c>
      <c r="H591" t="s">
        <v>17</v>
      </c>
      <c r="I591">
        <f>VLOOKUP(Table4[[#This Row],[Visitor]],'NHL Model'!$A$6:$B$38,2,FALSE)</f>
        <v>-0.8561868317598319</v>
      </c>
      <c r="J591">
        <f>($B$1+Table4[[#This Row],[Home Differential]])-Table4[[#This Row],[Away Differential]]</f>
        <v>-0.1011698946400682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0.47446200649578285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1.9153995907683643E-3</v>
      </c>
      <c r="H592" t="s">
        <v>10</v>
      </c>
      <c r="I592">
        <f>VLOOKUP(Table4[[#This Row],[Visitor]],'NHL Model'!$A$6:$B$38,2,FALSE)</f>
        <v>-0.13160108676160023</v>
      </c>
      <c r="J592">
        <f>($B$1+Table4[[#This Row],[Home Differential]])-Table4[[#This Row],[Away Differential]]</f>
        <v>0.29293614787719574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0.58437003574629931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-0.21100886368613675</v>
      </c>
      <c r="H593" t="s">
        <v>37</v>
      </c>
      <c r="I593">
        <f>VLOOKUP(Table4[[#This Row],[Visitor]],'NHL Model'!$A$6:$B$38,2,FALSE)</f>
        <v>0.1846559193064522</v>
      </c>
      <c r="J593">
        <f>($B$1+Table4[[#This Row],[Home Differential]])-Table4[[#This Row],[Away Differential]]</f>
        <v>-0.2362451214677618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0.5074549136926968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-0.31985119938240425</v>
      </c>
      <c r="H594" t="s">
        <v>31</v>
      </c>
      <c r="I594">
        <f>VLOOKUP(Table4[[#This Row],[Visitor]],'NHL Model'!$A$6:$B$38,2,FALSE)</f>
        <v>0.35254565315374792</v>
      </c>
      <c r="J594">
        <f>($B$1+Table4[[#This Row],[Home Differential]])-Table4[[#This Row],[Away Differential]]</f>
        <v>-0.512977191011325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0.55409815430906073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2.0731927685773251E-2</v>
      </c>
      <c r="H595" t="s">
        <v>22</v>
      </c>
      <c r="I595">
        <f>VLOOKUP(Table4[[#This Row],[Visitor]],'NHL Model'!$A$6:$B$38,2,FALSE)</f>
        <v>0.21430145909042725</v>
      </c>
      <c r="J595">
        <f>($B$1+Table4[[#This Row],[Home Differential]])-Table4[[#This Row],[Away Differential]]</f>
        <v>-3.414986987982685E-2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0.36488164628212033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3.2883390994754517E-3</v>
      </c>
      <c r="H596" t="s">
        <v>15</v>
      </c>
      <c r="I596">
        <f>VLOOKUP(Table4[[#This Row],[Visitor]],'NHL Model'!$A$6:$B$38,2,FALSE)</f>
        <v>-0.50599078340071213</v>
      </c>
      <c r="J596">
        <f>($B$1+Table4[[#This Row],[Home Differential]])-Table4[[#This Row],[Away Differential]]</f>
        <v>0.6686987840250147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0.5521107104612577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-1.5594075795597986</v>
      </c>
      <c r="H597" t="s">
        <v>29</v>
      </c>
      <c r="I597">
        <f>VLOOKUP(Table4[[#This Row],[Visitor]],'NHL Model'!$A$6:$B$38,2,FALSE)</f>
        <v>-1.6840122346544992</v>
      </c>
      <c r="J597">
        <f>($B$1+Table4[[#This Row],[Home Differential]])-Table4[[#This Row],[Away Differential]]</f>
        <v>0.28402431661952776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0.58060063051884514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-0.95664361852990654</v>
      </c>
      <c r="H598" t="s">
        <v>36</v>
      </c>
      <c r="I598">
        <f>VLOOKUP(Table4[[#This Row],[Visitor]],'NHL Model'!$A$6:$B$38,2,FALSE)</f>
        <v>-0.34257283900844787</v>
      </c>
      <c r="J598">
        <f>($B$1+Table4[[#This Row],[Home Differential]])-Table4[[#This Row],[Away Differential]]</f>
        <v>-0.45465111799663155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0.52499134396822966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-1.1267952052768424</v>
      </c>
      <c r="H599" t="s">
        <v>33</v>
      </c>
      <c r="I599">
        <f>VLOOKUP(Table4[[#This Row],[Visitor]],'NHL Model'!$A$6:$B$38,2,FALSE)</f>
        <v>-0.3479098095875402</v>
      </c>
      <c r="J599">
        <f>($B$1+Table4[[#This Row],[Home Differential]])-Table4[[#This Row],[Away Differential]]</f>
        <v>-0.61946573416447515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0.54855121875211921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-3.2309887002194844E-2</v>
      </c>
      <c r="H600" t="s">
        <v>12</v>
      </c>
      <c r="I600">
        <f>VLOOKUP(Table4[[#This Row],[Visitor]],'NHL Model'!$A$6:$B$38,2,FALSE)</f>
        <v>1.4583704516548168</v>
      </c>
      <c r="J600">
        <f>($B$1+Table4[[#This Row],[Home Differential]])-Table4[[#This Row],[Away Differential]]</f>
        <v>-1.3312606771321844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0.74278687589841685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-7.3890719153774626E-2</v>
      </c>
      <c r="H601" t="s">
        <v>34</v>
      </c>
      <c r="I601">
        <f>VLOOKUP(Table4[[#This Row],[Visitor]],'NHL Model'!$A$6:$B$38,2,FALSE)</f>
        <v>-0.17681265190927384</v>
      </c>
      <c r="J601">
        <f>($B$1+Table4[[#This Row],[Home Differential]])-Table4[[#This Row],[Away Differential]]</f>
        <v>0.26234159428032633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0.55924026507660429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-0.72083617366747277</v>
      </c>
      <c r="H602" t="s">
        <v>30</v>
      </c>
      <c r="I602">
        <f>VLOOKUP(Table4[[#This Row],[Visitor]],'NHL Model'!$A$6:$B$38,2,FALSE)</f>
        <v>3.2883390994754517E-3</v>
      </c>
      <c r="J602">
        <f>($B$1+Table4[[#This Row],[Home Differential]])-Table4[[#This Row],[Away Differential]]</f>
        <v>-0.56470485124212111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0.60627072025658535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-0.13160108676160023</v>
      </c>
      <c r="H603" t="s">
        <v>14</v>
      </c>
      <c r="I603">
        <f>VLOOKUP(Table4[[#This Row],[Visitor]],'NHL Model'!$A$6:$B$38,2,FALSE)</f>
        <v>-0.2200802314358897</v>
      </c>
      <c r="J603">
        <f>($B$1+Table4[[#This Row],[Home Differential]])-Table4[[#This Row],[Away Differential]]</f>
        <v>0.24789880619911661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0.5754365709117637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-0.67114180037169746</v>
      </c>
      <c r="H604" t="s">
        <v>19</v>
      </c>
      <c r="I604">
        <f>VLOOKUP(Table4[[#This Row],[Visitor]],'NHL Model'!$A$6:$B$38,2,FALSE)</f>
        <v>-0.95664361852990654</v>
      </c>
      <c r="J604">
        <f>($B$1+Table4[[#This Row],[Home Differential]])-Table4[[#This Row],[Away Differential]]</f>
        <v>0.44492147968303619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0.63584658009351291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-0.46055888840939002</v>
      </c>
      <c r="H605" t="s">
        <v>27</v>
      </c>
      <c r="I605">
        <f>VLOOKUP(Table4[[#This Row],[Visitor]],'NHL Model'!$A$6:$B$38,2,FALSE)</f>
        <v>-0.54160534998918008</v>
      </c>
      <c r="J605">
        <f>($B$1+Table4[[#This Row],[Home Differential]])-Table4[[#This Row],[Away Differential]]</f>
        <v>0.24046612310461724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0.60041182160576334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0.1846559193064522</v>
      </c>
      <c r="H606" t="s">
        <v>18</v>
      </c>
      <c r="I606">
        <f>VLOOKUP(Table4[[#This Row],[Visitor]],'NHL Model'!$A$6:$B$38,2,FALSE)</f>
        <v>-0.75480422558713034</v>
      </c>
      <c r="J606">
        <f>($B$1+Table4[[#This Row],[Home Differential]])-Table4[[#This Row],[Away Differential]]</f>
        <v>1.0988798064184095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0.66927749270040904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0.35254565315374792</v>
      </c>
      <c r="H607" t="s">
        <v>33</v>
      </c>
      <c r="I607">
        <f>VLOOKUP(Table4[[#This Row],[Visitor]],'NHL Model'!$A$6:$B$38,2,FALSE)</f>
        <v>-0.3479098095875402</v>
      </c>
      <c r="J607">
        <f>($B$1+Table4[[#This Row],[Home Differential]])-Table4[[#This Row],[Away Differential]]</f>
        <v>0.85987512426611534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0.75783782957563051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0.42254821659882374</v>
      </c>
      <c r="H608" t="s">
        <v>15</v>
      </c>
      <c r="I608">
        <f>VLOOKUP(Table4[[#This Row],[Visitor]],'NHL Model'!$A$6:$B$38,2,FALSE)</f>
        <v>-0.50599078340071213</v>
      </c>
      <c r="J608">
        <f>($B$1+Table4[[#This Row],[Home Differential]])-Table4[[#This Row],[Away Differential]]</f>
        <v>1.087958661524363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0.66461212699951311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-1.1167763879247272</v>
      </c>
      <c r="H609" t="s">
        <v>21</v>
      </c>
      <c r="I609">
        <f>VLOOKUP(Table4[[#This Row],[Visitor]],'NHL Model'!$A$6:$B$38,2,FALSE)</f>
        <v>-0.12487089668223171</v>
      </c>
      <c r="J609">
        <f>($B$1+Table4[[#This Row],[Home Differential]])-Table4[[#This Row],[Away Differential]]</f>
        <v>-0.83248582971766838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0.57900195725078774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1.4583704516548168</v>
      </c>
      <c r="H610" t="s">
        <v>13</v>
      </c>
      <c r="I610">
        <f>VLOOKUP(Table4[[#This Row],[Visitor]],'NHL Model'!$A$6:$B$38,2,FALSE)</f>
        <v>-0.31985119938240425</v>
      </c>
      <c r="J610">
        <f>($B$1+Table4[[#This Row],[Home Differential]])-Table4[[#This Row],[Away Differential]]</f>
        <v>1.9376413125620482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0.83143686722601373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-0.21100886368613675</v>
      </c>
      <c r="H611" t="s">
        <v>22</v>
      </c>
      <c r="I611">
        <f>VLOOKUP(Table4[[#This Row],[Visitor]],'NHL Model'!$A$6:$B$38,2,FALSE)</f>
        <v>0.21430145909042725</v>
      </c>
      <c r="J611">
        <f>($B$1+Table4[[#This Row],[Home Differential]])-Table4[[#This Row],[Away Differential]]</f>
        <v>-0.26589066125173688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0.4665798942703509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-0.34257283900844787</v>
      </c>
      <c r="H612" t="s">
        <v>28</v>
      </c>
      <c r="I612">
        <f>VLOOKUP(Table4[[#This Row],[Visitor]],'NHL Model'!$A$6:$B$38,2,FALSE)</f>
        <v>-0.72083617366747277</v>
      </c>
      <c r="J612">
        <f>($B$1+Table4[[#This Row],[Home Differential]])-Table4[[#This Row],[Away Differential]]</f>
        <v>0.53768299618385207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0.6193560414412328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-0.46055888840939002</v>
      </c>
      <c r="H613" t="s">
        <v>38</v>
      </c>
      <c r="I613">
        <f>VLOOKUP(Table4[[#This Row],[Visitor]],'NHL Model'!$A$6:$B$38,2,FALSE)</f>
        <v>-1.1267952052768424</v>
      </c>
      <c r="J613">
        <f>($B$1+Table4[[#This Row],[Home Differential]])-Table4[[#This Row],[Away Differential]]</f>
        <v>0.82565597839227955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0.66348019098153022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-1.5594075795597986</v>
      </c>
      <c r="H614" t="s">
        <v>23</v>
      </c>
      <c r="I614">
        <f>VLOOKUP(Table4[[#This Row],[Visitor]],'NHL Model'!$A$6:$B$38,2,FALSE)</f>
        <v>-0.49794713300108584</v>
      </c>
      <c r="J614">
        <f>($B$1+Table4[[#This Row],[Home Differential]])-Table4[[#This Row],[Away Differential]]</f>
        <v>-0.90204078503388563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0.5889446800259347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-0.1349739904770427</v>
      </c>
      <c r="H615" t="s">
        <v>29</v>
      </c>
      <c r="I615">
        <f>VLOOKUP(Table4[[#This Row],[Visitor]],'NHL Model'!$A$6:$B$38,2,FALSE)</f>
        <v>-1.6840122346544992</v>
      </c>
      <c r="J615">
        <f>($B$1+Table4[[#This Row],[Home Differential]])-Table4[[#This Row],[Away Differential]]</f>
        <v>1.7084579057022837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0.847668450430211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-3.2309887002194844E-2</v>
      </c>
      <c r="H616" t="s">
        <v>34</v>
      </c>
      <c r="I616">
        <f>VLOOKUP(Table4[[#This Row],[Visitor]],'NHL Model'!$A$6:$B$38,2,FALSE)</f>
        <v>-0.17681265190927384</v>
      </c>
      <c r="J616">
        <f>($B$1+Table4[[#This Row],[Home Differential]])-Table4[[#This Row],[Away Differential]]</f>
        <v>0.30392242643190615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0.56267578932206774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-7.3890719153774626E-2</v>
      </c>
      <c r="H617" t="s">
        <v>17</v>
      </c>
      <c r="I617">
        <f>VLOOKUP(Table4[[#This Row],[Visitor]],'NHL Model'!$A$6:$B$38,2,FALSE)</f>
        <v>-0.8561868317598319</v>
      </c>
      <c r="J617">
        <f>($B$1+Table4[[#This Row],[Home Differential]])-Table4[[#This Row],[Away Differential]]</f>
        <v>0.94171577413088436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0.67711160874677601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-0.13160108676160023</v>
      </c>
      <c r="H618" t="s">
        <v>30</v>
      </c>
      <c r="I618">
        <f>VLOOKUP(Table4[[#This Row],[Visitor]],'NHL Model'!$A$6:$B$38,2,FALSE)</f>
        <v>3.2883390994754517E-3</v>
      </c>
      <c r="J618">
        <f>($B$1+Table4[[#This Row],[Home Differential]])-Table4[[#This Row],[Away Differential]]</f>
        <v>2.4530235663751461E-2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0.47088337232696864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-0.21100886368613675</v>
      </c>
      <c r="H619" t="s">
        <v>18</v>
      </c>
      <c r="I619">
        <f>VLOOKUP(Table4[[#This Row],[Visitor]],'NHL Model'!$A$6:$B$38,2,FALSE)</f>
        <v>-0.75480422558713034</v>
      </c>
      <c r="J619">
        <f>($B$1+Table4[[#This Row],[Home Differential]])-Table4[[#This Row],[Away Differential]]</f>
        <v>0.70321502342582076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0.64597753475781328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-0.2200802314358897</v>
      </c>
      <c r="H620" t="s">
        <v>25</v>
      </c>
      <c r="I620">
        <f>VLOOKUP(Table4[[#This Row],[Visitor]],'NHL Model'!$A$6:$B$38,2,FALSE)</f>
        <v>0.42254821659882374</v>
      </c>
      <c r="J620">
        <f>($B$1+Table4[[#This Row],[Home Differential]])-Table4[[#This Row],[Away Differential]]</f>
        <v>-0.4832087865098863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0.60169676688303542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-0.95664361852990654</v>
      </c>
      <c r="H621" t="s">
        <v>24</v>
      </c>
      <c r="I621">
        <f>VLOOKUP(Table4[[#This Row],[Visitor]],'NHL Model'!$A$6:$B$38,2,FALSE)</f>
        <v>2.0731927685773251E-2</v>
      </c>
      <c r="J621">
        <f>($B$1+Table4[[#This Row],[Home Differential]])-Table4[[#This Row],[Away Differential]]</f>
        <v>-0.81795588469085267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0.57775442772100682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-1.1267952052768424</v>
      </c>
      <c r="H622" t="s">
        <v>27</v>
      </c>
      <c r="I622">
        <f>VLOOKUP(Table4[[#This Row],[Visitor]],'NHL Model'!$A$6:$B$38,2,FALSE)</f>
        <v>-0.54160534998918008</v>
      </c>
      <c r="J622">
        <f>($B$1+Table4[[#This Row],[Home Differential]])-Table4[[#This Row],[Away Differential]]</f>
        <v>-0.4257701937628352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0.52086288149073723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0.35254565315374792</v>
      </c>
      <c r="H623" t="s">
        <v>37</v>
      </c>
      <c r="I623">
        <f>VLOOKUP(Table4[[#This Row],[Visitor]],'NHL Model'!$A$6:$B$38,2,FALSE)</f>
        <v>0.1846559193064522</v>
      </c>
      <c r="J623">
        <f>($B$1+Table4[[#This Row],[Home Differential]])-Table4[[#This Row],[Away Differential]]</f>
        <v>0.32730939537212289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0.61821670557502817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-0.72083617366747277</v>
      </c>
      <c r="H624" t="s">
        <v>24</v>
      </c>
      <c r="I624">
        <f>VLOOKUP(Table4[[#This Row],[Visitor]],'NHL Model'!$A$6:$B$38,2,FALSE)</f>
        <v>2.0731927685773251E-2</v>
      </c>
      <c r="J624">
        <f>($B$1+Table4[[#This Row],[Home Differential]])-Table4[[#This Row],[Away Differential]]</f>
        <v>-0.58214843982841891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0.53699830894807299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-1.1167763879247272</v>
      </c>
      <c r="H625" t="s">
        <v>27</v>
      </c>
      <c r="I625">
        <f>VLOOKUP(Table4[[#This Row],[Visitor]],'NHL Model'!$A$6:$B$38,2,FALSE)</f>
        <v>-0.54160534998918008</v>
      </c>
      <c r="J625">
        <f>($B$1+Table4[[#This Row],[Home Differential]])-Table4[[#This Row],[Away Differential]]</f>
        <v>-0.41575137641072002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0.5194307143214244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1.4583704516548168</v>
      </c>
      <c r="H626" t="s">
        <v>35</v>
      </c>
      <c r="I626">
        <f>VLOOKUP(Table4[[#This Row],[Visitor]],'NHL Model'!$A$6:$B$38,2,FALSE)</f>
        <v>-1.5594075795597986</v>
      </c>
      <c r="J626">
        <f>($B$1+Table4[[#This Row],[Home Differential]])-Table4[[#This Row],[Away Differential]]</f>
        <v>3.1771976927394423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1.9153995907683643E-3</v>
      </c>
      <c r="H627" t="s">
        <v>23</v>
      </c>
      <c r="I627">
        <f>VLOOKUP(Table4[[#This Row],[Visitor]],'NHL Model'!$A$6:$B$38,2,FALSE)</f>
        <v>-0.49794713300108584</v>
      </c>
      <c r="J627">
        <f>($B$1+Table4[[#This Row],[Home Differential]])-Table4[[#This Row],[Away Differential]]</f>
        <v>0.65928219411668132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0.63673837041017178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-0.67114180037169746</v>
      </c>
      <c r="H628" t="s">
        <v>40</v>
      </c>
      <c r="I628">
        <f>VLOOKUP(Table4[[#This Row],[Visitor]],'NHL Model'!$A$6:$B$38,2,FALSE)</f>
        <v>-7.3890719153774626E-2</v>
      </c>
      <c r="J628">
        <f>($B$1+Table4[[#This Row],[Home Differential]])-Table4[[#This Row],[Away Differential]]</f>
        <v>-0.43783141969309569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0.55625789240017676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-0.8561868317598319</v>
      </c>
      <c r="H629" t="s">
        <v>21</v>
      </c>
      <c r="I629">
        <f>VLOOKUP(Table4[[#This Row],[Visitor]],'NHL Model'!$A$6:$B$38,2,FALSE)</f>
        <v>-0.12487089668223171</v>
      </c>
      <c r="J629">
        <f>($B$1+Table4[[#This Row],[Home Differential]])-Table4[[#This Row],[Away Differential]]</f>
        <v>-0.57189627355277306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0.50571440611601715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-0.3479098095875402</v>
      </c>
      <c r="H630" t="s">
        <v>34</v>
      </c>
      <c r="I630">
        <f>VLOOKUP(Table4[[#This Row],[Visitor]],'NHL Model'!$A$6:$B$38,2,FALSE)</f>
        <v>-0.17681265190927384</v>
      </c>
      <c r="J630">
        <f>($B$1+Table4[[#This Row],[Home Differential]])-Table4[[#This Row],[Away Differential]]</f>
        <v>-1.1677496153439215E-2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0.48243850230328084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-3.2309887002194844E-2</v>
      </c>
      <c r="H631" t="s">
        <v>29</v>
      </c>
      <c r="I631">
        <f>VLOOKUP(Table4[[#This Row],[Visitor]],'NHL Model'!$A$6:$B$38,2,FALSE)</f>
        <v>-1.6840122346544992</v>
      </c>
      <c r="J631">
        <f>($B$1+Table4[[#This Row],[Home Differential]])-Table4[[#This Row],[Away Differential]]</f>
        <v>1.8111220091771316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0.79889577482075858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0.21430145909042725</v>
      </c>
      <c r="H632" t="s">
        <v>15</v>
      </c>
      <c r="I632">
        <f>VLOOKUP(Table4[[#This Row],[Visitor]],'NHL Model'!$A$6:$B$38,2,FALSE)</f>
        <v>-0.50599078340071213</v>
      </c>
      <c r="J632">
        <f>($B$1+Table4[[#This Row],[Home Differential]])-Table4[[#This Row],[Away Differential]]</f>
        <v>0.87971190401596655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0.58227455636483882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0.42254821659882374</v>
      </c>
      <c r="H633" t="s">
        <v>18</v>
      </c>
      <c r="I633">
        <f>VLOOKUP(Table4[[#This Row],[Visitor]],'NHL Model'!$A$6:$B$38,2,FALSE)</f>
        <v>-0.75480422558713034</v>
      </c>
      <c r="J633">
        <f>($B$1+Table4[[#This Row],[Home Differential]])-Table4[[#This Row],[Away Differential]]</f>
        <v>1.3367721037107811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0.73654307941047636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-0.13160108676160023</v>
      </c>
      <c r="H634" t="s">
        <v>39</v>
      </c>
      <c r="I634">
        <f>VLOOKUP(Table4[[#This Row],[Visitor]],'NHL Model'!$A$6:$B$38,2,FALSE)</f>
        <v>1.9153995907683643E-3</v>
      </c>
      <c r="J634">
        <f>($B$1+Table4[[#This Row],[Home Differential]])-Table4[[#This Row],[Away Differential]]</f>
        <v>2.5903175172458548E-2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0.46274453108358282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-0.31985119938240425</v>
      </c>
      <c r="H635" t="s">
        <v>37</v>
      </c>
      <c r="I635">
        <f>VLOOKUP(Table4[[#This Row],[Visitor]],'NHL Model'!$A$6:$B$38,2,FALSE)</f>
        <v>0.1846559193064522</v>
      </c>
      <c r="J635">
        <f>($B$1+Table4[[#This Row],[Home Differential]])-Table4[[#This Row],[Away Differential]]</f>
        <v>-0.34508745716402933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0.57564525714659842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3.2883390994754517E-3</v>
      </c>
      <c r="H636" t="s">
        <v>55</v>
      </c>
      <c r="I636">
        <f>VLOOKUP(Table4[[#This Row],[Visitor]],'NHL Model'!$A$6:$B$38,2,FALSE)</f>
        <v>-0.1349739904770427</v>
      </c>
      <c r="J636">
        <f>($B$1+Table4[[#This Row],[Home Differential]])-Table4[[#This Row],[Away Differential]]</f>
        <v>0.2976819911013453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0.58255296404430779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-0.34257283900844787</v>
      </c>
      <c r="H637" t="s">
        <v>22</v>
      </c>
      <c r="I637">
        <f>VLOOKUP(Table4[[#This Row],[Visitor]],'NHL Model'!$A$6:$B$38,2,FALSE)</f>
        <v>0.21430145909042725</v>
      </c>
      <c r="J637">
        <f>($B$1+Table4[[#This Row],[Home Differential]])-Table4[[#This Row],[Away Differential]]</f>
        <v>-0.397454636574048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0.53507610651255733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-0.2200802314358897</v>
      </c>
      <c r="H638" t="s">
        <v>26</v>
      </c>
      <c r="I638">
        <f>VLOOKUP(Table4[[#This Row],[Visitor]],'NHL Model'!$A$6:$B$38,2,FALSE)</f>
        <v>-0.67114180037169746</v>
      </c>
      <c r="J638">
        <f>($B$1+Table4[[#This Row],[Home Differential]])-Table4[[#This Row],[Away Differential]]</f>
        <v>0.61048123046063485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0.60649767359876672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-0.46055888840939002</v>
      </c>
      <c r="H639" t="s">
        <v>29</v>
      </c>
      <c r="I639">
        <f>VLOOKUP(Table4[[#This Row],[Visitor]],'NHL Model'!$A$6:$B$38,2,FALSE)</f>
        <v>-1.6840122346544992</v>
      </c>
      <c r="J639">
        <f>($B$1+Table4[[#This Row],[Home Differential]])-Table4[[#This Row],[Away Differential]]</f>
        <v>1.3828730077699363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0.76371628926025059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-0.95664361852990654</v>
      </c>
      <c r="H640" t="s">
        <v>40</v>
      </c>
      <c r="I640">
        <f>VLOOKUP(Table4[[#This Row],[Visitor]],'NHL Model'!$A$6:$B$38,2,FALSE)</f>
        <v>-7.3890719153774626E-2</v>
      </c>
      <c r="J640">
        <f>($B$1+Table4[[#This Row],[Home Differential]])-Table4[[#This Row],[Away Differential]]</f>
        <v>-0.72333323785130477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0.62971463180358622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0.35254565315374792</v>
      </c>
      <c r="H641" t="s">
        <v>34</v>
      </c>
      <c r="I641">
        <f>VLOOKUP(Table4[[#This Row],[Visitor]],'NHL Model'!$A$6:$B$38,2,FALSE)</f>
        <v>-0.17681265190927384</v>
      </c>
      <c r="J641">
        <f>($B$1+Table4[[#This Row],[Home Differential]])-Table4[[#This Row],[Away Differential]]</f>
        <v>0.68877796658784896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0.71384386022601998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-0.21100886368613675</v>
      </c>
      <c r="H642" t="s">
        <v>15</v>
      </c>
      <c r="I642">
        <f>VLOOKUP(Table4[[#This Row],[Visitor]],'NHL Model'!$A$6:$B$38,2,FALSE)</f>
        <v>-0.50599078340071213</v>
      </c>
      <c r="J642">
        <f>($B$1+Table4[[#This Row],[Home Differential]])-Table4[[#This Row],[Away Differential]]</f>
        <v>0.45440158123940255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0.57404658234684991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-1.5594075795597986</v>
      </c>
      <c r="H643" t="s">
        <v>20</v>
      </c>
      <c r="I643">
        <f>VLOOKUP(Table4[[#This Row],[Visitor]],'NHL Model'!$A$6:$B$38,2,FALSE)</f>
        <v>-3.2309887002194844E-2</v>
      </c>
      <c r="J643">
        <f>($B$1+Table4[[#This Row],[Home Differential]])-Table4[[#This Row],[Away Differential]]</f>
        <v>-1.3676780310327765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0.65550646602237261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-1.1267952052768424</v>
      </c>
      <c r="H644" t="s">
        <v>32</v>
      </c>
      <c r="I644">
        <f>VLOOKUP(Table4[[#This Row],[Visitor]],'NHL Model'!$A$6:$B$38,2,FALSE)</f>
        <v>-0.46055888840939002</v>
      </c>
      <c r="J644">
        <f>($B$1+Table4[[#This Row],[Home Differential]])-Table4[[#This Row],[Away Differential]]</f>
        <v>-0.50681665534262521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0.53244828896790319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0.42254821659882374</v>
      </c>
      <c r="H645" t="s">
        <v>12</v>
      </c>
      <c r="I645">
        <f>VLOOKUP(Table4[[#This Row],[Visitor]],'NHL Model'!$A$6:$B$38,2,FALSE)</f>
        <v>1.4583704516548168</v>
      </c>
      <c r="J645">
        <f>($B$1+Table4[[#This Row],[Home Differential]])-Table4[[#This Row],[Away Differential]]</f>
        <v>-0.87640257353116591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0.62527975596318153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-0.72083617366747277</v>
      </c>
      <c r="H646" t="s">
        <v>23</v>
      </c>
      <c r="I646">
        <f>VLOOKUP(Table4[[#This Row],[Visitor]],'NHL Model'!$A$6:$B$38,2,FALSE)</f>
        <v>-0.49794713300108584</v>
      </c>
      <c r="J646">
        <f>($B$1+Table4[[#This Row],[Home Differential]])-Table4[[#This Row],[Away Differential]]</f>
        <v>-6.3469379141559812E-2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0.46202685163256629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-1.1167763879247272</v>
      </c>
      <c r="H647" t="s">
        <v>29</v>
      </c>
      <c r="I647">
        <f>VLOOKUP(Table4[[#This Row],[Visitor]],'NHL Model'!$A$6:$B$38,2,FALSE)</f>
        <v>-1.6840122346544992</v>
      </c>
      <c r="J647">
        <f>($B$1+Table4[[#This Row],[Home Differential]])-Table4[[#This Row],[Away Differential]]</f>
        <v>0.72665550825459913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0.64387375333306285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-0.67114180037169746</v>
      </c>
      <c r="H648" t="s">
        <v>14</v>
      </c>
      <c r="I648">
        <f>VLOOKUP(Table4[[#This Row],[Visitor]],'NHL Model'!$A$6:$B$38,2,FALSE)</f>
        <v>-0.2200802314358897</v>
      </c>
      <c r="J648">
        <f>($B$1+Table4[[#This Row],[Home Differential]])-Table4[[#This Row],[Away Differential]]</f>
        <v>-0.29164190741098062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0.46944348200061831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-0.8561868317598319</v>
      </c>
      <c r="H649" t="s">
        <v>27</v>
      </c>
      <c r="I649">
        <f>VLOOKUP(Table4[[#This Row],[Visitor]],'NHL Model'!$A$6:$B$38,2,FALSE)</f>
        <v>-0.54160534998918008</v>
      </c>
      <c r="J649">
        <f>($B$1+Table4[[#This Row],[Home Differential]])-Table4[[#This Row],[Away Differential]]</f>
        <v>-0.1551618202458247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0.44614316318665376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-0.31985119938240425</v>
      </c>
      <c r="H650" t="s">
        <v>34</v>
      </c>
      <c r="I650">
        <f>VLOOKUP(Table4[[#This Row],[Visitor]],'NHL Model'!$A$6:$B$38,2,FALSE)</f>
        <v>-0.17681265190927384</v>
      </c>
      <c r="J650">
        <f>($B$1+Table4[[#This Row],[Home Differential]])-Table4[[#This Row],[Away Differential]]</f>
        <v>1.6381114051696732E-2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0.52157241225280293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2.0731927685773251E-2</v>
      </c>
      <c r="H651" t="s">
        <v>55</v>
      </c>
      <c r="I651">
        <f>VLOOKUP(Table4[[#This Row],[Visitor]],'NHL Model'!$A$6:$B$38,2,FALSE)</f>
        <v>-0.1349739904770427</v>
      </c>
      <c r="J651">
        <f>($B$1+Table4[[#This Row],[Home Differential]])-Table4[[#This Row],[Away Differential]]</f>
        <v>0.3151255796876431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0.70402506858227387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3.2883390994754517E-3</v>
      </c>
      <c r="H652" t="s">
        <v>19</v>
      </c>
      <c r="I652">
        <f>VLOOKUP(Table4[[#This Row],[Visitor]],'NHL Model'!$A$6:$B$38,2,FALSE)</f>
        <v>-0.95664361852990654</v>
      </c>
      <c r="J652">
        <f>($B$1+Table4[[#This Row],[Home Differential]])-Table4[[#This Row],[Away Differential]]</f>
        <v>1.1193516191542092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0.700008769850611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-0.34257283900844787</v>
      </c>
      <c r="H653" t="s">
        <v>40</v>
      </c>
      <c r="I653">
        <f>VLOOKUP(Table4[[#This Row],[Visitor]],'NHL Model'!$A$6:$B$38,2,FALSE)</f>
        <v>-7.3890719153774626E-2</v>
      </c>
      <c r="J653">
        <f>($B$1+Table4[[#This Row],[Home Differential]])-Table4[[#This Row],[Away Differential]]</f>
        <v>-0.1092624583298461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0.53942834389165539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-0.3479098095875402</v>
      </c>
      <c r="H654" t="s">
        <v>37</v>
      </c>
      <c r="I654">
        <f>VLOOKUP(Table4[[#This Row],[Visitor]],'NHL Model'!$A$6:$B$38,2,FALSE)</f>
        <v>0.1846559193064522</v>
      </c>
      <c r="J654">
        <f>($B$1+Table4[[#This Row],[Home Differential]])-Table4[[#This Row],[Away Differential]]</f>
        <v>-0.37314606736916522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0.57965617170268213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-1.5594075795597986</v>
      </c>
      <c r="H655" t="s">
        <v>18</v>
      </c>
      <c r="I655">
        <f>VLOOKUP(Table4[[#This Row],[Visitor]],'NHL Model'!$A$6:$B$38,2,FALSE)</f>
        <v>-0.75480422558713034</v>
      </c>
      <c r="J655">
        <f>($B$1+Table4[[#This Row],[Home Differential]])-Table4[[#This Row],[Away Differential]]</f>
        <v>-0.64518369244784113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0.59932693391664427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-1.1267952052768424</v>
      </c>
      <c r="H656" t="s">
        <v>21</v>
      </c>
      <c r="I656">
        <f>VLOOKUP(Table4[[#This Row],[Visitor]],'NHL Model'!$A$6:$B$38,2,FALSE)</f>
        <v>-0.12487089668223171</v>
      </c>
      <c r="J656">
        <f>($B$1+Table4[[#This Row],[Home Differential]])-Table4[[#This Row],[Away Differential]]</f>
        <v>-0.84250464706978356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0.58043412442010067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0.21430145909042725</v>
      </c>
      <c r="H657" t="s">
        <v>10</v>
      </c>
      <c r="I657">
        <f>VLOOKUP(Table4[[#This Row],[Visitor]],'NHL Model'!$A$6:$B$38,2,FALSE)</f>
        <v>-0.13160108676160023</v>
      </c>
      <c r="J657">
        <f>($B$1+Table4[[#This Row],[Home Differential]])-Table4[[#This Row],[Away Differential]]</f>
        <v>0.50532220737685463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0.61223466102783797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-0.72083617366747277</v>
      </c>
      <c r="H658" t="s">
        <v>14</v>
      </c>
      <c r="I658">
        <f>VLOOKUP(Table4[[#This Row],[Visitor]],'NHL Model'!$A$6:$B$38,2,FALSE)</f>
        <v>-0.2200802314358897</v>
      </c>
      <c r="J658">
        <f>($B$1+Table4[[#This Row],[Home Differential]])-Table4[[#This Row],[Away Differential]]</f>
        <v>-0.34133628070675592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0.50174729366421578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-0.13160108676160023</v>
      </c>
      <c r="H659" t="s">
        <v>20</v>
      </c>
      <c r="I659">
        <f>VLOOKUP(Table4[[#This Row],[Visitor]],'NHL Model'!$A$6:$B$38,2,FALSE)</f>
        <v>-3.2309887002194844E-2</v>
      </c>
      <c r="J659">
        <f>($B$1+Table4[[#This Row],[Home Differential]])-Table4[[#This Row],[Away Differential]]</f>
        <v>6.0128461765421755E-2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0.54859522694697527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1.9153995907683643E-3</v>
      </c>
      <c r="H660" t="s">
        <v>18</v>
      </c>
      <c r="I660">
        <f>VLOOKUP(Table4[[#This Row],[Visitor]],'NHL Model'!$A$6:$B$38,2,FALSE)</f>
        <v>-0.75480422558713034</v>
      </c>
      <c r="J660">
        <f>($B$1+Table4[[#This Row],[Home Differential]])-Table4[[#This Row],[Away Differential]]</f>
        <v>0.91613928670272582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0.62637287283254972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-0.21100886368613675</v>
      </c>
      <c r="H661" t="s">
        <v>12</v>
      </c>
      <c r="I661">
        <f>VLOOKUP(Table4[[#This Row],[Visitor]],'NHL Model'!$A$6:$B$38,2,FALSE)</f>
        <v>1.4583704516548168</v>
      </c>
      <c r="J661">
        <f>($B$1+Table4[[#This Row],[Home Differential]])-Table4[[#This Row],[Away Differential]]</f>
        <v>-1.5099596538161264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0.71584530061584462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2.0731927685773251E-2</v>
      </c>
      <c r="H662" t="s">
        <v>25</v>
      </c>
      <c r="I662">
        <f>VLOOKUP(Table4[[#This Row],[Visitor]],'NHL Model'!$A$6:$B$38,2,FALSE)</f>
        <v>0.42254821659882374</v>
      </c>
      <c r="J662">
        <f>($B$1+Table4[[#This Row],[Home Differential]])-Table4[[#This Row],[Away Differential]]</f>
        <v>-0.24239662738822335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0.44374095604722941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-1.1167763879247272</v>
      </c>
      <c r="H663" t="s">
        <v>32</v>
      </c>
      <c r="I663">
        <f>VLOOKUP(Table4[[#This Row],[Visitor]],'NHL Model'!$A$6:$B$38,2,FALSE)</f>
        <v>-0.46055888840939002</v>
      </c>
      <c r="J663">
        <f>($B$1+Table4[[#This Row],[Home Differential]])-Table4[[#This Row],[Away Differential]]</f>
        <v>-0.49679783799051008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0.53101612179859037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-0.31985119938240425</v>
      </c>
      <c r="H664" t="s">
        <v>34</v>
      </c>
      <c r="I664">
        <f>VLOOKUP(Table4[[#This Row],[Visitor]],'NHL Model'!$A$6:$B$38,2,FALSE)</f>
        <v>-0.17681265190927384</v>
      </c>
      <c r="J664">
        <f>($B$1+Table4[[#This Row],[Home Differential]])-Table4[[#This Row],[Away Differential]]</f>
        <v>1.6381114051696732E-2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0.52157241225280293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-0.50599078340071213</v>
      </c>
      <c r="H665" t="s">
        <v>55</v>
      </c>
      <c r="I665">
        <f>VLOOKUP(Table4[[#This Row],[Visitor]],'NHL Model'!$A$6:$B$38,2,FALSE)</f>
        <v>-0.1349739904770427</v>
      </c>
      <c r="J665">
        <f>($B$1+Table4[[#This Row],[Home Differential]])-Table4[[#This Row],[Away Differential]]</f>
        <v>-0.21159713139884231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0.49024732900697437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-0.34257283900844787</v>
      </c>
      <c r="H666" t="s">
        <v>26</v>
      </c>
      <c r="I666">
        <f>VLOOKUP(Table4[[#This Row],[Visitor]],'NHL Model'!$A$6:$B$38,2,FALSE)</f>
        <v>-0.67114180037169746</v>
      </c>
      <c r="J666">
        <f>($B$1+Table4[[#This Row],[Home Differential]])-Table4[[#This Row],[Away Differential]]</f>
        <v>0.48798862288807676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0.59149599495641925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0.21430145909042725</v>
      </c>
      <c r="H667" t="s">
        <v>31</v>
      </c>
      <c r="I667">
        <f>VLOOKUP(Table4[[#This Row],[Visitor]],'NHL Model'!$A$6:$B$38,2,FALSE)</f>
        <v>0.35254565315374792</v>
      </c>
      <c r="J667">
        <f>($B$1+Table4[[#This Row],[Home Differential]])-Table4[[#This Row],[Away Differential]]</f>
        <v>2.1175467461506503E-2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0.52225775417593556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-0.49794713300108584</v>
      </c>
      <c r="H668" t="s">
        <v>38</v>
      </c>
      <c r="I668">
        <f>VLOOKUP(Table4[[#This Row],[Visitor]],'NHL Model'!$A$6:$B$38,2,FALSE)</f>
        <v>-1.1267952052768424</v>
      </c>
      <c r="J668">
        <f>($B$1+Table4[[#This Row],[Home Differential]])-Table4[[#This Row],[Away Differential]]</f>
        <v>0.78826773380058368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0.64601441427344475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0.42254821659882374</v>
      </c>
      <c r="H669" t="s">
        <v>39</v>
      </c>
      <c r="I669">
        <f>VLOOKUP(Table4[[#This Row],[Visitor]],'NHL Model'!$A$6:$B$38,2,FALSE)</f>
        <v>1.9153995907683643E-3</v>
      </c>
      <c r="J669">
        <f>($B$1+Table4[[#This Row],[Home Differential]])-Table4[[#This Row],[Away Differential]]</f>
        <v>0.58005247853288255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0.5945450904163635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-0.8561868317598319</v>
      </c>
      <c r="H670" t="s">
        <v>29</v>
      </c>
      <c r="I670">
        <f>VLOOKUP(Table4[[#This Row],[Visitor]],'NHL Model'!$A$6:$B$38,2,FALSE)</f>
        <v>-1.6840122346544992</v>
      </c>
      <c r="J670">
        <f>($B$1+Table4[[#This Row],[Home Differential]])-Table4[[#This Row],[Away Differential]]</f>
        <v>0.98724506441949444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0.71716130446783355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3.2883390994754517E-3</v>
      </c>
      <c r="H671" t="s">
        <v>24</v>
      </c>
      <c r="I671">
        <f>VLOOKUP(Table4[[#This Row],[Visitor]],'NHL Model'!$A$6:$B$38,2,FALSE)</f>
        <v>2.0731927685773251E-2</v>
      </c>
      <c r="J671">
        <f>($B$1+Table4[[#This Row],[Home Differential]])-Table4[[#This Row],[Away Differential]]</f>
        <v>0.14197607293852935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0.55946566385006324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-0.54160534998918008</v>
      </c>
      <c r="H672" t="s">
        <v>31</v>
      </c>
      <c r="I672">
        <f>VLOOKUP(Table4[[#This Row],[Visitor]],'NHL Model'!$A$6:$B$38,2,FALSE)</f>
        <v>0.35254565315374792</v>
      </c>
      <c r="J672">
        <f>($B$1+Table4[[#This Row],[Home Differential]])-Table4[[#This Row],[Away Differential]]</f>
        <v>-0.73473134161810094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0.55330403742626133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-0.46055888840939002</v>
      </c>
      <c r="H673" t="s">
        <v>21</v>
      </c>
      <c r="I673">
        <f>VLOOKUP(Table4[[#This Row],[Visitor]],'NHL Model'!$A$6:$B$38,2,FALSE)</f>
        <v>-0.12487089668223171</v>
      </c>
      <c r="J673">
        <f>($B$1+Table4[[#This Row],[Home Differential]])-Table4[[#This Row],[Away Differential]]</f>
        <v>-0.17626833020233112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0.45915942132360005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-0.3479098095875402</v>
      </c>
      <c r="H674" t="s">
        <v>28</v>
      </c>
      <c r="I674">
        <f>VLOOKUP(Table4[[#This Row],[Visitor]],'NHL Model'!$A$6:$B$38,2,FALSE)</f>
        <v>-0.72083617366747277</v>
      </c>
      <c r="J674">
        <f>($B$1+Table4[[#This Row],[Home Differential]])-Table4[[#This Row],[Away Differential]]</f>
        <v>0.53234602560475974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0.61609765442269349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0.1846559193064522</v>
      </c>
      <c r="H675" t="s">
        <v>12</v>
      </c>
      <c r="I675">
        <f>VLOOKUP(Table4[[#This Row],[Visitor]],'NHL Model'!$A$6:$B$38,2,FALSE)</f>
        <v>1.4583704516548168</v>
      </c>
      <c r="J675">
        <f>($B$1+Table4[[#This Row],[Home Differential]])-Table4[[#This Row],[Away Differential]]</f>
        <v>-1.1142948708235374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0.69261925250325618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-0.95664361852990654</v>
      </c>
      <c r="H676" t="s">
        <v>11</v>
      </c>
      <c r="I676">
        <f>VLOOKUP(Table4[[#This Row],[Visitor]],'NHL Model'!$A$6:$B$38,2,FALSE)</f>
        <v>-0.21100886368613675</v>
      </c>
      <c r="J676">
        <f>($B$1+Table4[[#This Row],[Home Differential]])-Table4[[#This Row],[Away Differential]]</f>
        <v>-0.58621509331894273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0.54379811521664734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-7.3890719153774626E-2</v>
      </c>
      <c r="H677" t="s">
        <v>20</v>
      </c>
      <c r="I677">
        <f>VLOOKUP(Table4[[#This Row],[Visitor]],'NHL Model'!$A$6:$B$38,2,FALSE)</f>
        <v>-3.2309887002194844E-2</v>
      </c>
      <c r="J677">
        <f>($B$1+Table4[[#This Row],[Home Differential]])-Table4[[#This Row],[Away Differential]]</f>
        <v>0.11783882937324736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0.55934027203440395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-0.13160108676160023</v>
      </c>
      <c r="H678" t="s">
        <v>35</v>
      </c>
      <c r="I678">
        <f>VLOOKUP(Table4[[#This Row],[Visitor]],'NHL Model'!$A$6:$B$38,2,FALSE)</f>
        <v>-1.5594075795597986</v>
      </c>
      <c r="J678">
        <f>($B$1+Table4[[#This Row],[Home Differential]])-Table4[[#This Row],[Away Differential]]</f>
        <v>1.5872261543230255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0.7668903712488887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-0.31985119938240425</v>
      </c>
      <c r="H679" t="s">
        <v>33</v>
      </c>
      <c r="I679">
        <f>VLOOKUP(Table4[[#This Row],[Visitor]],'NHL Model'!$A$6:$B$38,2,FALSE)</f>
        <v>-0.3479098095875402</v>
      </c>
      <c r="J679">
        <f>($B$1+Table4[[#This Row],[Home Differential]])-Table4[[#This Row],[Away Differential]]</f>
        <v>0.18747827172996309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0.56679959283562464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-0.75480422558713034</v>
      </c>
      <c r="H680" t="s">
        <v>16</v>
      </c>
      <c r="I680">
        <f>VLOOKUP(Table4[[#This Row],[Visitor]],'NHL Model'!$A$6:$B$38,2,FALSE)</f>
        <v>-1.1167763879247272</v>
      </c>
      <c r="J680">
        <f>($B$1+Table4[[#This Row],[Home Differential]])-Table4[[#This Row],[Away Differential]]</f>
        <v>0.521391823862424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0.61453177618077792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-0.1349739904770427</v>
      </c>
      <c r="H681" t="s">
        <v>36</v>
      </c>
      <c r="I681">
        <f>VLOOKUP(Table4[[#This Row],[Visitor]],'NHL Model'!$A$6:$B$38,2,FALSE)</f>
        <v>-0.34257283900844787</v>
      </c>
      <c r="J681">
        <f>($B$1+Table4[[#This Row],[Home Differential]])-Table4[[#This Row],[Away Differential]]</f>
        <v>0.36701851005623232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0.65591273770014247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0.21430145909042725</v>
      </c>
      <c r="H682" t="s">
        <v>39</v>
      </c>
      <c r="I682">
        <f>VLOOKUP(Table4[[#This Row],[Visitor]],'NHL Model'!$A$6:$B$38,2,FALSE)</f>
        <v>1.9153995907683643E-3</v>
      </c>
      <c r="J682">
        <f>($B$1+Table4[[#This Row],[Home Differential]])-Table4[[#This Row],[Away Differential]]</f>
        <v>0.37180572102448606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0.51219051383187997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-0.12487089668223171</v>
      </c>
      <c r="H683" t="s">
        <v>16</v>
      </c>
      <c r="I683">
        <f>VLOOKUP(Table4[[#This Row],[Visitor]],'NHL Model'!$A$6:$B$38,2,FALSE)</f>
        <v>-1.1167763879247272</v>
      </c>
      <c r="J683">
        <f>($B$1+Table4[[#This Row],[Home Differential]])-Table4[[#This Row],[Away Differential]]</f>
        <v>1.1513251527673227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0.7562952901412302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0.42254821659882374</v>
      </c>
      <c r="H684" t="s">
        <v>31</v>
      </c>
      <c r="I684">
        <f>VLOOKUP(Table4[[#This Row],[Visitor]],'NHL Model'!$A$6:$B$38,2,FALSE)</f>
        <v>0.35254565315374792</v>
      </c>
      <c r="J684">
        <f>($B$1+Table4[[#This Row],[Home Differential]])-Table4[[#This Row],[Away Differential]]</f>
        <v>0.229422224969903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0.60422395704793774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1.4583704516548168</v>
      </c>
      <c r="H685" t="s">
        <v>36</v>
      </c>
      <c r="I685">
        <f>VLOOKUP(Table4[[#This Row],[Visitor]],'NHL Model'!$A$6:$B$38,2,FALSE)</f>
        <v>-0.34257283900844787</v>
      </c>
      <c r="J685">
        <f>($B$1+Table4[[#This Row],[Home Differential]])-Table4[[#This Row],[Away Differential]]</f>
        <v>1.9603629521880919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0.91515006334397886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-0.67114180037169746</v>
      </c>
      <c r="H686" t="s">
        <v>38</v>
      </c>
      <c r="I686">
        <f>VLOOKUP(Table4[[#This Row],[Visitor]],'NHL Model'!$A$6:$B$38,2,FALSE)</f>
        <v>-1.1267952052768424</v>
      </c>
      <c r="J686">
        <f>($B$1+Table4[[#This Row],[Home Differential]])-Table4[[#This Row],[Away Differential]]</f>
        <v>0.61507306642997206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0.63964743481433883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-0.75480422558713034</v>
      </c>
      <c r="H687" t="s">
        <v>11</v>
      </c>
      <c r="I687">
        <f>VLOOKUP(Table4[[#This Row],[Visitor]],'NHL Model'!$A$6:$B$38,2,FALSE)</f>
        <v>-0.21100886368613675</v>
      </c>
      <c r="J687">
        <f>($B$1+Table4[[#This Row],[Home Differential]])-Table4[[#This Row],[Away Differential]]</f>
        <v>-0.38437570037616647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0.51494563274418625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-1.6840122346544992</v>
      </c>
      <c r="H688" t="s">
        <v>30</v>
      </c>
      <c r="I688">
        <f>VLOOKUP(Table4[[#This Row],[Visitor]],'NHL Model'!$A$6:$B$38,2,FALSE)</f>
        <v>3.2883390994754517E-3</v>
      </c>
      <c r="J688">
        <f>($B$1+Table4[[#This Row],[Home Differential]])-Table4[[#This Row],[Away Differential]]</f>
        <v>-1.5278809122291475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0.75103027288168356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-0.50599078340071213</v>
      </c>
      <c r="H689" t="s">
        <v>23</v>
      </c>
      <c r="I689">
        <f>VLOOKUP(Table4[[#This Row],[Visitor]],'NHL Model'!$A$6:$B$38,2,FALSE)</f>
        <v>-0.49794713300108584</v>
      </c>
      <c r="J689">
        <f>($B$1+Table4[[#This Row],[Home Differential]])-Table4[[#This Row],[Away Differential]]</f>
        <v>0.15137601112520083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0.5616388567368471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-0.54160534998918008</v>
      </c>
      <c r="H690" t="s">
        <v>19</v>
      </c>
      <c r="I690">
        <f>VLOOKUP(Table4[[#This Row],[Visitor]],'NHL Model'!$A$6:$B$38,2,FALSE)</f>
        <v>-0.95664361852990654</v>
      </c>
      <c r="J690">
        <f>($B$1+Table4[[#This Row],[Home Differential]])-Table4[[#This Row],[Away Differential]]</f>
        <v>0.57445793006555357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0.6543635212600275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-0.2200802314358897</v>
      </c>
      <c r="H691" t="s">
        <v>24</v>
      </c>
      <c r="I691">
        <f>VLOOKUP(Table4[[#This Row],[Visitor]],'NHL Model'!$A$6:$B$38,2,FALSE)</f>
        <v>2.0731927685773251E-2</v>
      </c>
      <c r="J691">
        <f>($B$1+Table4[[#This Row],[Home Differential]])-Table4[[#This Row],[Away Differential]]</f>
        <v>-8.1392497596835811E-2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0.4724643656268756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-0.46055888840939002</v>
      </c>
      <c r="H692" t="s">
        <v>34</v>
      </c>
      <c r="I692">
        <f>VLOOKUP(Table4[[#This Row],[Visitor]],'NHL Model'!$A$6:$B$38,2,FALSE)</f>
        <v>-0.17681265190927384</v>
      </c>
      <c r="J692">
        <f>($B$1+Table4[[#This Row],[Home Differential]])-Table4[[#This Row],[Away Differential]]</f>
        <v>-0.12432657497528901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0.47231765586372065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-3.2309887002194844E-2</v>
      </c>
      <c r="H693" t="s">
        <v>28</v>
      </c>
      <c r="I693">
        <f>VLOOKUP(Table4[[#This Row],[Visitor]],'NHL Model'!$A$6:$B$38,2,FALSE)</f>
        <v>-0.72083617366747277</v>
      </c>
      <c r="J693">
        <f>($B$1+Table4[[#This Row],[Home Differential]])-Table4[[#This Row],[Away Differential]]</f>
        <v>0.84794594819010505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0.66121194604804212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-7.3890719153774626E-2</v>
      </c>
      <c r="H694" t="s">
        <v>17</v>
      </c>
      <c r="I694">
        <f>VLOOKUP(Table4[[#This Row],[Visitor]],'NHL Model'!$A$6:$B$38,2,FALSE)</f>
        <v>-0.8561868317598319</v>
      </c>
      <c r="J694">
        <f>($B$1+Table4[[#This Row],[Home Differential]])-Table4[[#This Row],[Away Differential]]</f>
        <v>0.94171577413088436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0.67711160874677601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-0.13160108676160023</v>
      </c>
      <c r="H695" t="s">
        <v>22</v>
      </c>
      <c r="I695">
        <f>VLOOKUP(Table4[[#This Row],[Visitor]],'NHL Model'!$A$6:$B$38,2,FALSE)</f>
        <v>0.21430145909042725</v>
      </c>
      <c r="J695">
        <f>($B$1+Table4[[#This Row],[Home Differential]])-Table4[[#This Row],[Away Differential]]</f>
        <v>-0.18648288432720034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0.50742653523798698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-0.1349739904770427</v>
      </c>
      <c r="H696" t="s">
        <v>35</v>
      </c>
      <c r="I696">
        <f>VLOOKUP(Table4[[#This Row],[Visitor]],'NHL Model'!$A$6:$B$38,2,FALSE)</f>
        <v>-1.5594075795597986</v>
      </c>
      <c r="J696">
        <f>($B$1+Table4[[#This Row],[Home Differential]])-Table4[[#This Row],[Away Differential]]</f>
        <v>1.5838532506075831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0.82985649819090668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-7.3890719153774626E-2</v>
      </c>
      <c r="H697" t="s">
        <v>13</v>
      </c>
      <c r="I697">
        <f>VLOOKUP(Table4[[#This Row],[Visitor]],'NHL Model'!$A$6:$B$38,2,FALSE)</f>
        <v>-0.31985119938240425</v>
      </c>
      <c r="J697">
        <f>($B$1+Table4[[#This Row],[Home Differential]])-Table4[[#This Row],[Away Differential]]</f>
        <v>0.40538014175345677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0.51696456334195173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-0.12487089668223171</v>
      </c>
      <c r="H698" t="s">
        <v>15</v>
      </c>
      <c r="I698">
        <f>VLOOKUP(Table4[[#This Row],[Visitor]],'NHL Model'!$A$6:$B$38,2,FALSE)</f>
        <v>-0.50599078340071213</v>
      </c>
      <c r="J698">
        <f>($B$1+Table4[[#This Row],[Home Differential]])-Table4[[#This Row],[Away Differential]]</f>
        <v>0.54053954824330752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0.5863598089522144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-0.49794713300108584</v>
      </c>
      <c r="H699" t="s">
        <v>31</v>
      </c>
      <c r="I699">
        <f>VLOOKUP(Table4[[#This Row],[Visitor]],'NHL Model'!$A$6:$B$38,2,FALSE)</f>
        <v>0.35254565315374792</v>
      </c>
      <c r="J699">
        <f>($B$1+Table4[[#This Row],[Home Differential]])-Table4[[#This Row],[Away Differential]]</f>
        <v>-0.69107312463000659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0.56545399913366989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0.42254821659882374</v>
      </c>
      <c r="H700" t="s">
        <v>32</v>
      </c>
      <c r="I700">
        <f>VLOOKUP(Table4[[#This Row],[Visitor]],'NHL Model'!$A$6:$B$38,2,FALSE)</f>
        <v>-0.46055888840939002</v>
      </c>
      <c r="J700">
        <f>($B$1+Table4[[#This Row],[Home Differential]])-Table4[[#This Row],[Away Differential]]</f>
        <v>1.0425267665330409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0.74074280811039772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1.4583704516548168</v>
      </c>
      <c r="H701" t="s">
        <v>28</v>
      </c>
      <c r="I701">
        <f>VLOOKUP(Table4[[#This Row],[Visitor]],'NHL Model'!$A$6:$B$38,2,FALSE)</f>
        <v>-0.72083617366747277</v>
      </c>
      <c r="J701">
        <f>($B$1+Table4[[#This Row],[Home Differential]])-Table4[[#This Row],[Away Differential]]</f>
        <v>2.3386262868471168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0.96922194730133093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-0.8561868317598319</v>
      </c>
      <c r="H702" t="s">
        <v>13</v>
      </c>
      <c r="I702">
        <f>VLOOKUP(Table4[[#This Row],[Visitor]],'NHL Model'!$A$6:$B$38,2,FALSE)</f>
        <v>-0.31985119938240425</v>
      </c>
      <c r="J702">
        <f>($B$1+Table4[[#This Row],[Home Differential]])-Table4[[#This Row],[Away Differential]]</f>
        <v>-0.37691597085260053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0.56092153488469332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-0.17681265190927384</v>
      </c>
      <c r="H703" t="s">
        <v>30</v>
      </c>
      <c r="I703">
        <f>VLOOKUP(Table4[[#This Row],[Visitor]],'NHL Model'!$A$6:$B$38,2,FALSE)</f>
        <v>3.2883390994754517E-3</v>
      </c>
      <c r="J703">
        <f>($B$1+Table4[[#This Row],[Home Differential]])-Table4[[#This Row],[Away Differential]]</f>
        <v>-2.0681329483922144E-2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0.5355795181522236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-0.75480422558713034</v>
      </c>
      <c r="H704" t="s">
        <v>26</v>
      </c>
      <c r="I704">
        <f>VLOOKUP(Table4[[#This Row],[Visitor]],'NHL Model'!$A$6:$B$38,2,FALSE)</f>
        <v>-0.67114180037169746</v>
      </c>
      <c r="J704">
        <f>($B$1+Table4[[#This Row],[Home Differential]])-Table4[[#This Row],[Away Differential]]</f>
        <v>7.5757236309394238E-2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0.53006009397709652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-1.6840122346544992</v>
      </c>
      <c r="H705" t="s">
        <v>10</v>
      </c>
      <c r="I705">
        <f>VLOOKUP(Table4[[#This Row],[Visitor]],'NHL Model'!$A$6:$B$38,2,FALSE)</f>
        <v>-0.13160108676160023</v>
      </c>
      <c r="J705">
        <f>($B$1+Table4[[#This Row],[Home Differential]])-Table4[[#This Row],[Away Differential]]</f>
        <v>-1.3929914863680719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0.65912496692911149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-0.34257283900844787</v>
      </c>
      <c r="H706" t="s">
        <v>11</v>
      </c>
      <c r="I706">
        <f>VLOOKUP(Table4[[#This Row],[Visitor]],'NHL Model'!$A$6:$B$38,2,FALSE)</f>
        <v>-0.21100886368613675</v>
      </c>
      <c r="J706">
        <f>($B$1+Table4[[#This Row],[Home Differential]])-Table4[[#This Row],[Away Differential]]</f>
        <v>2.7855686202516022E-2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0.54647738623546305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-0.54160534998918008</v>
      </c>
      <c r="H707" t="s">
        <v>37</v>
      </c>
      <c r="I707">
        <f>VLOOKUP(Table4[[#This Row],[Visitor]],'NHL Model'!$A$6:$B$38,2,FALSE)</f>
        <v>0.1846559193064522</v>
      </c>
      <c r="J707">
        <f>($B$1+Table4[[#This Row],[Home Differential]])-Table4[[#This Row],[Away Differential]]</f>
        <v>-0.56684160777080517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0.57469960556632926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-0.2200802314358897</v>
      </c>
      <c r="H708" t="s">
        <v>16</v>
      </c>
      <c r="I708">
        <f>VLOOKUP(Table4[[#This Row],[Visitor]],'NHL Model'!$A$6:$B$38,2,FALSE)</f>
        <v>-1.1167763879247272</v>
      </c>
      <c r="J708">
        <f>($B$1+Table4[[#This Row],[Home Differential]])-Table4[[#This Row],[Away Differential]]</f>
        <v>1.0561158180136647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0.69096935580244812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-0.3479098095875402</v>
      </c>
      <c r="H709" t="s">
        <v>39</v>
      </c>
      <c r="I709">
        <f>VLOOKUP(Table4[[#This Row],[Visitor]],'NHL Model'!$A$6:$B$38,2,FALSE)</f>
        <v>1.9153995907683643E-3</v>
      </c>
      <c r="J709">
        <f>($B$1+Table4[[#This Row],[Home Differential]])-Table4[[#This Row],[Away Differential]]</f>
        <v>-0.19040554765348142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0.56817630920920037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-0.95664361852990654</v>
      </c>
      <c r="H710" t="s">
        <v>38</v>
      </c>
      <c r="I710">
        <f>VLOOKUP(Table4[[#This Row],[Visitor]],'NHL Model'!$A$6:$B$38,2,FALSE)</f>
        <v>-1.1267952052768424</v>
      </c>
      <c r="J710">
        <f>($B$1+Table4[[#This Row],[Home Differential]])-Table4[[#This Row],[Away Differential]]</f>
        <v>0.32957124827176298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0.56634223010839901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-3.2309887002194844E-2</v>
      </c>
      <c r="H711" t="s">
        <v>35</v>
      </c>
      <c r="I711">
        <f>VLOOKUP(Table4[[#This Row],[Visitor]],'NHL Model'!$A$6:$B$38,2,FALSE)</f>
        <v>-1.5594075795597986</v>
      </c>
      <c r="J711">
        <f>($B$1+Table4[[#This Row],[Home Differential]])-Table4[[#This Row],[Away Differential]]</f>
        <v>1.686517354082431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0.78108382258145426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-0.12487089668223171</v>
      </c>
      <c r="H712" t="s">
        <v>14</v>
      </c>
      <c r="I712">
        <f>VLOOKUP(Table4[[#This Row],[Visitor]],'NHL Model'!$A$6:$B$38,2,FALSE)</f>
        <v>-0.2200802314358897</v>
      </c>
      <c r="J712">
        <f>($B$1+Table4[[#This Row],[Home Differential]])-Table4[[#This Row],[Away Differential]]</f>
        <v>0.25462899627848512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0.62811461261832302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-1.6840122346544992</v>
      </c>
      <c r="H713" t="s">
        <v>22</v>
      </c>
      <c r="I713">
        <f>VLOOKUP(Table4[[#This Row],[Visitor]],'NHL Model'!$A$6:$B$38,2,FALSE)</f>
        <v>0.21430145909042725</v>
      </c>
      <c r="J713">
        <f>($B$1+Table4[[#This Row],[Home Differential]])-Table4[[#This Row],[Away Differential]]</f>
        <v>-1.7388940322200994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0.72934018044663929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-0.3479098095875402</v>
      </c>
      <c r="H714" t="s">
        <v>20</v>
      </c>
      <c r="I714">
        <f>VLOOKUP(Table4[[#This Row],[Visitor]],'NHL Model'!$A$6:$B$38,2,FALSE)</f>
        <v>-3.2309887002194844E-2</v>
      </c>
      <c r="J714">
        <f>($B$1+Table4[[#This Row],[Home Differential]])-Table4[[#This Row],[Away Differential]]</f>
        <v>-0.15618026106051822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0.48232561334580781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-0.1349739904770427</v>
      </c>
      <c r="H715" t="s">
        <v>28</v>
      </c>
      <c r="I715">
        <f>VLOOKUP(Table4[[#This Row],[Visitor]],'NHL Model'!$A$6:$B$38,2,FALSE)</f>
        <v>-0.72083617366747277</v>
      </c>
      <c r="J715">
        <f>($B$1+Table4[[#This Row],[Home Differential]])-Table4[[#This Row],[Away Differential]]</f>
        <v>0.74528184471525716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0.70998462165749454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-7.3890719153774626E-2</v>
      </c>
      <c r="H716" t="s">
        <v>24</v>
      </c>
      <c r="I716">
        <f>VLOOKUP(Table4[[#This Row],[Visitor]],'NHL Model'!$A$6:$B$38,2,FALSE)</f>
        <v>2.0731927685773251E-2</v>
      </c>
      <c r="J716">
        <f>($B$1+Table4[[#This Row],[Home Differential]])-Table4[[#This Row],[Away Differential]]</f>
        <v>6.4797014685279264E-2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0.55092925264266024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-0.49794713300108584</v>
      </c>
      <c r="H717" t="s">
        <v>11</v>
      </c>
      <c r="I717">
        <f>VLOOKUP(Table4[[#This Row],[Visitor]],'NHL Model'!$A$6:$B$38,2,FALSE)</f>
        <v>-0.21100886368613675</v>
      </c>
      <c r="J717">
        <f>($B$1+Table4[[#This Row],[Home Differential]])-Table4[[#This Row],[Away Differential]]</f>
        <v>-0.12751860779012197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0.46421187465555075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-0.13160108676160023</v>
      </c>
      <c r="H718" t="s">
        <v>17</v>
      </c>
      <c r="I718">
        <f>VLOOKUP(Table4[[#This Row],[Visitor]],'NHL Model'!$A$6:$B$38,2,FALSE)</f>
        <v>-0.8561868317598319</v>
      </c>
      <c r="J718">
        <f>($B$1+Table4[[#This Row],[Home Differential]])-Table4[[#This Row],[Away Differential]]</f>
        <v>0.88400540652305881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0.66636656365934732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1.4583704516548168</v>
      </c>
      <c r="H719" t="s">
        <v>19</v>
      </c>
      <c r="I719">
        <f>VLOOKUP(Table4[[#This Row],[Visitor]],'NHL Model'!$A$6:$B$38,2,FALSE)</f>
        <v>-0.95664361852990654</v>
      </c>
      <c r="J719">
        <f>($B$1+Table4[[#This Row],[Home Differential]])-Table4[[#This Row],[Away Differential]]</f>
        <v>2.5744337317095507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-0.67114180037169746</v>
      </c>
      <c r="H720" t="s">
        <v>25</v>
      </c>
      <c r="I720">
        <f>VLOOKUP(Table4[[#This Row],[Visitor]],'NHL Model'!$A$6:$B$38,2,FALSE)</f>
        <v>0.42254821659882374</v>
      </c>
      <c r="J720">
        <f>($B$1+Table4[[#This Row],[Home Differential]])-Table4[[#This Row],[Away Differential]]</f>
        <v>-0.93427035544569415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0.63355182386363584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-0.31985119938240425</v>
      </c>
      <c r="H721" t="s">
        <v>39</v>
      </c>
      <c r="I721">
        <f>VLOOKUP(Table4[[#This Row],[Visitor]],'NHL Model'!$A$6:$B$38,2,FALSE)</f>
        <v>1.9153995907683643E-3</v>
      </c>
      <c r="J721">
        <f>($B$1+Table4[[#This Row],[Home Differential]])-Table4[[#This Row],[Away Differential]]</f>
        <v>-0.16234693744834547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0.56416539465311655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-0.17681265190927384</v>
      </c>
      <c r="H722" t="s">
        <v>24</v>
      </c>
      <c r="I722">
        <f>VLOOKUP(Table4[[#This Row],[Visitor]],'NHL Model'!$A$6:$B$38,2,FALSE)</f>
        <v>2.0731927685773251E-2</v>
      </c>
      <c r="J722">
        <f>($B$1+Table4[[#This Row],[Home Differential]])-Table4[[#This Row],[Away Differential]]</f>
        <v>-3.8124918070219949E-2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0.4662793634738448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-0.75480422558713034</v>
      </c>
      <c r="H723" t="s">
        <v>38</v>
      </c>
      <c r="I723">
        <f>VLOOKUP(Table4[[#This Row],[Visitor]],'NHL Model'!$A$6:$B$38,2,FALSE)</f>
        <v>-1.1267952052768424</v>
      </c>
      <c r="J723">
        <f>($B$1+Table4[[#This Row],[Home Differential]])-Table4[[#This Row],[Away Differential]]</f>
        <v>0.53141064121453918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0.5951947125808601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-0.50599078340071213</v>
      </c>
      <c r="H724" t="s">
        <v>32</v>
      </c>
      <c r="I724">
        <f>VLOOKUP(Table4[[#This Row],[Visitor]],'NHL Model'!$A$6:$B$38,2,FALSE)</f>
        <v>-0.46055888840939002</v>
      </c>
      <c r="J724">
        <f>($B$1+Table4[[#This Row],[Home Differential]])-Table4[[#This Row],[Away Differential]]</f>
        <v>0.11398776653350501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0.55629429214997372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-0.54160534998918008</v>
      </c>
      <c r="H725" t="s">
        <v>37</v>
      </c>
      <c r="I725">
        <f>VLOOKUP(Table4[[#This Row],[Visitor]],'NHL Model'!$A$6:$B$38,2,FALSE)</f>
        <v>0.1846559193064522</v>
      </c>
      <c r="J725">
        <f>($B$1+Table4[[#This Row],[Home Differential]])-Table4[[#This Row],[Away Differential]]</f>
        <v>-0.56684160777080517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0.57469960556632926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0.35254565315374792</v>
      </c>
      <c r="H726" t="s">
        <v>39</v>
      </c>
      <c r="I726">
        <f>VLOOKUP(Table4[[#This Row],[Visitor]],'NHL Model'!$A$6:$B$38,2,FALSE)</f>
        <v>1.9153995907683643E-3</v>
      </c>
      <c r="J726">
        <f>($B$1+Table4[[#This Row],[Home Differential]])-Table4[[#This Row],[Away Differential]]</f>
        <v>0.51004991508780673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0.62987250141624951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-0.12487089668223171</v>
      </c>
      <c r="H727" t="s">
        <v>26</v>
      </c>
      <c r="I727">
        <f>VLOOKUP(Table4[[#This Row],[Visitor]],'NHL Model'!$A$6:$B$38,2,FALSE)</f>
        <v>-0.67114180037169746</v>
      </c>
      <c r="J727">
        <f>($B$1+Table4[[#This Row],[Home Differential]])-Table4[[#This Row],[Away Differential]]</f>
        <v>0.70569056521429285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0.67230543380399022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-0.72083617366747277</v>
      </c>
      <c r="H728" t="s">
        <v>16</v>
      </c>
      <c r="I728">
        <f>VLOOKUP(Table4[[#This Row],[Visitor]],'NHL Model'!$A$6:$B$38,2,FALSE)</f>
        <v>-1.1167763879247272</v>
      </c>
      <c r="J728">
        <f>($B$1+Table4[[#This Row],[Home Differential]])-Table4[[#This Row],[Away Differential]]</f>
        <v>0.55535987578208157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0.62643338385869152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-1.6840122346544992</v>
      </c>
      <c r="H729" t="s">
        <v>17</v>
      </c>
      <c r="I729">
        <f>VLOOKUP(Table4[[#This Row],[Visitor]],'NHL Model'!$A$6:$B$38,2,FALSE)</f>
        <v>-0.8561868317598319</v>
      </c>
      <c r="J729">
        <f>($B$1+Table4[[#This Row],[Home Differential]])-Table4[[#This Row],[Away Differential]]</f>
        <v>-0.66840574136984021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0.55554708154930488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-0.34257283900844787</v>
      </c>
      <c r="H730" t="s">
        <v>38</v>
      </c>
      <c r="I730">
        <f>VLOOKUP(Table4[[#This Row],[Visitor]],'NHL Model'!$A$6:$B$38,2,FALSE)</f>
        <v>-1.1267952052768424</v>
      </c>
      <c r="J730">
        <f>($B$1+Table4[[#This Row],[Home Differential]])-Table4[[#This Row],[Away Differential]]</f>
        <v>0.9436420277932217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0.65663061356018282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-0.2200802314358897</v>
      </c>
      <c r="H731" t="s">
        <v>37</v>
      </c>
      <c r="I731">
        <f>VLOOKUP(Table4[[#This Row],[Visitor]],'NHL Model'!$A$6:$B$38,2,FALSE)</f>
        <v>0.1846559193064522</v>
      </c>
      <c r="J731">
        <f>($B$1+Table4[[#This Row],[Home Differential]])-Table4[[#This Row],[Away Differential]]</f>
        <v>-0.24531648921751475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0.56138322404212204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-1.5594075795597986</v>
      </c>
      <c r="H732" t="s">
        <v>25</v>
      </c>
      <c r="I732">
        <f>VLOOKUP(Table4[[#This Row],[Visitor]],'NHL Model'!$A$6:$B$38,2,FALSE)</f>
        <v>0.42254821659882374</v>
      </c>
      <c r="J732">
        <f>($B$1+Table4[[#This Row],[Home Differential]])-Table4[[#This Row],[Away Differential]]</f>
        <v>-1.8225361346337952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0.79315056722016042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-0.1349739904770427</v>
      </c>
      <c r="H733" t="s">
        <v>19</v>
      </c>
      <c r="I733">
        <f>VLOOKUP(Table4[[#This Row],[Visitor]],'NHL Model'!$A$6:$B$38,2,FALSE)</f>
        <v>-0.95664361852990654</v>
      </c>
      <c r="J733">
        <f>($B$1+Table4[[#This Row],[Home Differential]])-Table4[[#This Row],[Away Differential]]</f>
        <v>0.98108928957769104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0.74369275994791284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-7.3890719153774626E-2</v>
      </c>
      <c r="H734" t="s">
        <v>30</v>
      </c>
      <c r="I734">
        <f>VLOOKUP(Table4[[#This Row],[Visitor]],'NHL Model'!$A$6:$B$38,2,FALSE)</f>
        <v>3.2883390994754517E-3</v>
      </c>
      <c r="J734">
        <f>($B$1+Table4[[#This Row],[Home Differential]])-Table4[[#This Row],[Away Differential]]</f>
        <v>8.2240603271577062E-2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0.48163562539020266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0.21430145909042725</v>
      </c>
      <c r="H735" t="s">
        <v>18</v>
      </c>
      <c r="I735">
        <f>VLOOKUP(Table4[[#This Row],[Visitor]],'NHL Model'!$A$6:$B$38,2,FALSE)</f>
        <v>-0.75480422558713034</v>
      </c>
      <c r="J735">
        <f>($B$1+Table4[[#This Row],[Home Differential]])-Table4[[#This Row],[Away Differential]]</f>
        <v>1.1285253462023848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0.65422074180100065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-0.49794713300108584</v>
      </c>
      <c r="H736" t="s">
        <v>27</v>
      </c>
      <c r="I736">
        <f>VLOOKUP(Table4[[#This Row],[Visitor]],'NHL Model'!$A$6:$B$38,2,FALSE)</f>
        <v>-0.54160534998918008</v>
      </c>
      <c r="J736">
        <f>($B$1+Table4[[#This Row],[Home Differential]])-Table4[[#This Row],[Away Differential]]</f>
        <v>0.20307787851292136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0.58304614166844837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-0.31985119938240425</v>
      </c>
      <c r="H737" t="s">
        <v>20</v>
      </c>
      <c r="I737">
        <f>VLOOKUP(Table4[[#This Row],[Visitor]],'NHL Model'!$A$6:$B$38,2,FALSE)</f>
        <v>-3.2309887002194844E-2</v>
      </c>
      <c r="J737">
        <f>($B$1+Table4[[#This Row],[Home Differential]])-Table4[[#This Row],[Away Differential]]</f>
        <v>-0.12812165085538227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0.47831469878972399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2.0731927685773251E-2</v>
      </c>
      <c r="H738" t="s">
        <v>32</v>
      </c>
      <c r="I738">
        <f>VLOOKUP(Table4[[#This Row],[Visitor]],'NHL Model'!$A$6:$B$38,2,FALSE)</f>
        <v>-0.46055888840939002</v>
      </c>
      <c r="J738">
        <f>($B$1+Table4[[#This Row],[Home Differential]])-Table4[[#This Row],[Away Differential]]</f>
        <v>0.64071047761999045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0.75056668973922203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-0.50599078340071213</v>
      </c>
      <c r="H739" t="s">
        <v>36</v>
      </c>
      <c r="I739">
        <f>VLOOKUP(Table4[[#This Row],[Visitor]],'NHL Model'!$A$6:$B$38,2,FALSE)</f>
        <v>-0.34257283900844787</v>
      </c>
      <c r="J739">
        <f>($B$1+Table4[[#This Row],[Home Differential]])-Table4[[#This Row],[Away Differential]]</f>
        <v>-3.9982828674371418E-3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0.4605715454484417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-0.12487089668223171</v>
      </c>
      <c r="H740" t="s">
        <v>32</v>
      </c>
      <c r="I740">
        <f>VLOOKUP(Table4[[#This Row],[Visitor]],'NHL Model'!$A$6:$B$38,2,FALSE)</f>
        <v>-0.46055888840939002</v>
      </c>
      <c r="J740">
        <f>($B$1+Table4[[#This Row],[Home Differential]])-Table4[[#This Row],[Away Differential]]</f>
        <v>0.49510765325198547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0.66249049006309912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-0.49794713300108584</v>
      </c>
      <c r="H741" t="s">
        <v>18</v>
      </c>
      <c r="I741">
        <f>VLOOKUP(Table4[[#This Row],[Visitor]],'NHL Model'!$A$6:$B$38,2,FALSE)</f>
        <v>-0.75480422558713034</v>
      </c>
      <c r="J741">
        <f>($B$1+Table4[[#This Row],[Home Differential]])-Table4[[#This Row],[Away Differential]]</f>
        <v>0.41627675411087162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0.56654806939068814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-0.72083617366747277</v>
      </c>
      <c r="H742" t="s">
        <v>38</v>
      </c>
      <c r="I742">
        <f>VLOOKUP(Table4[[#This Row],[Visitor]],'NHL Model'!$A$6:$B$38,2,FALSE)</f>
        <v>-1.1267952052768424</v>
      </c>
      <c r="J742">
        <f>($B$1+Table4[[#This Row],[Home Differential]])-Table4[[#This Row],[Away Differential]]</f>
        <v>0.56537869313419675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0.60713538864173233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-0.13160108676160023</v>
      </c>
      <c r="H743" t="s">
        <v>16</v>
      </c>
      <c r="I743">
        <f>VLOOKUP(Table4[[#This Row],[Visitor]],'NHL Model'!$A$6:$B$38,2,FALSE)</f>
        <v>-1.1167763879247272</v>
      </c>
      <c r="J743">
        <f>($B$1+Table4[[#This Row],[Home Differential]])-Table4[[#This Row],[Away Differential]]</f>
        <v>1.1445949626879541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0.70361724843467099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-0.8561868317598319</v>
      </c>
      <c r="H744" t="s">
        <v>30</v>
      </c>
      <c r="I744">
        <f>VLOOKUP(Table4[[#This Row],[Visitor]],'NHL Model'!$A$6:$B$38,2,FALSE)</f>
        <v>3.2883390994754517E-3</v>
      </c>
      <c r="J744">
        <f>($B$1+Table4[[#This Row],[Home Differential]])-Table4[[#This Row],[Away Differential]]</f>
        <v>-0.70005550933448024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0.59619537495273367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-0.17681265190927384</v>
      </c>
      <c r="H745" t="s">
        <v>40</v>
      </c>
      <c r="I745">
        <f>VLOOKUP(Table4[[#This Row],[Visitor]],'NHL Model'!$A$6:$B$38,2,FALSE)</f>
        <v>-7.3890719153774626E-2</v>
      </c>
      <c r="J745">
        <f>($B$1+Table4[[#This Row],[Home Differential]])-Table4[[#This Row],[Away Differential]]</f>
        <v>5.6497728769327932E-2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0.48176043244357569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-0.2200802314358897</v>
      </c>
      <c r="H746" t="s">
        <v>27</v>
      </c>
      <c r="I746">
        <f>VLOOKUP(Table4[[#This Row],[Visitor]],'NHL Model'!$A$6:$B$38,2,FALSE)</f>
        <v>-0.54160534998918008</v>
      </c>
      <c r="J746">
        <f>($B$1+Table4[[#This Row],[Home Differential]])-Table4[[#This Row],[Away Differential]]</f>
        <v>0.48094478007811753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0.60874996320148289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-0.1349739904770427</v>
      </c>
      <c r="H747" t="s">
        <v>39</v>
      </c>
      <c r="I747">
        <f>VLOOKUP(Table4[[#This Row],[Visitor]],'NHL Model'!$A$6:$B$38,2,FALSE)</f>
        <v>1.9153995907683643E-3</v>
      </c>
      <c r="J747">
        <f>($B$1+Table4[[#This Row],[Home Differential]])-Table4[[#This Row],[Away Differential]]</f>
        <v>2.2530271457016082E-2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0.52703017490659498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-3.2309887002194844E-2</v>
      </c>
      <c r="H748" t="s">
        <v>19</v>
      </c>
      <c r="I748">
        <f>VLOOKUP(Table4[[#This Row],[Visitor]],'NHL Model'!$A$6:$B$38,2,FALSE)</f>
        <v>-0.95664361852990654</v>
      </c>
      <c r="J748">
        <f>($B$1+Table4[[#This Row],[Home Differential]])-Table4[[#This Row],[Away Differential]]</f>
        <v>1.0837533930525389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0.69492008433846042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0.21430145909042725</v>
      </c>
      <c r="H749" t="s">
        <v>33</v>
      </c>
      <c r="I749">
        <f>VLOOKUP(Table4[[#This Row],[Visitor]],'NHL Model'!$A$6:$B$38,2,FALSE)</f>
        <v>-0.3479098095875402</v>
      </c>
      <c r="J749">
        <f>($B$1+Table4[[#This Row],[Home Differential]])-Table4[[#This Row],[Away Differential]]</f>
        <v>0.72163093020279456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0.64315550132062094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0.42254821659882374</v>
      </c>
      <c r="H750" t="s">
        <v>11</v>
      </c>
      <c r="I750">
        <f>VLOOKUP(Table4[[#This Row],[Visitor]],'NHL Model'!$A$6:$B$38,2,FALSE)</f>
        <v>-0.21100886368613675</v>
      </c>
      <c r="J750">
        <f>($B$1+Table4[[#This Row],[Home Differential]])-Table4[[#This Row],[Away Differential]]</f>
        <v>0.79297674180978772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0.70507019926356473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1.4583704516548168</v>
      </c>
      <c r="H751" t="s">
        <v>29</v>
      </c>
      <c r="I751">
        <f>VLOOKUP(Table4[[#This Row],[Visitor]],'NHL Model'!$A$6:$B$38,2,FALSE)</f>
        <v>-1.6840122346544992</v>
      </c>
      <c r="J751">
        <f>($B$1+Table4[[#This Row],[Home Differential]])-Table4[[#This Row],[Away Differential]]</f>
        <v>3.3018023478341432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-0.67114180037169746</v>
      </c>
      <c r="H752" t="s">
        <v>33</v>
      </c>
      <c r="I752">
        <f>VLOOKUP(Table4[[#This Row],[Visitor]],'NHL Model'!$A$6:$B$38,2,FALSE)</f>
        <v>-0.3479098095875402</v>
      </c>
      <c r="J752">
        <f>($B$1+Table4[[#This Row],[Home Differential]])-Table4[[#This Row],[Away Differential]]</f>
        <v>-0.16381232925933015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0.45117053434005816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-0.31985119938240425</v>
      </c>
      <c r="H753" t="s">
        <v>31</v>
      </c>
      <c r="I753">
        <f>VLOOKUP(Table4[[#This Row],[Visitor]],'NHL Model'!$A$6:$B$38,2,FALSE)</f>
        <v>0.35254565315374792</v>
      </c>
      <c r="J753">
        <f>($B$1+Table4[[#This Row],[Home Differential]])-Table4[[#This Row],[Away Differential]]</f>
        <v>-0.512977191011325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0.55409815430906073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-1.5594075795597986</v>
      </c>
      <c r="H754" t="s">
        <v>37</v>
      </c>
      <c r="I754">
        <f>VLOOKUP(Table4[[#This Row],[Visitor]],'NHL Model'!$A$6:$B$38,2,FALSE)</f>
        <v>0.1846559193064522</v>
      </c>
      <c r="J754">
        <f>($B$1+Table4[[#This Row],[Home Differential]])-Table4[[#This Row],[Away Differential]]</f>
        <v>-1.5846438373414236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0.75283702437924704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0.35254565315374792</v>
      </c>
      <c r="H755" t="s">
        <v>13</v>
      </c>
      <c r="I755">
        <f>VLOOKUP(Table4[[#This Row],[Visitor]],'NHL Model'!$A$6:$B$38,2,FALSE)</f>
        <v>-0.31985119938240425</v>
      </c>
      <c r="J755">
        <f>($B$1+Table4[[#This Row],[Home Differential]])-Table4[[#This Row],[Away Differential]]</f>
        <v>0.83181651406097934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0.67336172564346608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-0.49794713300108584</v>
      </c>
      <c r="H756" t="s">
        <v>34</v>
      </c>
      <c r="I756">
        <f>VLOOKUP(Table4[[#This Row],[Visitor]],'NHL Model'!$A$6:$B$38,2,FALSE)</f>
        <v>-0.17681265190927384</v>
      </c>
      <c r="J756">
        <f>($B$1+Table4[[#This Row],[Home Differential]])-Table4[[#This Row],[Away Differential]]</f>
        <v>-0.16171481956698489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0.48978343257180623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-1.1167763879247272</v>
      </c>
      <c r="H757" t="s">
        <v>30</v>
      </c>
      <c r="I757">
        <f>VLOOKUP(Table4[[#This Row],[Visitor]],'NHL Model'!$A$6:$B$38,2,FALSE)</f>
        <v>3.2883390994754517E-3</v>
      </c>
      <c r="J757">
        <f>($B$1+Table4[[#This Row],[Home Differential]])-Table4[[#This Row],[Away Differential]]</f>
        <v>-0.96064506549937556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0.66994519782816164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-0.13160108676160023</v>
      </c>
      <c r="H758" t="s">
        <v>21</v>
      </c>
      <c r="I758">
        <f>VLOOKUP(Table4[[#This Row],[Visitor]],'NHL Model'!$A$6:$B$38,2,FALSE)</f>
        <v>-0.12487089668223171</v>
      </c>
      <c r="J758">
        <f>($B$1+Table4[[#This Row],[Home Differential]])-Table4[[#This Row],[Away Differential]]</f>
        <v>0.15268947144545864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0.56182661290434244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2.0731927685773251E-2</v>
      </c>
      <c r="H759" t="s">
        <v>25</v>
      </c>
      <c r="I759">
        <f>VLOOKUP(Table4[[#This Row],[Visitor]],'NHL Model'!$A$6:$B$38,2,FALSE)</f>
        <v>0.42254821659882374</v>
      </c>
      <c r="J759">
        <f>($B$1+Table4[[#This Row],[Home Differential]])-Table4[[#This Row],[Away Differential]]</f>
        <v>-0.24239662738822335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0.44374095604722941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-0.34257283900844787</v>
      </c>
      <c r="H760" t="s">
        <v>18</v>
      </c>
      <c r="I760">
        <f>VLOOKUP(Table4[[#This Row],[Visitor]],'NHL Model'!$A$6:$B$38,2,FALSE)</f>
        <v>-0.75480422558713034</v>
      </c>
      <c r="J760">
        <f>($B$1+Table4[[#This Row],[Home Differential]])-Table4[[#This Row],[Away Differential]]</f>
        <v>0.57165104810350964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0.57712906209154746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-0.54160534998918008</v>
      </c>
      <c r="H761" t="s">
        <v>15</v>
      </c>
      <c r="I761">
        <f>VLOOKUP(Table4[[#This Row],[Visitor]],'NHL Model'!$A$6:$B$38,2,FALSE)</f>
        <v>-0.50599078340071213</v>
      </c>
      <c r="J761">
        <f>($B$1+Table4[[#This Row],[Home Differential]])-Table4[[#This Row],[Away Differential]]</f>
        <v>0.12380509493635916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0.50678062636425636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-0.2200802314358897</v>
      </c>
      <c r="H762" t="s">
        <v>28</v>
      </c>
      <c r="I762">
        <f>VLOOKUP(Table4[[#This Row],[Visitor]],'NHL Model'!$A$6:$B$38,2,FALSE)</f>
        <v>-0.72083617366747277</v>
      </c>
      <c r="J762">
        <f>($B$1+Table4[[#This Row],[Home Differential]])-Table4[[#This Row],[Away Differential]]</f>
        <v>0.66017560375641016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0.63437060208325369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-0.1349739904770427</v>
      </c>
      <c r="H763" t="s">
        <v>32</v>
      </c>
      <c r="I763">
        <f>VLOOKUP(Table4[[#This Row],[Visitor]],'NHL Model'!$A$6:$B$38,2,FALSE)</f>
        <v>-0.46055888840939002</v>
      </c>
      <c r="J763">
        <f>($B$1+Table4[[#This Row],[Home Differential]])-Table4[[#This Row],[Away Differential]]</f>
        <v>0.48500455945717447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0.67277857529855778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-1.1267952052768424</v>
      </c>
      <c r="H764" t="s">
        <v>17</v>
      </c>
      <c r="I764">
        <f>VLOOKUP(Table4[[#This Row],[Visitor]],'NHL Model'!$A$6:$B$38,2,FALSE)</f>
        <v>-0.8561868317598319</v>
      </c>
      <c r="J764">
        <f>($B$1+Table4[[#This Row],[Home Differential]])-Table4[[#This Row],[Away Differential]]</f>
        <v>-0.11118871199218339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0.47589417366509579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-3.2309887002194844E-2</v>
      </c>
      <c r="H765" t="s">
        <v>29</v>
      </c>
      <c r="I765">
        <f>VLOOKUP(Table4[[#This Row],[Visitor]],'NHL Model'!$A$6:$B$38,2,FALSE)</f>
        <v>-1.6840122346544992</v>
      </c>
      <c r="J765">
        <f>($B$1+Table4[[#This Row],[Home Differential]])-Table4[[#This Row],[Away Differential]]</f>
        <v>1.8111220091771316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0.79889577482075858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-7.3890719153774626E-2</v>
      </c>
      <c r="H766" t="s">
        <v>19</v>
      </c>
      <c r="I766">
        <f>VLOOKUP(Table4[[#This Row],[Visitor]],'NHL Model'!$A$6:$B$38,2,FALSE)</f>
        <v>-0.95664361852990654</v>
      </c>
      <c r="J766">
        <f>($B$1+Table4[[#This Row],[Home Differential]])-Table4[[#This Row],[Away Differential]]</f>
        <v>1.0421725609009591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0.69147167809332355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0.21430145909042725</v>
      </c>
      <c r="H767" t="s">
        <v>11</v>
      </c>
      <c r="I767">
        <f>VLOOKUP(Table4[[#This Row],[Visitor]],'NHL Model'!$A$6:$B$38,2,FALSE)</f>
        <v>-0.21100886368613675</v>
      </c>
      <c r="J767">
        <f>($B$1+Table4[[#This Row],[Home Differential]])-Table4[[#This Row],[Away Differential]]</f>
        <v>0.58472998430139111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0.62358582225800396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1.9153995907683643E-3</v>
      </c>
      <c r="H768" t="s">
        <v>37</v>
      </c>
      <c r="I768">
        <f>VLOOKUP(Table4[[#This Row],[Visitor]],'NHL Model'!$A$6:$B$38,2,FALSE)</f>
        <v>0.1846559193064522</v>
      </c>
      <c r="J768">
        <f>($B$1+Table4[[#This Row],[Home Differential]])-Table4[[#This Row],[Away Differential]]</f>
        <v>-2.3320858190856691E-2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0.52714318748332012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-0.67114180037169746</v>
      </c>
      <c r="H769" t="s">
        <v>36</v>
      </c>
      <c r="I769">
        <f>VLOOKUP(Table4[[#This Row],[Visitor]],'NHL Model'!$A$6:$B$38,2,FALSE)</f>
        <v>-0.34257283900844787</v>
      </c>
      <c r="J769">
        <f>($B$1+Table4[[#This Row],[Home Differential]])-Table4[[#This Row],[Away Differential]]</f>
        <v>-0.16914929983842247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0.45193344215425751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-0.8561868317598319</v>
      </c>
      <c r="H770" t="s">
        <v>35</v>
      </c>
      <c r="I770">
        <f>VLOOKUP(Table4[[#This Row],[Visitor]],'NHL Model'!$A$6:$B$38,2,FALSE)</f>
        <v>-1.5594075795597986</v>
      </c>
      <c r="J770">
        <f>($B$1+Table4[[#This Row],[Home Differential]])-Table4[[#This Row],[Away Differential]]</f>
        <v>0.8626404093247938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0.69934935222852923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0.35254565315374792</v>
      </c>
      <c r="H771" t="s">
        <v>15</v>
      </c>
      <c r="I771">
        <f>VLOOKUP(Table4[[#This Row],[Visitor]],'NHL Model'!$A$6:$B$38,2,FALSE)</f>
        <v>-0.50599078340071213</v>
      </c>
      <c r="J771">
        <f>($B$1+Table4[[#This Row],[Home Differential]])-Table4[[#This Row],[Away Differential]]</f>
        <v>1.0179560980792872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0.69996995611333301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0.42254821659882374</v>
      </c>
      <c r="H772" t="s">
        <v>23</v>
      </c>
      <c r="I772">
        <f>VLOOKUP(Table4[[#This Row],[Visitor]],'NHL Model'!$A$6:$B$38,2,FALSE)</f>
        <v>-0.49794713300108584</v>
      </c>
      <c r="J772">
        <f>($B$1+Table4[[#This Row],[Home Differential]])-Table4[[#This Row],[Away Differential]]</f>
        <v>1.0799150111247369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0.74608737269727121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-1.1167763879247272</v>
      </c>
      <c r="H773" t="s">
        <v>24</v>
      </c>
      <c r="I773">
        <f>VLOOKUP(Table4[[#This Row],[Visitor]],'NHL Model'!$A$6:$B$38,2,FALSE)</f>
        <v>2.0731927685773251E-2</v>
      </c>
      <c r="J773">
        <f>($B$1+Table4[[#This Row],[Home Differential]])-Table4[[#This Row],[Away Differential]]</f>
        <v>-0.97808865408567336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0.60064504314978284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-0.13160108676160023</v>
      </c>
      <c r="H774" t="s">
        <v>40</v>
      </c>
      <c r="I774">
        <f>VLOOKUP(Table4[[#This Row],[Visitor]],'NHL Model'!$A$6:$B$38,2,FALSE)</f>
        <v>-7.3890719153774626E-2</v>
      </c>
      <c r="J774">
        <f>($B$1+Table4[[#This Row],[Home Differential]])-Table4[[#This Row],[Away Differential]]</f>
        <v>0.10170929391700154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0.48822332292276782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1.4583704516548168</v>
      </c>
      <c r="H775" t="s">
        <v>22</v>
      </c>
      <c r="I775">
        <f>VLOOKUP(Table4[[#This Row],[Visitor]],'NHL Model'!$A$6:$B$38,2,FALSE)</f>
        <v>0.21430145909042725</v>
      </c>
      <c r="J775">
        <f>($B$1+Table4[[#This Row],[Home Differential]])-Table4[[#This Row],[Away Differential]]</f>
        <v>1.4034886540892166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0.81601012858107846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-0.21100886368613675</v>
      </c>
      <c r="H776" t="s">
        <v>33</v>
      </c>
      <c r="I776">
        <f>VLOOKUP(Table4[[#This Row],[Visitor]],'NHL Model'!$A$6:$B$38,2,FALSE)</f>
        <v>-0.3479098095875402</v>
      </c>
      <c r="J776">
        <f>($B$1+Table4[[#This Row],[Home Differential]])-Table4[[#This Row],[Away Differential]]</f>
        <v>0.29632060742623056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0.63407433367351873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-0.46055888840939002</v>
      </c>
      <c r="H777" t="s">
        <v>14</v>
      </c>
      <c r="I777">
        <f>VLOOKUP(Table4[[#This Row],[Visitor]],'NHL Model'!$A$6:$B$38,2,FALSE)</f>
        <v>-0.2200802314358897</v>
      </c>
      <c r="J777">
        <f>($B$1+Table4[[#This Row],[Home Differential]])-Table4[[#This Row],[Away Differential]]</f>
        <v>-8.1058995448673149E-2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0.44554946331617873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-0.95664361852990654</v>
      </c>
      <c r="H778" t="s">
        <v>34</v>
      </c>
      <c r="I778">
        <f>VLOOKUP(Table4[[#This Row],[Visitor]],'NHL Model'!$A$6:$B$38,2,FALSE)</f>
        <v>-0.17681265190927384</v>
      </c>
      <c r="J778">
        <f>($B$1+Table4[[#This Row],[Home Differential]])-Table4[[#This Row],[Away Differential]]</f>
        <v>-0.62041130509580555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0.56945561673685186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-1.1267952052768424</v>
      </c>
      <c r="H779" t="s">
        <v>30</v>
      </c>
      <c r="I779">
        <f>VLOOKUP(Table4[[#This Row],[Visitor]],'NHL Model'!$A$6:$B$38,2,FALSE)</f>
        <v>3.2883390994754517E-3</v>
      </c>
      <c r="J779">
        <f>($B$1+Table4[[#This Row],[Home Differential]])-Table4[[#This Row],[Away Differential]]</f>
        <v>-0.97066388285149074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0.67137736499747447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-3.2309887002194844E-2</v>
      </c>
      <c r="H780" t="s">
        <v>27</v>
      </c>
      <c r="I780">
        <f>VLOOKUP(Table4[[#This Row],[Visitor]],'NHL Model'!$A$6:$B$38,2,FALSE)</f>
        <v>-0.54160534998918008</v>
      </c>
      <c r="J780">
        <f>($B$1+Table4[[#This Row],[Home Differential]])-Table4[[#This Row],[Away Differential]]</f>
        <v>0.66871512451181236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0.63559130716627132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-0.72083617366747277</v>
      </c>
      <c r="H781" t="s">
        <v>36</v>
      </c>
      <c r="I781">
        <f>VLOOKUP(Table4[[#This Row],[Visitor]],'NHL Model'!$A$6:$B$38,2,FALSE)</f>
        <v>-0.34257283900844787</v>
      </c>
      <c r="J781">
        <f>($B$1+Table4[[#This Row],[Home Differential]])-Table4[[#This Row],[Away Differential]]</f>
        <v>-0.21884367313419778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0.48423725381785504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1.9153995907683643E-3</v>
      </c>
      <c r="H782" t="s">
        <v>21</v>
      </c>
      <c r="I782">
        <f>VLOOKUP(Table4[[#This Row],[Visitor]],'NHL Model'!$A$6:$B$38,2,FALSE)</f>
        <v>-0.12487089668223171</v>
      </c>
      <c r="J782">
        <f>($B$1+Table4[[#This Row],[Home Differential]])-Table4[[#This Row],[Away Differential]]</f>
        <v>0.2862059577978272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0.58340797037110093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-0.8561868317598319</v>
      </c>
      <c r="H783" t="s">
        <v>24</v>
      </c>
      <c r="I783">
        <f>VLOOKUP(Table4[[#This Row],[Visitor]],'NHL Model'!$A$6:$B$38,2,FALSE)</f>
        <v>2.0731927685773251E-2</v>
      </c>
      <c r="J783">
        <f>($B$1+Table4[[#This Row],[Home Differential]])-Table4[[#This Row],[Away Differential]]</f>
        <v>-0.71749909792077804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0.52734362634884857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-0.31985119938240425</v>
      </c>
      <c r="H784" t="s">
        <v>15</v>
      </c>
      <c r="I784">
        <f>VLOOKUP(Table4[[#This Row],[Visitor]],'NHL Model'!$A$6:$B$38,2,FALSE)</f>
        <v>-0.50599078340071213</v>
      </c>
      <c r="J784">
        <f>($B$1+Table4[[#This Row],[Home Differential]])-Table4[[#This Row],[Away Differential]]</f>
        <v>0.345559245543135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0.50591864787984253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-0.75480422558713034</v>
      </c>
      <c r="H785" t="s">
        <v>34</v>
      </c>
      <c r="I785">
        <f>VLOOKUP(Table4[[#This Row],[Visitor]],'NHL Model'!$A$6:$B$38,2,FALSE)</f>
        <v>-0.17681265190927384</v>
      </c>
      <c r="J785">
        <f>($B$1+Table4[[#This Row],[Home Differential]])-Table4[[#This Row],[Away Differential]]</f>
        <v>-0.41857191215302936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0.54060313426439088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-1.6840122346544992</v>
      </c>
      <c r="H786" t="s">
        <v>23</v>
      </c>
      <c r="I786">
        <f>VLOOKUP(Table4[[#This Row],[Visitor]],'NHL Model'!$A$6:$B$38,2,FALSE)</f>
        <v>-0.49794713300108584</v>
      </c>
      <c r="J786">
        <f>($B$1+Table4[[#This Row],[Home Differential]])-Table4[[#This Row],[Away Differential]]</f>
        <v>-1.0266454401285863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0.60675663226523902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0.1846559193064522</v>
      </c>
      <c r="H787" t="s">
        <v>33</v>
      </c>
      <c r="I787">
        <f>VLOOKUP(Table4[[#This Row],[Visitor]],'NHL Model'!$A$6:$B$38,2,FALSE)</f>
        <v>-0.3479098095875402</v>
      </c>
      <c r="J787">
        <f>($B$1+Table4[[#This Row],[Home Differential]])-Table4[[#This Row],[Away Differential]]</f>
        <v>0.69198539041881957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0.65802317009798372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-7.3890719153774626E-2</v>
      </c>
      <c r="H788" t="s">
        <v>35</v>
      </c>
      <c r="I788">
        <f>VLOOKUP(Table4[[#This Row],[Visitor]],'NHL Model'!$A$6:$B$38,2,FALSE)</f>
        <v>-1.5594075795597986</v>
      </c>
      <c r="J788">
        <f>($B$1+Table4[[#This Row],[Home Differential]])-Table4[[#This Row],[Away Differential]]</f>
        <v>1.6449365219308512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0.77763541633631739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-1.1167763879247272</v>
      </c>
      <c r="H789" t="s">
        <v>14</v>
      </c>
      <c r="I789">
        <f>VLOOKUP(Table4[[#This Row],[Visitor]],'NHL Model'!$A$6:$B$38,2,FALSE)</f>
        <v>-0.2200802314358897</v>
      </c>
      <c r="J789">
        <f>($B$1+Table4[[#This Row],[Home Differential]])-Table4[[#This Row],[Away Differential]]</f>
        <v>-0.73727649496401038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0.56539199924336647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1.4583704516548168</v>
      </c>
      <c r="H790" t="s">
        <v>31</v>
      </c>
      <c r="I790">
        <f>VLOOKUP(Table4[[#This Row],[Visitor]],'NHL Model'!$A$6:$B$38,2,FALSE)</f>
        <v>0.35254565315374792</v>
      </c>
      <c r="J790">
        <f>($B$1+Table4[[#This Row],[Home Differential]])-Table4[[#This Row],[Away Differential]]</f>
        <v>1.2652444600258961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0.79624843524670397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-0.46055888840939002</v>
      </c>
      <c r="H791" t="s">
        <v>30</v>
      </c>
      <c r="I791">
        <f>VLOOKUP(Table4[[#This Row],[Visitor]],'NHL Model'!$A$6:$B$38,2,FALSE)</f>
        <v>3.2883390994754517E-3</v>
      </c>
      <c r="J791">
        <f>($B$1+Table4[[#This Row],[Home Differential]])-Table4[[#This Row],[Away Differential]]</f>
        <v>-0.30442756598403831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0.54984634256622478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-0.95664361852990654</v>
      </c>
      <c r="H792" t="s">
        <v>26</v>
      </c>
      <c r="I792">
        <f>VLOOKUP(Table4[[#This Row],[Visitor]],'NHL Model'!$A$6:$B$38,2,FALSE)</f>
        <v>-0.67114180037169746</v>
      </c>
      <c r="J792">
        <f>($B$1+Table4[[#This Row],[Home Differential]])-Table4[[#This Row],[Away Differential]]</f>
        <v>-0.12608215663338196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0.49879238849536445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-0.1349739904770427</v>
      </c>
      <c r="H793" t="s">
        <v>27</v>
      </c>
      <c r="I793">
        <f>VLOOKUP(Table4[[#This Row],[Visitor]],'NHL Model'!$A$6:$B$38,2,FALSE)</f>
        <v>-0.54160534998918008</v>
      </c>
      <c r="J793">
        <f>($B$1+Table4[[#This Row],[Home Differential]])-Table4[[#This Row],[Away Differential]]</f>
        <v>0.56605102103696447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0.68436398277572374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-1.1267952052768424</v>
      </c>
      <c r="H794" t="s">
        <v>22</v>
      </c>
      <c r="I794">
        <f>VLOOKUP(Table4[[#This Row],[Visitor]],'NHL Model'!$A$6:$B$38,2,FALSE)</f>
        <v>0.21430145909042725</v>
      </c>
      <c r="J794">
        <f>($B$1+Table4[[#This Row],[Home Differential]])-Table4[[#This Row],[Away Differential]]</f>
        <v>-1.1816770028424426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0.64968727256243008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-0.12487089668223171</v>
      </c>
      <c r="H795" t="s">
        <v>20</v>
      </c>
      <c r="I795">
        <f>VLOOKUP(Table4[[#This Row],[Visitor]],'NHL Model'!$A$6:$B$38,2,FALSE)</f>
        <v>-3.2309887002194844E-2</v>
      </c>
      <c r="J795">
        <f>($B$1+Table4[[#This Row],[Home Differential]])-Table4[[#This Row],[Away Differential]]</f>
        <v>6.6858651844790284E-2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0.60127326865353448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0.42254821659882374</v>
      </c>
      <c r="H796" t="s">
        <v>10</v>
      </c>
      <c r="I796">
        <f>VLOOKUP(Table4[[#This Row],[Visitor]],'NHL Model'!$A$6:$B$38,2,FALSE)</f>
        <v>-0.13160108676160023</v>
      </c>
      <c r="J796">
        <f>($B$1+Table4[[#This Row],[Home Differential]])-Table4[[#This Row],[Away Differential]]</f>
        <v>0.71356896488525112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0.69371903803339874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-0.72083617366747277</v>
      </c>
      <c r="H797" t="s">
        <v>39</v>
      </c>
      <c r="I797">
        <f>VLOOKUP(Table4[[#This Row],[Visitor]],'NHL Model'!$A$6:$B$38,2,FALSE)</f>
        <v>1.9153995907683643E-3</v>
      </c>
      <c r="J797">
        <f>($B$1+Table4[[#This Row],[Home Differential]])-Table4[[#This Row],[Away Differential]]</f>
        <v>-0.56333191173341401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0.61442532150355922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-0.8561868317598319</v>
      </c>
      <c r="H798" t="s">
        <v>14</v>
      </c>
      <c r="I798">
        <f>VLOOKUP(Table4[[#This Row],[Visitor]],'NHL Model'!$A$6:$B$38,2,FALSE)</f>
        <v>-0.2200802314358897</v>
      </c>
      <c r="J798">
        <f>($B$1+Table4[[#This Row],[Home Differential]])-Table4[[#This Row],[Away Differential]]</f>
        <v>-0.47668693879911506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0.49210444810859583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-0.17681265190927384</v>
      </c>
      <c r="H799" t="s">
        <v>26</v>
      </c>
      <c r="I799">
        <f>VLOOKUP(Table4[[#This Row],[Visitor]],'NHL Model'!$A$6:$B$38,2,FALSE)</f>
        <v>-0.67114180037169746</v>
      </c>
      <c r="J799">
        <f>($B$1+Table4[[#This Row],[Home Differential]])-Table4[[#This Row],[Away Differential]]</f>
        <v>0.65374880998725082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0.61268267575179758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-0.75480422558713034</v>
      </c>
      <c r="H800" t="s">
        <v>23</v>
      </c>
      <c r="I800">
        <f>VLOOKUP(Table4[[#This Row],[Visitor]],'NHL Model'!$A$6:$B$38,2,FALSE)</f>
        <v>-0.49794713300108584</v>
      </c>
      <c r="J800">
        <f>($B$1+Table4[[#This Row],[Home Differential]])-Table4[[#This Row],[Away Differential]]</f>
        <v>-9.7437431061217383E-2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0.47392845931047983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-1.6840122346544992</v>
      </c>
      <c r="H801" t="s">
        <v>36</v>
      </c>
      <c r="I801">
        <f>VLOOKUP(Table4[[#This Row],[Visitor]],'NHL Model'!$A$6:$B$38,2,FALSE)</f>
        <v>-0.34257283900844787</v>
      </c>
      <c r="J801">
        <f>($B$1+Table4[[#This Row],[Home Differential]])-Table4[[#This Row],[Away Differential]]</f>
        <v>-1.1820197341212242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0.62896703445052771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-7.3890719153774626E-2</v>
      </c>
      <c r="H802" t="s">
        <v>11</v>
      </c>
      <c r="I802">
        <f>VLOOKUP(Table4[[#This Row],[Visitor]],'NHL Model'!$A$6:$B$38,2,FALSE)</f>
        <v>-0.21100886368613675</v>
      </c>
      <c r="J802">
        <f>($B$1+Table4[[#This Row],[Home Differential]])-Table4[[#This Row],[Away Differential]]</f>
        <v>0.29653780605718927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0.5848848845971355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-1.1167763879247272</v>
      </c>
      <c r="H803" t="s">
        <v>22</v>
      </c>
      <c r="I803">
        <f>VLOOKUP(Table4[[#This Row],[Visitor]],'NHL Model'!$A$6:$B$38,2,FALSE)</f>
        <v>0.21430145909042725</v>
      </c>
      <c r="J803">
        <f>($B$1+Table4[[#This Row],[Home Differential]])-Table4[[#This Row],[Away Differential]]</f>
        <v>-1.1716581854903274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0.64825510539311715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-0.13160108676160023</v>
      </c>
      <c r="H804" t="s">
        <v>37</v>
      </c>
      <c r="I804">
        <f>VLOOKUP(Table4[[#This Row],[Visitor]],'NHL Model'!$A$6:$B$38,2,FALSE)</f>
        <v>0.1846559193064522</v>
      </c>
      <c r="J804">
        <f>($B$1+Table4[[#This Row],[Home Differential]])-Table4[[#This Row],[Away Differential]]</f>
        <v>-0.15683734454322529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0.54873533140989916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1.4583704516548168</v>
      </c>
      <c r="H805" t="s">
        <v>27</v>
      </c>
      <c r="I805">
        <f>VLOOKUP(Table4[[#This Row],[Visitor]],'NHL Model'!$A$6:$B$38,2,FALSE)</f>
        <v>-0.54160534998918008</v>
      </c>
      <c r="J805">
        <f>($B$1+Table4[[#This Row],[Home Differential]])-Table4[[#This Row],[Away Differential]]</f>
        <v>2.1593954631688241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0.94360130841956025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1.9153995907683643E-3</v>
      </c>
      <c r="H806" t="s">
        <v>35</v>
      </c>
      <c r="I806">
        <f>VLOOKUP(Table4[[#This Row],[Visitor]],'NHL Model'!$A$6:$B$38,2,FALSE)</f>
        <v>-1.5594075795597986</v>
      </c>
      <c r="J806">
        <f>($B$1+Table4[[#This Row],[Home Differential]])-Table4[[#This Row],[Away Differential]]</f>
        <v>1.7207426406753941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0.78847172871564719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-0.46055888840939002</v>
      </c>
      <c r="H807" t="s">
        <v>31</v>
      </c>
      <c r="I807">
        <f>VLOOKUP(Table4[[#This Row],[Visitor]],'NHL Model'!$A$6:$B$38,2,FALSE)</f>
        <v>0.35254565315374792</v>
      </c>
      <c r="J807">
        <f>($B$1+Table4[[#This Row],[Home Differential]])-Table4[[#This Row],[Away Differential]]</f>
        <v>-0.65368488003831082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0.54798822242558431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-0.3479098095875402</v>
      </c>
      <c r="H808" t="s">
        <v>15</v>
      </c>
      <c r="I808">
        <f>VLOOKUP(Table4[[#This Row],[Visitor]],'NHL Model'!$A$6:$B$38,2,FALSE)</f>
        <v>-0.50599078340071213</v>
      </c>
      <c r="J808">
        <f>($B$1+Table4[[#This Row],[Home Differential]])-Table4[[#This Row],[Away Differential]]</f>
        <v>0.3175006353379991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0.50190773332375871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-0.95664361852990654</v>
      </c>
      <c r="H809" t="s">
        <v>20</v>
      </c>
      <c r="I809">
        <f>VLOOKUP(Table4[[#This Row],[Visitor]],'NHL Model'!$A$6:$B$38,2,FALSE)</f>
        <v>-3.2309887002194844E-2</v>
      </c>
      <c r="J809">
        <f>($B$1+Table4[[#This Row],[Home Differential]])-Table4[[#This Row],[Away Differential]]</f>
        <v>-0.76491407000288458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0.56934272777937889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-1.1267952052768424</v>
      </c>
      <c r="H810" t="s">
        <v>24</v>
      </c>
      <c r="I810">
        <f>VLOOKUP(Table4[[#This Row],[Visitor]],'NHL Model'!$A$6:$B$38,2,FALSE)</f>
        <v>2.0731927685773251E-2</v>
      </c>
      <c r="J810">
        <f>($B$1+Table4[[#This Row],[Home Differential]])-Table4[[#This Row],[Away Differential]]</f>
        <v>-0.98810747143778854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0.60207721031909578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-0.12487089668223171</v>
      </c>
      <c r="H811" t="s">
        <v>18</v>
      </c>
      <c r="I811">
        <f>VLOOKUP(Table4[[#This Row],[Visitor]],'NHL Model'!$A$6:$B$38,2,FALSE)</f>
        <v>-0.75480422558713034</v>
      </c>
      <c r="J811">
        <f>($B$1+Table4[[#This Row],[Home Differential]])-Table4[[#This Row],[Away Differential]]</f>
        <v>0.78935299042972573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0.65829076136317766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-0.72083617366747277</v>
      </c>
      <c r="H812" t="s">
        <v>37</v>
      </c>
      <c r="I812">
        <f>VLOOKUP(Table4[[#This Row],[Visitor]],'NHL Model'!$A$6:$B$38,2,FALSE)</f>
        <v>0.1846559193064522</v>
      </c>
      <c r="J812">
        <f>($B$1+Table4[[#This Row],[Home Differential]])-Table4[[#This Row],[Away Differential]]</f>
        <v>-0.74607243144909785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0.62588012760292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-0.8561868317598319</v>
      </c>
      <c r="H813" t="s">
        <v>22</v>
      </c>
      <c r="I813">
        <f>VLOOKUP(Table4[[#This Row],[Visitor]],'NHL Model'!$A$6:$B$38,2,FALSE)</f>
        <v>0.21430145909042725</v>
      </c>
      <c r="J813">
        <f>($B$1+Table4[[#This Row],[Home Differential]])-Table4[[#This Row],[Away Differential]]</f>
        <v>-0.91106862932543198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0.57467963429300717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-0.17681265190927384</v>
      </c>
      <c r="H814" t="s">
        <v>11</v>
      </c>
      <c r="I814">
        <f>VLOOKUP(Table4[[#This Row],[Visitor]],'NHL Model'!$A$6:$B$38,2,FALSE)</f>
        <v>-0.21100886368613675</v>
      </c>
      <c r="J814">
        <f>($B$1+Table4[[#This Row],[Home Differential]])-Table4[[#This Row],[Away Differential]]</f>
        <v>0.19361587330169006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0.5676769490305148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-1.6840122346544992</v>
      </c>
      <c r="H815" t="s">
        <v>55</v>
      </c>
      <c r="I815">
        <f>VLOOKUP(Table4[[#This Row],[Visitor]],'NHL Model'!$A$6:$B$38,2,FALSE)</f>
        <v>-0.1349739904770427</v>
      </c>
      <c r="J815">
        <f>($B$1+Table4[[#This Row],[Home Differential]])-Table4[[#This Row],[Away Differential]]</f>
        <v>-1.3896185826526295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0.65864281800906044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3.2883390994754517E-3</v>
      </c>
      <c r="H816" t="s">
        <v>23</v>
      </c>
      <c r="I816">
        <f>VLOOKUP(Table4[[#This Row],[Visitor]],'NHL Model'!$A$6:$B$38,2,FALSE)</f>
        <v>-0.49794713300108584</v>
      </c>
      <c r="J816">
        <f>($B$1+Table4[[#This Row],[Home Differential]])-Table4[[#This Row],[Away Differential]]</f>
        <v>0.66065513362538841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0.63443914978812932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-0.34257283900844787</v>
      </c>
      <c r="H817" t="s">
        <v>25</v>
      </c>
      <c r="I817">
        <f>VLOOKUP(Table4[[#This Row],[Visitor]],'NHL Model'!$A$6:$B$38,2,FALSE)</f>
        <v>0.42254821659882374</v>
      </c>
      <c r="J817">
        <f>($B$1+Table4[[#This Row],[Home Differential]])-Table4[[#This Row],[Away Differential]]</f>
        <v>-0.6057013940824445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0.61670411954925086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-1.5594075795597986</v>
      </c>
      <c r="H818" t="s">
        <v>13</v>
      </c>
      <c r="I818">
        <f>VLOOKUP(Table4[[#This Row],[Visitor]],'NHL Model'!$A$6:$B$38,2,FALSE)</f>
        <v>-0.31985119938240425</v>
      </c>
      <c r="J818">
        <f>($B$1+Table4[[#This Row],[Home Differential]])-Table4[[#This Row],[Away Differential]]</f>
        <v>-1.0801367186525672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0.69788134982267314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-7.3890719153774626E-2</v>
      </c>
      <c r="H819" t="s">
        <v>26</v>
      </c>
      <c r="I819">
        <f>VLOOKUP(Table4[[#This Row],[Visitor]],'NHL Model'!$A$6:$B$38,2,FALSE)</f>
        <v>-0.67114180037169746</v>
      </c>
      <c r="J819">
        <f>($B$1+Table4[[#This Row],[Home Differential]])-Table4[[#This Row],[Away Differential]]</f>
        <v>0.75667074274274992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0.6299034933180917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-1.1167763879247272</v>
      </c>
      <c r="H820" t="s">
        <v>31</v>
      </c>
      <c r="I820">
        <f>VLOOKUP(Table4[[#This Row],[Visitor]],'NHL Model'!$A$6:$B$38,2,FALSE)</f>
        <v>0.35254565315374792</v>
      </c>
      <c r="J820">
        <f>($B$1+Table4[[#This Row],[Home Differential]])-Table4[[#This Row],[Away Differential]]</f>
        <v>-1.309902379553648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0.66801679872749165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-0.13160108676160023</v>
      </c>
      <c r="H821" t="s">
        <v>11</v>
      </c>
      <c r="I821">
        <f>VLOOKUP(Table4[[#This Row],[Visitor]],'NHL Model'!$A$6:$B$38,2,FALSE)</f>
        <v>-0.21100886368613675</v>
      </c>
      <c r="J821">
        <f>($B$1+Table4[[#This Row],[Home Differential]])-Table4[[#This Row],[Away Differential]]</f>
        <v>0.23882743844936366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0.57413983950970682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-0.34257283900844787</v>
      </c>
      <c r="H822" t="s">
        <v>20</v>
      </c>
      <c r="I822">
        <f>VLOOKUP(Table4[[#This Row],[Visitor]],'NHL Model'!$A$6:$B$38,2,FALSE)</f>
        <v>-3.2309887002194844E-2</v>
      </c>
      <c r="J822">
        <f>($B$1+Table4[[#This Row],[Home Differential]])-Table4[[#This Row],[Away Differential]]</f>
        <v>-0.15084329048142589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0.4790672263272685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-0.46055888840939002</v>
      </c>
      <c r="H823" t="s">
        <v>24</v>
      </c>
      <c r="I823">
        <f>VLOOKUP(Table4[[#This Row],[Visitor]],'NHL Model'!$A$6:$B$38,2,FALSE)</f>
        <v>2.0731927685773251E-2</v>
      </c>
      <c r="J823">
        <f>($B$1+Table4[[#This Row],[Home Differential]])-Table4[[#This Row],[Away Differential]]</f>
        <v>-0.3218711545703361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0.48079335867974637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-0.95664361852990654</v>
      </c>
      <c r="H824" t="s">
        <v>12</v>
      </c>
      <c r="I824">
        <f>VLOOKUP(Table4[[#This Row],[Visitor]],'NHL Model'!$A$6:$B$38,2,FALSE)</f>
        <v>1.4583704516548168</v>
      </c>
      <c r="J824">
        <f>($B$1+Table4[[#This Row],[Home Differential]])-Table4[[#This Row],[Away Differential]]</f>
        <v>-2.2555944086598965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0.87491828195733667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-1.1267952052768424</v>
      </c>
      <c r="H825" t="s">
        <v>14</v>
      </c>
      <c r="I825">
        <f>VLOOKUP(Table4[[#This Row],[Visitor]],'NHL Model'!$A$6:$B$38,2,FALSE)</f>
        <v>-0.2200802314358897</v>
      </c>
      <c r="J825">
        <f>($B$1+Table4[[#This Row],[Home Differential]])-Table4[[#This Row],[Away Differential]]</f>
        <v>-0.74729531231612556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0.56682416641267941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-0.72083617366747277</v>
      </c>
      <c r="H826" t="s">
        <v>13</v>
      </c>
      <c r="I826">
        <f>VLOOKUP(Table4[[#This Row],[Visitor]],'NHL Model'!$A$6:$B$38,2,FALSE)</f>
        <v>-0.31985119938240425</v>
      </c>
      <c r="J826">
        <f>($B$1+Table4[[#This Row],[Home Differential]])-Table4[[#This Row],[Away Differential]]</f>
        <v>-0.2415653127602414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0.57095505347929831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-0.8561868317598319</v>
      </c>
      <c r="H827" t="s">
        <v>31</v>
      </c>
      <c r="I827">
        <f>VLOOKUP(Table4[[#This Row],[Visitor]],'NHL Model'!$A$6:$B$38,2,FALSE)</f>
        <v>0.35254565315374792</v>
      </c>
      <c r="J827">
        <f>($B$1+Table4[[#This Row],[Home Differential]])-Table4[[#This Row],[Away Differential]]</f>
        <v>-1.0493128233887528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0.59444132762738178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-0.50599078340071213</v>
      </c>
      <c r="H828" t="s">
        <v>21</v>
      </c>
      <c r="I828">
        <f>VLOOKUP(Table4[[#This Row],[Visitor]],'NHL Model'!$A$6:$B$38,2,FALSE)</f>
        <v>-0.12487089668223171</v>
      </c>
      <c r="J828">
        <f>($B$1+Table4[[#This Row],[Home Differential]])-Table4[[#This Row],[Away Differential]]</f>
        <v>-0.22170022519365329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0.49169154330222375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-0.54160534998918008</v>
      </c>
      <c r="H829" t="s">
        <v>30</v>
      </c>
      <c r="I829">
        <f>VLOOKUP(Table4[[#This Row],[Visitor]],'NHL Model'!$A$6:$B$38,2,FALSE)</f>
        <v>3.2883390994754517E-3</v>
      </c>
      <c r="J829">
        <f>($B$1+Table4[[#This Row],[Home Differential]])-Table4[[#This Row],[Away Differential]]</f>
        <v>-0.38547402756382843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0.55510263611934019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0.1846559193064522</v>
      </c>
      <c r="H830" t="s">
        <v>55</v>
      </c>
      <c r="I830">
        <f>VLOOKUP(Table4[[#This Row],[Visitor]],'NHL Model'!$A$6:$B$38,2,FALSE)</f>
        <v>-0.1349739904770427</v>
      </c>
      <c r="J830">
        <f>($B$1+Table4[[#This Row],[Home Differential]])-Table4[[#This Row],[Away Differential]]</f>
        <v>0.47904957130832204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0.62758447872525158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-0.12487089668223171</v>
      </c>
      <c r="H831" t="s">
        <v>29</v>
      </c>
      <c r="I831">
        <f>VLOOKUP(Table4[[#This Row],[Visitor]],'NHL Model'!$A$6:$B$38,2,FALSE)</f>
        <v>-1.6840122346544992</v>
      </c>
      <c r="J831">
        <f>($B$1+Table4[[#This Row],[Home Differential]])-Table4[[#This Row],[Away Differential]]</f>
        <v>1.7185609994970947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0.83738036519475223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-0.67114180037169746</v>
      </c>
      <c r="H832" t="s">
        <v>13</v>
      </c>
      <c r="I832">
        <f>VLOOKUP(Table4[[#This Row],[Visitor]],'NHL Model'!$A$6:$B$38,2,FALSE)</f>
        <v>-0.31985119938240425</v>
      </c>
      <c r="J832">
        <f>($B$1+Table4[[#This Row],[Home Differential]])-Table4[[#This Row],[Away Differential]]</f>
        <v>-0.19187093946446609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0.53834454527212516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-0.21100886368613675</v>
      </c>
      <c r="H833" t="s">
        <v>55</v>
      </c>
      <c r="I833">
        <f>VLOOKUP(Table4[[#This Row],[Visitor]],'NHL Model'!$A$6:$B$38,2,FALSE)</f>
        <v>-0.1349739904770427</v>
      </c>
      <c r="J833">
        <f>($B$1+Table4[[#This Row],[Home Differential]])-Table4[[#This Row],[Away Differential]]</f>
        <v>8.3384788315733094E-2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0.60363564230078659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-0.17681265190927384</v>
      </c>
      <c r="H834" t="s">
        <v>10</v>
      </c>
      <c r="I834">
        <f>VLOOKUP(Table4[[#This Row],[Visitor]],'NHL Model'!$A$6:$B$38,2,FALSE)</f>
        <v>-0.13160108676160023</v>
      </c>
      <c r="J834">
        <f>($B$1+Table4[[#This Row],[Home Differential]])-Table4[[#This Row],[Away Differential]]</f>
        <v>0.11420809637715354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0.55632578780034869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-0.75480422558713034</v>
      </c>
      <c r="H835" t="s">
        <v>20</v>
      </c>
      <c r="I835">
        <f>VLOOKUP(Table4[[#This Row],[Visitor]],'NHL Model'!$A$6:$B$38,2,FALSE)</f>
        <v>-3.2309887002194844E-2</v>
      </c>
      <c r="J835">
        <f>($B$1+Table4[[#This Row],[Home Differential]])-Table4[[#This Row],[Away Differential]]</f>
        <v>-0.56307467706010839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0.5404902453069178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2.0731927685773251E-2</v>
      </c>
      <c r="H836" t="s">
        <v>40</v>
      </c>
      <c r="I836">
        <f>VLOOKUP(Table4[[#This Row],[Visitor]],'NHL Model'!$A$6:$B$38,2,FALSE)</f>
        <v>-7.3890719153774626E-2</v>
      </c>
      <c r="J836">
        <f>($B$1+Table4[[#This Row],[Home Differential]])-Table4[[#This Row],[Away Differential]]</f>
        <v>0.25404230836437502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0.63332969595622224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-0.46055888840939002</v>
      </c>
      <c r="H837" t="s">
        <v>22</v>
      </c>
      <c r="I837">
        <f>VLOOKUP(Table4[[#This Row],[Visitor]],'NHL Model'!$A$6:$B$38,2,FALSE)</f>
        <v>0.21430145909042725</v>
      </c>
      <c r="J837">
        <f>($B$1+Table4[[#This Row],[Home Differential]])-Table4[[#This Row],[Away Differential]]</f>
        <v>-0.51544068597499004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0.52822652909120982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-1.5594075795597986</v>
      </c>
      <c r="H838" t="s">
        <v>39</v>
      </c>
      <c r="I838">
        <f>VLOOKUP(Table4[[#This Row],[Visitor]],'NHL Model'!$A$6:$B$38,2,FALSE)</f>
        <v>1.9153995907683643E-3</v>
      </c>
      <c r="J838">
        <f>($B$1+Table4[[#This Row],[Home Differential]])-Table4[[#This Row],[Away Differential]]</f>
        <v>-1.4019033176257398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0.74135716188576517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-0.95664361852990654</v>
      </c>
      <c r="H839" t="s">
        <v>23</v>
      </c>
      <c r="I839">
        <f>VLOOKUP(Table4[[#This Row],[Visitor]],'NHL Model'!$A$6:$B$38,2,FALSE)</f>
        <v>-0.49794713300108584</v>
      </c>
      <c r="J839">
        <f>($B$1+Table4[[#This Row],[Home Differential]])-Table4[[#This Row],[Away Differential]]</f>
        <v>-0.29927682400399358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0.50278094178294086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-1.1267952052768424</v>
      </c>
      <c r="H840" t="s">
        <v>33</v>
      </c>
      <c r="I840">
        <f>VLOOKUP(Table4[[#This Row],[Visitor]],'NHL Model'!$A$6:$B$38,2,FALSE)</f>
        <v>-0.3479098095875402</v>
      </c>
      <c r="J840">
        <f>($B$1+Table4[[#This Row],[Home Differential]])-Table4[[#This Row],[Away Differential]]</f>
        <v>-0.61946573416447515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0.54855121875211921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-0.72083617366747277</v>
      </c>
      <c r="H841" t="s">
        <v>27</v>
      </c>
      <c r="I841">
        <f>VLOOKUP(Table4[[#This Row],[Visitor]],'NHL Model'!$A$6:$B$38,2,FALSE)</f>
        <v>-0.54160534998918008</v>
      </c>
      <c r="J841">
        <f>($B$1+Table4[[#This Row],[Home Differential]])-Table4[[#This Row],[Away Differential]]</f>
        <v>-1.9811162153465567E-2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0.45578600874227376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3.2883390994754517E-3</v>
      </c>
      <c r="H842" t="s">
        <v>15</v>
      </c>
      <c r="I842">
        <f>VLOOKUP(Table4[[#This Row],[Visitor]],'NHL Model'!$A$6:$B$38,2,FALSE)</f>
        <v>-0.50599078340071213</v>
      </c>
      <c r="J842">
        <f>($B$1+Table4[[#This Row],[Home Differential]])-Table4[[#This Row],[Away Differential]]</f>
        <v>0.6686987840250147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0.5521107104612577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-0.34257283900844787</v>
      </c>
      <c r="H843" t="s">
        <v>12</v>
      </c>
      <c r="I843">
        <f>VLOOKUP(Table4[[#This Row],[Visitor]],'NHL Model'!$A$6:$B$38,2,FALSE)</f>
        <v>1.4583704516548168</v>
      </c>
      <c r="J843">
        <f>($B$1+Table4[[#This Row],[Home Differential]])-Table4[[#This Row],[Away Differential]]</f>
        <v>-1.6415236291384376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0.78465207186426233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-0.12487089668223171</v>
      </c>
      <c r="H844" t="s">
        <v>27</v>
      </c>
      <c r="I844">
        <f>VLOOKUP(Table4[[#This Row],[Visitor]],'NHL Model'!$A$6:$B$38,2,FALSE)</f>
        <v>-0.54160534998918008</v>
      </c>
      <c r="J844">
        <f>($B$1+Table4[[#This Row],[Home Differential]])-Table4[[#This Row],[Away Differential]]</f>
        <v>0.57615411483177548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0.67407589754026509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-0.49794713300108584</v>
      </c>
      <c r="H845" t="s">
        <v>13</v>
      </c>
      <c r="I845">
        <f>VLOOKUP(Table4[[#This Row],[Visitor]],'NHL Model'!$A$6:$B$38,2,FALSE)</f>
        <v>-0.31985119938240425</v>
      </c>
      <c r="J845">
        <f>($B$1+Table4[[#This Row],[Home Differential]])-Table4[[#This Row],[Away Differential]]</f>
        <v>-1.8676272093854474E-2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0.53208149535351479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0.42254821659882374</v>
      </c>
      <c r="H846" t="s">
        <v>55</v>
      </c>
      <c r="I846">
        <f>VLOOKUP(Table4[[#This Row],[Visitor]],'NHL Model'!$A$6:$B$38,2,FALSE)</f>
        <v>-0.1349739904770427</v>
      </c>
      <c r="J846">
        <f>($B$1+Table4[[#This Row],[Home Differential]])-Table4[[#This Row],[Away Differential]]</f>
        <v>0.71694186860069364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0.69420118695344968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-0.67114180037169746</v>
      </c>
      <c r="H847" t="s">
        <v>22</v>
      </c>
      <c r="I847">
        <f>VLOOKUP(Table4[[#This Row],[Visitor]],'NHL Model'!$A$6:$B$38,2,FALSE)</f>
        <v>0.21430145909042725</v>
      </c>
      <c r="J847">
        <f>($B$1+Table4[[#This Row],[Home Differential]])-Table4[[#This Row],[Away Differential]]</f>
        <v>-0.72602359793729754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0.55205928525840142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-0.8561868317598319</v>
      </c>
      <c r="H848" t="s">
        <v>33</v>
      </c>
      <c r="I848">
        <f>VLOOKUP(Table4[[#This Row],[Visitor]],'NHL Model'!$A$6:$B$38,2,FALSE)</f>
        <v>-0.3479098095875402</v>
      </c>
      <c r="J848">
        <f>($B$1+Table4[[#This Row],[Home Differential]])-Table4[[#This Row],[Away Differential]]</f>
        <v>-0.34885736064746459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0.47383150044803568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-0.17681265190927384</v>
      </c>
      <c r="H849" t="s">
        <v>16</v>
      </c>
      <c r="I849">
        <f>VLOOKUP(Table4[[#This Row],[Visitor]],'NHL Model'!$A$6:$B$38,2,FALSE)</f>
        <v>-1.1167763879247272</v>
      </c>
      <c r="J849">
        <f>($B$1+Table4[[#This Row],[Home Differential]])-Table4[[#This Row],[Away Differential]]</f>
        <v>1.0993833975402805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0.69715435795547886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-0.75480422558713034</v>
      </c>
      <c r="H850" t="s">
        <v>12</v>
      </c>
      <c r="I850">
        <f>VLOOKUP(Table4[[#This Row],[Visitor]],'NHL Model'!$A$6:$B$38,2,FALSE)</f>
        <v>1.4583704516548168</v>
      </c>
      <c r="J850">
        <f>($B$1+Table4[[#This Row],[Home Differential]])-Table4[[#This Row],[Away Differential]]</f>
        <v>-2.0537550157171198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0.84606579948487548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2.0731927685773251E-2</v>
      </c>
      <c r="H851" t="s">
        <v>29</v>
      </c>
      <c r="I851">
        <f>VLOOKUP(Table4[[#This Row],[Visitor]],'NHL Model'!$A$6:$B$38,2,FALSE)</f>
        <v>-1.6840122346544992</v>
      </c>
      <c r="J851">
        <f>($B$1+Table4[[#This Row],[Home Differential]])-Table4[[#This Row],[Away Differential]]</f>
        <v>1.8641638238650997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0.92545656487087513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-0.50599078340071213</v>
      </c>
      <c r="H852" t="s">
        <v>30</v>
      </c>
      <c r="I852">
        <f>VLOOKUP(Table4[[#This Row],[Visitor]],'NHL Model'!$A$6:$B$38,2,FALSE)</f>
        <v>3.2883390994754517E-3</v>
      </c>
      <c r="J852">
        <f>($B$1+Table4[[#This Row],[Home Differential]])-Table4[[#This Row],[Away Differential]]</f>
        <v>-0.34985946097536047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0.58263478387959755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-0.2200802314358897</v>
      </c>
      <c r="H853" t="s">
        <v>10</v>
      </c>
      <c r="I853">
        <f>VLOOKUP(Table4[[#This Row],[Visitor]],'NHL Model'!$A$6:$B$38,2,FALSE)</f>
        <v>-0.13160108676160023</v>
      </c>
      <c r="J853">
        <f>($B$1+Table4[[#This Row],[Home Differential]])-Table4[[#This Row],[Away Differential]]</f>
        <v>7.0940516850537677E-2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0.55014078564731794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-0.46055888840939002</v>
      </c>
      <c r="H854" t="s">
        <v>19</v>
      </c>
      <c r="I854">
        <f>VLOOKUP(Table4[[#This Row],[Visitor]],'NHL Model'!$A$6:$B$38,2,FALSE)</f>
        <v>-0.95664361852990654</v>
      </c>
      <c r="J854">
        <f>($B$1+Table4[[#This Row],[Home Differential]])-Table4[[#This Row],[Away Differential]]</f>
        <v>0.65550439164534369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0.65974059877795244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-1.5594075795597986</v>
      </c>
      <c r="H855" t="s">
        <v>11</v>
      </c>
      <c r="I855">
        <f>VLOOKUP(Table4[[#This Row],[Visitor]],'NHL Model'!$A$6:$B$38,2,FALSE)</f>
        <v>-0.21100886368613675</v>
      </c>
      <c r="J855">
        <f>($B$1+Table4[[#This Row],[Home Differential]])-Table4[[#This Row],[Away Differential]]</f>
        <v>-1.1889790543488348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0.62996185345964117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0.1846559193064522</v>
      </c>
      <c r="H856" t="s">
        <v>40</v>
      </c>
      <c r="I856">
        <f>VLOOKUP(Table4[[#This Row],[Visitor]],'NHL Model'!$A$6:$B$38,2,FALSE)</f>
        <v>-7.3890719153774626E-2</v>
      </c>
      <c r="J856">
        <f>($B$1+Table4[[#This Row],[Home Differential]])-Table4[[#This Row],[Away Differential]]</f>
        <v>0.41796629998505397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0.55270507909108102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-1.1267952052768424</v>
      </c>
      <c r="H857" t="s">
        <v>31</v>
      </c>
      <c r="I857">
        <f>VLOOKUP(Table4[[#This Row],[Visitor]],'NHL Model'!$A$6:$B$38,2,FALSE)</f>
        <v>0.35254565315374792</v>
      </c>
      <c r="J857">
        <f>($B$1+Table4[[#This Row],[Home Differential]])-Table4[[#This Row],[Away Differential]]</f>
        <v>-1.3199211969057631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0.66944896589680458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-3.2309887002194844E-2</v>
      </c>
      <c r="H858" t="s">
        <v>39</v>
      </c>
      <c r="I858">
        <f>VLOOKUP(Table4[[#This Row],[Visitor]],'NHL Model'!$A$6:$B$38,2,FALSE)</f>
        <v>1.9153995907683643E-3</v>
      </c>
      <c r="J858">
        <f>($B$1+Table4[[#This Row],[Home Differential]])-Table4[[#This Row],[Away Differential]]</f>
        <v>0.12519437493186394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0.47693798241614838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-0.13160108676160023</v>
      </c>
      <c r="H859" t="s">
        <v>28</v>
      </c>
      <c r="I859">
        <f>VLOOKUP(Table4[[#This Row],[Visitor]],'NHL Model'!$A$6:$B$38,2,FALSE)</f>
        <v>-0.72083617366747277</v>
      </c>
      <c r="J859">
        <f>($B$1+Table4[[#This Row],[Home Differential]])-Table4[[#This Row],[Away Differential]]</f>
        <v>0.74865474843069968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0.64701849471547657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-0.49794713300108584</v>
      </c>
      <c r="H860" t="s">
        <v>18</v>
      </c>
      <c r="I860">
        <f>VLOOKUP(Table4[[#This Row],[Visitor]],'NHL Model'!$A$6:$B$38,2,FALSE)</f>
        <v>-0.75480422558713034</v>
      </c>
      <c r="J860">
        <f>($B$1+Table4[[#This Row],[Home Differential]])-Table4[[#This Row],[Away Differential]]</f>
        <v>0.41627675411087162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0.56654806939068814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-1.1167763879247272</v>
      </c>
      <c r="H861" t="s">
        <v>33</v>
      </c>
      <c r="I861">
        <f>VLOOKUP(Table4[[#This Row],[Visitor]],'NHL Model'!$A$6:$B$38,2,FALSE)</f>
        <v>-0.3479098095875402</v>
      </c>
      <c r="J861">
        <f>($B$1+Table4[[#This Row],[Home Differential]])-Table4[[#This Row],[Away Differential]]</f>
        <v>-0.60944691681235996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0.54711905158280638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-0.67114180037169746</v>
      </c>
      <c r="H862" t="s">
        <v>12</v>
      </c>
      <c r="I862">
        <f>VLOOKUP(Table4[[#This Row],[Visitor]],'NHL Model'!$A$6:$B$38,2,FALSE)</f>
        <v>1.4583704516548168</v>
      </c>
      <c r="J862">
        <f>($B$1+Table4[[#This Row],[Home Differential]])-Table4[[#This Row],[Away Differential]]</f>
        <v>-1.9700925905016873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0.80162025810635817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-0.8561868317598319</v>
      </c>
      <c r="H863" t="s">
        <v>34</v>
      </c>
      <c r="I863">
        <f>VLOOKUP(Table4[[#This Row],[Visitor]],'NHL Model'!$A$6:$B$38,2,FALSE)</f>
        <v>-0.17681265190927384</v>
      </c>
      <c r="J863">
        <f>($B$1+Table4[[#This Row],[Home Differential]])-Table4[[#This Row],[Away Differential]]</f>
        <v>-0.51995451832573092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0.518770761065518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-0.21100886368613675</v>
      </c>
      <c r="H864" t="s">
        <v>40</v>
      </c>
      <c r="I864">
        <f>VLOOKUP(Table4[[#This Row],[Visitor]],'NHL Model'!$A$6:$B$38,2,FALSE)</f>
        <v>-7.3890719153774626E-2</v>
      </c>
      <c r="J864">
        <f>($B$1+Table4[[#This Row],[Home Differential]])-Table4[[#This Row],[Away Differential]]</f>
        <v>2.230151699246502E-2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0.52950374063997019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3.2883390994754517E-3</v>
      </c>
      <c r="H865" t="s">
        <v>29</v>
      </c>
      <c r="I865">
        <f>VLOOKUP(Table4[[#This Row],[Visitor]],'NHL Model'!$A$6:$B$38,2,FALSE)</f>
        <v>-1.6840122346544992</v>
      </c>
      <c r="J865">
        <f>($B$1+Table4[[#This Row],[Home Differential]])-Table4[[#This Row],[Away Differential]]</f>
        <v>1.8467202352788019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0.80398446033290905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-0.34257283900844787</v>
      </c>
      <c r="H866" t="s">
        <v>24</v>
      </c>
      <c r="I866">
        <f>VLOOKUP(Table4[[#This Row],[Visitor]],'NHL Model'!$A$6:$B$38,2,FALSE)</f>
        <v>2.0731927685773251E-2</v>
      </c>
      <c r="J866">
        <f>($B$1+Table4[[#This Row],[Home Differential]])-Table4[[#This Row],[Away Differential]]</f>
        <v>-0.20388510516939398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0.48747824571901216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-0.54160534998918008</v>
      </c>
      <c r="H867" t="s">
        <v>13</v>
      </c>
      <c r="I867">
        <f>VLOOKUP(Table4[[#This Row],[Visitor]],'NHL Model'!$A$6:$B$38,2,FALSE)</f>
        <v>-0.31985119938240425</v>
      </c>
      <c r="J867">
        <f>($B$1+Table4[[#This Row],[Home Differential]])-Table4[[#This Row],[Away Differential]]</f>
        <v>-6.2334489081948719E-2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0.51982760410561057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-0.2200802314358897</v>
      </c>
      <c r="H868" t="s">
        <v>15</v>
      </c>
      <c r="I868">
        <f>VLOOKUP(Table4[[#This Row],[Visitor]],'NHL Model'!$A$6:$B$38,2,FALSE)</f>
        <v>-0.50599078340071213</v>
      </c>
      <c r="J868">
        <f>($B$1+Table4[[#This Row],[Home Differential]])-Table4[[#This Row],[Away Differential]]</f>
        <v>0.44533021348964957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0.5201806809843188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-1.5594075795597986</v>
      </c>
      <c r="H869" t="s">
        <v>28</v>
      </c>
      <c r="I869">
        <f>VLOOKUP(Table4[[#This Row],[Visitor]],'NHL Model'!$A$6:$B$38,2,FALSE)</f>
        <v>-0.72083617366747277</v>
      </c>
      <c r="J869">
        <f>($B$1+Table4[[#This Row],[Home Differential]])-Table4[[#This Row],[Away Differential]]</f>
        <v>-0.6791517443674987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0.55708319825387143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-0.1349739904770427</v>
      </c>
      <c r="H870" t="s">
        <v>39</v>
      </c>
      <c r="I870">
        <f>VLOOKUP(Table4[[#This Row],[Visitor]],'NHL Model'!$A$6:$B$38,2,FALSE)</f>
        <v>1.9153995907683643E-3</v>
      </c>
      <c r="J870">
        <f>($B$1+Table4[[#This Row],[Home Differential]])-Table4[[#This Row],[Away Differential]]</f>
        <v>2.2530271457016082E-2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0.52703017490659498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-1.1267952052768424</v>
      </c>
      <c r="H871" t="s">
        <v>19</v>
      </c>
      <c r="I871">
        <f>VLOOKUP(Table4[[#This Row],[Visitor]],'NHL Model'!$A$6:$B$38,2,FALSE)</f>
        <v>-0.95664361852990654</v>
      </c>
      <c r="J871">
        <f>($B$1+Table4[[#This Row],[Home Differential]])-Table4[[#This Row],[Away Differential]]</f>
        <v>-1.0731925222108751E-2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0.46153410431854819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-3.2309887002194844E-2</v>
      </c>
      <c r="H872" t="s">
        <v>32</v>
      </c>
      <c r="I872">
        <f>VLOOKUP(Table4[[#This Row],[Visitor]],'NHL Model'!$A$6:$B$38,2,FALSE)</f>
        <v>-0.46055888840939002</v>
      </c>
      <c r="J872">
        <f>($B$1+Table4[[#This Row],[Home Differential]])-Table4[[#This Row],[Away Differential]]</f>
        <v>0.58766866293202236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0.62400589968910547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0.21430145909042725</v>
      </c>
      <c r="H873" t="s">
        <v>25</v>
      </c>
      <c r="I873">
        <f>VLOOKUP(Table4[[#This Row],[Visitor]],'NHL Model'!$A$6:$B$38,2,FALSE)</f>
        <v>0.42254821659882374</v>
      </c>
      <c r="J873">
        <f>($B$1+Table4[[#This Row],[Home Differential]])-Table4[[#This Row],[Away Differential]]</f>
        <v>-4.8827095983569324E-2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0.53960289150251539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0.35254565315374792</v>
      </c>
      <c r="H874" t="s">
        <v>20</v>
      </c>
      <c r="I874">
        <f>VLOOKUP(Table4[[#This Row],[Visitor]],'NHL Model'!$A$6:$B$38,2,FALSE)</f>
        <v>-3.2309887002194844E-2</v>
      </c>
      <c r="J874">
        <f>($B$1+Table4[[#This Row],[Home Differential]])-Table4[[#This Row],[Away Differential]]</f>
        <v>0.54427520168076993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0.71272353795028187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0.42254821659882374</v>
      </c>
      <c r="H875" t="s">
        <v>13</v>
      </c>
      <c r="I875">
        <f>VLOOKUP(Table4[[#This Row],[Visitor]],'NHL Model'!$A$6:$B$38,2,FALSE)</f>
        <v>-0.31985119938240425</v>
      </c>
      <c r="J875">
        <f>($B$1+Table4[[#This Row],[Home Differential]])-Table4[[#This Row],[Away Differential]]</f>
        <v>0.90181907750605517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0.63800389652964618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0.1846559193064522</v>
      </c>
      <c r="H876" t="s">
        <v>21</v>
      </c>
      <c r="I876">
        <f>VLOOKUP(Table4[[#This Row],[Visitor]],'NHL Model'!$A$6:$B$38,2,FALSE)</f>
        <v>-0.12487089668223171</v>
      </c>
      <c r="J876">
        <f>($B$1+Table4[[#This Row],[Home Differential]])-Table4[[#This Row],[Away Differential]]</f>
        <v>0.46894647751351104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0.62614026443000226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-1.1167763879247272</v>
      </c>
      <c r="H877" t="s">
        <v>19</v>
      </c>
      <c r="I877">
        <f>VLOOKUP(Table4[[#This Row],[Visitor]],'NHL Model'!$A$6:$B$38,2,FALSE)</f>
        <v>-0.95664361852990654</v>
      </c>
      <c r="J877">
        <f>($B$1+Table4[[#This Row],[Home Differential]])-Table4[[#This Row],[Away Differential]]</f>
        <v>-7.1310786999356779E-4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0.46010193714923531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-0.13160108676160023</v>
      </c>
      <c r="H878" t="s">
        <v>33</v>
      </c>
      <c r="I878">
        <f>VLOOKUP(Table4[[#This Row],[Visitor]],'NHL Model'!$A$6:$B$38,2,FALSE)</f>
        <v>-0.3479098095875402</v>
      </c>
      <c r="J878">
        <f>($B$1+Table4[[#This Row],[Home Differential]])-Table4[[#This Row],[Away Differential]]</f>
        <v>0.37572838435076711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0.5937095185723239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1.4583704516548168</v>
      </c>
      <c r="H879" t="s">
        <v>26</v>
      </c>
      <c r="I879">
        <f>VLOOKUP(Table4[[#This Row],[Visitor]],'NHL Model'!$A$6:$B$38,2,FALSE)</f>
        <v>-0.67114180037169746</v>
      </c>
      <c r="J879">
        <f>($B$1+Table4[[#This Row],[Home Differential]])-Table4[[#This Row],[Away Differential]]</f>
        <v>2.2889319135513415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0.94258223005005515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1.9153995907683643E-3</v>
      </c>
      <c r="H880" t="s">
        <v>40</v>
      </c>
      <c r="I880">
        <f>VLOOKUP(Table4[[#This Row],[Visitor]],'NHL Model'!$A$6:$B$38,2,FALSE)</f>
        <v>-7.3890719153774626E-2</v>
      </c>
      <c r="J880">
        <f>($B$1+Table4[[#This Row],[Home Differential]])-Table4[[#This Row],[Away Differential]]</f>
        <v>0.23522578026937013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0.50981546684934675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-0.21100886368613675</v>
      </c>
      <c r="H881" t="s">
        <v>23</v>
      </c>
      <c r="I881">
        <f>VLOOKUP(Table4[[#This Row],[Visitor]],'NHL Model'!$A$6:$B$38,2,FALSE)</f>
        <v>-0.49794713300108584</v>
      </c>
      <c r="J881">
        <f>($B$1+Table4[[#This Row],[Home Differential]])-Table4[[#This Row],[Away Differential]]</f>
        <v>0.44635793083977626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0.65552182804460812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-0.17681265190927384</v>
      </c>
      <c r="H882" t="s">
        <v>18</v>
      </c>
      <c r="I882">
        <f>VLOOKUP(Table4[[#This Row],[Visitor]],'NHL Model'!$A$6:$B$38,2,FALSE)</f>
        <v>-0.75480422558713034</v>
      </c>
      <c r="J882">
        <f>($B$1+Table4[[#This Row],[Home Differential]])-Table4[[#This Row],[Away Differential]]</f>
        <v>0.73741123520268359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0.59831186857351149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-1.6840122346544992</v>
      </c>
      <c r="H883" t="s">
        <v>35</v>
      </c>
      <c r="I883">
        <f>VLOOKUP(Table4[[#This Row],[Visitor]],'NHL Model'!$A$6:$B$38,2,FALSE)</f>
        <v>-1.5594075795597986</v>
      </c>
      <c r="J883">
        <f>($B$1+Table4[[#This Row],[Home Differential]])-Table4[[#This Row],[Away Differential]]</f>
        <v>3.4815006430126472E-2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0.5449767260402365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-0.2200802314358897</v>
      </c>
      <c r="H884" t="s">
        <v>36</v>
      </c>
      <c r="I884">
        <f>VLOOKUP(Table4[[#This Row],[Visitor]],'NHL Model'!$A$6:$B$38,2,FALSE)</f>
        <v>-0.34257283900844787</v>
      </c>
      <c r="J884">
        <f>($B$1+Table4[[#This Row],[Home Differential]])-Table4[[#This Row],[Away Differential]]</f>
        <v>0.28191226909738532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0.58029871812590161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-0.1349739904770427</v>
      </c>
      <c r="H885" t="s">
        <v>38</v>
      </c>
      <c r="I885">
        <f>VLOOKUP(Table4[[#This Row],[Visitor]],'NHL Model'!$A$6:$B$38,2,FALSE)</f>
        <v>-1.1267952052768424</v>
      </c>
      <c r="J885">
        <f>($B$1+Table4[[#This Row],[Home Differential]])-Table4[[#This Row],[Away Differential]]</f>
        <v>1.1512408763246269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0.74790060001726633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0.21430145909042725</v>
      </c>
      <c r="H886" t="s">
        <v>30</v>
      </c>
      <c r="I886">
        <f>VLOOKUP(Table4[[#This Row],[Visitor]],'NHL Model'!$A$6:$B$38,2,FALSE)</f>
        <v>3.2883390994754517E-3</v>
      </c>
      <c r="J886">
        <f>($B$1+Table4[[#This Row],[Home Differential]])-Table4[[#This Row],[Away Differential]]</f>
        <v>0.37043278151577896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0.52032935507526568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0.35254565315374792</v>
      </c>
      <c r="H887" t="s">
        <v>32</v>
      </c>
      <c r="I887">
        <f>VLOOKUP(Table4[[#This Row],[Visitor]],'NHL Model'!$A$6:$B$38,2,FALSE)</f>
        <v>-0.46055888840939002</v>
      </c>
      <c r="J887">
        <f>($B$1+Table4[[#This Row],[Home Differential]])-Table4[[#This Row],[Away Differential]]</f>
        <v>0.97252420308796506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0.77394075935984641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0.42254821659882374</v>
      </c>
      <c r="H888" t="s">
        <v>36</v>
      </c>
      <c r="I888">
        <f>VLOOKUP(Table4[[#This Row],[Visitor]],'NHL Model'!$A$6:$B$38,2,FALSE)</f>
        <v>-0.34257283900844787</v>
      </c>
      <c r="J888">
        <f>($B$1+Table4[[#This Row],[Home Differential]])-Table4[[#This Row],[Away Differential]]</f>
        <v>0.92454071713209873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0.72387697051198241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-0.8561868317598319</v>
      </c>
      <c r="H889" t="s">
        <v>19</v>
      </c>
      <c r="I889">
        <f>VLOOKUP(Table4[[#This Row],[Visitor]],'NHL Model'!$A$6:$B$38,2,FALSE)</f>
        <v>-0.95664361852990654</v>
      </c>
      <c r="J889">
        <f>($B$1+Table4[[#This Row],[Home Differential]])-Table4[[#This Row],[Away Differential]]</f>
        <v>0.25987644829490175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0.61318561398553539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2.0731927685773251E-2</v>
      </c>
      <c r="H890" t="s">
        <v>28</v>
      </c>
      <c r="I890">
        <f>VLOOKUP(Table4[[#This Row],[Visitor]],'NHL Model'!$A$6:$B$38,2,FALSE)</f>
        <v>-0.72083617366747277</v>
      </c>
      <c r="J890">
        <f>($B$1+Table4[[#This Row],[Home Differential]])-Table4[[#This Row],[Away Differential]]</f>
        <v>0.90098776287807314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0.78777273609815868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3.2883390994754517E-3</v>
      </c>
      <c r="H891" t="s">
        <v>14</v>
      </c>
      <c r="I891">
        <f>VLOOKUP(Table4[[#This Row],[Visitor]],'NHL Model'!$A$6:$B$38,2,FALSE)</f>
        <v>-0.2200802314358897</v>
      </c>
      <c r="J891">
        <f>($B$1+Table4[[#This Row],[Home Differential]])-Table4[[#This Row],[Away Differential]]</f>
        <v>0.3827882320601923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0.59471870775647973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-0.54160534998918008</v>
      </c>
      <c r="H892" t="s">
        <v>22</v>
      </c>
      <c r="I892">
        <f>VLOOKUP(Table4[[#This Row],[Visitor]],'NHL Model'!$A$6:$B$38,2,FALSE)</f>
        <v>0.21430145909042725</v>
      </c>
      <c r="J892">
        <f>($B$1+Table4[[#This Row],[Home Differential]])-Table4[[#This Row],[Away Differential]]</f>
        <v>-0.59648714755478016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0.53354234409188683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0.1846559193064522</v>
      </c>
      <c r="H893" t="s">
        <v>23</v>
      </c>
      <c r="I893">
        <f>VLOOKUP(Table4[[#This Row],[Visitor]],'NHL Model'!$A$6:$B$38,2,FALSE)</f>
        <v>-0.49794713300108584</v>
      </c>
      <c r="J893">
        <f>($B$1+Table4[[#This Row],[Home Differential]])-Table4[[#This Row],[Away Differential]]</f>
        <v>0.84202271383236516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0.67947066446907312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-0.72083617366747277</v>
      </c>
      <c r="H894" t="s">
        <v>10</v>
      </c>
      <c r="I894">
        <f>VLOOKUP(Table4[[#This Row],[Visitor]],'NHL Model'!$A$6:$B$38,2,FALSE)</f>
        <v>-0.13160108676160023</v>
      </c>
      <c r="J894">
        <f>($B$1+Table4[[#This Row],[Home Differential]])-Table4[[#This Row],[Away Differential]]</f>
        <v>-0.42981542538104545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0.51439518629643877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-1.1167763879247272</v>
      </c>
      <c r="H895" t="s">
        <v>17</v>
      </c>
      <c r="I895">
        <f>VLOOKUP(Table4[[#This Row],[Visitor]],'NHL Model'!$A$6:$B$38,2,FALSE)</f>
        <v>-0.8561868317598319</v>
      </c>
      <c r="J895">
        <f>($B$1+Table4[[#This Row],[Home Differential]])-Table4[[#This Row],[Away Differential]]</f>
        <v>-0.1011698946400682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0.47446200649578285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1.4583704516548168</v>
      </c>
      <c r="H896" t="s">
        <v>33</v>
      </c>
      <c r="I896">
        <f>VLOOKUP(Table4[[#This Row],[Visitor]],'NHL Model'!$A$6:$B$38,2,FALSE)</f>
        <v>-0.3479098095875402</v>
      </c>
      <c r="J896">
        <f>($B$1+Table4[[#This Row],[Home Differential]])-Table4[[#This Row],[Away Differential]]</f>
        <v>1.9656999227671841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0.91591297115817816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1.9153995907683643E-3</v>
      </c>
      <c r="H897" t="s">
        <v>35</v>
      </c>
      <c r="I897">
        <f>VLOOKUP(Table4[[#This Row],[Visitor]],'NHL Model'!$A$6:$B$38,2,FALSE)</f>
        <v>-1.5594075795597986</v>
      </c>
      <c r="J897">
        <f>($B$1+Table4[[#This Row],[Home Differential]])-Table4[[#This Row],[Away Differential]]</f>
        <v>1.7207426406753941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0.78847172871564719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-0.21100886368613675</v>
      </c>
      <c r="H898" t="s">
        <v>21</v>
      </c>
      <c r="I898">
        <f>VLOOKUP(Table4[[#This Row],[Visitor]],'NHL Model'!$A$6:$B$38,2,FALSE)</f>
        <v>-0.12487089668223171</v>
      </c>
      <c r="J898">
        <f>($B$1+Table4[[#This Row],[Home Differential]])-Table4[[#This Row],[Away Differential]]</f>
        <v>7.3281694520922105E-2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0.60219142800553727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-0.31985119938240425</v>
      </c>
      <c r="H899" t="s">
        <v>32</v>
      </c>
      <c r="I899">
        <f>VLOOKUP(Table4[[#This Row],[Visitor]],'NHL Model'!$A$6:$B$38,2,FALSE)</f>
        <v>-0.46055888840939002</v>
      </c>
      <c r="J899">
        <f>($B$1+Table4[[#This Row],[Home Differential]])-Table4[[#This Row],[Away Differential]]</f>
        <v>0.30012735055181294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0.58290252261984066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-1.6840122346544992</v>
      </c>
      <c r="H900" t="s">
        <v>34</v>
      </c>
      <c r="I900">
        <f>VLOOKUP(Table4[[#This Row],[Visitor]],'NHL Model'!$A$6:$B$38,2,FALSE)</f>
        <v>-0.17681265190927384</v>
      </c>
      <c r="J900">
        <f>($B$1+Table4[[#This Row],[Home Differential]])-Table4[[#This Row],[Away Differential]]</f>
        <v>-1.3477799212203982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0.67343130721915001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-0.1349739904770427</v>
      </c>
      <c r="H901" t="s">
        <v>26</v>
      </c>
      <c r="I901">
        <f>VLOOKUP(Table4[[#This Row],[Visitor]],'NHL Model'!$A$6:$B$38,2,FALSE)</f>
        <v>-0.67114180037169746</v>
      </c>
      <c r="J901">
        <f>($B$1+Table4[[#This Row],[Home Differential]])-Table4[[#This Row],[Away Differential]]</f>
        <v>0.69558747141948185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0.68276598141350275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-3.2309887002194844E-2</v>
      </c>
      <c r="H902" t="s">
        <v>38</v>
      </c>
      <c r="I902">
        <f>VLOOKUP(Table4[[#This Row],[Visitor]],'NHL Model'!$A$6:$B$38,2,FALSE)</f>
        <v>-1.1267952052768424</v>
      </c>
      <c r="J902">
        <f>($B$1+Table4[[#This Row],[Home Differential]])-Table4[[#This Row],[Away Differential]]</f>
        <v>1.2539049797994748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0.69847363616731872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-7.3890719153774626E-2</v>
      </c>
      <c r="H903" t="s">
        <v>18</v>
      </c>
      <c r="I903">
        <f>VLOOKUP(Table4[[#This Row],[Visitor]],'NHL Model'!$A$6:$B$38,2,FALSE)</f>
        <v>-0.75480422558713034</v>
      </c>
      <c r="J903">
        <f>($B$1+Table4[[#This Row],[Home Differential]])-Table4[[#This Row],[Away Differential]]</f>
        <v>0.84033316795818291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0.61553656045321981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-0.49794713300108584</v>
      </c>
      <c r="H904" t="s">
        <v>14</v>
      </c>
      <c r="I904">
        <f>VLOOKUP(Table4[[#This Row],[Visitor]],'NHL Model'!$A$6:$B$38,2,FALSE)</f>
        <v>-0.2200802314358897</v>
      </c>
      <c r="J904">
        <f>($B$1+Table4[[#This Row],[Home Differential]])-Table4[[#This Row],[Away Differential]]</f>
        <v>-0.11844724004036902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0.46291514325349387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2.0731927685773251E-2</v>
      </c>
      <c r="H905" t="s">
        <v>30</v>
      </c>
      <c r="I905">
        <f>VLOOKUP(Table4[[#This Row],[Visitor]],'NHL Model'!$A$6:$B$38,2,FALSE)</f>
        <v>3.2883390994754517E-3</v>
      </c>
      <c r="J905">
        <f>($B$1+Table4[[#This Row],[Home Differential]])-Table4[[#This Row],[Away Differential]]</f>
        <v>0.17686325011112494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0.61619129053055155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-0.50599078340071213</v>
      </c>
      <c r="H906" t="s">
        <v>25</v>
      </c>
      <c r="I906">
        <f>VLOOKUP(Table4[[#This Row],[Visitor]],'NHL Model'!$A$6:$B$38,2,FALSE)</f>
        <v>0.42254821659882374</v>
      </c>
      <c r="J906">
        <f>($B$1+Table4[[#This Row],[Home Differential]])-Table4[[#This Row],[Away Differential]]</f>
        <v>-0.76911933847470881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0.64256703045737862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-0.54160534998918008</v>
      </c>
      <c r="H907" t="s">
        <v>36</v>
      </c>
      <c r="I907">
        <f>VLOOKUP(Table4[[#This Row],[Visitor]],'NHL Model'!$A$6:$B$38,2,FALSE)</f>
        <v>-0.34257283900844787</v>
      </c>
      <c r="J907">
        <f>($B$1+Table4[[#This Row],[Home Differential]])-Table4[[#This Row],[Away Differential]]</f>
        <v>-3.9612849455905097E-2</v>
      </c>
      <c r="K907" t="str">
        <f>IF(Table4[[#This Row],[HomeIce Differential]]&gt;0,Table4[[#This Row],[Home]],Table4[[#This Row],[Visitor]])</f>
        <v>Ottawa Senators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0.43341650098774293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0.1846559193064522</v>
      </c>
      <c r="H908" t="s">
        <v>11</v>
      </c>
      <c r="I908">
        <f>VLOOKUP(Table4[[#This Row],[Visitor]],'NHL Model'!$A$6:$B$38,2,FALSE)</f>
        <v>-0.21100886368613675</v>
      </c>
      <c r="J908">
        <f>($B$1+Table4[[#This Row],[Home Differential]])-Table4[[#This Row],[Away Differential]]</f>
        <v>0.55508444451741612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0.63845349103536664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-3.2309887002194844E-2</v>
      </c>
      <c r="H909" t="s">
        <v>13</v>
      </c>
      <c r="I909">
        <f>VLOOKUP(Table4[[#This Row],[Visitor]],'NHL Model'!$A$6:$B$38,2,FALSE)</f>
        <v>-0.31985119938240425</v>
      </c>
      <c r="J909">
        <f>($B$1+Table4[[#This Row],[Home Differential]])-Table4[[#This Row],[Away Differential]]</f>
        <v>0.44696097390503653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0.52041379447924041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0.21430145909042725</v>
      </c>
      <c r="H910" t="s">
        <v>29</v>
      </c>
      <c r="I910">
        <f>VLOOKUP(Table4[[#This Row],[Visitor]],'NHL Model'!$A$6:$B$38,2,FALSE)</f>
        <v>-1.6840122346544992</v>
      </c>
      <c r="J910">
        <f>($B$1+Table4[[#This Row],[Home Differential]])-Table4[[#This Row],[Away Differential]]</f>
        <v>2.0577333552697539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0.83414830623649017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0.35254565315374792</v>
      </c>
      <c r="H911" t="s">
        <v>17</v>
      </c>
      <c r="I911">
        <f>VLOOKUP(Table4[[#This Row],[Visitor]],'NHL Model'!$A$6:$B$38,2,FALSE)</f>
        <v>-0.8561868317598319</v>
      </c>
      <c r="J911">
        <f>($B$1+Table4[[#This Row],[Home Differential]])-Table4[[#This Row],[Away Differential]]</f>
        <v>1.368152146438407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0.83049487466265393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1.9153995907683643E-3</v>
      </c>
      <c r="H912" t="s">
        <v>32</v>
      </c>
      <c r="I912">
        <f>VLOOKUP(Table4[[#This Row],[Visitor]],'NHL Model'!$A$6:$B$38,2,FALSE)</f>
        <v>-0.46055888840939002</v>
      </c>
      <c r="J912">
        <f>($B$1+Table4[[#This Row],[Home Differential]])-Table4[[#This Row],[Away Differential]]</f>
        <v>0.62189394952498556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0.6313938058232984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-0.31985119938240425</v>
      </c>
      <c r="H913" t="s">
        <v>20</v>
      </c>
      <c r="I913">
        <f>VLOOKUP(Table4[[#This Row],[Visitor]],'NHL Model'!$A$6:$B$38,2,FALSE)</f>
        <v>-3.2309887002194844E-2</v>
      </c>
      <c r="J913">
        <f>($B$1+Table4[[#This Row],[Home Differential]])-Table4[[#This Row],[Away Differential]]</f>
        <v>-0.12812165085538227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0.47831469878972399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2.0731927685773251E-2</v>
      </c>
      <c r="H914" t="s">
        <v>23</v>
      </c>
      <c r="I914">
        <f>VLOOKUP(Table4[[#This Row],[Visitor]],'NHL Model'!$A$6:$B$38,2,FALSE)</f>
        <v>-0.49794713300108584</v>
      </c>
      <c r="J914">
        <f>($B$1+Table4[[#This Row],[Home Differential]])-Table4[[#This Row],[Away Differential]]</f>
        <v>0.67809872221168621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0.75591125432609541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0.1846559193064522</v>
      </c>
      <c r="H915" t="s">
        <v>19</v>
      </c>
      <c r="I915">
        <f>VLOOKUP(Table4[[#This Row],[Visitor]],'NHL Model'!$A$6:$B$38,2,FALSE)</f>
        <v>-0.95664361852990654</v>
      </c>
      <c r="J915">
        <f>($B$1+Table4[[#This Row],[Home Differential]])-Table4[[#This Row],[Away Differential]]</f>
        <v>1.3007191993611857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0.74504028453155469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-0.1349739904770427</v>
      </c>
      <c r="H916" t="s">
        <v>12</v>
      </c>
      <c r="I916">
        <f>VLOOKUP(Table4[[#This Row],[Visitor]],'NHL Model'!$A$6:$B$38,2,FALSE)</f>
        <v>1.4583704516548168</v>
      </c>
      <c r="J916">
        <f>($B$1+Table4[[#This Row],[Home Differential]])-Table4[[#This Row],[Away Differential]]</f>
        <v>-1.4339247806070323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0.69278116635451004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-1.1267952052768424</v>
      </c>
      <c r="H917" t="s">
        <v>40</v>
      </c>
      <c r="I917">
        <f>VLOOKUP(Table4[[#This Row],[Visitor]],'NHL Model'!$A$6:$B$38,2,FALSE)</f>
        <v>-7.3890719153774626E-2</v>
      </c>
      <c r="J917">
        <f>($B$1+Table4[[#This Row],[Home Differential]])-Table4[[#This Row],[Away Differential]]</f>
        <v>-0.89348482459824063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0.65403741440167518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0.21430145909042725</v>
      </c>
      <c r="H918" t="s">
        <v>27</v>
      </c>
      <c r="I918">
        <f>VLOOKUP(Table4[[#This Row],[Visitor]],'NHL Model'!$A$6:$B$38,2,FALSE)</f>
        <v>-0.54160534998918008</v>
      </c>
      <c r="J918">
        <f>($B$1+Table4[[#This Row],[Home Differential]])-Table4[[#This Row],[Away Differential]]</f>
        <v>0.91532647060443451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0.67084383858200292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-0.12487089668223171</v>
      </c>
      <c r="H919" t="s">
        <v>28</v>
      </c>
      <c r="I919">
        <f>VLOOKUP(Table4[[#This Row],[Visitor]],'NHL Model'!$A$6:$B$38,2,FALSE)</f>
        <v>-0.72083617366747277</v>
      </c>
      <c r="J919">
        <f>($B$1+Table4[[#This Row],[Home Differential]])-Table4[[#This Row],[Away Differential]]</f>
        <v>0.75538493851006816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0.69969653642203578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0.42254821659882374</v>
      </c>
      <c r="H920" t="s">
        <v>37</v>
      </c>
      <c r="I920">
        <f>VLOOKUP(Table4[[#This Row],[Visitor]],'NHL Model'!$A$6:$B$38,2,FALSE)</f>
        <v>0.1846559193064522</v>
      </c>
      <c r="J920">
        <f>($B$1+Table4[[#This Row],[Home Differential]])-Table4[[#This Row],[Away Differential]]</f>
        <v>0.39731195881719872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0.58311063095996629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1.4583704516548168</v>
      </c>
      <c r="H921" t="s">
        <v>34</v>
      </c>
      <c r="I921">
        <f>VLOOKUP(Table4[[#This Row],[Visitor]],'NHL Model'!$A$6:$B$38,2,FALSE)</f>
        <v>-0.17681265190927384</v>
      </c>
      <c r="J921">
        <f>($B$1+Table4[[#This Row],[Home Differential]])-Table4[[#This Row],[Away Differential]]</f>
        <v>1.7946027650889178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0.87191900180856774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-0.21100886368613675</v>
      </c>
      <c r="H922" t="s">
        <v>19</v>
      </c>
      <c r="I922">
        <f>VLOOKUP(Table4[[#This Row],[Visitor]],'NHL Model'!$A$6:$B$38,2,FALSE)</f>
        <v>-0.95664361852990654</v>
      </c>
      <c r="J922">
        <f>($B$1+Table4[[#This Row],[Home Differential]])-Table4[[#This Row],[Away Differential]]</f>
        <v>0.90505441636859696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0.72109144810708969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-0.31985119938240425</v>
      </c>
      <c r="H923" t="s">
        <v>17</v>
      </c>
      <c r="I923">
        <f>VLOOKUP(Table4[[#This Row],[Visitor]],'NHL Model'!$A$6:$B$38,2,FALSE)</f>
        <v>-0.8561868317598319</v>
      </c>
      <c r="J923">
        <f>($B$1+Table4[[#This Row],[Home Differential]])-Table4[[#This Row],[Away Differential]]</f>
        <v>0.69575529390225477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0.63945663792264806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-0.75480422558713034</v>
      </c>
      <c r="H924" t="s">
        <v>30</v>
      </c>
      <c r="I924">
        <f>VLOOKUP(Table4[[#This Row],[Visitor]],'NHL Model'!$A$6:$B$38,2,FALSE)</f>
        <v>3.2883390994754517E-3</v>
      </c>
      <c r="J924">
        <f>($B$1+Table4[[#This Row],[Home Differential]])-Table4[[#This Row],[Away Differential]]</f>
        <v>-0.59867290316177868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0.61820209992692443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-1.6840122346544992</v>
      </c>
      <c r="H925" t="s">
        <v>10</v>
      </c>
      <c r="I925">
        <f>VLOOKUP(Table4[[#This Row],[Visitor]],'NHL Model'!$A$6:$B$38,2,FALSE)</f>
        <v>-0.13160108676160023</v>
      </c>
      <c r="J925">
        <f>($B$1+Table4[[#This Row],[Home Differential]])-Table4[[#This Row],[Away Differential]]</f>
        <v>-1.3929914863680719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0.65912496692911149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-0.50599078340071213</v>
      </c>
      <c r="H926" t="s">
        <v>27</v>
      </c>
      <c r="I926">
        <f>VLOOKUP(Table4[[#This Row],[Visitor]],'NHL Model'!$A$6:$B$38,2,FALSE)</f>
        <v>-0.54160534998918008</v>
      </c>
      <c r="J926">
        <f>($B$1+Table4[[#This Row],[Home Differential]])-Table4[[#This Row],[Away Differential]]</f>
        <v>0.19503422811329507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0.56787969962713969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-0.34257283900844787</v>
      </c>
      <c r="H927" t="s">
        <v>26</v>
      </c>
      <c r="I927">
        <f>VLOOKUP(Table4[[#This Row],[Visitor]],'NHL Model'!$A$6:$B$38,2,FALSE)</f>
        <v>-0.67114180037169746</v>
      </c>
      <c r="J927">
        <f>($B$1+Table4[[#This Row],[Home Differential]])-Table4[[#This Row],[Away Differential]]</f>
        <v>0.48798862288807676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0.59149599495641925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-0.2200802314358897</v>
      </c>
      <c r="H928" t="s">
        <v>24</v>
      </c>
      <c r="I928">
        <f>VLOOKUP(Table4[[#This Row],[Visitor]],'NHL Model'!$A$6:$B$38,2,FALSE)</f>
        <v>2.0731927685773251E-2</v>
      </c>
      <c r="J928">
        <f>($B$1+Table4[[#This Row],[Home Differential]])-Table4[[#This Row],[Away Differential]]</f>
        <v>-8.1392497596835811E-2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0.4724643656268756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-0.3479098095875402</v>
      </c>
      <c r="H929" t="s">
        <v>16</v>
      </c>
      <c r="I929">
        <f>VLOOKUP(Table4[[#This Row],[Visitor]],'NHL Model'!$A$6:$B$38,2,FALSE)</f>
        <v>-1.1167763879247272</v>
      </c>
      <c r="J929">
        <f>($B$1+Table4[[#This Row],[Home Differential]])-Table4[[#This Row],[Away Differential]]</f>
        <v>0.9282862398620142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0.67269640814188791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-1.5594075795597986</v>
      </c>
      <c r="H930" t="s">
        <v>32</v>
      </c>
      <c r="I930">
        <f>VLOOKUP(Table4[[#This Row],[Visitor]],'NHL Model'!$A$6:$B$38,2,FALSE)</f>
        <v>-0.46055888840939002</v>
      </c>
      <c r="J930">
        <f>($B$1+Table4[[#This Row],[Home Differential]])-Table4[[#This Row],[Away Differential]]</f>
        <v>-0.93942902962558139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0.59428924461280808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0.35254565315374792</v>
      </c>
      <c r="H931" t="s">
        <v>40</v>
      </c>
      <c r="I931">
        <f>VLOOKUP(Table4[[#This Row],[Visitor]],'NHL Model'!$A$6:$B$38,2,FALSE)</f>
        <v>-7.3890719153774626E-2</v>
      </c>
      <c r="J931">
        <f>($B$1+Table4[[#This Row],[Home Differential]])-Table4[[#This Row],[Away Differential]]</f>
        <v>0.58585603383234974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0.65517535990769515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-0.21100886368613675</v>
      </c>
      <c r="H932" t="s">
        <v>23</v>
      </c>
      <c r="I932">
        <f>VLOOKUP(Table4[[#This Row],[Visitor]],'NHL Model'!$A$6:$B$38,2,FALSE)</f>
        <v>-0.49794713300108584</v>
      </c>
      <c r="J932">
        <f>($B$1+Table4[[#This Row],[Home Differential]])-Table4[[#This Row],[Away Differential]]</f>
        <v>0.44635793083977626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0.65552182804460812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-0.1349739904770427</v>
      </c>
      <c r="H933" t="s">
        <v>34</v>
      </c>
      <c r="I933">
        <f>VLOOKUP(Table4[[#This Row],[Visitor]],'NHL Model'!$A$6:$B$38,2,FALSE)</f>
        <v>-0.17681265190927384</v>
      </c>
      <c r="J933">
        <f>($B$1+Table4[[#This Row],[Home Differential]])-Table4[[#This Row],[Away Differential]]</f>
        <v>0.20125832295705828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0.61210275317201535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0.21430145909042725</v>
      </c>
      <c r="H934" t="s">
        <v>20</v>
      </c>
      <c r="I934">
        <f>VLOOKUP(Table4[[#This Row],[Visitor]],'NHL Model'!$A$6:$B$38,2,FALSE)</f>
        <v>-3.2309887002194844E-2</v>
      </c>
      <c r="J934">
        <f>($B$1+Table4[[#This Row],[Home Differential]])-Table4[[#This Row],[Away Differential]]</f>
        <v>0.40603100761744926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0.59804120969527241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0.42254821659882374</v>
      </c>
      <c r="H935" t="s">
        <v>26</v>
      </c>
      <c r="I935">
        <f>VLOOKUP(Table4[[#This Row],[Visitor]],'NHL Model'!$A$6:$B$38,2,FALSE)</f>
        <v>-0.67114180037169746</v>
      </c>
      <c r="J935">
        <f>($B$1+Table4[[#This Row],[Home Differential]])-Table4[[#This Row],[Away Differential]]</f>
        <v>1.2531096784953484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0.75055775185128892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-0.72083617366747277</v>
      </c>
      <c r="H936" t="s">
        <v>30</v>
      </c>
      <c r="I936">
        <f>VLOOKUP(Table4[[#This Row],[Visitor]],'NHL Model'!$A$6:$B$38,2,FALSE)</f>
        <v>3.2883390994754517E-3</v>
      </c>
      <c r="J936">
        <f>($B$1+Table4[[#This Row],[Home Differential]])-Table4[[#This Row],[Away Differential]]</f>
        <v>-0.56470485124212111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0.60627072025658535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1.4583704516548168</v>
      </c>
      <c r="H937" t="s">
        <v>10</v>
      </c>
      <c r="I937">
        <f>VLOOKUP(Table4[[#This Row],[Visitor]],'NHL Model'!$A$6:$B$38,2,FALSE)</f>
        <v>-0.13160108676160023</v>
      </c>
      <c r="J937">
        <f>($B$1+Table4[[#This Row],[Home Differential]])-Table4[[#This Row],[Away Differential]]</f>
        <v>1.7493911999412441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0.88499213086539519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1.9153995907683643E-3</v>
      </c>
      <c r="H938" t="s">
        <v>29</v>
      </c>
      <c r="I938">
        <f>VLOOKUP(Table4[[#This Row],[Visitor]],'NHL Model'!$A$6:$B$38,2,FALSE)</f>
        <v>-1.6840122346544992</v>
      </c>
      <c r="J938">
        <f>($B$1+Table4[[#This Row],[Home Differential]])-Table4[[#This Row],[Away Differential]]</f>
        <v>1.8453472957700947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0.80628368095495151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-0.31985119938240425</v>
      </c>
      <c r="H939" t="s">
        <v>16</v>
      </c>
      <c r="I939">
        <f>VLOOKUP(Table4[[#This Row],[Visitor]],'NHL Model'!$A$6:$B$38,2,FALSE)</f>
        <v>-1.1167763879247272</v>
      </c>
      <c r="J939">
        <f>($B$1+Table4[[#This Row],[Home Differential]])-Table4[[#This Row],[Away Differential]]</f>
        <v>0.95634485006715009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0.67670732269797174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-0.75480422558713034</v>
      </c>
      <c r="H940" t="s">
        <v>22</v>
      </c>
      <c r="I940">
        <f>VLOOKUP(Table4[[#This Row],[Visitor]],'NHL Model'!$A$6:$B$38,2,FALSE)</f>
        <v>0.21430145909042725</v>
      </c>
      <c r="J940">
        <f>($B$1+Table4[[#This Row],[Home Differential]])-Table4[[#This Row],[Away Differential]]</f>
        <v>-0.80968602315273053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0.59651200749188005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-0.50599078340071213</v>
      </c>
      <c r="H941" t="s">
        <v>14</v>
      </c>
      <c r="I941">
        <f>VLOOKUP(Table4[[#This Row],[Visitor]],'NHL Model'!$A$6:$B$38,2,FALSE)</f>
        <v>-0.2200802314358897</v>
      </c>
      <c r="J941">
        <f>($B$1+Table4[[#This Row],[Home Differential]])-Table4[[#This Row],[Away Differential]]</f>
        <v>-0.12649089043999531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0.47808158529480244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-0.54160534998918008</v>
      </c>
      <c r="H942" t="s">
        <v>21</v>
      </c>
      <c r="I942">
        <f>VLOOKUP(Table4[[#This Row],[Visitor]],'NHL Model'!$A$6:$B$38,2,FALSE)</f>
        <v>-0.12487089668223171</v>
      </c>
      <c r="J942">
        <f>($B$1+Table4[[#This Row],[Home Differential]])-Table4[[#This Row],[Away Differential]]</f>
        <v>-0.25731479178212124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0.46453649884152504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-0.46055888840939002</v>
      </c>
      <c r="H943" t="s">
        <v>38</v>
      </c>
      <c r="I943">
        <f>VLOOKUP(Table4[[#This Row],[Visitor]],'NHL Model'!$A$6:$B$38,2,FALSE)</f>
        <v>-1.1267952052768424</v>
      </c>
      <c r="J943">
        <f>($B$1+Table4[[#This Row],[Home Differential]])-Table4[[#This Row],[Away Differential]]</f>
        <v>0.82565597839227955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0.66348019098153022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-0.3479098095875402</v>
      </c>
      <c r="H944" t="s">
        <v>17</v>
      </c>
      <c r="I944">
        <f>VLOOKUP(Table4[[#This Row],[Visitor]],'NHL Model'!$A$6:$B$38,2,FALSE)</f>
        <v>-0.8561868317598319</v>
      </c>
      <c r="J944">
        <f>($B$1+Table4[[#This Row],[Home Differential]])-Table4[[#This Row],[Away Differential]]</f>
        <v>0.66769668369711888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0.63544572336656424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-1.5594075795597986</v>
      </c>
      <c r="H945" t="s">
        <v>24</v>
      </c>
      <c r="I945">
        <f>VLOOKUP(Table4[[#This Row],[Visitor]],'NHL Model'!$A$6:$B$38,2,FALSE)</f>
        <v>2.0731927685773251E-2</v>
      </c>
      <c r="J945">
        <f>($B$1+Table4[[#This Row],[Home Differential]])-Table4[[#This Row],[Away Differential]]</f>
        <v>-1.4207198457207446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0.66391816596400055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0.1846559193064522</v>
      </c>
      <c r="H946" t="s">
        <v>23</v>
      </c>
      <c r="I946">
        <f>VLOOKUP(Table4[[#This Row],[Visitor]],'NHL Model'!$A$6:$B$38,2,FALSE)</f>
        <v>-0.49794713300108584</v>
      </c>
      <c r="J946">
        <f>($B$1+Table4[[#This Row],[Home Differential]])-Table4[[#This Row],[Away Differential]]</f>
        <v>0.84202271383236516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0.67947066446907312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-0.95664361852990654</v>
      </c>
      <c r="H947" t="s">
        <v>36</v>
      </c>
      <c r="I947">
        <f>VLOOKUP(Table4[[#This Row],[Visitor]],'NHL Model'!$A$6:$B$38,2,FALSE)</f>
        <v>-0.34257283900844787</v>
      </c>
      <c r="J947">
        <f>($B$1+Table4[[#This Row],[Home Differential]])-Table4[[#This Row],[Away Differential]]</f>
        <v>-0.45465111799663155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0.52499134396822966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0.35254565315374792</v>
      </c>
      <c r="H948" t="s">
        <v>16</v>
      </c>
      <c r="I948">
        <f>VLOOKUP(Table4[[#This Row],[Visitor]],'NHL Model'!$A$6:$B$38,2,FALSE)</f>
        <v>-1.1167763879247272</v>
      </c>
      <c r="J948">
        <f>($B$1+Table4[[#This Row],[Home Differential]])-Table4[[#This Row],[Away Differential]]</f>
        <v>1.6287417026033024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0.8677455594379776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-0.17681265190927384</v>
      </c>
      <c r="H949" t="s">
        <v>35</v>
      </c>
      <c r="I949">
        <f>VLOOKUP(Table4[[#This Row],[Visitor]],'NHL Model'!$A$6:$B$38,2,FALSE)</f>
        <v>-1.5594075795597986</v>
      </c>
      <c r="J949">
        <f>($B$1+Table4[[#This Row],[Home Differential]])-Table4[[#This Row],[Away Differential]]</f>
        <v>1.5420145891753518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0.76042748076969668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3.2883390994754517E-3</v>
      </c>
      <c r="H950" t="s">
        <v>11</v>
      </c>
      <c r="I950">
        <f>VLOOKUP(Table4[[#This Row],[Visitor]],'NHL Model'!$A$6:$B$38,2,FALSE)</f>
        <v>-0.21100886368613675</v>
      </c>
      <c r="J950">
        <f>($B$1+Table4[[#This Row],[Home Differential]])-Table4[[#This Row],[Away Differential]]</f>
        <v>0.37371686431043938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0.59342197635442284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-0.2200802314358897</v>
      </c>
      <c r="H951" t="s">
        <v>20</v>
      </c>
      <c r="I951">
        <f>VLOOKUP(Table4[[#This Row],[Visitor]],'NHL Model'!$A$6:$B$38,2,FALSE)</f>
        <v>-3.2309887002194844E-2</v>
      </c>
      <c r="J951">
        <f>($B$1+Table4[[#This Row],[Home Differential]])-Table4[[#This Row],[Away Differential]]</f>
        <v>-2.8350682908867712E-2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0.46405266568524767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-0.3479098095875402</v>
      </c>
      <c r="H952" t="s">
        <v>40</v>
      </c>
      <c r="I952">
        <f>VLOOKUP(Table4[[#This Row],[Visitor]],'NHL Model'!$A$6:$B$38,2,FALSE)</f>
        <v>-7.3890719153774626E-2</v>
      </c>
      <c r="J952">
        <f>($B$1+Table4[[#This Row],[Home Differential]])-Table4[[#This Row],[Away Differential]]</f>
        <v>-0.11459942890893843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0.54269751737001515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-0.1349739904770427</v>
      </c>
      <c r="H953" t="s">
        <v>10</v>
      </c>
      <c r="I953">
        <f>VLOOKUP(Table4[[#This Row],[Visitor]],'NHL Model'!$A$6:$B$38,2,FALSE)</f>
        <v>-0.13160108676160023</v>
      </c>
      <c r="J953">
        <f>($B$1+Table4[[#This Row],[Home Differential]])-Table4[[#This Row],[Away Differential]]</f>
        <v>0.15604675780938468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0.6257548052215588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-0.31985119938240425</v>
      </c>
      <c r="H954" t="s">
        <v>12</v>
      </c>
      <c r="I954">
        <f>VLOOKUP(Table4[[#This Row],[Visitor]],'NHL Model'!$A$6:$B$38,2,FALSE)</f>
        <v>1.4583704516548168</v>
      </c>
      <c r="J954">
        <f>($B$1+Table4[[#This Row],[Home Differential]])-Table4[[#This Row],[Away Differential]]</f>
        <v>-1.618801989512394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0.78389025296768167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-1.6840122346544992</v>
      </c>
      <c r="H955" t="s">
        <v>26</v>
      </c>
      <c r="I955">
        <f>VLOOKUP(Table4[[#This Row],[Visitor]],'NHL Model'!$A$6:$B$38,2,FALSE)</f>
        <v>-0.67114180037169746</v>
      </c>
      <c r="J955">
        <f>($B$1+Table4[[#This Row],[Home Differential]])-Table4[[#This Row],[Away Differential]]</f>
        <v>-0.85345077275797465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0.6027680789776626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-0.50599078340071213</v>
      </c>
      <c r="H956" t="s">
        <v>28</v>
      </c>
      <c r="I956">
        <f>VLOOKUP(Table4[[#This Row],[Visitor]],'NHL Model'!$A$6:$B$38,2,FALSE)</f>
        <v>-0.72083617366747277</v>
      </c>
      <c r="J956">
        <f>($B$1+Table4[[#This Row],[Home Differential]])-Table4[[#This Row],[Away Differential]]</f>
        <v>0.37426505179158776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0.59350033850891037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-0.46055888840939002</v>
      </c>
      <c r="H957" t="s">
        <v>25</v>
      </c>
      <c r="I957">
        <f>VLOOKUP(Table4[[#This Row],[Visitor]],'NHL Model'!$A$6:$B$38,2,FALSE)</f>
        <v>0.42254821659882374</v>
      </c>
      <c r="J957">
        <f>($B$1+Table4[[#This Row],[Home Differential]])-Table4[[#This Row],[Away Differential]]</f>
        <v>-0.72368744348338665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0.60977858914400584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-0.95664361852990654</v>
      </c>
      <c r="H958" t="s">
        <v>27</v>
      </c>
      <c r="I958">
        <f>VLOOKUP(Table4[[#This Row],[Visitor]],'NHL Model'!$A$6:$B$38,2,FALSE)</f>
        <v>-0.54160534998918008</v>
      </c>
      <c r="J958">
        <f>($B$1+Table4[[#This Row],[Home Differential]])-Table4[[#This Row],[Away Differential]]</f>
        <v>-0.25561860701589934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0.49654009889264833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-1.1267952052768424</v>
      </c>
      <c r="H959" t="s">
        <v>39</v>
      </c>
      <c r="I959">
        <f>VLOOKUP(Table4[[#This Row],[Visitor]],'NHL Model'!$A$6:$B$38,2,FALSE)</f>
        <v>1.9153995907683643E-3</v>
      </c>
      <c r="J959">
        <f>($B$1+Table4[[#This Row],[Home Differential]])-Table4[[#This Row],[Away Differential]]</f>
        <v>-0.96929094334278365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0.6795162062408604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0.35254565315374792</v>
      </c>
      <c r="H960" t="s">
        <v>12</v>
      </c>
      <c r="I960">
        <f>VLOOKUP(Table4[[#This Row],[Visitor]],'NHL Model'!$A$6:$B$38,2,FALSE)</f>
        <v>1.4583704516548168</v>
      </c>
      <c r="J960">
        <f>($B$1+Table4[[#This Row],[Home Differential]])-Table4[[#This Row],[Away Differential]]</f>
        <v>-0.94640513697624173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0.58983191784846145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-0.12487089668223171</v>
      </c>
      <c r="H961" t="s">
        <v>14</v>
      </c>
      <c r="I961">
        <f>VLOOKUP(Table4[[#This Row],[Visitor]],'NHL Model'!$A$6:$B$38,2,FALSE)</f>
        <v>-0.2200802314358897</v>
      </c>
      <c r="J961">
        <f>($B$1+Table4[[#This Row],[Home Differential]])-Table4[[#This Row],[Away Differential]]</f>
        <v>0.25462899627848512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0.62811461261832302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-0.49794713300108584</v>
      </c>
      <c r="H962" t="s">
        <v>20</v>
      </c>
      <c r="I962">
        <f>VLOOKUP(Table4[[#This Row],[Visitor]],'NHL Model'!$A$6:$B$38,2,FALSE)</f>
        <v>-3.2309887002194844E-2</v>
      </c>
      <c r="J962">
        <f>($B$1+Table4[[#This Row],[Home Differential]])-Table4[[#This Row],[Away Differential]]</f>
        <v>-0.30621758447406389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0.4897564872182823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-0.72083617366747277</v>
      </c>
      <c r="H963" t="s">
        <v>29</v>
      </c>
      <c r="I963">
        <f>VLOOKUP(Table4[[#This Row],[Visitor]],'NHL Model'!$A$6:$B$38,2,FALSE)</f>
        <v>-1.6840122346544992</v>
      </c>
      <c r="J963">
        <f>($B$1+Table4[[#This Row],[Home Differential]])-Table4[[#This Row],[Away Differential]]</f>
        <v>1.1225957225118535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0.70751845891221354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-1.1167763879247272</v>
      </c>
      <c r="H964" t="s">
        <v>39</v>
      </c>
      <c r="I964">
        <f>VLOOKUP(Table4[[#This Row],[Visitor]],'NHL Model'!$A$6:$B$38,2,FALSE)</f>
        <v>1.9153995907683643E-3</v>
      </c>
      <c r="J964">
        <f>($B$1+Table4[[#This Row],[Home Differential]])-Table4[[#This Row],[Away Differential]]</f>
        <v>-0.95927212599066847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0.67808403907154746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-0.8561868317598319</v>
      </c>
      <c r="H965" t="s">
        <v>36</v>
      </c>
      <c r="I965">
        <f>VLOOKUP(Table4[[#This Row],[Visitor]],'NHL Model'!$A$6:$B$38,2,FALSE)</f>
        <v>-0.34257283900844787</v>
      </c>
      <c r="J965">
        <f>($B$1+Table4[[#This Row],[Home Differential]])-Table4[[#This Row],[Away Differential]]</f>
        <v>-0.35419433122655691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0.47459440826223509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-0.17681265190927384</v>
      </c>
      <c r="H966" t="s">
        <v>37</v>
      </c>
      <c r="I966">
        <f>VLOOKUP(Table4[[#This Row],[Visitor]],'NHL Model'!$A$6:$B$38,2,FALSE)</f>
        <v>0.1846559193064522</v>
      </c>
      <c r="J966">
        <f>($B$1+Table4[[#This Row],[Home Differential]])-Table4[[#This Row],[Away Differential]]</f>
        <v>-0.20204890969089889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0.55519822188909129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2.0731927685773251E-2</v>
      </c>
      <c r="H967" t="s">
        <v>11</v>
      </c>
      <c r="I967">
        <f>VLOOKUP(Table4[[#This Row],[Visitor]],'NHL Model'!$A$6:$B$38,2,FALSE)</f>
        <v>-0.21100886368613675</v>
      </c>
      <c r="J967">
        <f>($B$1+Table4[[#This Row],[Home Differential]])-Table4[[#This Row],[Away Differential]]</f>
        <v>0.39116045289673718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0.71489408089238893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-0.3479098095875402</v>
      </c>
      <c r="H968" t="s">
        <v>18</v>
      </c>
      <c r="I968">
        <f>VLOOKUP(Table4[[#This Row],[Visitor]],'NHL Model'!$A$6:$B$38,2,FALSE)</f>
        <v>-0.75480422558713034</v>
      </c>
      <c r="J968">
        <f>($B$1+Table4[[#This Row],[Home Differential]])-Table4[[#This Row],[Away Differential]]</f>
        <v>0.56631407752441731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0.57385391875992053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-7.3890719153774626E-2</v>
      </c>
      <c r="H969" t="s">
        <v>10</v>
      </c>
      <c r="I969">
        <f>VLOOKUP(Table4[[#This Row],[Visitor]],'NHL Model'!$A$6:$B$38,2,FALSE)</f>
        <v>-0.13160108676160023</v>
      </c>
      <c r="J969">
        <f>($B$1+Table4[[#This Row],[Home Differential]])-Table4[[#This Row],[Away Differential]]</f>
        <v>0.21713002913265275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0.57353372336696951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0.21430145909042725</v>
      </c>
      <c r="H970" t="s">
        <v>55</v>
      </c>
      <c r="I970">
        <f>VLOOKUP(Table4[[#This Row],[Visitor]],'NHL Model'!$A$6:$B$38,2,FALSE)</f>
        <v>-0.1349739904770427</v>
      </c>
      <c r="J970">
        <f>($B$1+Table4[[#This Row],[Home Differential]])-Table4[[#This Row],[Away Differential]]</f>
        <v>0.50869511109229715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0.61271680994788891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0.35254565315374792</v>
      </c>
      <c r="H971" t="s">
        <v>30</v>
      </c>
      <c r="I971">
        <f>VLOOKUP(Table4[[#This Row],[Visitor]],'NHL Model'!$A$6:$B$38,2,FALSE)</f>
        <v>3.2883390994754517E-3</v>
      </c>
      <c r="J971">
        <f>($B$1+Table4[[#This Row],[Home Differential]])-Table4[[#This Row],[Away Differential]]</f>
        <v>0.50867697557909963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0.63793160882184419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-0.67114180037169746</v>
      </c>
      <c r="H972" t="s">
        <v>20</v>
      </c>
      <c r="I972">
        <f>VLOOKUP(Table4[[#This Row],[Visitor]],'NHL Model'!$A$6:$B$38,2,FALSE)</f>
        <v>-3.2309887002194844E-2</v>
      </c>
      <c r="J972">
        <f>($B$1+Table4[[#This Row],[Home Differential]])-Table4[[#This Row],[Away Differential]]</f>
        <v>-0.47941225184467551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0.49628482596540674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2.0731927685773251E-2</v>
      </c>
      <c r="H973" t="s">
        <v>19</v>
      </c>
      <c r="I973">
        <f>VLOOKUP(Table4[[#This Row],[Visitor]],'NHL Model'!$A$6:$B$38,2,FALSE)</f>
        <v>-0.95664361852990654</v>
      </c>
      <c r="J973">
        <f>($B$1+Table4[[#This Row],[Home Differential]])-Table4[[#This Row],[Away Differential]]</f>
        <v>1.136795207740507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0.82148087438857709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-0.46055888840939002</v>
      </c>
      <c r="H974" t="s">
        <v>35</v>
      </c>
      <c r="I974">
        <f>VLOOKUP(Table4[[#This Row],[Visitor]],'NHL Model'!$A$6:$B$38,2,FALSE)</f>
        <v>-1.5594075795597986</v>
      </c>
      <c r="J974">
        <f>($B$1+Table4[[#This Row],[Home Differential]])-Table4[[#This Row],[Away Differential]]</f>
        <v>1.2582683526752358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0.74590433702094627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-1.1267952052768424</v>
      </c>
      <c r="H975" t="s">
        <v>25</v>
      </c>
      <c r="I975">
        <f>VLOOKUP(Table4[[#This Row],[Visitor]],'NHL Model'!$A$6:$B$38,2,FALSE)</f>
        <v>0.42254821659882374</v>
      </c>
      <c r="J975">
        <f>($B$1+Table4[[#This Row],[Home Differential]])-Table4[[#This Row],[Away Differential]]</f>
        <v>-1.389923760350839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0.73130961157525554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-0.72083617366747277</v>
      </c>
      <c r="H976" t="s">
        <v>11</v>
      </c>
      <c r="I976">
        <f>VLOOKUP(Table4[[#This Row],[Visitor]],'NHL Model'!$A$6:$B$38,2,FALSE)</f>
        <v>-0.21100886368613675</v>
      </c>
      <c r="J976">
        <f>($B$1+Table4[[#This Row],[Home Differential]])-Table4[[#This Row],[Away Differential]]</f>
        <v>-0.3504076484565089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0.50304402506627266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-1.1167763879247272</v>
      </c>
      <c r="H977" t="s">
        <v>36</v>
      </c>
      <c r="I977">
        <f>VLOOKUP(Table4[[#This Row],[Visitor]],'NHL Model'!$A$6:$B$38,2,FALSE)</f>
        <v>-0.34257283900844787</v>
      </c>
      <c r="J977">
        <f>($B$1+Table4[[#This Row],[Home Differential]])-Table4[[#This Row],[Away Differential]]</f>
        <v>-0.61478388739145218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0.54788195939700568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-0.31985119938240425</v>
      </c>
      <c r="H978" t="s">
        <v>30</v>
      </c>
      <c r="I978">
        <f>VLOOKUP(Table4[[#This Row],[Visitor]],'NHL Model'!$A$6:$B$38,2,FALSE)</f>
        <v>3.2883390994754517E-3</v>
      </c>
      <c r="J978">
        <f>($B$1+Table4[[#This Row],[Home Differential]])-Table4[[#This Row],[Away Differential]]</f>
        <v>-0.16371987695705256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0.55602655340973062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-1.6840122346544992</v>
      </c>
      <c r="H979" t="s">
        <v>21</v>
      </c>
      <c r="I979">
        <f>VLOOKUP(Table4[[#This Row],[Visitor]],'NHL Model'!$A$6:$B$38,2,FALSE)</f>
        <v>-0.12487089668223171</v>
      </c>
      <c r="J979">
        <f>($B$1+Table4[[#This Row],[Home Differential]])-Table4[[#This Row],[Away Differential]]</f>
        <v>-1.3997216764474405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0.66008703230430987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-0.50599078340071213</v>
      </c>
      <c r="H980" t="s">
        <v>19</v>
      </c>
      <c r="I980">
        <f>VLOOKUP(Table4[[#This Row],[Visitor]],'NHL Model'!$A$6:$B$38,2,FALSE)</f>
        <v>-0.95664361852990654</v>
      </c>
      <c r="J980">
        <f>($B$1+Table4[[#This Row],[Home Differential]])-Table4[[#This Row],[Away Differential]]</f>
        <v>0.61007249665402152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0.62720847679932878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-0.54160534998918008</v>
      </c>
      <c r="H981" t="s">
        <v>55</v>
      </c>
      <c r="I981">
        <f>VLOOKUP(Table4[[#This Row],[Visitor]],'NHL Model'!$A$6:$B$38,2,FALSE)</f>
        <v>-0.1349739904770427</v>
      </c>
      <c r="J981">
        <f>($B$1+Table4[[#This Row],[Home Differential]])-Table4[[#This Row],[Away Differential]]</f>
        <v>-0.24721169798731027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0.46309228454627566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-0.2200802314358897</v>
      </c>
      <c r="H982" t="s">
        <v>23</v>
      </c>
      <c r="I982">
        <f>VLOOKUP(Table4[[#This Row],[Visitor]],'NHL Model'!$A$6:$B$38,2,FALSE)</f>
        <v>-0.49794713300108584</v>
      </c>
      <c r="J982">
        <f>($B$1+Table4[[#This Row],[Home Differential]])-Table4[[#This Row],[Away Differential]]</f>
        <v>0.43728656309002328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0.60250912031119042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-7.3890719153774626E-2</v>
      </c>
      <c r="H983" t="s">
        <v>37</v>
      </c>
      <c r="I983">
        <f>VLOOKUP(Table4[[#This Row],[Visitor]],'NHL Model'!$A$6:$B$38,2,FALSE)</f>
        <v>0.1846559193064522</v>
      </c>
      <c r="J983">
        <f>($B$1+Table4[[#This Row],[Home Differential]])-Table4[[#This Row],[Away Differential]]</f>
        <v>-9.912697693539968E-2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0.53797949986264992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0.35254565315374792</v>
      </c>
      <c r="H984" t="s">
        <v>18</v>
      </c>
      <c r="I984">
        <f>VLOOKUP(Table4[[#This Row],[Visitor]],'NHL Model'!$A$6:$B$38,2,FALSE)</f>
        <v>-0.75480422558713034</v>
      </c>
      <c r="J984">
        <f>($B$1+Table4[[#This Row],[Home Differential]])-Table4[[#This Row],[Away Differential]]</f>
        <v>1.2667695402657055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0.771245761042335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-0.13160108676160023</v>
      </c>
      <c r="H985" t="s">
        <v>38</v>
      </c>
      <c r="I985">
        <f>VLOOKUP(Table4[[#This Row],[Visitor]],'NHL Model'!$A$6:$B$38,2,FALSE)</f>
        <v>-1.1267952052768424</v>
      </c>
      <c r="J985">
        <f>($B$1+Table4[[#This Row],[Home Differential]])-Table4[[#This Row],[Away Differential]]</f>
        <v>1.1546137800400693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0.68428018483475306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1.9153995907683643E-3</v>
      </c>
      <c r="H986" t="s">
        <v>12</v>
      </c>
      <c r="I986">
        <f>VLOOKUP(Table4[[#This Row],[Visitor]],'NHL Model'!$A$6:$B$38,2,FALSE)</f>
        <v>1.4583704516548168</v>
      </c>
      <c r="J986">
        <f>($B$1+Table4[[#This Row],[Home Differential]])-Table4[[#This Row],[Away Differential]]</f>
        <v>-1.2970353905392213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0.73540826112326008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-0.67114180037169746</v>
      </c>
      <c r="H987" t="s">
        <v>11</v>
      </c>
      <c r="I987">
        <f>VLOOKUP(Table4[[#This Row],[Visitor]],'NHL Model'!$A$6:$B$38,2,FALSE)</f>
        <v>-0.21100886368613675</v>
      </c>
      <c r="J987">
        <f>($B$1+Table4[[#This Row],[Home Differential]])-Table4[[#This Row],[Away Differential]]</f>
        <v>-0.3007132751607336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0.47074021340267519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-0.8561868317598319</v>
      </c>
      <c r="H988" t="s">
        <v>25</v>
      </c>
      <c r="I988">
        <f>VLOOKUP(Table4[[#This Row],[Visitor]],'NHL Model'!$A$6:$B$38,2,FALSE)</f>
        <v>0.42254821659882374</v>
      </c>
      <c r="J988">
        <f>($B$1+Table4[[#This Row],[Home Differential]])-Table4[[#This Row],[Away Differential]]</f>
        <v>-1.1193153868338286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0.65612762153051474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-0.3479098095875402</v>
      </c>
      <c r="H989" t="s">
        <v>35</v>
      </c>
      <c r="I989">
        <f>VLOOKUP(Table4[[#This Row],[Visitor]],'NHL Model'!$A$6:$B$38,2,FALSE)</f>
        <v>-1.5594075795597986</v>
      </c>
      <c r="J989">
        <f>($B$1+Table4[[#This Row],[Home Differential]])-Table4[[#This Row],[Away Differential]]</f>
        <v>1.3709174314970856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0.73596953095610573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-3.2309887002194844E-2</v>
      </c>
      <c r="H990" t="s">
        <v>34</v>
      </c>
      <c r="I990">
        <f>VLOOKUP(Table4[[#This Row],[Visitor]],'NHL Model'!$A$6:$B$38,2,FALSE)</f>
        <v>-0.17681265190927384</v>
      </c>
      <c r="J990">
        <f>($B$1+Table4[[#This Row],[Home Differential]])-Table4[[#This Row],[Away Differential]]</f>
        <v>0.30392242643190615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0.56267578932206774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-0.12487089668223171</v>
      </c>
      <c r="H991" t="s">
        <v>22</v>
      </c>
      <c r="I991">
        <f>VLOOKUP(Table4[[#This Row],[Visitor]],'NHL Model'!$A$6:$B$38,2,FALSE)</f>
        <v>0.21430145909042725</v>
      </c>
      <c r="J991">
        <f>($B$1+Table4[[#This Row],[Home Differential]])-Table4[[#This Row],[Away Differential]]</f>
        <v>-0.1797526942478318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0.45426666766498647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-0.49794713300108584</v>
      </c>
      <c r="H992" t="s">
        <v>29</v>
      </c>
      <c r="I992">
        <f>VLOOKUP(Table4[[#This Row],[Visitor]],'NHL Model'!$A$6:$B$38,2,FALSE)</f>
        <v>-1.6840122346544992</v>
      </c>
      <c r="J992">
        <f>($B$1+Table4[[#This Row],[Home Differential]])-Table4[[#This Row],[Away Differential]]</f>
        <v>1.3454847631782405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0.74635060932293551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-0.72083617366747277</v>
      </c>
      <c r="H993" t="s">
        <v>55</v>
      </c>
      <c r="I993">
        <f>VLOOKUP(Table4[[#This Row],[Visitor]],'NHL Model'!$A$6:$B$38,2,FALSE)</f>
        <v>-0.1349739904770427</v>
      </c>
      <c r="J993">
        <f>($B$1+Table4[[#This Row],[Home Differential]])-Table4[[#This Row],[Away Differential]]</f>
        <v>-0.42644252166560292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0.51391303737638772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-1.1167763879247272</v>
      </c>
      <c r="H994" t="s">
        <v>25</v>
      </c>
      <c r="I994">
        <f>VLOOKUP(Table4[[#This Row],[Visitor]],'NHL Model'!$A$6:$B$38,2,FALSE)</f>
        <v>0.42254821659882374</v>
      </c>
      <c r="J994">
        <f>($B$1+Table4[[#This Row],[Home Differential]])-Table4[[#This Row],[Away Differential]]</f>
        <v>-1.3799049429987238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0.7298774444059426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-0.31985119938240425</v>
      </c>
      <c r="H995" t="s">
        <v>18</v>
      </c>
      <c r="I995">
        <f>VLOOKUP(Table4[[#This Row],[Visitor]],'NHL Model'!$A$6:$B$38,2,FALSE)</f>
        <v>-0.75480422558713034</v>
      </c>
      <c r="J995">
        <f>($B$1+Table4[[#This Row],[Home Differential]])-Table4[[#This Row],[Away Differential]]</f>
        <v>0.59437268772955321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0.57786483331600436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2.0731927685773251E-2</v>
      </c>
      <c r="H996" t="s">
        <v>15</v>
      </c>
      <c r="I996">
        <f>VLOOKUP(Table4[[#This Row],[Visitor]],'NHL Model'!$A$6:$B$38,2,FALSE)</f>
        <v>-0.50599078340071213</v>
      </c>
      <c r="J996">
        <f>($B$1+Table4[[#This Row],[Home Differential]])-Table4[[#This Row],[Away Differential]]</f>
        <v>0.6861423726113125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0.67839337350175843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-0.2200802314358897</v>
      </c>
      <c r="H997" t="s">
        <v>27</v>
      </c>
      <c r="I997">
        <f>VLOOKUP(Table4[[#This Row],[Visitor]],'NHL Model'!$A$6:$B$38,2,FALSE)</f>
        <v>-0.54160534998918008</v>
      </c>
      <c r="J997">
        <f>($B$1+Table4[[#This Row],[Home Differential]])-Table4[[#This Row],[Away Differential]]</f>
        <v>0.48094478007811753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0.60874996320148289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-0.46055888840939002</v>
      </c>
      <c r="H998" t="s">
        <v>36</v>
      </c>
      <c r="I998">
        <f>VLOOKUP(Table4[[#This Row],[Visitor]],'NHL Model'!$A$6:$B$38,2,FALSE)</f>
        <v>-0.34257283900844787</v>
      </c>
      <c r="J998">
        <f>($B$1+Table4[[#This Row],[Home Differential]])-Table4[[#This Row],[Away Differential]]</f>
        <v>4.1433612123885022E-2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0.57196057653018206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-0.3479098095875402</v>
      </c>
      <c r="H999" t="s">
        <v>30</v>
      </c>
      <c r="I999">
        <f>VLOOKUP(Table4[[#This Row],[Visitor]],'NHL Model'!$A$6:$B$38,2,FALSE)</f>
        <v>3.2883390994754517E-3</v>
      </c>
      <c r="J999">
        <f>($B$1+Table4[[#This Row],[Home Differential]])-Table4[[#This Row],[Away Differential]]</f>
        <v>-0.19177848716218851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0.56003746796581444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-0.95664361852990654</v>
      </c>
      <c r="H1000" t="s">
        <v>37</v>
      </c>
      <c r="I1000">
        <f>VLOOKUP(Table4[[#This Row],[Visitor]],'NHL Model'!$A$6:$B$38,2,FALSE)</f>
        <v>0.1846559193064522</v>
      </c>
      <c r="J1000">
        <f>($B$1+Table4[[#This Row],[Home Differential]])-Table4[[#This Row],[Away Differential]]</f>
        <v>-0.98187987631153162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0.66667328613625321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-7.3890719153774626E-2</v>
      </c>
      <c r="H1001" t="s">
        <v>38</v>
      </c>
      <c r="I1001">
        <f>VLOOKUP(Table4[[#This Row],[Visitor]],'NHL Model'!$A$6:$B$38,2,FALSE)</f>
        <v>-1.1267952052768424</v>
      </c>
      <c r="J1001">
        <f>($B$1+Table4[[#This Row],[Home Differential]])-Table4[[#This Row],[Away Differential]]</f>
        <v>1.212324147647895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0.69503811192185516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0.35254565315374792</v>
      </c>
      <c r="H1002" t="s">
        <v>35</v>
      </c>
      <c r="I1002">
        <f>VLOOKUP(Table4[[#This Row],[Visitor]],'NHL Model'!$A$6:$B$38,2,FALSE)</f>
        <v>-1.5594075795597986</v>
      </c>
      <c r="J1002">
        <f>($B$1+Table4[[#This Row],[Home Differential]])-Table4[[#This Row],[Away Differential]]</f>
        <v>2.0713728942383738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0.93101868225219531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-0.49794713300108584</v>
      </c>
      <c r="H1003" t="s">
        <v>37</v>
      </c>
      <c r="I1003">
        <f>VLOOKUP(Table4[[#This Row],[Visitor]],'NHL Model'!$A$6:$B$38,2,FALSE)</f>
        <v>0.1846559193064522</v>
      </c>
      <c r="J1003">
        <f>($B$1+Table4[[#This Row],[Home Differential]])-Table4[[#This Row],[Away Differential]]</f>
        <v>-0.52318339078271092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0.58698299855130687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1.4583704516548168</v>
      </c>
      <c r="H1004" t="s">
        <v>34</v>
      </c>
      <c r="I1004">
        <f>VLOOKUP(Table4[[#This Row],[Visitor]],'NHL Model'!$A$6:$B$38,2,FALSE)</f>
        <v>-0.17681265190927384</v>
      </c>
      <c r="J1004">
        <f>($B$1+Table4[[#This Row],[Home Differential]])-Table4[[#This Row],[Away Differential]]</f>
        <v>1.7946027650889178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0.87191900180856774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1.9153995907683643E-3</v>
      </c>
      <c r="H1005" t="s">
        <v>10</v>
      </c>
      <c r="I1005">
        <f>VLOOKUP(Table4[[#This Row],[Visitor]],'NHL Model'!$A$6:$B$38,2,FALSE)</f>
        <v>-0.13160108676160023</v>
      </c>
      <c r="J1005">
        <f>($B$1+Table4[[#This Row],[Home Differential]])-Table4[[#This Row],[Away Differential]]</f>
        <v>0.29293614787719574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0.58437003574629931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2.0731927685773251E-2</v>
      </c>
      <c r="H1006" t="s">
        <v>26</v>
      </c>
      <c r="I1006">
        <f>VLOOKUP(Table4[[#This Row],[Visitor]],'NHL Model'!$A$6:$B$38,2,FALSE)</f>
        <v>-0.67114180037169746</v>
      </c>
      <c r="J1006">
        <f>($B$1+Table4[[#This Row],[Home Differential]])-Table4[[#This Row],[Away Differential]]</f>
        <v>0.85129338958229783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0.7616904551868563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-0.2200802314358897</v>
      </c>
      <c r="H1007" t="s">
        <v>21</v>
      </c>
      <c r="I1007">
        <f>VLOOKUP(Table4[[#This Row],[Visitor]],'NHL Model'!$A$6:$B$38,2,FALSE)</f>
        <v>-0.12487089668223171</v>
      </c>
      <c r="J1007">
        <f>($B$1+Table4[[#This Row],[Home Differential]])-Table4[[#This Row],[Away Differential]]</f>
        <v>6.4210326771169154E-2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0.54917872027211956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-3.2309887002194844E-2</v>
      </c>
      <c r="H1008" t="s">
        <v>17</v>
      </c>
      <c r="I1008">
        <f>VLOOKUP(Table4[[#This Row],[Visitor]],'NHL Model'!$A$6:$B$38,2,FALSE)</f>
        <v>-0.8561868317598319</v>
      </c>
      <c r="J1008">
        <f>($B$1+Table4[[#This Row],[Home Differential]])-Table4[[#This Row],[Away Differential]]</f>
        <v>0.98329660628246418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0.68056001499191288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-0.13160108676160023</v>
      </c>
      <c r="H1009" t="s">
        <v>55</v>
      </c>
      <c r="I1009">
        <f>VLOOKUP(Table4[[#This Row],[Visitor]],'NHL Model'!$A$6:$B$38,2,FALSE)</f>
        <v>-0.1349739904770427</v>
      </c>
      <c r="J1009">
        <f>($B$1+Table4[[#This Row],[Home Differential]])-Table4[[#This Row],[Away Differential]]</f>
        <v>0.16279256524026961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0.56327082719959176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-0.54160534998918008</v>
      </c>
      <c r="H1010" t="s">
        <v>15</v>
      </c>
      <c r="I1010">
        <f>VLOOKUP(Table4[[#This Row],[Visitor]],'NHL Model'!$A$6:$B$38,2,FALSE)</f>
        <v>-0.50599078340071213</v>
      </c>
      <c r="J1010">
        <f>($B$1+Table4[[#This Row],[Home Differential]])-Table4[[#This Row],[Away Differential]]</f>
        <v>0.12380509493635916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0.50678062636425636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-1.1267952052768424</v>
      </c>
      <c r="H1011" t="s">
        <v>36</v>
      </c>
      <c r="I1011">
        <f>VLOOKUP(Table4[[#This Row],[Visitor]],'NHL Model'!$A$6:$B$38,2,FALSE)</f>
        <v>-0.34257283900844787</v>
      </c>
      <c r="J1011">
        <f>($B$1+Table4[[#This Row],[Home Differential]])-Table4[[#This Row],[Away Differential]]</f>
        <v>-0.62480270474356736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0.54931412656631862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0.21430145909042725</v>
      </c>
      <c r="H1012" t="s">
        <v>16</v>
      </c>
      <c r="I1012">
        <f>VLOOKUP(Table4[[#This Row],[Visitor]],'NHL Model'!$A$6:$B$38,2,FALSE)</f>
        <v>-1.1167763879247272</v>
      </c>
      <c r="J1012">
        <f>($B$1+Table4[[#This Row],[Home Differential]])-Table4[[#This Row],[Away Differential]]</f>
        <v>1.4904975085399816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0.75306323118296814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-0.12487089668223171</v>
      </c>
      <c r="H1013" t="s">
        <v>13</v>
      </c>
      <c r="I1013">
        <f>VLOOKUP(Table4[[#This Row],[Visitor]],'NHL Model'!$A$6:$B$38,2,FALSE)</f>
        <v>-0.31985119938240425</v>
      </c>
      <c r="J1013">
        <f>($B$1+Table4[[#This Row],[Home Differential]])-Table4[[#This Row],[Away Differential]]</f>
        <v>0.3543999642249997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0.55975157848234747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-0.49794713300108584</v>
      </c>
      <c r="H1014" t="s">
        <v>33</v>
      </c>
      <c r="I1014">
        <f>VLOOKUP(Table4[[#This Row],[Visitor]],'NHL Model'!$A$6:$B$38,2,FALSE)</f>
        <v>-0.3479098095875402</v>
      </c>
      <c r="J1014">
        <f>($B$1+Table4[[#This Row],[Home Differential]])-Table4[[#This Row],[Away Differential]]</f>
        <v>9.3823381112814741E-3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0.55535780440706639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0.42254821659882374</v>
      </c>
      <c r="H1015" t="s">
        <v>14</v>
      </c>
      <c r="I1015">
        <f>VLOOKUP(Table4[[#This Row],[Visitor]],'NHL Model'!$A$6:$B$38,2,FALSE)</f>
        <v>-0.2200802314358897</v>
      </c>
      <c r="J1015">
        <f>($B$1+Table4[[#This Row],[Home Differential]])-Table4[[#This Row],[Away Differential]]</f>
        <v>0.80204810955954065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0.70636693066562162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1.4583704516548168</v>
      </c>
      <c r="H1016" t="s">
        <v>17</v>
      </c>
      <c r="I1016">
        <f>VLOOKUP(Table4[[#This Row],[Visitor]],'NHL Model'!$A$6:$B$38,2,FALSE)</f>
        <v>-0.8561868317598319</v>
      </c>
      <c r="J1016">
        <f>($B$1+Table4[[#This Row],[Home Differential]])-Table4[[#This Row],[Away Differential]]</f>
        <v>2.473976944939476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0.98857001624520169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1.9153995907683643E-3</v>
      </c>
      <c r="H1017" t="s">
        <v>20</v>
      </c>
      <c r="I1017">
        <f>VLOOKUP(Table4[[#This Row],[Visitor]],'NHL Model'!$A$6:$B$38,2,FALSE)</f>
        <v>-3.2309887002194844E-2</v>
      </c>
      <c r="J1017">
        <f>($B$1+Table4[[#This Row],[Home Differential]])-Table4[[#This Row],[Away Differential]]</f>
        <v>0.19364494811779034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0.57017658441373376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-0.21100886368613675</v>
      </c>
      <c r="H1018" t="s">
        <v>26</v>
      </c>
      <c r="I1018">
        <f>VLOOKUP(Table4[[#This Row],[Visitor]],'NHL Model'!$A$6:$B$38,2,FALSE)</f>
        <v>-0.67114180037169746</v>
      </c>
      <c r="J1018">
        <f>($B$1+Table4[[#This Row],[Home Differential]])-Table4[[#This Row],[Away Differential]]</f>
        <v>0.61955259821038788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0.65999220719862584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-0.17681265190927384</v>
      </c>
      <c r="H1019" t="s">
        <v>55</v>
      </c>
      <c r="I1019">
        <f>VLOOKUP(Table4[[#This Row],[Visitor]],'NHL Model'!$A$6:$B$38,2,FALSE)</f>
        <v>-0.1349739904770427</v>
      </c>
      <c r="J1019">
        <f>($B$1+Table4[[#This Row],[Home Differential]])-Table4[[#This Row],[Away Differential]]</f>
        <v>0.11758100009259601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0.55680793672039974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-0.75480422558713034</v>
      </c>
      <c r="H1020" t="s">
        <v>19</v>
      </c>
      <c r="I1020">
        <f>VLOOKUP(Table4[[#This Row],[Visitor]],'NHL Model'!$A$6:$B$38,2,FALSE)</f>
        <v>-0.95664361852990654</v>
      </c>
      <c r="J1020">
        <f>($B$1+Table4[[#This Row],[Home Differential]])-Table4[[#This Row],[Away Differential]]</f>
        <v>0.36125905446760331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0.5916411607520019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-0.50599078340071213</v>
      </c>
      <c r="H1021" t="s">
        <v>16</v>
      </c>
      <c r="I1021">
        <f>VLOOKUP(Table4[[#This Row],[Visitor]],'NHL Model'!$A$6:$B$38,2,FALSE)</f>
        <v>-1.1167763879247272</v>
      </c>
      <c r="J1021">
        <f>($B$1+Table4[[#This Row],[Home Differential]])-Table4[[#This Row],[Away Differential]]</f>
        <v>0.77020526604884221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0.6500990922281048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-0.46055888840939002</v>
      </c>
      <c r="H1022" t="s">
        <v>29</v>
      </c>
      <c r="I1022">
        <f>VLOOKUP(Table4[[#This Row],[Visitor]],'NHL Model'!$A$6:$B$38,2,FALSE)</f>
        <v>-1.6840122346544992</v>
      </c>
      <c r="J1022">
        <f>($B$1+Table4[[#This Row],[Home Differential]])-Table4[[#This Row],[Away Differential]]</f>
        <v>1.3828730077699363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0.76371628926025059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-1.5594075795597986</v>
      </c>
      <c r="H1023" t="s">
        <v>30</v>
      </c>
      <c r="I1023">
        <f>VLOOKUP(Table4[[#This Row],[Visitor]],'NHL Model'!$A$6:$B$38,2,FALSE)</f>
        <v>3.2883390994754517E-3</v>
      </c>
      <c r="J1023">
        <f>($B$1+Table4[[#This Row],[Home Differential]])-Table4[[#This Row],[Away Differential]]</f>
        <v>-1.4032762571344468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0.73321832064237935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0.1846559193064522</v>
      </c>
      <c r="H1024" t="s">
        <v>28</v>
      </c>
      <c r="I1024">
        <f>VLOOKUP(Table4[[#This Row],[Visitor]],'NHL Model'!$A$6:$B$38,2,FALSE)</f>
        <v>-0.72083617366747277</v>
      </c>
      <c r="J1024">
        <f>($B$1+Table4[[#This Row],[Home Differential]])-Table4[[#This Row],[Away Differential]]</f>
        <v>1.0649117544987521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0.71133214624113639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-7.3890719153774626E-2</v>
      </c>
      <c r="H1025" t="s">
        <v>31</v>
      </c>
      <c r="I1025">
        <f>VLOOKUP(Table4[[#This Row],[Visitor]],'NHL Model'!$A$6:$B$38,2,FALSE)</f>
        <v>0.35254565315374792</v>
      </c>
      <c r="J1025">
        <f>($B$1+Table4[[#This Row],[Home Differential]])-Table4[[#This Row],[Away Differential]]</f>
        <v>-0.2670167107826954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0.51643030148525948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-0.34257283900844787</v>
      </c>
      <c r="H1026" t="s">
        <v>18</v>
      </c>
      <c r="I1026">
        <f>VLOOKUP(Table4[[#This Row],[Visitor]],'NHL Model'!$A$6:$B$38,2,FALSE)</f>
        <v>-0.75480422558713034</v>
      </c>
      <c r="J1026">
        <f>($B$1+Table4[[#This Row],[Home Differential]])-Table4[[#This Row],[Away Differential]]</f>
        <v>0.57165104810350964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0.57712906209154746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-0.54160534998918008</v>
      </c>
      <c r="H1027" t="s">
        <v>22</v>
      </c>
      <c r="I1027">
        <f>VLOOKUP(Table4[[#This Row],[Visitor]],'NHL Model'!$A$6:$B$38,2,FALSE)</f>
        <v>0.21430145909042725</v>
      </c>
      <c r="J1027">
        <f>($B$1+Table4[[#This Row],[Home Differential]])-Table4[[#This Row],[Away Differential]]</f>
        <v>-0.59648714755478016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0.53354234409188683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-0.12487089668223171</v>
      </c>
      <c r="H1028" t="s">
        <v>33</v>
      </c>
      <c r="I1028">
        <f>VLOOKUP(Table4[[#This Row],[Visitor]],'NHL Model'!$A$6:$B$38,2,FALSE)</f>
        <v>-0.3479098095875402</v>
      </c>
      <c r="J1028">
        <f>($B$1+Table4[[#This Row],[Home Differential]])-Table4[[#This Row],[Away Differential]]</f>
        <v>0.38245857443013564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0.64638756027888311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-0.49794713300108584</v>
      </c>
      <c r="H1029" t="s">
        <v>22</v>
      </c>
      <c r="I1029">
        <f>VLOOKUP(Table4[[#This Row],[Visitor]],'NHL Model'!$A$6:$B$38,2,FALSE)</f>
        <v>0.21430145909042725</v>
      </c>
      <c r="J1029">
        <f>($B$1+Table4[[#This Row],[Home Differential]])-Table4[[#This Row],[Away Differential]]</f>
        <v>-0.55282893056668603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0.5456923057992954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0.42254821659882374</v>
      </c>
      <c r="H1030" t="s">
        <v>35</v>
      </c>
      <c r="I1030">
        <f>VLOOKUP(Table4[[#This Row],[Visitor]],'NHL Model'!$A$6:$B$38,2,FALSE)</f>
        <v>-1.5594075795597986</v>
      </c>
      <c r="J1030">
        <f>($B$1+Table4[[#This Row],[Home Differential]])-Table4[[#This Row],[Away Differential]]</f>
        <v>2.1413754576834494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0.89782073100274662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1.9153995907683643E-3</v>
      </c>
      <c r="H1031" t="s">
        <v>17</v>
      </c>
      <c r="I1031">
        <f>VLOOKUP(Table4[[#This Row],[Visitor]],'NHL Model'!$A$6:$B$38,2,FALSE)</f>
        <v>-0.8561868317598319</v>
      </c>
      <c r="J1031">
        <f>($B$1+Table4[[#This Row],[Home Differential]])-Table4[[#This Row],[Away Differential]]</f>
        <v>1.0175218928754275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0.68794792112610581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-0.21100886368613675</v>
      </c>
      <c r="H1032" t="s">
        <v>28</v>
      </c>
      <c r="I1032">
        <f>VLOOKUP(Table4[[#This Row],[Visitor]],'NHL Model'!$A$6:$B$38,2,FALSE)</f>
        <v>-0.72083617366747277</v>
      </c>
      <c r="J1032">
        <f>($B$1+Table4[[#This Row],[Home Differential]])-Table4[[#This Row],[Away Differential]]</f>
        <v>0.66924697150616319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0.6873833098166714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-0.17681265190927384</v>
      </c>
      <c r="H1033" t="s">
        <v>27</v>
      </c>
      <c r="I1033">
        <f>VLOOKUP(Table4[[#This Row],[Visitor]],'NHL Model'!$A$6:$B$38,2,FALSE)</f>
        <v>-0.54160534998918008</v>
      </c>
      <c r="J1033">
        <f>($B$1+Table4[[#This Row],[Home Differential]])-Table4[[#This Row],[Away Differential]]</f>
        <v>0.52421235960473345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0.61493496535451375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2.0731927685773251E-2</v>
      </c>
      <c r="H1034" t="s">
        <v>16</v>
      </c>
      <c r="I1034">
        <f>VLOOKUP(Table4[[#This Row],[Visitor]],'NHL Model'!$A$6:$B$38,2,FALSE)</f>
        <v>-1.1167763879247272</v>
      </c>
      <c r="J1034">
        <f>($B$1+Table4[[#This Row],[Home Differential]])-Table4[[#This Row],[Away Differential]]</f>
        <v>1.2969279771353277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0.8443714898173531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-0.46055888840939002</v>
      </c>
      <c r="H1035" t="s">
        <v>12</v>
      </c>
      <c r="I1035">
        <f>VLOOKUP(Table4[[#This Row],[Visitor]],'NHL Model'!$A$6:$B$38,2,FALSE)</f>
        <v>1.4583704516548168</v>
      </c>
      <c r="J1035">
        <f>($B$1+Table4[[#This Row],[Home Differential]])-Table4[[#This Row],[Away Differential]]</f>
        <v>-1.7595096785393798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0.77783369893636178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0.1846559193064522</v>
      </c>
      <c r="H1036" t="s">
        <v>26</v>
      </c>
      <c r="I1036">
        <f>VLOOKUP(Table4[[#This Row],[Visitor]],'NHL Model'!$A$6:$B$38,2,FALSE)</f>
        <v>-0.67114180037169746</v>
      </c>
      <c r="J1036">
        <f>($B$1+Table4[[#This Row],[Home Differential]])-Table4[[#This Row],[Away Differential]]</f>
        <v>1.0152173812029768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0.68358455567751453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-0.95664361852990654</v>
      </c>
      <c r="H1037" t="s">
        <v>31</v>
      </c>
      <c r="I1037">
        <f>VLOOKUP(Table4[[#This Row],[Visitor]],'NHL Model'!$A$6:$B$38,2,FALSE)</f>
        <v>0.35254565315374792</v>
      </c>
      <c r="J1037">
        <f>($B$1+Table4[[#This Row],[Home Differential]])-Table4[[#This Row],[Away Differential]]</f>
        <v>-1.1497696101588273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0.64512618329871563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-0.1349739904770427</v>
      </c>
      <c r="H1038" t="s">
        <v>10</v>
      </c>
      <c r="I1038">
        <f>VLOOKUP(Table4[[#This Row],[Visitor]],'NHL Model'!$A$6:$B$38,2,FALSE)</f>
        <v>-0.13160108676160023</v>
      </c>
      <c r="J1038">
        <f>($B$1+Table4[[#This Row],[Home Differential]])-Table4[[#This Row],[Away Differential]]</f>
        <v>0.15604675780938468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0.6257548052215588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-1.1267952052768424</v>
      </c>
      <c r="H1039" t="s">
        <v>29</v>
      </c>
      <c r="I1039">
        <f>VLOOKUP(Table4[[#This Row],[Visitor]],'NHL Model'!$A$6:$B$38,2,FALSE)</f>
        <v>-1.6840122346544992</v>
      </c>
      <c r="J1039">
        <f>($B$1+Table4[[#This Row],[Home Differential]])-Table4[[#This Row],[Away Differential]]</f>
        <v>0.71663669090248394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0.64244158616375002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-3.2309887002194844E-2</v>
      </c>
      <c r="H1040" t="s">
        <v>14</v>
      </c>
      <c r="I1040">
        <f>VLOOKUP(Table4[[#This Row],[Visitor]],'NHL Model'!$A$6:$B$38,2,FALSE)</f>
        <v>-0.2200802314358897</v>
      </c>
      <c r="J1040">
        <f>($B$1+Table4[[#This Row],[Home Differential]])-Table4[[#This Row],[Away Differential]]</f>
        <v>0.34719000595852201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0.58963002224432925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-7.3890719153774626E-2</v>
      </c>
      <c r="H1041" t="s">
        <v>15</v>
      </c>
      <c r="I1041">
        <f>VLOOKUP(Table4[[#This Row],[Visitor]],'NHL Model'!$A$6:$B$38,2,FALSE)</f>
        <v>-0.50599078340071213</v>
      </c>
      <c r="J1041">
        <f>($B$1+Table4[[#This Row],[Home Differential]])-Table4[[#This Row],[Away Differential]]</f>
        <v>0.59151972577176459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0.54357279381181867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3.2883390994754517E-3</v>
      </c>
      <c r="H1042" t="s">
        <v>13</v>
      </c>
      <c r="I1042">
        <f>VLOOKUP(Table4[[#This Row],[Visitor]],'NHL Model'!$A$6:$B$38,2,FALSE)</f>
        <v>-0.31985119938240425</v>
      </c>
      <c r="J1042">
        <f>($B$1+Table4[[#This Row],[Home Differential]])-Table4[[#This Row],[Away Differential]]</f>
        <v>0.48255920000670682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0.52550247999139088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-1.5594075795597986</v>
      </c>
      <c r="H1043" t="s">
        <v>17</v>
      </c>
      <c r="I1043">
        <f>VLOOKUP(Table4[[#This Row],[Visitor]],'NHL Model'!$A$6:$B$38,2,FALSE)</f>
        <v>-0.8561868317598319</v>
      </c>
      <c r="J1043">
        <f>($B$1+Table4[[#This Row],[Home Differential]])-Table4[[#This Row],[Away Differential]]</f>
        <v>-0.54380108627513957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0.53773512931000067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-0.49794713300108584</v>
      </c>
      <c r="H1044" t="s">
        <v>19</v>
      </c>
      <c r="I1044">
        <f>VLOOKUP(Table4[[#This Row],[Visitor]],'NHL Model'!$A$6:$B$38,2,FALSE)</f>
        <v>-0.95664361852990654</v>
      </c>
      <c r="J1044">
        <f>($B$1+Table4[[#This Row],[Home Differential]])-Table4[[#This Row],[Away Differential]]</f>
        <v>0.61811614705364781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0.64237491884063747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1.9153995907683643E-3</v>
      </c>
      <c r="H1045" t="s">
        <v>26</v>
      </c>
      <c r="I1045">
        <f>VLOOKUP(Table4[[#This Row],[Visitor]],'NHL Model'!$A$6:$B$38,2,FALSE)</f>
        <v>-0.67114180037169746</v>
      </c>
      <c r="J1045">
        <f>($B$1+Table4[[#This Row],[Home Differential]])-Table4[[#This Row],[Away Differential]]</f>
        <v>0.83247686148729294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0.64073980569742151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-0.17681265190927384</v>
      </c>
      <c r="H1046" t="s">
        <v>15</v>
      </c>
      <c r="I1046">
        <f>VLOOKUP(Table4[[#This Row],[Visitor]],'NHL Model'!$A$6:$B$38,2,FALSE)</f>
        <v>-0.50599078340071213</v>
      </c>
      <c r="J1046">
        <f>($B$1+Table4[[#This Row],[Home Differential]])-Table4[[#This Row],[Away Differential]]</f>
        <v>0.48859779301626544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0.52636568313734966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-0.75480422558713034</v>
      </c>
      <c r="H1047" t="s">
        <v>33</v>
      </c>
      <c r="I1047">
        <f>VLOOKUP(Table4[[#This Row],[Visitor]],'NHL Model'!$A$6:$B$38,2,FALSE)</f>
        <v>-0.3479098095875402</v>
      </c>
      <c r="J1047">
        <f>($B$1+Table4[[#This Row],[Home Differential]])-Table4[[#This Row],[Away Differential]]</f>
        <v>-0.24747475447476303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0.49537595368156923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2.0731927685773251E-2</v>
      </c>
      <c r="H1048" t="s">
        <v>13</v>
      </c>
      <c r="I1048">
        <f>VLOOKUP(Table4[[#This Row],[Visitor]],'NHL Model'!$A$6:$B$38,2,FALSE)</f>
        <v>-0.31985119938240425</v>
      </c>
      <c r="J1048">
        <f>($B$1+Table4[[#This Row],[Home Differential]])-Table4[[#This Row],[Away Differential]]</f>
        <v>0.50000278859300462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0.65178514303189161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3.2883390994754517E-3</v>
      </c>
      <c r="H1049" t="s">
        <v>16</v>
      </c>
      <c r="I1049">
        <f>VLOOKUP(Table4[[#This Row],[Visitor]],'NHL Model'!$A$6:$B$38,2,FALSE)</f>
        <v>-1.1167763879247272</v>
      </c>
      <c r="J1049">
        <f>($B$1+Table4[[#This Row],[Home Differential]])-Table4[[#This Row],[Away Differential]]</f>
        <v>1.2794843885490299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0.72289938527938702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-0.34257283900844787</v>
      </c>
      <c r="H1050" t="s">
        <v>31</v>
      </c>
      <c r="I1050">
        <f>VLOOKUP(Table4[[#This Row],[Visitor]],'NHL Model'!$A$6:$B$38,2,FALSE)</f>
        <v>0.35254565315374792</v>
      </c>
      <c r="J1050">
        <f>($B$1+Table4[[#This Row],[Home Differential]])-Table4[[#This Row],[Away Differential]]</f>
        <v>-0.53569883063736867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0.55483779984693193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-0.54160534998918008</v>
      </c>
      <c r="H1051" t="s">
        <v>28</v>
      </c>
      <c r="I1051">
        <f>VLOOKUP(Table4[[#This Row],[Visitor]],'NHL Model'!$A$6:$B$38,2,FALSE)</f>
        <v>-0.72083617366747277</v>
      </c>
      <c r="J1051">
        <f>($B$1+Table4[[#This Row],[Home Differential]])-Table4[[#This Row],[Away Differential]]</f>
        <v>0.3386504852031198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0.6206553829696092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0.1846559193064522</v>
      </c>
      <c r="H1052" t="s">
        <v>25</v>
      </c>
      <c r="I1052">
        <f>VLOOKUP(Table4[[#This Row],[Visitor]],'NHL Model'!$A$6:$B$38,2,FALSE)</f>
        <v>0.42254821659882374</v>
      </c>
      <c r="J1052">
        <f>($B$1+Table4[[#This Row],[Home Differential]])-Table4[[#This Row],[Away Differential]]</f>
        <v>-7.847263576754443E-2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0.52458646888441973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-0.1349739904770427</v>
      </c>
      <c r="H1053" t="s">
        <v>14</v>
      </c>
      <c r="I1053">
        <f>VLOOKUP(Table4[[#This Row],[Visitor]],'NHL Model'!$A$6:$B$38,2,FALSE)</f>
        <v>-0.2200802314358897</v>
      </c>
      <c r="J1053">
        <f>($B$1+Table4[[#This Row],[Home Differential]])-Table4[[#This Row],[Away Differential]]</f>
        <v>0.24452590248367415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0.63840269785378168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-1.1267952052768424</v>
      </c>
      <c r="H1054" t="s">
        <v>32</v>
      </c>
      <c r="I1054">
        <f>VLOOKUP(Table4[[#This Row],[Visitor]],'NHL Model'!$A$6:$B$38,2,FALSE)</f>
        <v>-0.46055888840939002</v>
      </c>
      <c r="J1054">
        <f>($B$1+Table4[[#This Row],[Home Differential]])-Table4[[#This Row],[Away Differential]]</f>
        <v>-0.50681665534262521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0.53244828896790319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-3.2309887002194844E-2</v>
      </c>
      <c r="H1055" t="s">
        <v>10</v>
      </c>
      <c r="I1055">
        <f>VLOOKUP(Table4[[#This Row],[Visitor]],'NHL Model'!$A$6:$B$38,2,FALSE)</f>
        <v>-0.13160108676160023</v>
      </c>
      <c r="J1055">
        <f>($B$1+Table4[[#This Row],[Home Differential]])-Table4[[#This Row],[Away Differential]]</f>
        <v>0.25871086128423254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0.57698212961210638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-7.3890719153774626E-2</v>
      </c>
      <c r="H1056" t="s">
        <v>12</v>
      </c>
      <c r="I1056">
        <f>VLOOKUP(Table4[[#This Row],[Visitor]],'NHL Model'!$A$6:$B$38,2,FALSE)</f>
        <v>1.4583704516548168</v>
      </c>
      <c r="J1056">
        <f>($B$1+Table4[[#This Row],[Home Differential]])-Table4[[#This Row],[Away Differential]]</f>
        <v>-1.3728415092837642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0.74624457350258988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0.21430145909042725</v>
      </c>
      <c r="H1057" t="s">
        <v>21</v>
      </c>
      <c r="I1057">
        <f>VLOOKUP(Table4[[#This Row],[Visitor]],'NHL Model'!$A$6:$B$38,2,FALSE)</f>
        <v>-0.12487089668223171</v>
      </c>
      <c r="J1057">
        <f>($B$1+Table4[[#This Row],[Home Differential]])-Table4[[#This Row],[Away Differential]]</f>
        <v>0.49859201729748615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0.61127259565263947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-0.8561868317598319</v>
      </c>
      <c r="H1058" t="s">
        <v>29</v>
      </c>
      <c r="I1058">
        <f>VLOOKUP(Table4[[#This Row],[Visitor]],'NHL Model'!$A$6:$B$38,2,FALSE)</f>
        <v>-1.6840122346544992</v>
      </c>
      <c r="J1058">
        <f>($B$1+Table4[[#This Row],[Home Differential]])-Table4[[#This Row],[Away Differential]]</f>
        <v>0.98724506441949444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0.71716130446783355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-0.17681265190927384</v>
      </c>
      <c r="H1059" t="s">
        <v>19</v>
      </c>
      <c r="I1059">
        <f>VLOOKUP(Table4[[#This Row],[Visitor]],'NHL Model'!$A$6:$B$38,2,FALSE)</f>
        <v>-0.95664361852990654</v>
      </c>
      <c r="J1059">
        <f>($B$1+Table4[[#This Row],[Home Differential]])-Table4[[#This Row],[Away Differential]]</f>
        <v>0.93925062814545979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0.67426374252670285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-0.75480422558713034</v>
      </c>
      <c r="H1060" t="s">
        <v>31</v>
      </c>
      <c r="I1060">
        <f>VLOOKUP(Table4[[#This Row],[Visitor]],'NHL Model'!$A$6:$B$38,2,FALSE)</f>
        <v>0.35254565315374792</v>
      </c>
      <c r="J1060">
        <f>($B$1+Table4[[#This Row],[Home Differential]])-Table4[[#This Row],[Away Differential]]</f>
        <v>-0.94793021721605109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0.61627370082625466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-0.34257283900844787</v>
      </c>
      <c r="H1061" t="s">
        <v>33</v>
      </c>
      <c r="I1061">
        <f>VLOOKUP(Table4[[#This Row],[Visitor]],'NHL Model'!$A$6:$B$38,2,FALSE)</f>
        <v>-0.3479098095875402</v>
      </c>
      <c r="J1061">
        <f>($B$1+Table4[[#This Row],[Home Differential]])-Table4[[#This Row],[Away Differential]]</f>
        <v>0.16475663210391947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0.56604706529808013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-0.46055888840939002</v>
      </c>
      <c r="H1062" t="s">
        <v>11</v>
      </c>
      <c r="I1062">
        <f>VLOOKUP(Table4[[#This Row],[Visitor]],'NHL Model'!$A$6:$B$38,2,FALSE)</f>
        <v>-0.21100886368613675</v>
      </c>
      <c r="J1062">
        <f>($B$1+Table4[[#This Row],[Home Differential]])-Table4[[#This Row],[Away Differential]]</f>
        <v>-9.01303631984261E-2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0.44684619471823561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-7.3890719153774626E-2</v>
      </c>
      <c r="H1063" t="s">
        <v>35</v>
      </c>
      <c r="I1063">
        <f>VLOOKUP(Table4[[#This Row],[Visitor]],'NHL Model'!$A$6:$B$38,2,FALSE)</f>
        <v>-1.5594075795597986</v>
      </c>
      <c r="J1063">
        <f>($B$1+Table4[[#This Row],[Home Differential]])-Table4[[#This Row],[Away Differential]]</f>
        <v>1.6449365219308512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0.77763541633631739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1.4583704516548168</v>
      </c>
      <c r="H1064" t="s">
        <v>14</v>
      </c>
      <c r="I1064">
        <f>VLOOKUP(Table4[[#This Row],[Visitor]],'NHL Model'!$A$6:$B$38,2,FALSE)</f>
        <v>-0.2200802314358897</v>
      </c>
      <c r="J1064">
        <f>($B$1+Table4[[#This Row],[Home Differential]])-Table4[[#This Row],[Away Differential]]</f>
        <v>1.8378703446155336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0.89764002349761807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1.9153995907683643E-3</v>
      </c>
      <c r="H1065" t="s">
        <v>55</v>
      </c>
      <c r="I1065">
        <f>VLOOKUP(Table4[[#This Row],[Visitor]],'NHL Model'!$A$6:$B$38,2,FALSE)</f>
        <v>-0.1349739904770427</v>
      </c>
      <c r="J1065">
        <f>($B$1+Table4[[#This Row],[Home Differential]])-Table4[[#This Row],[Away Differential]]</f>
        <v>0.29630905159263821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0.58485218466635025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-0.67114180037169746</v>
      </c>
      <c r="H1066" t="s">
        <v>16</v>
      </c>
      <c r="I1066">
        <f>VLOOKUP(Table4[[#This Row],[Visitor]],'NHL Model'!$A$6:$B$38,2,FALSE)</f>
        <v>-1.1167763879247272</v>
      </c>
      <c r="J1066">
        <f>($B$1+Table4[[#This Row],[Home Differential]])-Table4[[#This Row],[Away Differential]]</f>
        <v>0.60505424907785688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0.65873719552228904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2.0731927685773251E-2</v>
      </c>
      <c r="H1067" t="s">
        <v>21</v>
      </c>
      <c r="I1067">
        <f>VLOOKUP(Table4[[#This Row],[Visitor]],'NHL Model'!$A$6:$B$38,2,FALSE)</f>
        <v>-0.12487089668223171</v>
      </c>
      <c r="J1067">
        <f>($B$1+Table4[[#This Row],[Home Differential]])-Table4[[#This Row],[Away Differential]]</f>
        <v>0.3050224858928321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0.70258085428702455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-0.50599078340071213</v>
      </c>
      <c r="H1068" t="s">
        <v>13</v>
      </c>
      <c r="I1068">
        <f>VLOOKUP(Table4[[#This Row],[Visitor]],'NHL Model'!$A$6:$B$38,2,FALSE)</f>
        <v>-0.31985119938240425</v>
      </c>
      <c r="J1068">
        <f>($B$1+Table4[[#This Row],[Home Differential]])-Table4[[#This Row],[Away Differential]]</f>
        <v>-2.6719922493480763E-2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0.54729781305989145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-0.72083617366747277</v>
      </c>
      <c r="H1069" t="s">
        <v>25</v>
      </c>
      <c r="I1069">
        <f>VLOOKUP(Table4[[#This Row],[Visitor]],'NHL Model'!$A$6:$B$38,2,FALSE)</f>
        <v>0.42254821659882374</v>
      </c>
      <c r="J1069">
        <f>($B$1+Table4[[#This Row],[Home Differential]])-Table4[[#This Row],[Away Differential]]</f>
        <v>-0.98396472874146945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0.66620296683436653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-0.13160108676160023</v>
      </c>
      <c r="H1070" t="s">
        <v>34</v>
      </c>
      <c r="I1070">
        <f>VLOOKUP(Table4[[#This Row],[Visitor]],'NHL Model'!$A$6:$B$38,2,FALSE)</f>
        <v>-0.17681265190927384</v>
      </c>
      <c r="J1070">
        <f>($B$1+Table4[[#This Row],[Home Differential]])-Table4[[#This Row],[Away Differential]]</f>
        <v>0.20463122667250075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0.54848233798950219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-0.8561868317598319</v>
      </c>
      <c r="H1071" t="s">
        <v>33</v>
      </c>
      <c r="I1071">
        <f>VLOOKUP(Table4[[#This Row],[Visitor]],'NHL Model'!$A$6:$B$38,2,FALSE)</f>
        <v>-0.3479098095875402</v>
      </c>
      <c r="J1071">
        <f>($B$1+Table4[[#This Row],[Home Differential]])-Table4[[#This Row],[Away Differential]]</f>
        <v>-0.34885736064746459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0.47383150044803568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-0.75480422558713034</v>
      </c>
      <c r="H1072" t="s">
        <v>21</v>
      </c>
      <c r="I1072">
        <f>VLOOKUP(Table4[[#This Row],[Visitor]],'NHL Model'!$A$6:$B$38,2,FALSE)</f>
        <v>-0.12487089668223171</v>
      </c>
      <c r="J1072">
        <f>($B$1+Table4[[#This Row],[Home Differential]])-Table4[[#This Row],[Away Differential]]</f>
        <v>-0.4705136673800715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0.52725885934955063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-0.46055888840939002</v>
      </c>
      <c r="H1073" t="s">
        <v>37</v>
      </c>
      <c r="I1073">
        <f>VLOOKUP(Table4[[#This Row],[Visitor]],'NHL Model'!$A$6:$B$38,2,FALSE)</f>
        <v>0.1846559193064522</v>
      </c>
      <c r="J1073">
        <f>($B$1+Table4[[#This Row],[Home Differential]])-Table4[[#This Row],[Away Differential]]</f>
        <v>-0.48579514619101505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0.56944331201321396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-0.95664361852990654</v>
      </c>
      <c r="H1074" t="s">
        <v>30</v>
      </c>
      <c r="I1074">
        <f>VLOOKUP(Table4[[#This Row],[Visitor]],'NHL Model'!$A$6:$B$38,2,FALSE)</f>
        <v>3.2883390994754517E-3</v>
      </c>
      <c r="J1074">
        <f>($B$1+Table4[[#This Row],[Home Differential]])-Table4[[#This Row],[Away Differential]]</f>
        <v>-0.80051229610455488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0.64705458239938551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-1.1267952052768424</v>
      </c>
      <c r="H1075" t="s">
        <v>11</v>
      </c>
      <c r="I1075">
        <f>VLOOKUP(Table4[[#This Row],[Visitor]],'NHL Model'!$A$6:$B$38,2,FALSE)</f>
        <v>-0.21100886368613675</v>
      </c>
      <c r="J1075">
        <f>($B$1+Table4[[#This Row],[Home Differential]])-Table4[[#This Row],[Away Differential]]</f>
        <v>-0.75636668006587859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0.56812089781473629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-3.2309887002194844E-2</v>
      </c>
      <c r="H1076" t="s">
        <v>23</v>
      </c>
      <c r="I1076">
        <f>VLOOKUP(Table4[[#This Row],[Visitor]],'NHL Model'!$A$6:$B$38,2,FALSE)</f>
        <v>-0.49794713300108584</v>
      </c>
      <c r="J1076">
        <f>($B$1+Table4[[#This Row],[Home Differential]])-Table4[[#This Row],[Away Differential]]</f>
        <v>0.62505690752371812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0.62935046427597885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-7.3890719153774626E-2</v>
      </c>
      <c r="H1077" t="s">
        <v>29</v>
      </c>
      <c r="I1077">
        <f>VLOOKUP(Table4[[#This Row],[Visitor]],'NHL Model'!$A$6:$B$38,2,FALSE)</f>
        <v>-1.6840122346544992</v>
      </c>
      <c r="J1077">
        <f>($B$1+Table4[[#This Row],[Home Differential]])-Table4[[#This Row],[Away Differential]]</f>
        <v>1.7695411770255518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0.7954473685756217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0.35254565315374792</v>
      </c>
      <c r="H1078" t="s">
        <v>27</v>
      </c>
      <c r="I1078">
        <f>VLOOKUP(Table4[[#This Row],[Visitor]],'NHL Model'!$A$6:$B$38,2,FALSE)</f>
        <v>-0.54160534998918008</v>
      </c>
      <c r="J1078">
        <f>($B$1+Table4[[#This Row],[Home Differential]])-Table4[[#This Row],[Away Differential]]</f>
        <v>1.0535706646677552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0.78552616683701237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0.42254821659882374</v>
      </c>
      <c r="H1079" t="s">
        <v>14</v>
      </c>
      <c r="I1079">
        <f>VLOOKUP(Table4[[#This Row],[Visitor]],'NHL Model'!$A$6:$B$38,2,FALSE)</f>
        <v>-0.2200802314358897</v>
      </c>
      <c r="J1079">
        <f>($B$1+Table4[[#This Row],[Home Differential]])-Table4[[#This Row],[Away Differential]]</f>
        <v>0.80204810955954065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0.70636693066562162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-1.1167763879247272</v>
      </c>
      <c r="H1080" t="s">
        <v>35</v>
      </c>
      <c r="I1080">
        <f>VLOOKUP(Table4[[#This Row],[Visitor]],'NHL Model'!$A$6:$B$38,2,FALSE)</f>
        <v>-1.5594075795597986</v>
      </c>
      <c r="J1080">
        <f>($B$1+Table4[[#This Row],[Home Differential]])-Table4[[#This Row],[Away Differential]]</f>
        <v>0.60205085315989848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0.62606180109375864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1.4583704516548168</v>
      </c>
      <c r="H1081" t="s">
        <v>39</v>
      </c>
      <c r="I1081">
        <f>VLOOKUP(Table4[[#This Row],[Visitor]],'NHL Model'!$A$6:$B$38,2,FALSE)</f>
        <v>1.9153995907683643E-3</v>
      </c>
      <c r="J1081">
        <f>($B$1+Table4[[#This Row],[Home Differential]])-Table4[[#This Row],[Away Differential]]</f>
        <v>1.6158747135888756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0.78794764299879727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-0.50599078340071213</v>
      </c>
      <c r="H1082" t="s">
        <v>24</v>
      </c>
      <c r="I1082">
        <f>VLOOKUP(Table4[[#This Row],[Visitor]],'NHL Model'!$A$6:$B$38,2,FALSE)</f>
        <v>2.0731927685773251E-2</v>
      </c>
      <c r="J1082">
        <f>($B$1+Table4[[#This Row],[Home Differential]])-Table4[[#This Row],[Away Differential]]</f>
        <v>-0.36730304956165827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0.51333462920121886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0.21430145909042725</v>
      </c>
      <c r="H1083" t="s">
        <v>36</v>
      </c>
      <c r="I1083">
        <f>VLOOKUP(Table4[[#This Row],[Visitor]],'NHL Model'!$A$6:$B$38,2,FALSE)</f>
        <v>-0.34257283900844787</v>
      </c>
      <c r="J1083">
        <f>($B$1+Table4[[#This Row],[Home Differential]])-Table4[[#This Row],[Away Differential]]</f>
        <v>0.71629395962370235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0.64239259350642164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-0.12487089668223171</v>
      </c>
      <c r="H1084" t="s">
        <v>40</v>
      </c>
      <c r="I1084">
        <f>VLOOKUP(Table4[[#This Row],[Visitor]],'NHL Model'!$A$6:$B$38,2,FALSE)</f>
        <v>-7.3890719153774626E-2</v>
      </c>
      <c r="J1084">
        <f>($B$1+Table4[[#This Row],[Home Differential]])-Table4[[#This Row],[Away Differential]]</f>
        <v>0.10843948399637006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0.54181696724533468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-0.72083617366747277</v>
      </c>
      <c r="H1085" t="s">
        <v>15</v>
      </c>
      <c r="I1085">
        <f>VLOOKUP(Table4[[#This Row],[Visitor]],'NHL Model'!$A$6:$B$38,2,FALSE)</f>
        <v>-0.50599078340071213</v>
      </c>
      <c r="J1085">
        <f>($B$1+Table4[[#This Row],[Home Differential]])-Table4[[#This Row],[Away Differential]]</f>
        <v>-5.5425728741933522E-2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0.54434682300943138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-0.67114180037169746</v>
      </c>
      <c r="H1086" t="s">
        <v>18</v>
      </c>
      <c r="I1086">
        <f>VLOOKUP(Table4[[#This Row],[Visitor]],'NHL Model'!$A$6:$B$38,2,FALSE)</f>
        <v>-0.75480422558713034</v>
      </c>
      <c r="J1086">
        <f>($B$1+Table4[[#This Row],[Home Differential]])-Table4[[#This Row],[Away Differential]]</f>
        <v>0.24308208674025999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0.5602954770682288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-0.8561868317598319</v>
      </c>
      <c r="H1087" t="s">
        <v>11</v>
      </c>
      <c r="I1087">
        <f>VLOOKUP(Table4[[#This Row],[Visitor]],'NHL Model'!$A$6:$B$38,2,FALSE)</f>
        <v>-0.21100886368613675</v>
      </c>
      <c r="J1087">
        <f>($B$1+Table4[[#This Row],[Home Differential]])-Table4[[#This Row],[Away Differential]]</f>
        <v>-0.48575830654886804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0.49340117951065271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-0.31985119938240425</v>
      </c>
      <c r="H1088" t="s">
        <v>27</v>
      </c>
      <c r="I1088">
        <f>VLOOKUP(Table4[[#This Row],[Visitor]],'NHL Model'!$A$6:$B$38,2,FALSE)</f>
        <v>-0.54160534998918008</v>
      </c>
      <c r="J1088">
        <f>($B$1+Table4[[#This Row],[Home Differential]])-Table4[[#This Row],[Away Differential]]</f>
        <v>0.38117381213160295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0.59448793009700662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-0.17681265190927384</v>
      </c>
      <c r="H1089" t="s">
        <v>10</v>
      </c>
      <c r="I1089">
        <f>VLOOKUP(Table4[[#This Row],[Visitor]],'NHL Model'!$A$6:$B$38,2,FALSE)</f>
        <v>-0.13160108676160023</v>
      </c>
      <c r="J1089">
        <f>($B$1+Table4[[#This Row],[Home Differential]])-Table4[[#This Row],[Away Differential]]</f>
        <v>0.11420809637715354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0.55632578780034869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-1.6840122346544992</v>
      </c>
      <c r="H1090" t="s">
        <v>32</v>
      </c>
      <c r="I1090">
        <f>VLOOKUP(Table4[[#This Row],[Visitor]],'NHL Model'!$A$6:$B$38,2,FALSE)</f>
        <v>-0.46055888840939002</v>
      </c>
      <c r="J1090">
        <f>($B$1+Table4[[#This Row],[Home Differential]])-Table4[[#This Row],[Away Differential]]</f>
        <v>-1.064033684720282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0.61210119685211239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-0.34257283900844787</v>
      </c>
      <c r="H1091" t="s">
        <v>30</v>
      </c>
      <c r="I1091">
        <f>VLOOKUP(Table4[[#This Row],[Visitor]],'NHL Model'!$A$6:$B$38,2,FALSE)</f>
        <v>3.2883390994754517E-3</v>
      </c>
      <c r="J1091">
        <f>($B$1+Table4[[#This Row],[Home Differential]])-Table4[[#This Row],[Away Differential]]</f>
        <v>-0.18644151658309618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0.55677187297146979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-0.3479098095875402</v>
      </c>
      <c r="H1092" t="s">
        <v>23</v>
      </c>
      <c r="I1092">
        <f>VLOOKUP(Table4[[#This Row],[Visitor]],'NHL Model'!$A$6:$B$38,2,FALSE)</f>
        <v>-0.49794713300108584</v>
      </c>
      <c r="J1092">
        <f>($B$1+Table4[[#This Row],[Home Differential]])-Table4[[#This Row],[Away Differential]]</f>
        <v>0.30945698493837281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0.58423617265063021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-1.1267952052768424</v>
      </c>
      <c r="H1093" t="s">
        <v>37</v>
      </c>
      <c r="I1093">
        <f>VLOOKUP(Table4[[#This Row],[Visitor]],'NHL Model'!$A$6:$B$38,2,FALSE)</f>
        <v>0.1846559193064522</v>
      </c>
      <c r="J1093">
        <f>($B$1+Table4[[#This Row],[Home Differential]])-Table4[[#This Row],[Away Differential]]</f>
        <v>-1.1520314630584676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0.69099606873434216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-3.2309887002194844E-2</v>
      </c>
      <c r="H1094" t="s">
        <v>55</v>
      </c>
      <c r="I1094">
        <f>VLOOKUP(Table4[[#This Row],[Visitor]],'NHL Model'!$A$6:$B$38,2,FALSE)</f>
        <v>-0.1349739904770427</v>
      </c>
      <c r="J1094">
        <f>($B$1+Table4[[#This Row],[Home Differential]])-Table4[[#This Row],[Away Differential]]</f>
        <v>0.26208376499967501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0.57746427853215732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-1.1167763879247272</v>
      </c>
      <c r="H1095" t="s">
        <v>11</v>
      </c>
      <c r="I1095">
        <f>VLOOKUP(Table4[[#This Row],[Visitor]],'NHL Model'!$A$6:$B$38,2,FALSE)</f>
        <v>-0.21100886368613675</v>
      </c>
      <c r="J1095">
        <f>($B$1+Table4[[#This Row],[Home Differential]])-Table4[[#This Row],[Away Differential]]</f>
        <v>-0.74634786271376341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0.56668873064542336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-0.13160108676160023</v>
      </c>
      <c r="H1096" t="s">
        <v>12</v>
      </c>
      <c r="I1096">
        <f>VLOOKUP(Table4[[#This Row],[Visitor]],'NHL Model'!$A$6:$B$38,2,FALSE)</f>
        <v>1.4583704516548168</v>
      </c>
      <c r="J1096">
        <f>($B$1+Table4[[#This Row],[Home Differential]])-Table4[[#This Row],[Away Differential]]</f>
        <v>-1.4305518768915899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0.75698032723098252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-0.95664361852990654</v>
      </c>
      <c r="H1097" t="s">
        <v>25</v>
      </c>
      <c r="I1097">
        <f>VLOOKUP(Table4[[#This Row],[Visitor]],'NHL Model'!$A$6:$B$38,2,FALSE)</f>
        <v>0.42254821659882374</v>
      </c>
      <c r="J1097">
        <f>($B$1+Table4[[#This Row],[Home Differential]])-Table4[[#This Row],[Away Differential]]</f>
        <v>-1.2197721736039031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0.70698682897716658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-0.1349739904770427</v>
      </c>
      <c r="H1098" t="s">
        <v>31</v>
      </c>
      <c r="I1098">
        <f>VLOOKUP(Table4[[#This Row],[Visitor]],'NHL Model'!$A$6:$B$38,2,FALSE)</f>
        <v>0.35254565315374792</v>
      </c>
      <c r="J1098">
        <f>($B$1+Table4[[#This Row],[Home Differential]])-Table4[[#This Row],[Away Differential]]</f>
        <v>-0.32809998210596347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0.46356781338984848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0.21430145909042725</v>
      </c>
      <c r="H1099" t="s">
        <v>24</v>
      </c>
      <c r="I1099">
        <f>VLOOKUP(Table4[[#This Row],[Visitor]],'NHL Model'!$A$6:$B$38,2,FALSE)</f>
        <v>2.0731927685773251E-2</v>
      </c>
      <c r="J1099">
        <f>($B$1+Table4[[#This Row],[Home Differential]])-Table4[[#This Row],[Away Differential]]</f>
        <v>0.35298919292948117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0.58962950975364437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-0.72083617366747277</v>
      </c>
      <c r="H1100" t="s">
        <v>32</v>
      </c>
      <c r="I1100">
        <f>VLOOKUP(Table4[[#This Row],[Visitor]],'NHL Model'!$A$6:$B$38,2,FALSE)</f>
        <v>-0.46055888840939002</v>
      </c>
      <c r="J1100">
        <f>($B$1+Table4[[#This Row],[Home Differential]])-Table4[[#This Row],[Away Differential]]</f>
        <v>-0.10085762373325563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0.46737141621943973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-0.67114180037169746</v>
      </c>
      <c r="H1101" t="s">
        <v>21</v>
      </c>
      <c r="I1101">
        <f>VLOOKUP(Table4[[#This Row],[Visitor]],'NHL Model'!$A$6:$B$38,2,FALSE)</f>
        <v>-0.12487089668223171</v>
      </c>
      <c r="J1101">
        <f>($B$1+Table4[[#This Row],[Home Differential]])-Table4[[#This Row],[Away Differential]]</f>
        <v>-0.38685124216463862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0.48305344000803957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-0.8561868317598319</v>
      </c>
      <c r="H1102" t="s">
        <v>37</v>
      </c>
      <c r="I1102">
        <f>VLOOKUP(Table4[[#This Row],[Visitor]],'NHL Model'!$A$6:$B$38,2,FALSE)</f>
        <v>0.1846559193064522</v>
      </c>
      <c r="J1102">
        <f>($B$1+Table4[[#This Row],[Home Differential]])-Table4[[#This Row],[Away Differential]]</f>
        <v>-0.88142308954145698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0.6157933456833683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-0.31985119938240425</v>
      </c>
      <c r="H1103" t="s">
        <v>23</v>
      </c>
      <c r="I1103">
        <f>VLOOKUP(Table4[[#This Row],[Visitor]],'NHL Model'!$A$6:$B$38,2,FALSE)</f>
        <v>-0.49794713300108584</v>
      </c>
      <c r="J1103">
        <f>($B$1+Table4[[#This Row],[Home Differential]])-Table4[[#This Row],[Away Differential]]</f>
        <v>0.33751559514350871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0.58824708720671404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-0.17681265190927384</v>
      </c>
      <c r="H1104" t="s">
        <v>39</v>
      </c>
      <c r="I1104">
        <f>VLOOKUP(Table4[[#This Row],[Visitor]],'NHL Model'!$A$6:$B$38,2,FALSE)</f>
        <v>1.9153995907683643E-3</v>
      </c>
      <c r="J1104">
        <f>($B$1+Table4[[#This Row],[Home Differential]])-Table4[[#This Row],[Away Differential]]</f>
        <v>-1.9308389975215057E-2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0.54371835939560942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-0.75480422558713034</v>
      </c>
      <c r="H1105" t="s">
        <v>30</v>
      </c>
      <c r="I1105">
        <f>VLOOKUP(Table4[[#This Row],[Visitor]],'NHL Model'!$A$6:$B$38,2,FALSE)</f>
        <v>3.2883390994754517E-3</v>
      </c>
      <c r="J1105">
        <f>($B$1+Table4[[#This Row],[Home Differential]])-Table4[[#This Row],[Away Differential]]</f>
        <v>-0.59867290316177868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0.61820209992692443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-1.6840122346544992</v>
      </c>
      <c r="H1106" t="s">
        <v>20</v>
      </c>
      <c r="I1106">
        <f>VLOOKUP(Table4[[#This Row],[Visitor]],'NHL Model'!$A$6:$B$38,2,FALSE)</f>
        <v>-3.2309887002194844E-2</v>
      </c>
      <c r="J1106">
        <f>($B$1+Table4[[#This Row],[Home Differential]])-Table4[[#This Row],[Away Differential]]</f>
        <v>-1.4922826861274772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0.67331841826167693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-0.34257283900844787</v>
      </c>
      <c r="H1107" t="s">
        <v>19</v>
      </c>
      <c r="I1107">
        <f>VLOOKUP(Table4[[#This Row],[Visitor]],'NHL Model'!$A$6:$B$38,2,FALSE)</f>
        <v>-0.95664361852990654</v>
      </c>
      <c r="J1107">
        <f>($B$1+Table4[[#This Row],[Home Differential]])-Table4[[#This Row],[Away Differential]]</f>
        <v>0.77349044104628584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0.65306417973165121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-0.2200802314358897</v>
      </c>
      <c r="H1108" t="s">
        <v>40</v>
      </c>
      <c r="I1108">
        <f>VLOOKUP(Table4[[#This Row],[Visitor]],'NHL Model'!$A$6:$B$38,2,FALSE)</f>
        <v>-7.3890719153774626E-2</v>
      </c>
      <c r="J1108">
        <f>($B$1+Table4[[#This Row],[Home Differential]])-Table4[[#This Row],[Away Differential]]</f>
        <v>1.3230149242712069E-2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0.47557543029054494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-0.3479098095875402</v>
      </c>
      <c r="H1109" t="s">
        <v>27</v>
      </c>
      <c r="I1109">
        <f>VLOOKUP(Table4[[#This Row],[Visitor]],'NHL Model'!$A$6:$B$38,2,FALSE)</f>
        <v>-0.54160534998918008</v>
      </c>
      <c r="J1109">
        <f>($B$1+Table4[[#This Row],[Home Differential]])-Table4[[#This Row],[Away Differential]]</f>
        <v>0.35311520192646706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0.5904770155409228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-1.1267952052768424</v>
      </c>
      <c r="H1110" t="s">
        <v>35</v>
      </c>
      <c r="I1110">
        <f>VLOOKUP(Table4[[#This Row],[Visitor]],'NHL Model'!$A$6:$B$38,2,FALSE)</f>
        <v>-1.5594075795597986</v>
      </c>
      <c r="J1110">
        <f>($B$1+Table4[[#This Row],[Home Differential]])-Table4[[#This Row],[Away Differential]]</f>
        <v>0.5920320358077833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0.6246296339244457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0.35254565315374792</v>
      </c>
      <c r="H1111" t="s">
        <v>23</v>
      </c>
      <c r="I1111">
        <f>VLOOKUP(Table4[[#This Row],[Visitor]],'NHL Model'!$A$6:$B$38,2,FALSE)</f>
        <v>-0.49794713300108584</v>
      </c>
      <c r="J1111">
        <f>($B$1+Table4[[#This Row],[Home Differential]])-Table4[[#This Row],[Away Differential]]</f>
        <v>1.0099124476796608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0.7792853239467199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-1.1167763879247272</v>
      </c>
      <c r="H1112" t="s">
        <v>37</v>
      </c>
      <c r="I1112">
        <f>VLOOKUP(Table4[[#This Row],[Visitor]],'NHL Model'!$A$6:$B$38,2,FALSE)</f>
        <v>0.1846559193064522</v>
      </c>
      <c r="J1112">
        <f>($B$1+Table4[[#This Row],[Home Differential]])-Table4[[#This Row],[Away Differential]]</f>
        <v>-1.1420126457063522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0.68956390156502922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-0.13160108676160023</v>
      </c>
      <c r="H1113" t="s">
        <v>29</v>
      </c>
      <c r="I1113">
        <f>VLOOKUP(Table4[[#This Row],[Visitor]],'NHL Model'!$A$6:$B$38,2,FALSE)</f>
        <v>-1.6840122346544992</v>
      </c>
      <c r="J1113">
        <f>($B$1+Table4[[#This Row],[Home Differential]])-Table4[[#This Row],[Away Differential]]</f>
        <v>1.7118308094177261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0.78470232348819302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1.9153995907683643E-3</v>
      </c>
      <c r="H1114" t="s">
        <v>20</v>
      </c>
      <c r="I1114">
        <f>VLOOKUP(Table4[[#This Row],[Visitor]],'NHL Model'!$A$6:$B$38,2,FALSE)</f>
        <v>-3.2309887002194844E-2</v>
      </c>
      <c r="J1114">
        <f>($B$1+Table4[[#This Row],[Home Differential]])-Table4[[#This Row],[Away Differential]]</f>
        <v>0.19364494811779034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0.57017658441373376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3.2883390994754517E-3</v>
      </c>
      <c r="H1115" t="s">
        <v>28</v>
      </c>
      <c r="I1115">
        <f>VLOOKUP(Table4[[#This Row],[Visitor]],'NHL Model'!$A$6:$B$38,2,FALSE)</f>
        <v>-0.72083617366747277</v>
      </c>
      <c r="J1115">
        <f>($B$1+Table4[[#This Row],[Home Differential]])-Table4[[#This Row],[Away Differential]]</f>
        <v>0.88354417429177534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0.66630063156019259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-0.50599078340071213</v>
      </c>
      <c r="H1116" t="s">
        <v>40</v>
      </c>
      <c r="I1116">
        <f>VLOOKUP(Table4[[#This Row],[Visitor]],'NHL Model'!$A$6:$B$38,2,FALSE)</f>
        <v>-7.3890719153774626E-2</v>
      </c>
      <c r="J1116">
        <f>($B$1+Table4[[#This Row],[Home Differential]])-Table4[[#This Row],[Away Differential]]</f>
        <v>-0.27268040272211036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0.56529483328379826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-0.2200802314358897</v>
      </c>
      <c r="H1117" t="s">
        <v>25</v>
      </c>
      <c r="I1117">
        <f>VLOOKUP(Table4[[#This Row],[Visitor]],'NHL Model'!$A$6:$B$38,2,FALSE)</f>
        <v>0.42254821659882374</v>
      </c>
      <c r="J1117">
        <f>($B$1+Table4[[#This Row],[Home Differential]])-Table4[[#This Row],[Away Differential]]</f>
        <v>-0.4832087865098863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0.60169676688303542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-0.1349739904770427</v>
      </c>
      <c r="H1118" t="s">
        <v>13</v>
      </c>
      <c r="I1118">
        <f>VLOOKUP(Table4[[#This Row],[Visitor]],'NHL Model'!$A$6:$B$38,2,FALSE)</f>
        <v>-0.31985119938240425</v>
      </c>
      <c r="J1118">
        <f>($B$1+Table4[[#This Row],[Home Differential]])-Table4[[#This Row],[Away Differential]]</f>
        <v>0.3442968704301887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0.57049305084086988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0.21430145909042725</v>
      </c>
      <c r="H1119" t="s">
        <v>12</v>
      </c>
      <c r="I1119">
        <f>VLOOKUP(Table4[[#This Row],[Visitor]],'NHL Model'!$A$6:$B$38,2,FALSE)</f>
        <v>1.4583704516548168</v>
      </c>
      <c r="J1119">
        <f>($B$1+Table4[[#This Row],[Home Differential]])-Table4[[#This Row],[Away Differential]]</f>
        <v>-1.0846493310395624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0.70753434448268537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-0.50599078340071213</v>
      </c>
      <c r="H1120" t="s">
        <v>36</v>
      </c>
      <c r="I1120">
        <f>VLOOKUP(Table4[[#This Row],[Visitor]],'NHL Model'!$A$6:$B$38,2,FALSE)</f>
        <v>-0.34257283900844787</v>
      </c>
      <c r="J1120">
        <f>($B$1+Table4[[#This Row],[Home Differential]])-Table4[[#This Row],[Away Differential]]</f>
        <v>-3.9982828674371418E-3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0.4605715454484417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-0.12487089668223171</v>
      </c>
      <c r="H1121" t="s">
        <v>19</v>
      </c>
      <c r="I1121">
        <f>VLOOKUP(Table4[[#This Row],[Visitor]],'NHL Model'!$A$6:$B$38,2,FALSE)</f>
        <v>-0.95664361852990654</v>
      </c>
      <c r="J1121">
        <f>($B$1+Table4[[#This Row],[Home Differential]])-Table4[[#This Row],[Away Differential]]</f>
        <v>0.99119238337250193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0.73340467471245407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-1.1167763879247272</v>
      </c>
      <c r="H1122" t="s">
        <v>13</v>
      </c>
      <c r="I1122">
        <f>VLOOKUP(Table4[[#This Row],[Visitor]],'NHL Model'!$A$6:$B$38,2,FALSE)</f>
        <v>-0.31985119938240425</v>
      </c>
      <c r="J1122">
        <f>($B$1+Table4[[#This Row],[Home Differential]])-Table4[[#This Row],[Away Differential]]</f>
        <v>-0.63750552701749585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0.63460822700845543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1.9153995907683643E-3</v>
      </c>
      <c r="H1123" t="s">
        <v>24</v>
      </c>
      <c r="I1123">
        <f>VLOOKUP(Table4[[#This Row],[Visitor]],'NHL Model'!$A$6:$B$38,2,FALSE)</f>
        <v>2.0731927685773251E-2</v>
      </c>
      <c r="J1123">
        <f>($B$1+Table4[[#This Row],[Home Differential]])-Table4[[#This Row],[Away Differential]]</f>
        <v>0.14060313342982225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0.56176556502199004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-0.67114180037169746</v>
      </c>
      <c r="H1124" t="s">
        <v>36</v>
      </c>
      <c r="I1124">
        <f>VLOOKUP(Table4[[#This Row],[Visitor]],'NHL Model'!$A$6:$B$38,2,FALSE)</f>
        <v>-0.34257283900844787</v>
      </c>
      <c r="J1124">
        <f>($B$1+Table4[[#This Row],[Home Differential]])-Table4[[#This Row],[Away Differential]]</f>
        <v>-0.16914929983842247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0.45193344215425751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-0.21100886368613675</v>
      </c>
      <c r="H1125" t="s">
        <v>32</v>
      </c>
      <c r="I1125">
        <f>VLOOKUP(Table4[[#This Row],[Visitor]],'NHL Model'!$A$6:$B$38,2,FALSE)</f>
        <v>-0.46055888840939002</v>
      </c>
      <c r="J1125">
        <f>($B$1+Table4[[#This Row],[Home Differential]])-Table4[[#This Row],[Away Differential]]</f>
        <v>0.40896968624808039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0.65017726345773463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-0.75480422558713034</v>
      </c>
      <c r="H1126" t="s">
        <v>25</v>
      </c>
      <c r="I1126">
        <f>VLOOKUP(Table4[[#This Row],[Visitor]],'NHL Model'!$A$6:$B$38,2,FALSE)</f>
        <v>0.42254821659882374</v>
      </c>
      <c r="J1126">
        <f>($B$1+Table4[[#This Row],[Home Differential]])-Table4[[#This Row],[Away Differential]]</f>
        <v>-1.0179327806611269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0.67813434650470561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-1.6840122346544992</v>
      </c>
      <c r="H1127" t="s">
        <v>33</v>
      </c>
      <c r="I1127">
        <f>VLOOKUP(Table4[[#This Row],[Visitor]],'NHL Model'!$A$6:$B$38,2,FALSE)</f>
        <v>-0.3479098095875402</v>
      </c>
      <c r="J1127">
        <f>($B$1+Table4[[#This Row],[Home Differential]])-Table4[[#This Row],[Away Differential]]</f>
        <v>-1.176682763542132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0.62820412663632841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3.2883390994754517E-3</v>
      </c>
      <c r="H1128" t="s">
        <v>10</v>
      </c>
      <c r="I1128">
        <f>VLOOKUP(Table4[[#This Row],[Visitor]],'NHL Model'!$A$6:$B$38,2,FALSE)</f>
        <v>-0.13160108676160023</v>
      </c>
      <c r="J1128">
        <f>($B$1+Table4[[#This Row],[Home Differential]])-Table4[[#This Row],[Away Differential]]</f>
        <v>0.29430908738590283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0.58207081512425685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-0.54160534998918008</v>
      </c>
      <c r="H1129" t="s">
        <v>28</v>
      </c>
      <c r="I1129">
        <f>VLOOKUP(Table4[[#This Row],[Visitor]],'NHL Model'!$A$6:$B$38,2,FALSE)</f>
        <v>-0.72083617366747277</v>
      </c>
      <c r="J1129">
        <f>($B$1+Table4[[#This Row],[Home Differential]])-Table4[[#This Row],[Away Differential]]</f>
        <v>0.3386504852031198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0.6206553829696092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-0.2200802314358897</v>
      </c>
      <c r="H1130" t="s">
        <v>12</v>
      </c>
      <c r="I1130">
        <f>VLOOKUP(Table4[[#This Row],[Visitor]],'NHL Model'!$A$6:$B$38,2,FALSE)</f>
        <v>1.4583704516548168</v>
      </c>
      <c r="J1130">
        <f>($B$1+Table4[[#This Row],[Home Differential]])-Table4[[#This Row],[Away Differential]]</f>
        <v>-1.5190310215658793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0.7696282198632054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-1.5594075795597986</v>
      </c>
      <c r="H1131" t="s">
        <v>22</v>
      </c>
      <c r="I1131">
        <f>VLOOKUP(Table4[[#This Row],[Visitor]],'NHL Model'!$A$6:$B$38,2,FALSE)</f>
        <v>0.21430145909042725</v>
      </c>
      <c r="J1131">
        <f>($B$1+Table4[[#This Row],[Home Differential]])-Table4[[#This Row],[Away Differential]]</f>
        <v>-1.6142893771253988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0.71152822820733497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0.1846559193064522</v>
      </c>
      <c r="H1132" t="s">
        <v>34</v>
      </c>
      <c r="I1132">
        <f>VLOOKUP(Table4[[#This Row],[Visitor]],'NHL Model'!$A$6:$B$38,2,FALSE)</f>
        <v>-0.17681265190927384</v>
      </c>
      <c r="J1132">
        <f>($B$1+Table4[[#This Row],[Home Differential]])-Table4[[#This Row],[Away Differential]]</f>
        <v>0.52088823274055318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0.61292132743602712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-0.1349739904770427</v>
      </c>
      <c r="H1133" t="s">
        <v>17</v>
      </c>
      <c r="I1133">
        <f>VLOOKUP(Table4[[#This Row],[Visitor]],'NHL Model'!$A$6:$B$38,2,FALSE)</f>
        <v>-0.8561868317598319</v>
      </c>
      <c r="J1133">
        <f>($B$1+Table4[[#This Row],[Home Differential]])-Table4[[#This Row],[Away Differential]]</f>
        <v>0.88063250280761629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0.7293326906013653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-1.1267952052768424</v>
      </c>
      <c r="H1134" t="s">
        <v>31</v>
      </c>
      <c r="I1134">
        <f>VLOOKUP(Table4[[#This Row],[Visitor]],'NHL Model'!$A$6:$B$38,2,FALSE)</f>
        <v>0.35254565315374792</v>
      </c>
      <c r="J1134">
        <f>($B$1+Table4[[#This Row],[Home Differential]])-Table4[[#This Row],[Away Differential]]</f>
        <v>-1.3199211969057631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0.66944896589680458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-7.3890719153774626E-2</v>
      </c>
      <c r="H1135" t="s">
        <v>20</v>
      </c>
      <c r="I1135">
        <f>VLOOKUP(Table4[[#This Row],[Visitor]],'NHL Model'!$A$6:$B$38,2,FALSE)</f>
        <v>-3.2309887002194844E-2</v>
      </c>
      <c r="J1135">
        <f>($B$1+Table4[[#This Row],[Home Differential]])-Table4[[#This Row],[Away Differential]]</f>
        <v>0.11783882937324736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0.55934027203440395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-0.49794713300108584</v>
      </c>
      <c r="H1136" t="s">
        <v>21</v>
      </c>
      <c r="I1136">
        <f>VLOOKUP(Table4[[#This Row],[Visitor]],'NHL Model'!$A$6:$B$38,2,FALSE)</f>
        <v>-0.12487089668223171</v>
      </c>
      <c r="J1136">
        <f>($B$1+Table4[[#This Row],[Home Differential]])-Table4[[#This Row],[Away Differential]]</f>
        <v>-0.213656574794027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0.47652510126091518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-0.95664361852990654</v>
      </c>
      <c r="H1137" t="s">
        <v>15</v>
      </c>
      <c r="I1137">
        <f>VLOOKUP(Table4[[#This Row],[Visitor]],'NHL Model'!$A$6:$B$38,2,FALSE)</f>
        <v>-0.50599078340071213</v>
      </c>
      <c r="J1137">
        <f>($B$1+Table4[[#This Row],[Home Differential]])-Table4[[#This Row],[Away Differential]]</f>
        <v>-0.29123317360436729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0.58510938110981248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-1.1167763879247272</v>
      </c>
      <c r="H1138" t="s">
        <v>31</v>
      </c>
      <c r="I1138">
        <f>VLOOKUP(Table4[[#This Row],[Visitor]],'NHL Model'!$A$6:$B$38,2,FALSE)</f>
        <v>0.35254565315374792</v>
      </c>
      <c r="J1138">
        <f>($B$1+Table4[[#This Row],[Home Differential]])-Table4[[#This Row],[Away Differential]]</f>
        <v>-1.309902379553648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0.66801679872749165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-0.21100886368613675</v>
      </c>
      <c r="H1139" t="s">
        <v>34</v>
      </c>
      <c r="I1139">
        <f>VLOOKUP(Table4[[#This Row],[Visitor]],'NHL Model'!$A$6:$B$38,2,FALSE)</f>
        <v>-0.17681265190927384</v>
      </c>
      <c r="J1139">
        <f>($B$1+Table4[[#This Row],[Home Differential]])-Table4[[#This Row],[Away Differential]]</f>
        <v>0.12522344974796423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0.58932897895713843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-0.75480422558713034</v>
      </c>
      <c r="H1140" t="s">
        <v>28</v>
      </c>
      <c r="I1140">
        <f>VLOOKUP(Table4[[#This Row],[Visitor]],'NHL Model'!$A$6:$B$38,2,FALSE)</f>
        <v>-0.72083617366747277</v>
      </c>
      <c r="J1140">
        <f>($B$1+Table4[[#This Row],[Home Differential]])-Table4[[#This Row],[Away Differential]]</f>
        <v>0.12545160960516955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0.55793302246158349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-1.6840122346544992</v>
      </c>
      <c r="H1141" t="s">
        <v>24</v>
      </c>
      <c r="I1141">
        <f>VLOOKUP(Table4[[#This Row],[Visitor]],'NHL Model'!$A$6:$B$38,2,FALSE)</f>
        <v>2.0731927685773251E-2</v>
      </c>
      <c r="J1141">
        <f>($B$1+Table4[[#This Row],[Home Differential]])-Table4[[#This Row],[Away Differential]]</f>
        <v>-1.5453245008154453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0.68173011820330487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3.2883390994754517E-3</v>
      </c>
      <c r="H1142" t="s">
        <v>39</v>
      </c>
      <c r="I1142">
        <f>VLOOKUP(Table4[[#This Row],[Visitor]],'NHL Model'!$A$6:$B$38,2,FALSE)</f>
        <v>1.9153995907683643E-3</v>
      </c>
      <c r="J1142">
        <f>($B$1+Table4[[#This Row],[Home Differential]])-Table4[[#This Row],[Away Differential]]</f>
        <v>0.16079260103353424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0.48202666792829885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-0.34257283900844787</v>
      </c>
      <c r="H1143" t="s">
        <v>14</v>
      </c>
      <c r="I1143">
        <f>VLOOKUP(Table4[[#This Row],[Visitor]],'NHL Model'!$A$6:$B$38,2,FALSE)</f>
        <v>-0.2200802314358897</v>
      </c>
      <c r="J1143">
        <f>($B$1+Table4[[#This Row],[Home Differential]])-Table4[[#This Row],[Away Differential]]</f>
        <v>3.6927053952268973E-2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0.54777411763751993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-0.54160534998918008</v>
      </c>
      <c r="H1144" t="s">
        <v>10</v>
      </c>
      <c r="I1144">
        <f>VLOOKUP(Table4[[#This Row],[Visitor]],'NHL Model'!$A$6:$B$38,2,FALSE)</f>
        <v>-0.13160108676160023</v>
      </c>
      <c r="J1144">
        <f>($B$1+Table4[[#This Row],[Home Differential]])-Table4[[#This Row],[Away Differential]]</f>
        <v>-0.25058460170275276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0.46357443346632665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-1.5594075795597986</v>
      </c>
      <c r="H1145" t="s">
        <v>33</v>
      </c>
      <c r="I1145">
        <f>VLOOKUP(Table4[[#This Row],[Visitor]],'NHL Model'!$A$6:$B$38,2,FALSE)</f>
        <v>-0.3479098095875402</v>
      </c>
      <c r="J1145">
        <f>($B$1+Table4[[#This Row],[Home Differential]])-Table4[[#This Row],[Away Differential]]</f>
        <v>-1.0520781084474313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0.61039217439702409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0.1846559193064522</v>
      </c>
      <c r="H1146" t="s">
        <v>32</v>
      </c>
      <c r="I1146">
        <f>VLOOKUP(Table4[[#This Row],[Visitor]],'NHL Model'!$A$6:$B$38,2,FALSE)</f>
        <v>-0.46055888840939002</v>
      </c>
      <c r="J1146">
        <f>($B$1+Table4[[#This Row],[Home Differential]])-Table4[[#This Row],[Away Differential]]</f>
        <v>0.80463446924066928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0.67412609988219963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-0.1349739904770427</v>
      </c>
      <c r="H1147" t="s">
        <v>22</v>
      </c>
      <c r="I1147">
        <f>VLOOKUP(Table4[[#This Row],[Visitor]],'NHL Model'!$A$6:$B$38,2,FALSE)</f>
        <v>0.21430145909042725</v>
      </c>
      <c r="J1147">
        <f>($B$1+Table4[[#This Row],[Home Differential]])-Table4[[#This Row],[Away Differential]]</f>
        <v>-0.1898557880426428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0.44380612005547393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-1.1267952052768424</v>
      </c>
      <c r="H1148" t="s">
        <v>13</v>
      </c>
      <c r="I1148">
        <f>VLOOKUP(Table4[[#This Row],[Visitor]],'NHL Model'!$A$6:$B$38,2,FALSE)</f>
        <v>-0.31985119938240425</v>
      </c>
      <c r="J1148">
        <f>($B$1+Table4[[#This Row],[Home Differential]])-Table4[[#This Row],[Away Differential]]</f>
        <v>-0.64752434436961104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0.63604039417776836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-3.2309887002194844E-2</v>
      </c>
      <c r="H1149" t="s">
        <v>17</v>
      </c>
      <c r="I1149">
        <f>VLOOKUP(Table4[[#This Row],[Visitor]],'NHL Model'!$A$6:$B$38,2,FALSE)</f>
        <v>-0.8561868317598319</v>
      </c>
      <c r="J1149">
        <f>($B$1+Table4[[#This Row],[Home Differential]])-Table4[[#This Row],[Away Differential]]</f>
        <v>0.98329660628246418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0.68056001499191288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-7.3890719153774626E-2</v>
      </c>
      <c r="H1150" t="s">
        <v>12</v>
      </c>
      <c r="I1150">
        <f>VLOOKUP(Table4[[#This Row],[Visitor]],'NHL Model'!$A$6:$B$38,2,FALSE)</f>
        <v>1.4583704516548168</v>
      </c>
      <c r="J1150">
        <f>($B$1+Table4[[#This Row],[Home Differential]])-Table4[[#This Row],[Away Differential]]</f>
        <v>-1.3728415092837642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0.74624457350258988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-0.49794713300108584</v>
      </c>
      <c r="H1151" t="s">
        <v>26</v>
      </c>
      <c r="I1151">
        <f>VLOOKUP(Table4[[#This Row],[Visitor]],'NHL Model'!$A$6:$B$38,2,FALSE)</f>
        <v>-0.67114180037169746</v>
      </c>
      <c r="J1151">
        <f>($B$1+Table4[[#This Row],[Home Differential]])-Table4[[#This Row],[Away Differential]]</f>
        <v>0.33261432889543874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0.58087979566968118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-0.50599078340071213</v>
      </c>
      <c r="H1152" t="s">
        <v>10</v>
      </c>
      <c r="I1152">
        <f>VLOOKUP(Table4[[#This Row],[Visitor]],'NHL Model'!$A$6:$B$38,2,FALSE)</f>
        <v>-0.13160108676160023</v>
      </c>
      <c r="J1152">
        <f>($B$1+Table4[[#This Row],[Home Differential]])-Table4[[#This Row],[Away Differential]]</f>
        <v>-0.21497003511428478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0.49072947792702537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-0.12487089668223171</v>
      </c>
      <c r="H1153" t="s">
        <v>34</v>
      </c>
      <c r="I1153">
        <f>VLOOKUP(Table4[[#This Row],[Visitor]],'NHL Model'!$A$6:$B$38,2,FALSE)</f>
        <v>-0.17681265190927384</v>
      </c>
      <c r="J1153">
        <f>($B$1+Table4[[#This Row],[Home Differential]])-Table4[[#This Row],[Away Differential]]</f>
        <v>0.21136141675186926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0.60164220556250281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-0.49794713300108584</v>
      </c>
      <c r="H1154" t="s">
        <v>32</v>
      </c>
      <c r="I1154">
        <f>VLOOKUP(Table4[[#This Row],[Visitor]],'NHL Model'!$A$6:$B$38,2,FALSE)</f>
        <v>-0.46055888840939002</v>
      </c>
      <c r="J1154">
        <f>($B$1+Table4[[#This Row],[Home Differential]])-Table4[[#This Row],[Away Differential]]</f>
        <v>0.1220314169331313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0.5714607341912824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0.42254821659882374</v>
      </c>
      <c r="H1155" t="s">
        <v>24</v>
      </c>
      <c r="I1155">
        <f>VLOOKUP(Table4[[#This Row],[Visitor]],'NHL Model'!$A$6:$B$38,2,FALSE)</f>
        <v>2.0731927685773251E-2</v>
      </c>
      <c r="J1155">
        <f>($B$1+Table4[[#This Row],[Home Differential]])-Table4[[#This Row],[Away Differential]]</f>
        <v>0.56123595043787766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0.67113649442449275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-0.72083617366747277</v>
      </c>
      <c r="H1156" t="s">
        <v>33</v>
      </c>
      <c r="I1156">
        <f>VLOOKUP(Table4[[#This Row],[Visitor]],'NHL Model'!$A$6:$B$38,2,FALSE)</f>
        <v>-0.3479098095875402</v>
      </c>
      <c r="J1156">
        <f>($B$1+Table4[[#This Row],[Home Differential]])-Table4[[#This Row],[Away Differential]]</f>
        <v>-0.21350670255510545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0.48347434600365569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-1.1167763879247272</v>
      </c>
      <c r="H1157" t="s">
        <v>38</v>
      </c>
      <c r="I1157">
        <f>VLOOKUP(Table4[[#This Row],[Visitor]],'NHL Model'!$A$6:$B$38,2,FALSE)</f>
        <v>-1.1267952052768424</v>
      </c>
      <c r="J1157">
        <f>($B$1+Table4[[#This Row],[Home Differential]])-Table4[[#This Row],[Away Differential]]</f>
        <v>0.1694384788769423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0.543451614679623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1.4583704516548168</v>
      </c>
      <c r="H1158" t="s">
        <v>40</v>
      </c>
      <c r="I1158">
        <f>VLOOKUP(Table4[[#This Row],[Visitor]],'NHL Model'!$A$6:$B$38,2,FALSE)</f>
        <v>-7.3890719153774626E-2</v>
      </c>
      <c r="J1158">
        <f>($B$1+Table4[[#This Row],[Home Differential]])-Table4[[#This Row],[Away Differential]]</f>
        <v>1.6916808323334185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0.81325050149024292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-0.67114180037169746</v>
      </c>
      <c r="H1159" t="s">
        <v>27</v>
      </c>
      <c r="I1159">
        <f>VLOOKUP(Table4[[#This Row],[Visitor]],'NHL Model'!$A$6:$B$38,2,FALSE)</f>
        <v>-0.54160534998918008</v>
      </c>
      <c r="J1159">
        <f>($B$1+Table4[[#This Row],[Home Differential]])-Table4[[#This Row],[Away Differential]]</f>
        <v>2.988321114230974E-2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0.57651780292132382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-0.8561868317598319</v>
      </c>
      <c r="H1160" t="s">
        <v>31</v>
      </c>
      <c r="I1160">
        <f>VLOOKUP(Table4[[#This Row],[Visitor]],'NHL Model'!$A$6:$B$38,2,FALSE)</f>
        <v>0.35254565315374792</v>
      </c>
      <c r="J1160">
        <f>($B$1+Table4[[#This Row],[Home Differential]])-Table4[[#This Row],[Away Differential]]</f>
        <v>-1.0493128233887528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0.59444132762738178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-0.31985119938240425</v>
      </c>
      <c r="H1161" t="s">
        <v>55</v>
      </c>
      <c r="I1161">
        <f>VLOOKUP(Table4[[#This Row],[Visitor]],'NHL Model'!$A$6:$B$38,2,FALSE)</f>
        <v>-0.1349739904770427</v>
      </c>
      <c r="J1161">
        <f>($B$1+Table4[[#This Row],[Home Differential]])-Table4[[#This Row],[Away Differential]]</f>
        <v>-2.5457547380534407E-2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0.4636390985371075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-1.6840122346544992</v>
      </c>
      <c r="H1162" t="s">
        <v>18</v>
      </c>
      <c r="I1162">
        <f>VLOOKUP(Table4[[#This Row],[Visitor]],'NHL Model'!$A$6:$B$38,2,FALSE)</f>
        <v>-0.75480422558713034</v>
      </c>
      <c r="J1162">
        <f>($B$1+Table4[[#This Row],[Home Differential]])-Table4[[#This Row],[Away Differential]]</f>
        <v>-0.76978834754254177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0.61713888615594858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3.2883390994754517E-3</v>
      </c>
      <c r="H1163" t="s">
        <v>11</v>
      </c>
      <c r="I1163">
        <f>VLOOKUP(Table4[[#This Row],[Visitor]],'NHL Model'!$A$6:$B$38,2,FALSE)</f>
        <v>-0.21100886368613675</v>
      </c>
      <c r="J1163">
        <f>($B$1+Table4[[#This Row],[Home Differential]])-Table4[[#This Row],[Away Differential]]</f>
        <v>0.37371686431043938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0.59342197635442284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-0.2200802314358897</v>
      </c>
      <c r="H1164" t="s">
        <v>39</v>
      </c>
      <c r="I1164">
        <f>VLOOKUP(Table4[[#This Row],[Visitor]],'NHL Model'!$A$6:$B$38,2,FALSE)</f>
        <v>1.9153995907683643E-3</v>
      </c>
      <c r="J1164">
        <f>($B$1+Table4[[#This Row],[Home Differential]])-Table4[[#This Row],[Away Differential]]</f>
        <v>-6.2575969501830919E-2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0.54990336154864017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-1.5594075795597986</v>
      </c>
      <c r="H1165" t="s">
        <v>19</v>
      </c>
      <c r="I1165">
        <f>VLOOKUP(Table4[[#This Row],[Visitor]],'NHL Model'!$A$6:$B$38,2,FALSE)</f>
        <v>-0.95664361852990654</v>
      </c>
      <c r="J1165">
        <f>($B$1+Table4[[#This Row],[Home Differential]])-Table4[[#This Row],[Away Differential]]</f>
        <v>-0.44334429950506493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0.52337505996345302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0.1846559193064522</v>
      </c>
      <c r="H1166" t="s">
        <v>36</v>
      </c>
      <c r="I1166">
        <f>VLOOKUP(Table4[[#This Row],[Visitor]],'NHL Model'!$A$6:$B$38,2,FALSE)</f>
        <v>-0.34257283900844787</v>
      </c>
      <c r="J1166">
        <f>($B$1+Table4[[#This Row],[Home Differential]])-Table4[[#This Row],[Away Differential]]</f>
        <v>0.68664841983972713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0.65726026228378431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-3.2309887002194844E-2</v>
      </c>
      <c r="H1167" t="s">
        <v>22</v>
      </c>
      <c r="I1167">
        <f>VLOOKUP(Table4[[#This Row],[Visitor]],'NHL Model'!$A$6:$B$38,2,FALSE)</f>
        <v>0.21430145909042725</v>
      </c>
      <c r="J1167">
        <f>($B$1+Table4[[#This Row],[Home Differential]])-Table4[[#This Row],[Away Differential]]</f>
        <v>-8.7191684567794941E-2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0.49323308390542148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0.42254821659882374</v>
      </c>
      <c r="H1168" t="s">
        <v>18</v>
      </c>
      <c r="I1168">
        <f>VLOOKUP(Table4[[#This Row],[Visitor]],'NHL Model'!$A$6:$B$38,2,FALSE)</f>
        <v>-0.75480422558713034</v>
      </c>
      <c r="J1168">
        <f>($B$1+Table4[[#This Row],[Home Differential]])-Table4[[#This Row],[Away Differential]]</f>
        <v>1.3367721037107811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0.73654307941047636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-0.72083617366747277</v>
      </c>
      <c r="H1169" t="s">
        <v>21</v>
      </c>
      <c r="I1169">
        <f>VLOOKUP(Table4[[#This Row],[Visitor]],'NHL Model'!$A$6:$B$38,2,FALSE)</f>
        <v>-0.12487089668223171</v>
      </c>
      <c r="J1169">
        <f>($B$1+Table4[[#This Row],[Home Differential]])-Table4[[#This Row],[Away Differential]]</f>
        <v>-0.43654561546041393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0.51535725167163715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2.0731927685773251E-2</v>
      </c>
      <c r="H1170" t="s">
        <v>10</v>
      </c>
      <c r="I1170">
        <f>VLOOKUP(Table4[[#This Row],[Visitor]],'NHL Model'!$A$6:$B$38,2,FALSE)</f>
        <v>-0.13160108676160023</v>
      </c>
      <c r="J1170">
        <f>($B$1+Table4[[#This Row],[Home Differential]])-Table4[[#This Row],[Away Differential]]</f>
        <v>0.31175267597220063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0.70354291966222293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-0.50599078340071213</v>
      </c>
      <c r="H1171" t="s">
        <v>11</v>
      </c>
      <c r="I1171">
        <f>VLOOKUP(Table4[[#This Row],[Visitor]],'NHL Model'!$A$6:$B$38,2,FALSE)</f>
        <v>-0.21100886368613675</v>
      </c>
      <c r="J1171">
        <f>($B$1+Table4[[#This Row],[Home Differential]])-Table4[[#This Row],[Away Differential]]</f>
        <v>-0.13556225818974826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0.47937831669685932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-0.54160534998918008</v>
      </c>
      <c r="H1172" t="s">
        <v>39</v>
      </c>
      <c r="I1172">
        <f>VLOOKUP(Table4[[#This Row],[Visitor]],'NHL Model'!$A$6:$B$38,2,FALSE)</f>
        <v>1.9153995907683643E-3</v>
      </c>
      <c r="J1172">
        <f>($B$1+Table4[[#This Row],[Home Differential]])-Table4[[#This Row],[Away Differential]]</f>
        <v>-0.38410108805512133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0.56328626580519925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0.1846559193064522</v>
      </c>
      <c r="H1173" t="s">
        <v>29</v>
      </c>
      <c r="I1173">
        <f>VLOOKUP(Table4[[#This Row],[Visitor]],'NHL Model'!$A$6:$B$38,2,FALSE)</f>
        <v>-1.6840122346544992</v>
      </c>
      <c r="J1173">
        <f>($B$1+Table4[[#This Row],[Home Differential]])-Table4[[#This Row],[Away Differential]]</f>
        <v>2.0280878154857787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0.84901597501385284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0.35254565315374792</v>
      </c>
      <c r="H1174" t="s">
        <v>19</v>
      </c>
      <c r="I1174">
        <f>VLOOKUP(Table4[[#This Row],[Visitor]],'NHL Model'!$A$6:$B$38,2,FALSE)</f>
        <v>-0.95664361852990654</v>
      </c>
      <c r="J1174">
        <f>($B$1+Table4[[#This Row],[Home Differential]])-Table4[[#This Row],[Away Differential]]</f>
        <v>1.4686089332084817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0.84485494400920147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1.4583704516548168</v>
      </c>
      <c r="H1175" t="s">
        <v>16</v>
      </c>
      <c r="I1175">
        <f>VLOOKUP(Table4[[#This Row],[Visitor]],'NHL Model'!$A$6:$B$38,2,FALSE)</f>
        <v>-1.1167763879247272</v>
      </c>
      <c r="J1175">
        <f>($B$1+Table4[[#This Row],[Home Differential]])-Table4[[#This Row],[Away Differential]]</f>
        <v>2.7345665011043714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3.2883390994754517E-3</v>
      </c>
      <c r="H1176" t="s">
        <v>14</v>
      </c>
      <c r="I1176">
        <f>VLOOKUP(Table4[[#This Row],[Visitor]],'NHL Model'!$A$6:$B$38,2,FALSE)</f>
        <v>-0.2200802314358897</v>
      </c>
      <c r="J1176">
        <f>($B$1+Table4[[#This Row],[Home Differential]])-Table4[[#This Row],[Away Differential]]</f>
        <v>0.3827882320601923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0.59471870775647973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-0.3479098095875402</v>
      </c>
      <c r="H1177" t="s">
        <v>35</v>
      </c>
      <c r="I1177">
        <f>VLOOKUP(Table4[[#This Row],[Visitor]],'NHL Model'!$A$6:$B$38,2,FALSE)</f>
        <v>-1.5594075795597986</v>
      </c>
      <c r="J1177">
        <f>($B$1+Table4[[#This Row],[Home Differential]])-Table4[[#This Row],[Away Differential]]</f>
        <v>1.3709174314970856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0.73596953095610573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-3.2309887002194844E-2</v>
      </c>
      <c r="H1178" t="s">
        <v>38</v>
      </c>
      <c r="I1178">
        <f>VLOOKUP(Table4[[#This Row],[Visitor]],'NHL Model'!$A$6:$B$38,2,FALSE)</f>
        <v>-1.1267952052768424</v>
      </c>
      <c r="J1178">
        <f>($B$1+Table4[[#This Row],[Home Differential]])-Table4[[#This Row],[Away Differential]]</f>
        <v>1.2539049797994748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0.69847363616731872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-0.12487089668223171</v>
      </c>
      <c r="H1179" t="s">
        <v>39</v>
      </c>
      <c r="I1179">
        <f>VLOOKUP(Table4[[#This Row],[Visitor]],'NHL Model'!$A$6:$B$38,2,FALSE)</f>
        <v>1.9153995907683643E-3</v>
      </c>
      <c r="J1179">
        <f>($B$1+Table4[[#This Row],[Home Differential]])-Table4[[#This Row],[Away Differential]]</f>
        <v>3.2633365251827071E-2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0.51629277236906479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-0.49794713300108584</v>
      </c>
      <c r="H1180" t="s">
        <v>30</v>
      </c>
      <c r="I1180">
        <f>VLOOKUP(Table4[[#This Row],[Visitor]],'NHL Model'!$A$6:$B$38,2,FALSE)</f>
        <v>3.2883390994754517E-3</v>
      </c>
      <c r="J1180">
        <f>($B$1+Table4[[#This Row],[Home Differential]])-Table4[[#This Row],[Away Differential]]</f>
        <v>-0.34181581057573418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0.5673803117475662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-0.72083617366747277</v>
      </c>
      <c r="H1181" t="s">
        <v>25</v>
      </c>
      <c r="I1181">
        <f>VLOOKUP(Table4[[#This Row],[Visitor]],'NHL Model'!$A$6:$B$38,2,FALSE)</f>
        <v>0.42254821659882374</v>
      </c>
      <c r="J1181">
        <f>($B$1+Table4[[#This Row],[Home Differential]])-Table4[[#This Row],[Away Differential]]</f>
        <v>-0.98396472874146945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0.66620296683436653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-0.13160108676160023</v>
      </c>
      <c r="H1182" t="s">
        <v>40</v>
      </c>
      <c r="I1182">
        <f>VLOOKUP(Table4[[#This Row],[Visitor]],'NHL Model'!$A$6:$B$38,2,FALSE)</f>
        <v>-7.3890719153774626E-2</v>
      </c>
      <c r="J1182">
        <f>($B$1+Table4[[#This Row],[Home Differential]])-Table4[[#This Row],[Away Differential]]</f>
        <v>0.10170929391700154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0.48822332292276782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-0.8561868317598319</v>
      </c>
      <c r="H1183" t="s">
        <v>32</v>
      </c>
      <c r="I1183">
        <f>VLOOKUP(Table4[[#This Row],[Visitor]],'NHL Model'!$A$6:$B$38,2,FALSE)</f>
        <v>-0.46055888840939002</v>
      </c>
      <c r="J1183">
        <f>($B$1+Table4[[#This Row],[Home Differential]])-Table4[[#This Row],[Away Differential]]</f>
        <v>-0.23620828182561476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0.45772857066381972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-0.21100886368613675</v>
      </c>
      <c r="H1184" t="s">
        <v>36</v>
      </c>
      <c r="I1184">
        <f>VLOOKUP(Table4[[#This Row],[Visitor]],'NHL Model'!$A$6:$B$38,2,FALSE)</f>
        <v>-0.34257283900844787</v>
      </c>
      <c r="J1184">
        <f>($B$1+Table4[[#This Row],[Home Differential]])-Table4[[#This Row],[Away Differential]]</f>
        <v>0.29098363684713824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0.63331142585931932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-0.50599078340071213</v>
      </c>
      <c r="H1185" t="s">
        <v>24</v>
      </c>
      <c r="I1185">
        <f>VLOOKUP(Table4[[#This Row],[Visitor]],'NHL Model'!$A$6:$B$38,2,FALSE)</f>
        <v>2.0731927685773251E-2</v>
      </c>
      <c r="J1185">
        <f>($B$1+Table4[[#This Row],[Home Differential]])-Table4[[#This Row],[Away Differential]]</f>
        <v>-0.36730304956165827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0.51333462920121886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-0.2200802314358897</v>
      </c>
      <c r="H1186" t="s">
        <v>26</v>
      </c>
      <c r="I1186">
        <f>VLOOKUP(Table4[[#This Row],[Visitor]],'NHL Model'!$A$6:$B$38,2,FALSE)</f>
        <v>-0.67114180037169746</v>
      </c>
      <c r="J1186">
        <f>($B$1+Table4[[#This Row],[Home Differential]])-Table4[[#This Row],[Away Differential]]</f>
        <v>0.61048123046063485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0.60649767359876672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0.1846559193064522</v>
      </c>
      <c r="H1187" t="s">
        <v>18</v>
      </c>
      <c r="I1187">
        <f>VLOOKUP(Table4[[#This Row],[Visitor]],'NHL Model'!$A$6:$B$38,2,FALSE)</f>
        <v>-0.75480422558713034</v>
      </c>
      <c r="J1187">
        <f>($B$1+Table4[[#This Row],[Home Differential]])-Table4[[#This Row],[Away Differential]]</f>
        <v>1.0988798064184095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0.66927749270040904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0.21430145909042725</v>
      </c>
      <c r="H1188" t="s">
        <v>27</v>
      </c>
      <c r="I1188">
        <f>VLOOKUP(Table4[[#This Row],[Visitor]],'NHL Model'!$A$6:$B$38,2,FALSE)</f>
        <v>-0.54160534998918008</v>
      </c>
      <c r="J1188">
        <f>($B$1+Table4[[#This Row],[Home Differential]])-Table4[[#This Row],[Away Differential]]</f>
        <v>0.91532647060443451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0.67084383858200292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1.4583704516548168</v>
      </c>
      <c r="H1189" t="s">
        <v>38</v>
      </c>
      <c r="I1189">
        <f>VLOOKUP(Table4[[#This Row],[Visitor]],'NHL Model'!$A$6:$B$38,2,FALSE)</f>
        <v>-1.1267952052768424</v>
      </c>
      <c r="J1189">
        <f>($B$1+Table4[[#This Row],[Home Differential]])-Table4[[#This Row],[Away Differential]]</f>
        <v>2.7445853184564863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-0.31985119938240425</v>
      </c>
      <c r="H1190" t="s">
        <v>35</v>
      </c>
      <c r="I1190">
        <f>VLOOKUP(Table4[[#This Row],[Visitor]],'NHL Model'!$A$6:$B$38,2,FALSE)</f>
        <v>-1.5594075795597986</v>
      </c>
      <c r="J1190">
        <f>($B$1+Table4[[#This Row],[Home Differential]])-Table4[[#This Row],[Away Differential]]</f>
        <v>1.3989760417022215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0.73998044551218944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-0.3479098095875402</v>
      </c>
      <c r="H1191" t="s">
        <v>31</v>
      </c>
      <c r="I1191">
        <f>VLOOKUP(Table4[[#This Row],[Visitor]],'NHL Model'!$A$6:$B$38,2,FALSE)</f>
        <v>0.35254565315374792</v>
      </c>
      <c r="J1191">
        <f>($B$1+Table4[[#This Row],[Home Differential]])-Table4[[#This Row],[Away Differential]]</f>
        <v>-0.541035801216461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0.55810906886514455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0.42254821659882374</v>
      </c>
      <c r="H1192" t="s">
        <v>28</v>
      </c>
      <c r="I1192">
        <f>VLOOKUP(Table4[[#This Row],[Visitor]],'NHL Model'!$A$6:$B$38,2,FALSE)</f>
        <v>-0.72083617366747277</v>
      </c>
      <c r="J1192">
        <f>($B$1+Table4[[#This Row],[Home Differential]])-Table4[[#This Row],[Away Differential]]</f>
        <v>1.3028040517911237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0.77794885446933448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1.9153995907683643E-3</v>
      </c>
      <c r="H1193" t="s">
        <v>40</v>
      </c>
      <c r="I1193">
        <f>VLOOKUP(Table4[[#This Row],[Visitor]],'NHL Model'!$A$6:$B$38,2,FALSE)</f>
        <v>-7.3890719153774626E-2</v>
      </c>
      <c r="J1193">
        <f>($B$1+Table4[[#This Row],[Home Differential]])-Table4[[#This Row],[Away Differential]]</f>
        <v>0.23522578026937013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0.50981546684934675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-0.8561868317598319</v>
      </c>
      <c r="H1194" t="s">
        <v>10</v>
      </c>
      <c r="I1194">
        <f>VLOOKUP(Table4[[#This Row],[Visitor]],'NHL Model'!$A$6:$B$38,2,FALSE)</f>
        <v>-0.13160108676160023</v>
      </c>
      <c r="J1194">
        <f>($B$1+Table4[[#This Row],[Home Differential]])-Table4[[#This Row],[Away Differential]]</f>
        <v>-0.56516608347340458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0.50475234074081876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-0.21100886368613675</v>
      </c>
      <c r="H1195" t="s">
        <v>21</v>
      </c>
      <c r="I1195">
        <f>VLOOKUP(Table4[[#This Row],[Visitor]],'NHL Model'!$A$6:$B$38,2,FALSE)</f>
        <v>-0.12487089668223171</v>
      </c>
      <c r="J1195">
        <f>($B$1+Table4[[#This Row],[Home Differential]])-Table4[[#This Row],[Away Differential]]</f>
        <v>7.3281694520922105E-2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0.60219142800553727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-0.31985119938240425</v>
      </c>
      <c r="H1196" t="s">
        <v>29</v>
      </c>
      <c r="I1196">
        <f>VLOOKUP(Table4[[#This Row],[Visitor]],'NHL Model'!$A$6:$B$38,2,FALSE)</f>
        <v>-1.6840122346544992</v>
      </c>
      <c r="J1196">
        <f>($B$1+Table4[[#This Row],[Home Differential]])-Table4[[#This Row],[Away Differential]]</f>
        <v>1.5235806967969221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0.75779239775149376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-0.17681265190927384</v>
      </c>
      <c r="H1197" t="s">
        <v>38</v>
      </c>
      <c r="I1197">
        <f>VLOOKUP(Table4[[#This Row],[Visitor]],'NHL Model'!$A$6:$B$38,2,FALSE)</f>
        <v>-1.1267952052768424</v>
      </c>
      <c r="J1197">
        <f>($B$1+Table4[[#This Row],[Home Differential]])-Table4[[#This Row],[Away Differential]]</f>
        <v>1.1094022148923957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0.67781729435556104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2.0731927685773251E-2</v>
      </c>
      <c r="H1198" t="s">
        <v>22</v>
      </c>
      <c r="I1198">
        <f>VLOOKUP(Table4[[#This Row],[Visitor]],'NHL Model'!$A$6:$B$38,2,FALSE)</f>
        <v>0.21430145909042725</v>
      </c>
      <c r="J1198">
        <f>($B$1+Table4[[#This Row],[Home Differential]])-Table4[[#This Row],[Away Differential]]</f>
        <v>-3.414986987982685E-2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0.36488164628212033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-0.50599078340071213</v>
      </c>
      <c r="H1199" t="s">
        <v>18</v>
      </c>
      <c r="I1199">
        <f>VLOOKUP(Table4[[#This Row],[Visitor]],'NHL Model'!$A$6:$B$38,2,FALSE)</f>
        <v>-0.75480422558713034</v>
      </c>
      <c r="J1199">
        <f>($B$1+Table4[[#This Row],[Home Differential]])-Table4[[#This Row],[Away Differential]]</f>
        <v>0.40823310371124533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0.55125660284613742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-0.34257283900844787</v>
      </c>
      <c r="H1200" t="s">
        <v>23</v>
      </c>
      <c r="I1200">
        <f>VLOOKUP(Table4[[#This Row],[Visitor]],'NHL Model'!$A$6:$B$38,2,FALSE)</f>
        <v>-0.49794713300108584</v>
      </c>
      <c r="J1200">
        <f>($B$1+Table4[[#This Row],[Home Differential]])-Table4[[#This Row],[Away Differential]]</f>
        <v>0.31479395551746514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0.58749455966916952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-0.54160534998918008</v>
      </c>
      <c r="H1201" t="s">
        <v>26</v>
      </c>
      <c r="I1201">
        <f>VLOOKUP(Table4[[#This Row],[Visitor]],'NHL Model'!$A$6:$B$38,2,FALSE)</f>
        <v>-0.67114180037169746</v>
      </c>
      <c r="J1201">
        <f>($B$1+Table4[[#This Row],[Home Differential]])-Table4[[#This Row],[Away Differential]]</f>
        <v>0.28895611190734449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0.59302975737708985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-0.46055888840939002</v>
      </c>
      <c r="H1202" t="s">
        <v>55</v>
      </c>
      <c r="I1202">
        <f>VLOOKUP(Table4[[#This Row],[Visitor]],'NHL Model'!$A$6:$B$38,2,FALSE)</f>
        <v>-0.1349739904770427</v>
      </c>
      <c r="J1202">
        <f>($B$1+Table4[[#This Row],[Home Differential]])-Table4[[#This Row],[Away Differential]]</f>
        <v>-0.16616523640752015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0.45771520702835067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-0.3479098095875402</v>
      </c>
      <c r="H1203" t="s">
        <v>19</v>
      </c>
      <c r="I1203">
        <f>VLOOKUP(Table4[[#This Row],[Visitor]],'NHL Model'!$A$6:$B$38,2,FALSE)</f>
        <v>-0.95664361852990654</v>
      </c>
      <c r="J1203">
        <f>($B$1+Table4[[#This Row],[Home Differential]])-Table4[[#This Row],[Away Differential]]</f>
        <v>0.76815347046719351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0.6498057927131119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0.1846559193064522</v>
      </c>
      <c r="H1204" t="s">
        <v>14</v>
      </c>
      <c r="I1204">
        <f>VLOOKUP(Table4[[#This Row],[Visitor]],'NHL Model'!$A$6:$B$38,2,FALSE)</f>
        <v>-0.2200802314358897</v>
      </c>
      <c r="J1204">
        <f>($B$1+Table4[[#This Row],[Home Differential]])-Table4[[#This Row],[Away Differential]]</f>
        <v>0.56415581226716904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0.63975022243742352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-3.2309887002194844E-2</v>
      </c>
      <c r="H1205" t="s">
        <v>16</v>
      </c>
      <c r="I1205">
        <f>VLOOKUP(Table4[[#This Row],[Visitor]],'NHL Model'!$A$6:$B$38,2,FALSE)</f>
        <v>-1.1167763879247272</v>
      </c>
      <c r="J1205">
        <f>($B$1+Table4[[#This Row],[Home Differential]])-Table4[[#This Row],[Away Differential]]</f>
        <v>1.2438861624473596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0.71781069976723655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0.35254565315374792</v>
      </c>
      <c r="H1206" t="s">
        <v>35</v>
      </c>
      <c r="I1206">
        <f>VLOOKUP(Table4[[#This Row],[Visitor]],'NHL Model'!$A$6:$B$38,2,FALSE)</f>
        <v>-1.5594075795597986</v>
      </c>
      <c r="J1206">
        <f>($B$1+Table4[[#This Row],[Home Differential]])-Table4[[#This Row],[Away Differential]]</f>
        <v>2.0713728942383738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0.93101868225219531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3.2883390994754517E-3</v>
      </c>
      <c r="H1207" t="s">
        <v>27</v>
      </c>
      <c r="I1207">
        <f>VLOOKUP(Table4[[#This Row],[Visitor]],'NHL Model'!$A$6:$B$38,2,FALSE)</f>
        <v>-0.54160534998918008</v>
      </c>
      <c r="J1207">
        <f>($B$1+Table4[[#This Row],[Home Differential]])-Table4[[#This Row],[Away Differential]]</f>
        <v>0.70431335061348266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0.64067999267842179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0.35254565315374792</v>
      </c>
      <c r="H1208" t="s">
        <v>16</v>
      </c>
      <c r="I1208">
        <f>VLOOKUP(Table4[[#This Row],[Visitor]],'NHL Model'!$A$6:$B$38,2,FALSE)</f>
        <v>-1.1167763879247272</v>
      </c>
      <c r="J1208">
        <f>($B$1+Table4[[#This Row],[Home Differential]])-Table4[[#This Row],[Away Differential]]</f>
        <v>1.6287417026033024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0.8677455594379776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0.42254821659882374</v>
      </c>
      <c r="H1209" t="s">
        <v>30</v>
      </c>
      <c r="I1209">
        <f>VLOOKUP(Table4[[#This Row],[Visitor]],'NHL Model'!$A$6:$B$38,2,FALSE)</f>
        <v>3.2883390994754517E-3</v>
      </c>
      <c r="J1209">
        <f>($B$1+Table4[[#This Row],[Home Differential]])-Table4[[#This Row],[Away Differential]]</f>
        <v>0.57867953902417546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0.60272092485732187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-0.72083617366747277</v>
      </c>
      <c r="H1210" t="s">
        <v>40</v>
      </c>
      <c r="I1210">
        <f>VLOOKUP(Table4[[#This Row],[Visitor]],'NHL Model'!$A$6:$B$38,2,FALSE)</f>
        <v>-7.3890719153774626E-2</v>
      </c>
      <c r="J1210">
        <f>($B$1+Table4[[#This Row],[Home Differential]])-Table4[[#This Row],[Away Differential]]</f>
        <v>-0.487525792988871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0.5889214732702529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1.9153995907683643E-3</v>
      </c>
      <c r="H1211" t="s">
        <v>12</v>
      </c>
      <c r="I1211">
        <f>VLOOKUP(Table4[[#This Row],[Visitor]],'NHL Model'!$A$6:$B$38,2,FALSE)</f>
        <v>1.4583704516548168</v>
      </c>
      <c r="J1211">
        <f>($B$1+Table4[[#This Row],[Home Differential]])-Table4[[#This Row],[Away Differential]]</f>
        <v>-1.2970353905392213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0.73540826112326008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-0.8561868317598319</v>
      </c>
      <c r="H1212" t="s">
        <v>20</v>
      </c>
      <c r="I1212">
        <f>VLOOKUP(Table4[[#This Row],[Visitor]],'NHL Model'!$A$6:$B$38,2,FALSE)</f>
        <v>-3.2309887002194844E-2</v>
      </c>
      <c r="J1212">
        <f>($B$1+Table4[[#This Row],[Home Differential]])-Table4[[#This Row],[Away Differential]]</f>
        <v>-0.66445728323280995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0.51894579207338432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-0.31985119938240425</v>
      </c>
      <c r="H1213" t="s">
        <v>19</v>
      </c>
      <c r="I1213">
        <f>VLOOKUP(Table4[[#This Row],[Visitor]],'NHL Model'!$A$6:$B$38,2,FALSE)</f>
        <v>-0.95664361852990654</v>
      </c>
      <c r="J1213">
        <f>($B$1+Table4[[#This Row],[Home Differential]])-Table4[[#This Row],[Away Differential]]</f>
        <v>0.7962120806723294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0.65381670726919572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2.0731927685773251E-2</v>
      </c>
      <c r="H1214" t="s">
        <v>18</v>
      </c>
      <c r="I1214">
        <f>VLOOKUP(Table4[[#This Row],[Visitor]],'NHL Model'!$A$6:$B$38,2,FALSE)</f>
        <v>-0.75480422558713034</v>
      </c>
      <c r="J1214">
        <f>($B$1+Table4[[#This Row],[Home Differential]])-Table4[[#This Row],[Away Differential]]</f>
        <v>0.93495581479773071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0.74903442410468513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-0.50599078340071213</v>
      </c>
      <c r="H1215" t="s">
        <v>26</v>
      </c>
      <c r="I1215">
        <f>VLOOKUP(Table4[[#This Row],[Visitor]],'NHL Model'!$A$6:$B$38,2,FALSE)</f>
        <v>-0.67114180037169746</v>
      </c>
      <c r="J1215">
        <f>($B$1+Table4[[#This Row],[Home Differential]])-Table4[[#This Row],[Away Differential]]</f>
        <v>0.32457067849581245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0.56562741002442352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-0.34257283900844787</v>
      </c>
      <c r="H1216" t="s">
        <v>34</v>
      </c>
      <c r="I1216">
        <f>VLOOKUP(Table4[[#This Row],[Visitor]],'NHL Model'!$A$6:$B$38,2,FALSE)</f>
        <v>-0.17681265190927384</v>
      </c>
      <c r="J1216">
        <f>($B$1+Table4[[#This Row],[Home Differential]])-Table4[[#This Row],[Away Differential]]</f>
        <v>-6.3405255743468891E-3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0.47916723328506816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-0.2200802314358897</v>
      </c>
      <c r="H1217" t="s">
        <v>11</v>
      </c>
      <c r="I1217">
        <f>VLOOKUP(Table4[[#This Row],[Visitor]],'NHL Model'!$A$6:$B$38,2,FALSE)</f>
        <v>-0.21100886368613675</v>
      </c>
      <c r="J1217">
        <f>($B$1+Table4[[#This Row],[Home Differential]])-Table4[[#This Row],[Away Differential]]</f>
        <v>0.15034829377507419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0.56149194687748394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-0.46055888840939002</v>
      </c>
      <c r="H1218" t="s">
        <v>10</v>
      </c>
      <c r="I1218">
        <f>VLOOKUP(Table4[[#This Row],[Visitor]],'NHL Model'!$A$6:$B$38,2,FALSE)</f>
        <v>-0.13160108676160023</v>
      </c>
      <c r="J1218">
        <f>($B$1+Table4[[#This Row],[Home Differential]])-Table4[[#This Row],[Away Differential]]</f>
        <v>-0.16953814012296262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0.45819735594840161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-0.3479098095875402</v>
      </c>
      <c r="H1219" t="s">
        <v>29</v>
      </c>
      <c r="I1219">
        <f>VLOOKUP(Table4[[#This Row],[Visitor]],'NHL Model'!$A$6:$B$38,2,FALSE)</f>
        <v>-1.6840122346544992</v>
      </c>
      <c r="J1219">
        <f>($B$1+Table4[[#This Row],[Home Differential]])-Table4[[#This Row],[Away Differential]]</f>
        <v>1.4955220865917862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0.75378148319540994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0.1846559193064522</v>
      </c>
      <c r="H1220" t="s">
        <v>21</v>
      </c>
      <c r="I1220">
        <f>VLOOKUP(Table4[[#This Row],[Visitor]],'NHL Model'!$A$6:$B$38,2,FALSE)</f>
        <v>-0.12487089668223171</v>
      </c>
      <c r="J1220">
        <f>($B$1+Table4[[#This Row],[Home Differential]])-Table4[[#This Row],[Away Differential]]</f>
        <v>0.46894647751351104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0.62614026443000226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-1.1267952052768424</v>
      </c>
      <c r="H1221" t="s">
        <v>55</v>
      </c>
      <c r="I1221">
        <f>VLOOKUP(Table4[[#This Row],[Visitor]],'NHL Model'!$A$6:$B$38,2,FALSE)</f>
        <v>-0.1349739904770427</v>
      </c>
      <c r="J1221">
        <f>($B$1+Table4[[#This Row],[Home Differential]])-Table4[[#This Row],[Away Differential]]</f>
        <v>-0.83240155327497256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0.57898991012485135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0.21430145909042725</v>
      </c>
      <c r="H1222" t="s">
        <v>23</v>
      </c>
      <c r="I1222">
        <f>VLOOKUP(Table4[[#This Row],[Visitor]],'NHL Model'!$A$6:$B$38,2,FALSE)</f>
        <v>-0.49794713300108584</v>
      </c>
      <c r="J1222">
        <f>($B$1+Table4[[#This Row],[Home Differential]])-Table4[[#This Row],[Away Differential]]</f>
        <v>0.87166825361634026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0.66460299569171033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1.4583704516548168</v>
      </c>
      <c r="H1223" t="s">
        <v>35</v>
      </c>
      <c r="I1223">
        <f>VLOOKUP(Table4[[#This Row],[Visitor]],'NHL Model'!$A$6:$B$38,2,FALSE)</f>
        <v>-1.5594075795597986</v>
      </c>
      <c r="J1223">
        <f>($B$1+Table4[[#This Row],[Home Differential]])-Table4[[#This Row],[Away Differential]]</f>
        <v>3.1771976927394423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-0.67114180037169746</v>
      </c>
      <c r="H1224" t="s">
        <v>34</v>
      </c>
      <c r="I1224">
        <f>VLOOKUP(Table4[[#This Row],[Visitor]],'NHL Model'!$A$6:$B$38,2,FALSE)</f>
        <v>-0.17681265190927384</v>
      </c>
      <c r="J1224">
        <f>($B$1+Table4[[#This Row],[Home Differential]])-Table4[[#This Row],[Away Differential]]</f>
        <v>-0.33490948693759648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0.49615041203091215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-0.75480422558713034</v>
      </c>
      <c r="H1225" t="s">
        <v>24</v>
      </c>
      <c r="I1225">
        <f>VLOOKUP(Table4[[#This Row],[Visitor]],'NHL Model'!$A$6:$B$38,2,FALSE)</f>
        <v>2.0731927685773251E-2</v>
      </c>
      <c r="J1225">
        <f>($B$1+Table4[[#This Row],[Home Differential]])-Table4[[#This Row],[Away Differential]]</f>
        <v>-0.61611649174807648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0.54890194524854574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-0.50599078340071213</v>
      </c>
      <c r="H1226" t="s">
        <v>22</v>
      </c>
      <c r="I1226">
        <f>VLOOKUP(Table4[[#This Row],[Visitor]],'NHL Model'!$A$6:$B$38,2,FALSE)</f>
        <v>0.21430145909042725</v>
      </c>
      <c r="J1226">
        <f>($B$1+Table4[[#This Row],[Home Differential]])-Table4[[#This Row],[Away Differential]]</f>
        <v>-0.56087258096631221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0.56094469144455317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-0.34257283900844787</v>
      </c>
      <c r="H1227" t="s">
        <v>25</v>
      </c>
      <c r="I1227">
        <f>VLOOKUP(Table4[[#This Row],[Visitor]],'NHL Model'!$A$6:$B$38,2,FALSE)</f>
        <v>0.42254821659882374</v>
      </c>
      <c r="J1227">
        <f>($B$1+Table4[[#This Row],[Home Differential]])-Table4[[#This Row],[Away Differential]]</f>
        <v>-0.6057013940824445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0.61670411954925086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-0.54160534998918008</v>
      </c>
      <c r="H1228" t="s">
        <v>21</v>
      </c>
      <c r="I1228">
        <f>VLOOKUP(Table4[[#This Row],[Visitor]],'NHL Model'!$A$6:$B$38,2,FALSE)</f>
        <v>-0.12487089668223171</v>
      </c>
      <c r="J1228">
        <f>($B$1+Table4[[#This Row],[Home Differential]])-Table4[[#This Row],[Away Differential]]</f>
        <v>-0.25731479178212124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0.46453649884152504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-0.2200802314358897</v>
      </c>
      <c r="H1229" t="s">
        <v>11</v>
      </c>
      <c r="I1229">
        <f>VLOOKUP(Table4[[#This Row],[Visitor]],'NHL Model'!$A$6:$B$38,2,FALSE)</f>
        <v>-0.21100886368613675</v>
      </c>
      <c r="J1229">
        <f>($B$1+Table4[[#This Row],[Home Differential]])-Table4[[#This Row],[Away Differential]]</f>
        <v>0.15034829377507419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0.56149194687748394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-0.49794713300108584</v>
      </c>
      <c r="H1230" t="s">
        <v>37</v>
      </c>
      <c r="I1230">
        <f>VLOOKUP(Table4[[#This Row],[Visitor]],'NHL Model'!$A$6:$B$38,2,FALSE)</f>
        <v>0.1846559193064522</v>
      </c>
      <c r="J1230">
        <f>($B$1+Table4[[#This Row],[Home Differential]])-Table4[[#This Row],[Away Differential]]</f>
        <v>-0.52318339078271092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0.58698299855130687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-0.31985119938240425</v>
      </c>
      <c r="H1231" t="s">
        <v>29</v>
      </c>
      <c r="I1231">
        <f>VLOOKUP(Table4[[#This Row],[Visitor]],'NHL Model'!$A$6:$B$38,2,FALSE)</f>
        <v>-1.6840122346544992</v>
      </c>
      <c r="J1231">
        <f>($B$1+Table4[[#This Row],[Home Differential]])-Table4[[#This Row],[Away Differential]]</f>
        <v>1.5235806967969221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0.75779239775149376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-0.3479098095875402</v>
      </c>
      <c r="H1232" t="s">
        <v>10</v>
      </c>
      <c r="I1232">
        <f>VLOOKUP(Table4[[#This Row],[Visitor]],'NHL Model'!$A$6:$B$38,2,FALSE)</f>
        <v>-0.13160108676160023</v>
      </c>
      <c r="J1232">
        <f>($B$1+Table4[[#This Row],[Home Differential]])-Table4[[#This Row],[Away Differential]]</f>
        <v>-5.688906130111282E-2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0.46813216201324226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-7.3890719153774626E-2</v>
      </c>
      <c r="H1233" t="s">
        <v>32</v>
      </c>
      <c r="I1233">
        <f>VLOOKUP(Table4[[#This Row],[Visitor]],'NHL Model'!$A$6:$B$38,2,FALSE)</f>
        <v>-0.46055888840939002</v>
      </c>
      <c r="J1233">
        <f>($B$1+Table4[[#This Row],[Home Differential]])-Table4[[#This Row],[Away Differential]]</f>
        <v>0.54608783078044254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0.62055749344396849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0.35254565315374792</v>
      </c>
      <c r="H1234" t="s">
        <v>29</v>
      </c>
      <c r="I1234">
        <f>VLOOKUP(Table4[[#This Row],[Visitor]],'NHL Model'!$A$6:$B$38,2,FALSE)</f>
        <v>-1.6840122346544992</v>
      </c>
      <c r="J1234">
        <f>($B$1+Table4[[#This Row],[Home Differential]])-Table4[[#This Row],[Away Differential]]</f>
        <v>2.1959775493330742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0.94883063449149962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0.42254821659882374</v>
      </c>
      <c r="H1235" t="s">
        <v>21</v>
      </c>
      <c r="I1235">
        <f>VLOOKUP(Table4[[#This Row],[Visitor]],'NHL Model'!$A$6:$B$38,2,FALSE)</f>
        <v>-0.12487089668223171</v>
      </c>
      <c r="J1235">
        <f>($B$1+Table4[[#This Row],[Home Differential]])-Table4[[#This Row],[Away Differential]]</f>
        <v>0.70683877480588264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0.69275697265820035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1.9153995907683643E-3</v>
      </c>
      <c r="H1236" t="s">
        <v>16</v>
      </c>
      <c r="I1236">
        <f>VLOOKUP(Table4[[#This Row],[Visitor]],'NHL Model'!$A$6:$B$38,2,FALSE)</f>
        <v>-1.1167763879247272</v>
      </c>
      <c r="J1236">
        <f>($B$1+Table4[[#This Row],[Home Differential]])-Table4[[#This Row],[Away Differential]]</f>
        <v>1.2781114490403227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0.72519860590142948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-0.67114180037169746</v>
      </c>
      <c r="H1237" t="s">
        <v>28</v>
      </c>
      <c r="I1237">
        <f>VLOOKUP(Table4[[#This Row],[Visitor]],'NHL Model'!$A$6:$B$38,2,FALSE)</f>
        <v>-0.72083617366747277</v>
      </c>
      <c r="J1237">
        <f>($B$1+Table4[[#This Row],[Home Differential]])-Table4[[#This Row],[Away Differential]]</f>
        <v>0.20911403482060242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0.60213844180309462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-0.17681265190927384</v>
      </c>
      <c r="H1238" t="s">
        <v>32</v>
      </c>
      <c r="I1238">
        <f>VLOOKUP(Table4[[#This Row],[Visitor]],'NHL Model'!$A$6:$B$38,2,FALSE)</f>
        <v>-0.46055888840939002</v>
      </c>
      <c r="J1238">
        <f>($B$1+Table4[[#This Row],[Home Differential]])-Table4[[#This Row],[Away Differential]]</f>
        <v>0.44316589802494333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0.60334955787734779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-0.75480422558713034</v>
      </c>
      <c r="H1239" t="s">
        <v>11</v>
      </c>
      <c r="I1239">
        <f>VLOOKUP(Table4[[#This Row],[Visitor]],'NHL Model'!$A$6:$B$38,2,FALSE)</f>
        <v>-0.21100886368613675</v>
      </c>
      <c r="J1239">
        <f>($B$1+Table4[[#This Row],[Home Differential]])-Table4[[#This Row],[Away Differential]]</f>
        <v>-0.38437570037616647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0.51494563274418625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2.0731927685773251E-2</v>
      </c>
      <c r="H1240" t="s">
        <v>27</v>
      </c>
      <c r="I1240">
        <f>VLOOKUP(Table4[[#This Row],[Visitor]],'NHL Model'!$A$6:$B$38,2,FALSE)</f>
        <v>-0.54160534998918008</v>
      </c>
      <c r="J1240">
        <f>($B$1+Table4[[#This Row],[Home Differential]])-Table4[[#This Row],[Away Differential]]</f>
        <v>0.72175693919978046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0.76215209721638799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-0.34257283900844787</v>
      </c>
      <c r="H1241" t="s">
        <v>37</v>
      </c>
      <c r="I1241">
        <f>VLOOKUP(Table4[[#This Row],[Visitor]],'NHL Model'!$A$6:$B$38,2,FALSE)</f>
        <v>0.1846559193064522</v>
      </c>
      <c r="J1241">
        <f>($B$1+Table4[[#This Row],[Home Differential]])-Table4[[#This Row],[Away Differential]]</f>
        <v>-0.3678090967900729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0.57638699822432238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-1.5594075795597986</v>
      </c>
      <c r="H1242" t="s">
        <v>12</v>
      </c>
      <c r="I1242">
        <f>VLOOKUP(Table4[[#This Row],[Visitor]],'NHL Model'!$A$6:$B$38,2,FALSE)</f>
        <v>1.4583704516548168</v>
      </c>
      <c r="J1242">
        <f>($B$1+Table4[[#This Row],[Home Differential]])-Table4[[#This Row],[Away Differential]]</f>
        <v>-2.8583583696897881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0.96108202020033029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-0.1349739904770427</v>
      </c>
      <c r="H1243" t="s">
        <v>17</v>
      </c>
      <c r="I1243">
        <f>VLOOKUP(Table4[[#This Row],[Visitor]],'NHL Model'!$A$6:$B$38,2,FALSE)</f>
        <v>-0.8561868317598319</v>
      </c>
      <c r="J1243">
        <f>($B$1+Table4[[#This Row],[Home Differential]])-Table4[[#This Row],[Away Differential]]</f>
        <v>0.88063250280761629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0.7293326906013653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-1.1267952052768424</v>
      </c>
      <c r="H1244" t="s">
        <v>20</v>
      </c>
      <c r="I1244">
        <f>VLOOKUP(Table4[[#This Row],[Visitor]],'NHL Model'!$A$6:$B$38,2,FALSE)</f>
        <v>-3.2309887002194844E-2</v>
      </c>
      <c r="J1244">
        <f>($B$1+Table4[[#This Row],[Home Differential]])-Table4[[#This Row],[Away Differential]]</f>
        <v>-0.93506565674982045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0.59366551037746784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-0.50599078340071213</v>
      </c>
      <c r="H1245" t="s">
        <v>23</v>
      </c>
      <c r="I1245">
        <f>VLOOKUP(Table4[[#This Row],[Visitor]],'NHL Model'!$A$6:$B$38,2,FALSE)</f>
        <v>-0.49794713300108584</v>
      </c>
      <c r="J1245">
        <f>($B$1+Table4[[#This Row],[Home Differential]])-Table4[[#This Row],[Away Differential]]</f>
        <v>0.15137601112520083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0.5616388567368471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-0.3479098095875402</v>
      </c>
      <c r="H1246" t="s">
        <v>17</v>
      </c>
      <c r="I1246">
        <f>VLOOKUP(Table4[[#This Row],[Visitor]],'NHL Model'!$A$6:$B$38,2,FALSE)</f>
        <v>-0.8561868317598319</v>
      </c>
      <c r="J1246">
        <f>($B$1+Table4[[#This Row],[Home Differential]])-Table4[[#This Row],[Away Differential]]</f>
        <v>0.66769668369711888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0.63544572336656424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-0.95664361852990654</v>
      </c>
      <c r="H1247" t="s">
        <v>22</v>
      </c>
      <c r="I1247">
        <f>VLOOKUP(Table4[[#This Row],[Visitor]],'NHL Model'!$A$6:$B$38,2,FALSE)</f>
        <v>0.21430145909042725</v>
      </c>
      <c r="J1247">
        <f>($B$1+Table4[[#This Row],[Home Differential]])-Table4[[#This Row],[Away Differential]]</f>
        <v>-1.0115254160955067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0.62536448996434113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0.35254565315374792</v>
      </c>
      <c r="H1248" t="s">
        <v>33</v>
      </c>
      <c r="I1248">
        <f>VLOOKUP(Table4[[#This Row],[Visitor]],'NHL Model'!$A$6:$B$38,2,FALSE)</f>
        <v>-0.3479098095875402</v>
      </c>
      <c r="J1248">
        <f>($B$1+Table4[[#This Row],[Home Differential]])-Table4[[#This Row],[Away Differential]]</f>
        <v>0.85987512426611534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0.75783782957563051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-0.49794713300108584</v>
      </c>
      <c r="H1249" t="s">
        <v>28</v>
      </c>
      <c r="I1249">
        <f>VLOOKUP(Table4[[#This Row],[Visitor]],'NHL Model'!$A$6:$B$38,2,FALSE)</f>
        <v>-0.72083617366747277</v>
      </c>
      <c r="J1249">
        <f>($B$1+Table4[[#This Row],[Home Differential]])-Table4[[#This Row],[Away Differential]]</f>
        <v>0.38230870219121404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0.60866678055021906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-0.13160108676160023</v>
      </c>
      <c r="H1250" t="s">
        <v>25</v>
      </c>
      <c r="I1250">
        <f>VLOOKUP(Table4[[#This Row],[Visitor]],'NHL Model'!$A$6:$B$38,2,FALSE)</f>
        <v>0.42254821659882374</v>
      </c>
      <c r="J1250">
        <f>($B$1+Table4[[#This Row],[Home Differential]])-Table4[[#This Row],[Away Differential]]</f>
        <v>-0.39472964183559683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0.58904887425081254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1.4583704516548168</v>
      </c>
      <c r="H1251" t="s">
        <v>16</v>
      </c>
      <c r="I1251">
        <f>VLOOKUP(Table4[[#This Row],[Visitor]],'NHL Model'!$A$6:$B$38,2,FALSE)</f>
        <v>-1.1167763879247272</v>
      </c>
      <c r="J1251">
        <f>($B$1+Table4[[#This Row],[Home Differential]])-Table4[[#This Row],[Away Differential]]</f>
        <v>2.7345665011043714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1.9153995907683643E-3</v>
      </c>
      <c r="H1252" t="s">
        <v>34</v>
      </c>
      <c r="I1252">
        <f>VLOOKUP(Table4[[#This Row],[Visitor]],'NHL Model'!$A$6:$B$38,2,FALSE)</f>
        <v>-0.17681265190927384</v>
      </c>
      <c r="J1252">
        <f>($B$1+Table4[[#This Row],[Home Differential]])-Table4[[#This Row],[Away Differential]]</f>
        <v>0.33814771302486935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0.5700765774559341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-0.67114180037169746</v>
      </c>
      <c r="H1253" t="s">
        <v>27</v>
      </c>
      <c r="I1253">
        <f>VLOOKUP(Table4[[#This Row],[Visitor]],'NHL Model'!$A$6:$B$38,2,FALSE)</f>
        <v>-0.54160534998918008</v>
      </c>
      <c r="J1253">
        <f>($B$1+Table4[[#This Row],[Home Differential]])-Table4[[#This Row],[Away Differential]]</f>
        <v>2.988321114230974E-2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0.57651780292132382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-0.31985119938240425</v>
      </c>
      <c r="H1254" t="s">
        <v>38</v>
      </c>
      <c r="I1254">
        <f>VLOOKUP(Table4[[#This Row],[Visitor]],'NHL Model'!$A$6:$B$38,2,FALSE)</f>
        <v>-1.1267952052768424</v>
      </c>
      <c r="J1254">
        <f>($B$1+Table4[[#This Row],[Home Differential]])-Table4[[#This Row],[Away Differential]]</f>
        <v>0.96636366741926527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0.65737025909805391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-0.75480422558713034</v>
      </c>
      <c r="H1255" t="s">
        <v>37</v>
      </c>
      <c r="I1255">
        <f>VLOOKUP(Table4[[#This Row],[Visitor]],'NHL Model'!$A$6:$B$38,2,FALSE)</f>
        <v>0.1846559193064522</v>
      </c>
      <c r="J1255">
        <f>($B$1+Table4[[#This Row],[Home Differential]])-Table4[[#This Row],[Away Differential]]</f>
        <v>-0.78004048336875542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0.63782080366379224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2.0731927685773251E-2</v>
      </c>
      <c r="H1256" t="s">
        <v>14</v>
      </c>
      <c r="I1256">
        <f>VLOOKUP(Table4[[#This Row],[Visitor]],'NHL Model'!$A$6:$B$38,2,FALSE)</f>
        <v>-0.2200802314358897</v>
      </c>
      <c r="J1256">
        <f>($B$1+Table4[[#This Row],[Home Differential]])-Table4[[#This Row],[Away Differential]]</f>
        <v>0.4002318206464901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0.71619081229444581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3.2883390994754517E-3</v>
      </c>
      <c r="H1257" t="s">
        <v>19</v>
      </c>
      <c r="I1257">
        <f>VLOOKUP(Table4[[#This Row],[Visitor]],'NHL Model'!$A$6:$B$38,2,FALSE)</f>
        <v>-0.95664361852990654</v>
      </c>
      <c r="J1257">
        <f>($B$1+Table4[[#This Row],[Home Differential]])-Table4[[#This Row],[Away Differential]]</f>
        <v>1.1193516191542092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0.700008769850611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-0.34257283900844787</v>
      </c>
      <c r="H1258" t="s">
        <v>11</v>
      </c>
      <c r="I1258">
        <f>VLOOKUP(Table4[[#This Row],[Visitor]],'NHL Model'!$A$6:$B$38,2,FALSE)</f>
        <v>-0.21100886368613675</v>
      </c>
      <c r="J1258">
        <f>($B$1+Table4[[#This Row],[Home Differential]])-Table4[[#This Row],[Away Differential]]</f>
        <v>2.7855686202516022E-2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0.54647738623546305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-0.46055888840939002</v>
      </c>
      <c r="H1259" t="s">
        <v>20</v>
      </c>
      <c r="I1259">
        <f>VLOOKUP(Table4[[#This Row],[Visitor]],'NHL Model'!$A$6:$B$38,2,FALSE)</f>
        <v>-3.2309887002194844E-2</v>
      </c>
      <c r="J1259">
        <f>($B$1+Table4[[#This Row],[Home Differential]])-Table4[[#This Row],[Away Differential]]</f>
        <v>-0.26882933988236801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0.47239080728096716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-1.5594075795597986</v>
      </c>
      <c r="H1260" t="s">
        <v>40</v>
      </c>
      <c r="I1260">
        <f>VLOOKUP(Table4[[#This Row],[Visitor]],'NHL Model'!$A$6:$B$38,2,FALSE)</f>
        <v>-7.3890719153774626E-2</v>
      </c>
      <c r="J1260">
        <f>($B$1+Table4[[#This Row],[Home Differential]])-Table4[[#This Row],[Away Differential]]</f>
        <v>-1.3260971988811969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0.71587837004658006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-0.1349739904770427</v>
      </c>
      <c r="H1261" t="s">
        <v>29</v>
      </c>
      <c r="I1261">
        <f>VLOOKUP(Table4[[#This Row],[Visitor]],'NHL Model'!$A$6:$B$38,2,FALSE)</f>
        <v>-1.6840122346544992</v>
      </c>
      <c r="J1261">
        <f>($B$1+Table4[[#This Row],[Home Differential]])-Table4[[#This Row],[Away Differential]]</f>
        <v>1.7084579057022837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0.847668450430211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-0.12487089668223171</v>
      </c>
      <c r="H1262" t="s">
        <v>37</v>
      </c>
      <c r="I1262">
        <f>VLOOKUP(Table4[[#This Row],[Visitor]],'NHL Model'!$A$6:$B$38,2,FALSE)</f>
        <v>0.1846559193064522</v>
      </c>
      <c r="J1262">
        <f>($B$1+Table4[[#This Row],[Home Differential]])-Table4[[#This Row],[Away Differential]]</f>
        <v>-0.15010715446385675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0.49514168708733236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-0.13160108676160023</v>
      </c>
      <c r="H1263" t="s">
        <v>35</v>
      </c>
      <c r="I1263">
        <f>VLOOKUP(Table4[[#This Row],[Visitor]],'NHL Model'!$A$6:$B$38,2,FALSE)</f>
        <v>-1.5594075795597986</v>
      </c>
      <c r="J1263">
        <f>($B$1+Table4[[#This Row],[Home Differential]])-Table4[[#This Row],[Away Differential]]</f>
        <v>1.5872261543230255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0.7668903712488887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1.4583704516548168</v>
      </c>
      <c r="H1264" t="s">
        <v>20</v>
      </c>
      <c r="I1264">
        <f>VLOOKUP(Table4[[#This Row],[Visitor]],'NHL Model'!$A$6:$B$38,2,FALSE)</f>
        <v>-3.2309887002194844E-2</v>
      </c>
      <c r="J1264">
        <f>($B$1+Table4[[#This Row],[Home Differential]])-Table4[[#This Row],[Away Differential]]</f>
        <v>1.6501000001818389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0.87079867953282963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1.9153995907683643E-3</v>
      </c>
      <c r="H1265" t="s">
        <v>15</v>
      </c>
      <c r="I1265">
        <f>VLOOKUP(Table4[[#This Row],[Visitor]],'NHL Model'!$A$6:$B$38,2,FALSE)</f>
        <v>-0.50599078340071213</v>
      </c>
      <c r="J1265">
        <f>($B$1+Table4[[#This Row],[Home Differential]])-Table4[[#This Row],[Away Differential]]</f>
        <v>0.66732584451630761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0.55440910619114847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-0.67114180037169746</v>
      </c>
      <c r="H1266" t="s">
        <v>24</v>
      </c>
      <c r="I1266">
        <f>VLOOKUP(Table4[[#This Row],[Visitor]],'NHL Model'!$A$6:$B$38,2,FALSE)</f>
        <v>2.0731927685773251E-2</v>
      </c>
      <c r="J1266">
        <f>($B$1+Table4[[#This Row],[Home Differential]])-Table4[[#This Row],[Away Differential]]</f>
        <v>-0.5324540665326436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0.5046845271992032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-0.31985119938240425</v>
      </c>
      <c r="H1267" t="s">
        <v>17</v>
      </c>
      <c r="I1267">
        <f>VLOOKUP(Table4[[#This Row],[Visitor]],'NHL Model'!$A$6:$B$38,2,FALSE)</f>
        <v>-0.8561868317598319</v>
      </c>
      <c r="J1267">
        <f>($B$1+Table4[[#This Row],[Home Differential]])-Table4[[#This Row],[Away Differential]]</f>
        <v>0.69575529390225477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0.63945663792264806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-0.75480422558713034</v>
      </c>
      <c r="H1268" t="s">
        <v>28</v>
      </c>
      <c r="I1268">
        <f>VLOOKUP(Table4[[#This Row],[Visitor]],'NHL Model'!$A$6:$B$38,2,FALSE)</f>
        <v>-0.72083617366747277</v>
      </c>
      <c r="J1268">
        <f>($B$1+Table4[[#This Row],[Home Differential]])-Table4[[#This Row],[Away Differential]]</f>
        <v>0.12545160960516955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0.55793302246158349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-1.6840122346544992</v>
      </c>
      <c r="H1269" t="s">
        <v>34</v>
      </c>
      <c r="I1269">
        <f>VLOOKUP(Table4[[#This Row],[Visitor]],'NHL Model'!$A$6:$B$38,2,FALSE)</f>
        <v>-0.17681265190927384</v>
      </c>
      <c r="J1269">
        <f>($B$1+Table4[[#This Row],[Home Differential]])-Table4[[#This Row],[Away Differential]]</f>
        <v>-1.3477799212203982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0.67343130721915001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3.2883390994754517E-3</v>
      </c>
      <c r="H1270" t="s">
        <v>36</v>
      </c>
      <c r="I1270">
        <f>VLOOKUP(Table4[[#This Row],[Visitor]],'NHL Model'!$A$6:$B$38,2,FALSE)</f>
        <v>-0.34257283900844787</v>
      </c>
      <c r="J1270">
        <f>($B$1+Table4[[#This Row],[Home Differential]])-Table4[[#This Row],[Away Differential]]</f>
        <v>0.5052808396327505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0.61222874760284052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-0.2200802314358897</v>
      </c>
      <c r="H1271" t="s">
        <v>22</v>
      </c>
      <c r="I1271">
        <f>VLOOKUP(Table4[[#This Row],[Visitor]],'NHL Model'!$A$6:$B$38,2,FALSE)</f>
        <v>0.21430145909042725</v>
      </c>
      <c r="J1271">
        <f>($B$1+Table4[[#This Row],[Home Differential]])-Table4[[#This Row],[Away Differential]]</f>
        <v>-0.2749620290014898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0.52007442787020985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-0.46055888840939002</v>
      </c>
      <c r="H1272" t="s">
        <v>16</v>
      </c>
      <c r="I1272">
        <f>VLOOKUP(Table4[[#This Row],[Visitor]],'NHL Model'!$A$6:$B$38,2,FALSE)</f>
        <v>-1.1167763879247272</v>
      </c>
      <c r="J1272">
        <f>($B$1+Table4[[#This Row],[Home Differential]])-Table4[[#This Row],[Away Differential]]</f>
        <v>0.81563716104016437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0.68263121420672856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-0.3479098095875402</v>
      </c>
      <c r="H1273" t="s">
        <v>38</v>
      </c>
      <c r="I1273">
        <f>VLOOKUP(Table4[[#This Row],[Visitor]],'NHL Model'!$A$6:$B$38,2,FALSE)</f>
        <v>-1.1267952052768424</v>
      </c>
      <c r="J1273">
        <f>($B$1+Table4[[#This Row],[Home Differential]])-Table4[[#This Row],[Away Differential]]</f>
        <v>0.93830505721412938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0.65335934454197009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-0.95664361852990654</v>
      </c>
      <c r="H1274" t="s">
        <v>11</v>
      </c>
      <c r="I1274">
        <f>VLOOKUP(Table4[[#This Row],[Visitor]],'NHL Model'!$A$6:$B$38,2,FALSE)</f>
        <v>-0.21100886368613675</v>
      </c>
      <c r="J1274">
        <f>($B$1+Table4[[#This Row],[Home Differential]])-Table4[[#This Row],[Away Differential]]</f>
        <v>-0.58621509331894273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0.54379811521664734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-0.1349739904770427</v>
      </c>
      <c r="H1275" t="s">
        <v>25</v>
      </c>
      <c r="I1275">
        <f>VLOOKUP(Table4[[#This Row],[Visitor]],'NHL Model'!$A$6:$B$38,2,FALSE)</f>
        <v>0.42254821659882374</v>
      </c>
      <c r="J1275">
        <f>($B$1+Table4[[#This Row],[Home Differential]])-Table4[[#This Row],[Away Differential]]</f>
        <v>-0.3981025455510393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0.52474411137294874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-7.3890719153774626E-2</v>
      </c>
      <c r="H1276" t="s">
        <v>27</v>
      </c>
      <c r="I1276">
        <f>VLOOKUP(Table4[[#This Row],[Visitor]],'NHL Model'!$A$6:$B$38,2,FALSE)</f>
        <v>-0.54160534998918008</v>
      </c>
      <c r="J1276">
        <f>($B$1+Table4[[#This Row],[Home Differential]])-Table4[[#This Row],[Away Differential]]</f>
        <v>0.62713429236023255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0.63214290092113445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0.35254565315374792</v>
      </c>
      <c r="H1277" t="s">
        <v>38</v>
      </c>
      <c r="I1277">
        <f>VLOOKUP(Table4[[#This Row],[Visitor]],'NHL Model'!$A$6:$B$38,2,FALSE)</f>
        <v>-1.1267952052768424</v>
      </c>
      <c r="J1277">
        <f>($B$1+Table4[[#This Row],[Home Differential]])-Table4[[#This Row],[Away Differential]]</f>
        <v>1.6387605199554174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0.84964170707127085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-0.72083617366747277</v>
      </c>
      <c r="H1278" t="s">
        <v>21</v>
      </c>
      <c r="I1278">
        <f>VLOOKUP(Table4[[#This Row],[Visitor]],'NHL Model'!$A$6:$B$38,2,FALSE)</f>
        <v>-0.12487089668223171</v>
      </c>
      <c r="J1278">
        <f>($B$1+Table4[[#This Row],[Home Differential]])-Table4[[#This Row],[Away Differential]]</f>
        <v>-0.43654561546041393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0.51535725167163715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-1.1167763879247272</v>
      </c>
      <c r="H1279" t="s">
        <v>55</v>
      </c>
      <c r="I1279">
        <f>VLOOKUP(Table4[[#This Row],[Visitor]],'NHL Model'!$A$6:$B$38,2,FALSE)</f>
        <v>-0.1349739904770427</v>
      </c>
      <c r="J1279">
        <f>($B$1+Table4[[#This Row],[Home Differential]])-Table4[[#This Row],[Away Differential]]</f>
        <v>-0.82238273592285738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0.57755774295553841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2.0731927685773251E-2</v>
      </c>
      <c r="H1280" t="s">
        <v>36</v>
      </c>
      <c r="I1280">
        <f>VLOOKUP(Table4[[#This Row],[Visitor]],'NHL Model'!$A$6:$B$38,2,FALSE)</f>
        <v>-0.34257283900844787</v>
      </c>
      <c r="J1280">
        <f>($B$1+Table4[[#This Row],[Home Differential]])-Table4[[#This Row],[Away Differential]]</f>
        <v>0.5227244282190483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0.7337008521408066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3.2883390994754517E-3</v>
      </c>
      <c r="H1281" t="s">
        <v>18</v>
      </c>
      <c r="I1281">
        <f>VLOOKUP(Table4[[#This Row],[Visitor]],'NHL Model'!$A$6:$B$38,2,FALSE)</f>
        <v>-0.75480422558713034</v>
      </c>
      <c r="J1281">
        <f>($B$1+Table4[[#This Row],[Home Differential]])-Table4[[#This Row],[Away Differential]]</f>
        <v>0.91751222621143291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0.62405689589741964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0.21430145909042725</v>
      </c>
      <c r="H1282" t="s">
        <v>14</v>
      </c>
      <c r="I1282">
        <f>VLOOKUP(Table4[[#This Row],[Visitor]],'NHL Model'!$A$6:$B$38,2,FALSE)</f>
        <v>-0.2200802314358897</v>
      </c>
      <c r="J1282">
        <f>($B$1+Table4[[#This Row],[Home Differential]])-Table4[[#This Row],[Away Differential]]</f>
        <v>0.59380135205114415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0.62488255366006085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-0.13160108676160023</v>
      </c>
      <c r="H1283" t="s">
        <v>23</v>
      </c>
      <c r="I1283">
        <f>VLOOKUP(Table4[[#This Row],[Visitor]],'NHL Model'!$A$6:$B$38,2,FALSE)</f>
        <v>-0.49794713300108584</v>
      </c>
      <c r="J1283">
        <f>($B$1+Table4[[#This Row],[Home Differential]])-Table4[[#This Row],[Away Differential]]</f>
        <v>0.52576570776431275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0.61515701294341329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-0.8561868317598319</v>
      </c>
      <c r="H1284" t="s">
        <v>12</v>
      </c>
      <c r="I1284">
        <f>VLOOKUP(Table4[[#This Row],[Visitor]],'NHL Model'!$A$6:$B$38,2,FALSE)</f>
        <v>1.4583704516548168</v>
      </c>
      <c r="J1284">
        <f>($B$1+Table4[[#This Row],[Home Differential]])-Table4[[#This Row],[Away Differential]]</f>
        <v>-2.1551376218898217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0.82420105702354962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-0.21100886368613675</v>
      </c>
      <c r="H1285" t="s">
        <v>15</v>
      </c>
      <c r="I1285">
        <f>VLOOKUP(Table4[[#This Row],[Visitor]],'NHL Model'!$A$6:$B$38,2,FALSE)</f>
        <v>-0.50599078340071213</v>
      </c>
      <c r="J1285">
        <f>($B$1+Table4[[#This Row],[Home Differential]])-Table4[[#This Row],[Away Differential]]</f>
        <v>0.45440158123940255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0.57404658234684991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-1.6840122346544992</v>
      </c>
      <c r="H1286" t="s">
        <v>33</v>
      </c>
      <c r="I1286">
        <f>VLOOKUP(Table4[[#This Row],[Visitor]],'NHL Model'!$A$6:$B$38,2,FALSE)</f>
        <v>-0.3479098095875402</v>
      </c>
      <c r="J1286">
        <f>($B$1+Table4[[#This Row],[Home Differential]])-Table4[[#This Row],[Away Differential]]</f>
        <v>-1.176682763542132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0.62820412663632841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-0.54160534998918008</v>
      </c>
      <c r="H1287" t="s">
        <v>25</v>
      </c>
      <c r="I1287">
        <f>VLOOKUP(Table4[[#This Row],[Visitor]],'NHL Model'!$A$6:$B$38,2,FALSE)</f>
        <v>0.42254821659882374</v>
      </c>
      <c r="J1287">
        <f>($B$1+Table4[[#This Row],[Home Differential]])-Table4[[#This Row],[Away Differential]]</f>
        <v>-0.80473390506317677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0.61503488269712125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-0.46055888840939002</v>
      </c>
      <c r="H1288" t="s">
        <v>13</v>
      </c>
      <c r="I1288">
        <f>VLOOKUP(Table4[[#This Row],[Visitor]],'NHL Model'!$A$6:$B$38,2,FALSE)</f>
        <v>-0.31985119938240425</v>
      </c>
      <c r="J1288">
        <f>($B$1+Table4[[#This Row],[Home Differential]])-Table4[[#This Row],[Away Differential]]</f>
        <v>1.87119724978414E-2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0.48543345462889614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-1.5594075795597986</v>
      </c>
      <c r="H1289" t="s">
        <v>34</v>
      </c>
      <c r="I1289">
        <f>VLOOKUP(Table4[[#This Row],[Visitor]],'NHL Model'!$A$6:$B$38,2,FALSE)</f>
        <v>-0.17681265190927384</v>
      </c>
      <c r="J1289">
        <f>($B$1+Table4[[#This Row],[Home Differential]])-Table4[[#This Row],[Away Differential]]</f>
        <v>-1.2231752661256976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0.65561935497984569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0.1846559193064522</v>
      </c>
      <c r="H1290" t="s">
        <v>26</v>
      </c>
      <c r="I1290">
        <f>VLOOKUP(Table4[[#This Row],[Visitor]],'NHL Model'!$A$6:$B$38,2,FALSE)</f>
        <v>-0.67114180037169746</v>
      </c>
      <c r="J1290">
        <f>($B$1+Table4[[#This Row],[Home Differential]])-Table4[[#This Row],[Away Differential]]</f>
        <v>1.0152173812029768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0.68358455567751453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-0.95664361852990654</v>
      </c>
      <c r="H1291" t="s">
        <v>39</v>
      </c>
      <c r="I1291">
        <f>VLOOKUP(Table4[[#This Row],[Visitor]],'NHL Model'!$A$6:$B$38,2,FALSE)</f>
        <v>1.9153995907683643E-3</v>
      </c>
      <c r="J1291">
        <f>($B$1+Table4[[#This Row],[Home Differential]])-Table4[[#This Row],[Away Differential]]</f>
        <v>-0.79913935659584778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0.65519342364277133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-3.2309887002194844E-2</v>
      </c>
      <c r="H1292" t="s">
        <v>40</v>
      </c>
      <c r="I1292">
        <f>VLOOKUP(Table4[[#This Row],[Visitor]],'NHL Model'!$A$6:$B$38,2,FALSE)</f>
        <v>-7.3890719153774626E-2</v>
      </c>
      <c r="J1292">
        <f>($B$1+Table4[[#This Row],[Home Differential]])-Table4[[#This Row],[Away Differential]]</f>
        <v>0.20100049367640693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0.50241677425533338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-0.12487089668223171</v>
      </c>
      <c r="H1293" t="s">
        <v>24</v>
      </c>
      <c r="I1293">
        <f>VLOOKUP(Table4[[#This Row],[Visitor]],'NHL Model'!$A$6:$B$38,2,FALSE)</f>
        <v>2.0731927685773251E-2</v>
      </c>
      <c r="J1293">
        <f>($B$1+Table4[[#This Row],[Home Differential]])-Table4[[#This Row],[Away Differential]]</f>
        <v>1.3816837156822182E-2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0.59288417637719404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-0.72083617366747277</v>
      </c>
      <c r="H1294" t="s">
        <v>22</v>
      </c>
      <c r="I1294">
        <f>VLOOKUP(Table4[[#This Row],[Visitor]],'NHL Model'!$A$6:$B$38,2,FALSE)</f>
        <v>0.21430145909042725</v>
      </c>
      <c r="J1294">
        <f>($B$1+Table4[[#This Row],[Home Differential]])-Table4[[#This Row],[Away Differential]]</f>
        <v>-0.77571797123307284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0.58457133143100781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-1.1167763879247272</v>
      </c>
      <c r="H1295" t="s">
        <v>12</v>
      </c>
      <c r="I1295">
        <f>VLOOKUP(Table4[[#This Row],[Visitor]],'NHL Model'!$A$6:$B$38,2,FALSE)</f>
        <v>1.4583704516548168</v>
      </c>
      <c r="J1295">
        <f>($B$1+Table4[[#This Row],[Home Differential]])-Table4[[#This Row],[Away Differential]]</f>
        <v>-2.4157271780547172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0.89780889738611269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-0.17681265190927384</v>
      </c>
      <c r="H1296" t="s">
        <v>31</v>
      </c>
      <c r="I1296">
        <f>VLOOKUP(Table4[[#This Row],[Visitor]],'NHL Model'!$A$6:$B$38,2,FALSE)</f>
        <v>0.35254565315374792</v>
      </c>
      <c r="J1296">
        <f>($B$1+Table4[[#This Row],[Home Differential]])-Table4[[#This Row],[Away Differential]]</f>
        <v>-0.36993864353819461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0.5336511190515536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3.2883390994754517E-3</v>
      </c>
      <c r="H1297" t="s">
        <v>25</v>
      </c>
      <c r="I1297">
        <f>VLOOKUP(Table4[[#This Row],[Visitor]],'NHL Model'!$A$6:$B$38,2,FALSE)</f>
        <v>0.42254821659882374</v>
      </c>
      <c r="J1297">
        <f>($B$1+Table4[[#This Row],[Home Differential]])-Table4[[#This Row],[Away Differential]]</f>
        <v>-0.25984021597452112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0.56976673740609651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-0.54160534998918008</v>
      </c>
      <c r="H1298" t="s">
        <v>18</v>
      </c>
      <c r="I1298">
        <f>VLOOKUP(Table4[[#This Row],[Visitor]],'NHL Model'!$A$6:$B$38,2,FALSE)</f>
        <v>-0.75480422558713034</v>
      </c>
      <c r="J1298">
        <f>($B$1+Table4[[#This Row],[Home Differential]])-Table4[[#This Row],[Away Differential]]</f>
        <v>0.37261853712277737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0.57881241823474339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-1.5594075795597986</v>
      </c>
      <c r="H1299" t="s">
        <v>14</v>
      </c>
      <c r="I1299">
        <f>VLOOKUP(Table4[[#This Row],[Visitor]],'NHL Model'!$A$6:$B$38,2,FALSE)</f>
        <v>-0.2200802314358897</v>
      </c>
      <c r="J1299">
        <f>($B$1+Table4[[#This Row],[Home Differential]])-Table4[[#This Row],[Away Differential]]</f>
        <v>-1.1799076865990819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0.62866512205758429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-0.1349739904770427</v>
      </c>
      <c r="H1300" t="s">
        <v>40</v>
      </c>
      <c r="I1300">
        <f>VLOOKUP(Table4[[#This Row],[Visitor]],'NHL Model'!$A$6:$B$38,2,FALSE)</f>
        <v>-7.3890719153774626E-2</v>
      </c>
      <c r="J1300">
        <f>($B$1+Table4[[#This Row],[Home Differential]])-Table4[[#This Row],[Away Differential]]</f>
        <v>9.8336390201559071E-2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0.55251850193793961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-1.1267952052768424</v>
      </c>
      <c r="H1301" t="s">
        <v>13</v>
      </c>
      <c r="I1301">
        <f>VLOOKUP(Table4[[#This Row],[Visitor]],'NHL Model'!$A$6:$B$38,2,FALSE)</f>
        <v>-0.31985119938240425</v>
      </c>
      <c r="J1301">
        <f>($B$1+Table4[[#This Row],[Home Differential]])-Table4[[#This Row],[Away Differential]]</f>
        <v>-0.64752434436961104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0.63604039417776836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-0.49794713300108584</v>
      </c>
      <c r="H1302" t="s">
        <v>39</v>
      </c>
      <c r="I1302">
        <f>VLOOKUP(Table4[[#This Row],[Visitor]],'NHL Model'!$A$6:$B$38,2,FALSE)</f>
        <v>1.9153995907683643E-3</v>
      </c>
      <c r="J1302">
        <f>($B$1+Table4[[#This Row],[Home Differential]])-Table4[[#This Row],[Away Differential]]</f>
        <v>-0.34044287106702709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0.57554725507685778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-0.13160108676160023</v>
      </c>
      <c r="H1303" t="s">
        <v>33</v>
      </c>
      <c r="I1303">
        <f>VLOOKUP(Table4[[#This Row],[Visitor]],'NHL Model'!$A$6:$B$38,2,FALSE)</f>
        <v>-0.3479098095875402</v>
      </c>
      <c r="J1303">
        <f>($B$1+Table4[[#This Row],[Home Differential]])-Table4[[#This Row],[Away Differential]]</f>
        <v>0.37572838435076711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0.5937095185723239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-0.21100886368613675</v>
      </c>
      <c r="H1304" t="s">
        <v>26</v>
      </c>
      <c r="I1304">
        <f>VLOOKUP(Table4[[#This Row],[Visitor]],'NHL Model'!$A$6:$B$38,2,FALSE)</f>
        <v>-0.67114180037169746</v>
      </c>
      <c r="J1304">
        <f>($B$1+Table4[[#This Row],[Home Differential]])-Table4[[#This Row],[Away Differential]]</f>
        <v>0.61955259821038788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0.65999220719862584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-0.34257283900844787</v>
      </c>
      <c r="H1305" t="s">
        <v>19</v>
      </c>
      <c r="I1305">
        <f>VLOOKUP(Table4[[#This Row],[Visitor]],'NHL Model'!$A$6:$B$38,2,FALSE)</f>
        <v>-0.95664361852990654</v>
      </c>
      <c r="J1305">
        <f>($B$1+Table4[[#This Row],[Home Differential]])-Table4[[#This Row],[Away Differential]]</f>
        <v>0.77349044104628584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0.65306417973165121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0.1846559193064522</v>
      </c>
      <c r="H1306" t="s">
        <v>15</v>
      </c>
      <c r="I1306">
        <f>VLOOKUP(Table4[[#This Row],[Visitor]],'NHL Model'!$A$6:$B$38,2,FALSE)</f>
        <v>-0.50599078340071213</v>
      </c>
      <c r="J1306">
        <f>($B$1+Table4[[#This Row],[Home Differential]])-Table4[[#This Row],[Away Differential]]</f>
        <v>0.85006636423199144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0.59724321004166847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-3.2309887002194844E-2</v>
      </c>
      <c r="H1307" t="s">
        <v>32</v>
      </c>
      <c r="I1307">
        <f>VLOOKUP(Table4[[#This Row],[Visitor]],'NHL Model'!$A$6:$B$38,2,FALSE)</f>
        <v>-0.46055888840939002</v>
      </c>
      <c r="J1307">
        <f>($B$1+Table4[[#This Row],[Home Differential]])-Table4[[#This Row],[Away Differential]]</f>
        <v>0.58766866293202236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0.62400589968910547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-1.1167763879247272</v>
      </c>
      <c r="H1308" t="s">
        <v>13</v>
      </c>
      <c r="I1308">
        <f>VLOOKUP(Table4[[#This Row],[Visitor]],'NHL Model'!$A$6:$B$38,2,FALSE)</f>
        <v>-0.31985119938240425</v>
      </c>
      <c r="J1308">
        <f>($B$1+Table4[[#This Row],[Home Differential]])-Table4[[#This Row],[Away Differential]]</f>
        <v>-0.63750552701749585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0.63460822700845543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1.4583704516548168</v>
      </c>
      <c r="H1309" t="s">
        <v>32</v>
      </c>
      <c r="I1309">
        <f>VLOOKUP(Table4[[#This Row],[Visitor]],'NHL Model'!$A$6:$B$38,2,FALSE)</f>
        <v>-0.46055888840939002</v>
      </c>
      <c r="J1309">
        <f>($B$1+Table4[[#This Row],[Home Differential]])-Table4[[#This Row],[Away Differential]]</f>
        <v>2.078349001589034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0.93201590094239428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-0.8561868317598319</v>
      </c>
      <c r="H1310" t="s">
        <v>38</v>
      </c>
      <c r="I1310">
        <f>VLOOKUP(Table4[[#This Row],[Visitor]],'NHL Model'!$A$6:$B$38,2,FALSE)</f>
        <v>-1.1267952052768424</v>
      </c>
      <c r="J1310">
        <f>($B$1+Table4[[#This Row],[Home Differential]])-Table4[[#This Row],[Away Differential]]</f>
        <v>0.43002803504183762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0.61702708577973298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-1.6840122346544992</v>
      </c>
      <c r="H1311" t="s">
        <v>31</v>
      </c>
      <c r="I1311">
        <f>VLOOKUP(Table4[[#This Row],[Visitor]],'NHL Model'!$A$6:$B$38,2,FALSE)</f>
        <v>0.35254565315374792</v>
      </c>
      <c r="J1311">
        <f>($B$1+Table4[[#This Row],[Home Differential]])-Table4[[#This Row],[Away Differential]]</f>
        <v>-1.87713822628342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0.74910187378101378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-0.1349739904770427</v>
      </c>
      <c r="H1312" t="s">
        <v>35</v>
      </c>
      <c r="I1312">
        <f>VLOOKUP(Table4[[#This Row],[Visitor]],'NHL Model'!$A$6:$B$38,2,FALSE)</f>
        <v>-1.5594075795597986</v>
      </c>
      <c r="J1312">
        <f>($B$1+Table4[[#This Row],[Home Differential]])-Table4[[#This Row],[Away Differential]]</f>
        <v>1.5838532506075831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0.82985649819090668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-7.3890719153774626E-2</v>
      </c>
      <c r="H1313" t="s">
        <v>33</v>
      </c>
      <c r="I1313">
        <f>VLOOKUP(Table4[[#This Row],[Visitor]],'NHL Model'!$A$6:$B$38,2,FALSE)</f>
        <v>-0.3479098095875402</v>
      </c>
      <c r="J1313">
        <f>($B$1+Table4[[#This Row],[Home Differential]])-Table4[[#This Row],[Away Differential]]</f>
        <v>0.43343875195859272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0.60445456365975259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22</v>
      </c>
      <c r="C2">
        <f>COUNTIF(NHL2025_26Results[Winning Team],Standings!A2)</f>
        <v>14</v>
      </c>
      <c r="D2">
        <f>COUNTIFS('NHL2025-26Results'!$H:$H,A2,'NHL2025-26Results'!$F:$F,"")</f>
        <v>7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2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24</v>
      </c>
      <c r="C3">
        <f>COUNTIF(NHL2025_26Results[Winning Team],Standings!A3)</f>
        <v>13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26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5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0.41666666666666669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2.8333333333333335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22</v>
      </c>
      <c r="C4">
        <f>COUNTIF(NHL2025_26Results[Winning Team],Standings!A4)</f>
        <v>9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24</v>
      </c>
      <c r="C5">
        <f>COUNTIF(NHL2025_26Results[Winning Team],Standings!A5)</f>
        <v>8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2.6923076923076925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22</v>
      </c>
      <c r="C6">
        <f>COUNTIF(NHL2025_26Results[Winning Team],Standings!A6)</f>
        <v>14</v>
      </c>
      <c r="D6">
        <f>COUNTIFS('NHL2025-26Results'!$H:$H,A6,'NHL2025-26Results'!$F:$F,"")</f>
        <v>6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22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0.45454545454545453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2.3636363636363638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22</v>
      </c>
      <c r="C8">
        <f>COUNTIF(NHL2025_26Results[Winning Team],Standings!A8)</f>
        <v>16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37</v>
      </c>
      <c r="G8">
        <f>COUNTIFS('NHL2025-26Results'!$D:$D,A8,'NHL2025-26Results'!$G:$G,A8)</f>
        <v>8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4.5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23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3</v>
      </c>
      <c r="F9" s="3">
        <f>(Table1[[#This Row],[W]]*2)+Table1[[#This Row],[OTL]]</f>
        <v>25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22</v>
      </c>
      <c r="C10">
        <f>COUNTIF(NHL2025_26Results[Winning Team],Standings!A10)</f>
        <v>13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30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7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0.63636363636363635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3.5454545454545454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</v>
      </c>
    </row>
    <row r="11" spans="1:18" x14ac:dyDescent="0.2">
      <c r="A11" s="4" t="s">
        <v>26</v>
      </c>
      <c r="B11">
        <f>SUM(Table1[[#This Row],[W]:[OTL]])</f>
        <v>23</v>
      </c>
      <c r="C11">
        <f>COUNTIF(NHL2025_26Results[Winning Team],Standings!A11)</f>
        <v>13</v>
      </c>
      <c r="D11">
        <f>COUNTIFS('NHL2025-26Results'!$H:$H,A11,'NHL2025-26Results'!$F:$F,"")</f>
        <v>9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4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0.61538461538461542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3.5833333333333335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3.3076923076923075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24</v>
      </c>
      <c r="C12">
        <f>COUNTIF(NHL2025_26Results[Winning Team],Standings!A12)</f>
        <v>10</v>
      </c>
      <c r="D12">
        <f>COUNTIFS('NHL2025-26Results'!$H:$H,A12,'NHL2025-26Results'!$F:$F,"")</f>
        <v>9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22</v>
      </c>
      <c r="C13">
        <f>COUNTIF(NHL2025_26Results[Winning Team],Standings!A13)</f>
        <v>12</v>
      </c>
      <c r="D13">
        <f>COUNTIFS('NHL2025-26Results'!$H:$H,A13,'NHL2025-26Results'!$F:$F,"")</f>
        <v>9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3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3.3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23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28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23</v>
      </c>
      <c r="C15">
        <f>COUNTIF(NHL2025_26Results[Winning Team],Standings!A15)</f>
        <v>12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28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5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2.9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21</v>
      </c>
      <c r="C16">
        <f>COUNTIF(NHL2025_26Results[Winning Team],Standings!A16)</f>
        <v>11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25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22</v>
      </c>
      <c r="C17">
        <f>COUNTIF(NHL2025_26Results[Winning Team],Standings!A17)</f>
        <v>6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22</v>
      </c>
      <c r="C18">
        <f>COUNTIF(NHL2025_26Results[Winning Team],Standings!A18)</f>
        <v>14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29</v>
      </c>
      <c r="G18">
        <f>COUNTIFS('NHL2025-26Results'!$D:$D,A18,'NHL2025-26Results'!$G:$G,A18)</f>
        <v>8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0.88888888888888884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3.4444444444444446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2.1111111111111112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23</v>
      </c>
      <c r="C19">
        <f>COUNTIF(NHL2025_26Results[Winning Team],Standings!A19)</f>
        <v>13</v>
      </c>
      <c r="D19">
        <f>COUNTIFS('NHL2025-26Results'!$H:$H,A19,'NHL2025-26Results'!$F:$F,"")</f>
        <v>8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4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3.2222222222222223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24</v>
      </c>
      <c r="C20">
        <f>COUNTIF(NHL2025_26Results[Winning Team],Standings!A20)</f>
        <v>11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24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0.6428571428571429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3.2142857142857144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2.75</v>
      </c>
    </row>
    <row r="21" spans="1:18" x14ac:dyDescent="0.2">
      <c r="A21" s="4" t="s">
        <v>36</v>
      </c>
      <c r="B21">
        <f>SUM(Table1[[#This Row],[W]:[OTL]])</f>
        <v>22</v>
      </c>
      <c r="C21">
        <f>COUNTIF(NHL2025_26Results[Winning Team],Standings!A21)</f>
        <v>11</v>
      </c>
      <c r="D21">
        <f>COUNTIFS('NHL2025-26Results'!$H:$H,A21,'NHL2025-26Results'!$F:$F,"")</f>
        <v>7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26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5</v>
      </c>
      <c r="K21">
        <f>COUNTIFS('NHL2025-26Results'!$B:$B,A21,'NHL2025-26Results'!$H:$H,A21,'NHL2025-26Results'!$F:$F,"")</f>
        <v>4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0.45454545454545453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3.2727272727272729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3.7272727272727271</v>
      </c>
    </row>
    <row r="22" spans="1:18" x14ac:dyDescent="0.2">
      <c r="A22" s="4" t="s">
        <v>27</v>
      </c>
      <c r="B22">
        <f>SUM(Table1[[#This Row],[W]:[OTL]])</f>
        <v>21</v>
      </c>
      <c r="C22">
        <f>COUNTIF(NHL2025_26Results[Winning Team],Standings!A22)</f>
        <v>11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25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0.375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3.25</v>
      </c>
    </row>
    <row r="23" spans="1:18" x14ac:dyDescent="0.2">
      <c r="A23" s="4" t="s">
        <v>14</v>
      </c>
      <c r="B23">
        <f>SUM(Table1[[#This Row],[W]:[OTL]])</f>
        <v>21</v>
      </c>
      <c r="C23">
        <f>COUNTIF(NHL2025_26Results[Winning Team],Standings!A23)</f>
        <v>10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25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3.5555555555555554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23</v>
      </c>
      <c r="C24">
        <f>COUNTIF(NHL2025_26Results[Winning Team],Standings!A24)</f>
        <v>11</v>
      </c>
      <c r="D24">
        <f>COUNTIFS('NHL2025-26Results'!$H:$H,A24,'NHL2025-26Results'!$F:$F,"")</f>
        <v>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22</v>
      </c>
      <c r="C25">
        <f>COUNTIF(NHL2025_26Results[Winning Team],Standings!A25)</f>
        <v>11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23</v>
      </c>
      <c r="C26">
        <f>COUNTIF(NHL2025_26Results[Winning Team],Standings!A26)</f>
        <v>7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6</v>
      </c>
      <c r="F26" s="3">
        <f>(Table1[[#This Row],[W]]*2)+Table1[[#This Row],[OTL]]</f>
        <v>20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2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0.36363636363636365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2.7272727272727271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3.5</v>
      </c>
    </row>
    <row r="27" spans="1:18" x14ac:dyDescent="0.2">
      <c r="A27" s="4" t="s">
        <v>37</v>
      </c>
      <c r="B27">
        <f>SUM(Table1[[#This Row],[W]:[OTL]])</f>
        <v>22</v>
      </c>
      <c r="C27">
        <f>COUNTIF(NHL2025_26Results[Winning Team],Standings!A27)</f>
        <v>13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28</v>
      </c>
      <c r="G27">
        <f>COUNTIFS('NHL2025-26Results'!$D:$D,A27,'NHL2025-26Results'!$G:$G,A27)</f>
        <v>7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0.58333333333333337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2.9166666666666665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3.1818181818181817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22</v>
      </c>
      <c r="C28">
        <f>COUNTIF(NHL2025_26Results[Winning Team],Standings!A28)</f>
        <v>9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21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0.14285714285714285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4.5714285714285712</v>
      </c>
    </row>
    <row r="29" spans="1:18" x14ac:dyDescent="0.2">
      <c r="A29" t="s">
        <v>55</v>
      </c>
      <c r="B29">
        <f>SUM(Table1[[#This Row],[W]:[OTL]])</f>
        <v>23</v>
      </c>
      <c r="C29">
        <f>COUNTIF(NHL2025_26Results[Winning Team],Standings!A29)</f>
        <v>12</v>
      </c>
      <c r="D29">
        <f>COUNTIFS('NHL2025-26Results'!$H:$H,A29,'NHL2025-26Results'!$F:$F,"")</f>
        <v>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2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0.7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3.4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2.5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23</v>
      </c>
      <c r="C30">
        <f>COUNTIF(NHL2025_26Results[Winning Team],Standings!A30)</f>
        <v>9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22</v>
      </c>
      <c r="C31">
        <f>COUNTIF(NHL2025_26Results[Winning Team],Standings!A31)</f>
        <v>10</v>
      </c>
      <c r="D31">
        <f>COUNTIFS('NHL2025-26Results'!$H:$H,A31,'NHL2025-26Results'!$F:$F,"")</f>
        <v>5</v>
      </c>
      <c r="E31">
        <f>COUNTIFS('NHL2025-26Results'!$F:$F,"OT",'NHL2025-26Results'!$H:$H,A31) + COUNTIFS('NHL2025-26Results'!$F:$F,"SO",'NHL2025-26Results'!$H:$H,A31)</f>
        <v>7</v>
      </c>
      <c r="F31" s="3">
        <f>(Table1[[#This Row],[W]]*2)+Table1[[#This Row],[OTL]]</f>
        <v>27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23</v>
      </c>
      <c r="C32">
        <f>COUNTIF(NHL2025_26Results[Winning Team],Standings!A32)</f>
        <v>12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26</v>
      </c>
      <c r="G32">
        <f>COUNTIFS('NHL2025-26Results'!$D:$D,A32,'NHL2025-26Results'!$G:$G,A32)</f>
        <v>7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0.53846153846153844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3.3076923076923075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2.7692307692307692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21</v>
      </c>
      <c r="C33">
        <f>COUNTIF(NHL2025_26Results[Winning Team],Standings!A33)</f>
        <v>12</v>
      </c>
      <c r="D33">
        <f>COUNTIFS('NHL2025-26Results'!$H:$H,A33,'NHL2025-26Results'!$F:$F,"")</f>
        <v>9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60"/>
  <sheetViews>
    <sheetView tabSelected="1" topLeftCell="I1" zoomScale="59" workbookViewId="0">
      <selection activeCell="O14" sqref="O14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2025-11-25T20:42:02Z</dcterms:modified>
</cp:coreProperties>
</file>