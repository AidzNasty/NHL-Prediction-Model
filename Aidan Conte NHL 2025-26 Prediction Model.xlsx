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68" documentId="14_{BC0C37BD-5950-BD49-823D-87212FE79B51}" xr6:coauthVersionLast="47" xr6:coauthVersionMax="47" xr10:uidLastSave="{BF854D78-3B0C-9448-96A0-D7ED84A150A4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'NHL2025-26PlayerStats'!$A$1:$AE$952</definedName>
    <definedName name="ExternalData_1" localSheetId="0" hidden="1">'NHL2025-26Results'!$A$1:$J$1313</definedName>
    <definedName name="ExternalData_4" localSheetId="4" hidden="1">'ML Prediction Model'!$A$1:$T$207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23" i="1" l="1"/>
  <c r="H623" i="1"/>
  <c r="I623" i="1"/>
  <c r="G624" i="1"/>
  <c r="H624" i="1"/>
  <c r="I624" i="1"/>
  <c r="J624" i="1" s="1"/>
  <c r="G625" i="1"/>
  <c r="H625" i="1"/>
  <c r="I625" i="1"/>
  <c r="G626" i="1"/>
  <c r="H626" i="1"/>
  <c r="I626" i="1"/>
  <c r="J626" i="1" s="1"/>
  <c r="G627" i="1"/>
  <c r="H627" i="1"/>
  <c r="I627" i="1"/>
  <c r="E623" i="1"/>
  <c r="E624" i="1"/>
  <c r="E625" i="1"/>
  <c r="E626" i="1"/>
  <c r="E627" i="1"/>
  <c r="G612" i="1"/>
  <c r="I612" i="1"/>
  <c r="G613" i="1"/>
  <c r="H613" i="1" s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G622" i="1"/>
  <c r="I622" i="1"/>
  <c r="E622" i="1"/>
  <c r="E621" i="1"/>
  <c r="E612" i="1"/>
  <c r="E613" i="1"/>
  <c r="E614" i="1"/>
  <c r="E615" i="1"/>
  <c r="E616" i="1"/>
  <c r="E617" i="1"/>
  <c r="E618" i="1"/>
  <c r="E619" i="1"/>
  <c r="E620" i="1"/>
  <c r="G607" i="1"/>
  <c r="I607" i="1"/>
  <c r="G608" i="1"/>
  <c r="I608" i="1"/>
  <c r="G609" i="1"/>
  <c r="I609" i="1"/>
  <c r="G610" i="1"/>
  <c r="I610" i="1"/>
  <c r="G611" i="1"/>
  <c r="I611" i="1"/>
  <c r="E607" i="1"/>
  <c r="E608" i="1"/>
  <c r="E609" i="1"/>
  <c r="E610" i="1"/>
  <c r="E611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H602" i="1" s="1"/>
  <c r="I602" i="1"/>
  <c r="G603" i="1"/>
  <c r="I603" i="1"/>
  <c r="G604" i="1"/>
  <c r="I604" i="1"/>
  <c r="G605" i="1"/>
  <c r="H605" i="1" s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E590" i="1"/>
  <c r="E591" i="1"/>
  <c r="E592" i="1"/>
  <c r="E581" i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27" i="1" l="1"/>
  <c r="J623" i="1"/>
  <c r="J625" i="1"/>
  <c r="H622" i="1"/>
  <c r="H619" i="1"/>
  <c r="H617" i="1"/>
  <c r="H615" i="1"/>
  <c r="J615" i="1" s="1"/>
  <c r="H618" i="1"/>
  <c r="J618" i="1" s="1"/>
  <c r="H614" i="1"/>
  <c r="J614" i="1" s="1"/>
  <c r="H620" i="1"/>
  <c r="J620" i="1" s="1"/>
  <c r="H616" i="1"/>
  <c r="J616" i="1" s="1"/>
  <c r="H603" i="1"/>
  <c r="H621" i="1"/>
  <c r="J621" i="1" s="1"/>
  <c r="H612" i="1"/>
  <c r="J612" i="1" s="1"/>
  <c r="J613" i="1"/>
  <c r="H581" i="1"/>
  <c r="J581" i="1" s="1"/>
  <c r="J617" i="1"/>
  <c r="J619" i="1"/>
  <c r="H608" i="1"/>
  <c r="J608" i="1" s="1"/>
  <c r="H611" i="1"/>
  <c r="J611" i="1" s="1"/>
  <c r="J622" i="1"/>
  <c r="H609" i="1"/>
  <c r="J609" i="1" s="1"/>
  <c r="H596" i="1"/>
  <c r="J596" i="1" s="1"/>
  <c r="H607" i="1"/>
  <c r="J607" i="1" s="1"/>
  <c r="H594" i="1"/>
  <c r="J594" i="1" s="1"/>
  <c r="H610" i="1"/>
  <c r="J610" i="1" s="1"/>
  <c r="H589" i="1"/>
  <c r="J589" i="1" s="1"/>
  <c r="H586" i="1"/>
  <c r="H587" i="1"/>
  <c r="J587" i="1" s="1"/>
  <c r="H604" i="1"/>
  <c r="J604" i="1" s="1"/>
  <c r="H591" i="1"/>
  <c r="J591" i="1" s="1"/>
  <c r="H582" i="1"/>
  <c r="J582" i="1" s="1"/>
  <c r="H600" i="1"/>
  <c r="J600" i="1" s="1"/>
  <c r="H592" i="1"/>
  <c r="J592" i="1" s="1"/>
  <c r="H601" i="1"/>
  <c r="J601" i="1" s="1"/>
  <c r="H593" i="1"/>
  <c r="J593" i="1" s="1"/>
  <c r="H598" i="1"/>
  <c r="J598" i="1" s="1"/>
  <c r="J606" i="1"/>
  <c r="H595" i="1"/>
  <c r="J595" i="1" s="1"/>
  <c r="J603" i="1"/>
  <c r="J597" i="1"/>
  <c r="J605" i="1"/>
  <c r="J602" i="1"/>
  <c r="H599" i="1"/>
  <c r="J599" i="1" s="1"/>
  <c r="H585" i="1"/>
  <c r="J585" i="1" s="1"/>
  <c r="H590" i="1"/>
  <c r="J590" i="1" s="1"/>
  <c r="H584" i="1"/>
  <c r="J584" i="1" s="1"/>
  <c r="J583" i="1"/>
  <c r="J586" i="1"/>
  <c r="J588" i="1"/>
  <c r="H579" i="1"/>
  <c r="J579" i="1" s="1"/>
  <c r="H563" i="1"/>
  <c r="J563" i="1" s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J449" i="1" s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J125" i="1" s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J88" i="1" s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66" i="1"/>
  <c r="J87" i="1"/>
  <c r="J96" i="1"/>
  <c r="J111" i="1"/>
  <c r="J91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619" i="4" l="1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<sst xmlns="http://schemas.openxmlformats.org/spreadsheetml/2006/main" count="21402" uniqueCount="2842">
  <si>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</si>
  <si>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</si>
  <si>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</si>
  <si>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</si>
  <si>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</si>
  <si>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</si>
  <si>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</si>
  <si>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</si>
  <si>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</si>
  <si>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</si>
  <si>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</si>
  <si>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</si>
  <si>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</si>
  <si>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</si>
  <si>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</si>
  <si>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</si>
  <si>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</si>
  <si>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</si>
  <si>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</si>
  <si>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</si>
  <si>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</si>
  <si>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</si>
  <si>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</si>
  <si>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</si>
  <si>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</si>
  <si>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</si>
  <si>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</si>
  <si>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</si>
  <si>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</si>
  <si>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</si>
  <si>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</si>
  <si>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</si>
  <si>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</si>
  <si>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</si>
  <si>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</si>
  <si>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</si>
  <si>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</si>
  <si>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</si>
  <si>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</si>
  <si>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</si>
  <si>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</si>
  <si>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</si>
  <si>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</si>
  <si>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</si>
  <si>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</si>
  <si>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</si>
  <si>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</si>
  <si>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</si>
  <si>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</si>
  <si>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</si>
  <si>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</si>
  <si>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</si>
  <si>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</si>
  <si>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</si>
  <si>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</si>
  <si>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</si>
  <si>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</si>
  <si>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</si>
  <si>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</si>
  <si>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</si>
  <si>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</si>
  <si>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</si>
  <si>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</si>
  <si>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</si>
  <si>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</si>
  <si>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</si>
  <si>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</si>
  <si>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</si>
  <si>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</si>
  <si>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</si>
  <si>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</si>
  <si>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</si>
  <si>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</si>
  <si>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</si>
  <si>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</si>
  <si>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</si>
  <si>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</si>
  <si>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</si>
  <si>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</si>
  <si>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</si>
  <si>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</si>
  <si>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</si>
  <si>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</si>
  <si>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</si>
  <si>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</si>
  <si>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</si>
  <si>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</si>
  <si>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</si>
  <si>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</si>
  <si>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</si>
  <si>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</si>
  <si>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</si>
  <si>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</si>
  <si>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</si>
  <si>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</si>
  <si>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</si>
  <si>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</si>
  <si>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</si>
  <si>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</si>
  <si>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</si>
  <si>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</si>
  <si>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</si>
  <si>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</si>
  <si>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</si>
  <si>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</si>
  <si>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</si>
  <si>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</si>
  <si>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</si>
  <si>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</si>
  <si>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</si>
  <si>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</si>
  <si>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</si>
  <si>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</si>
  <si>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</si>
  <si>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</si>
  <si>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</si>
  <si>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</si>
  <si>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</si>
  <si>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</si>
  <si>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</si>
  <si>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</si>
  <si>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</si>
  <si>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</si>
  <si>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</si>
  <si>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</si>
  <si>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</si>
  <si>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</si>
  <si>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</si>
  <si>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</si>
  <si>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</si>
  <si>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</si>
  <si>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</si>
  <si>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</si>
  <si>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</si>
  <si>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</si>
  <si>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</si>
  <si>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</si>
  <si>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</si>
  <si>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</si>
  <si>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</si>
  <si>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</si>
  <si>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</si>
  <si>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</si>
  <si>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</si>
  <si>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</si>
  <si>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</si>
  <si>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</si>
  <si>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</si>
  <si>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</si>
  <si>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</si>
  <si>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</si>
  <si>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</si>
  <si>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</si>
  <si>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</si>
  <si>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</si>
  <si>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</si>
  <si>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</si>
  <si>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</si>
  <si>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</si>
  <si>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</si>
  <si>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</si>
  <si>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</si>
  <si>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</si>
  <si>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</si>
  <si>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</si>
  <si>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</si>
  <si>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</si>
  <si>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</si>
  <si>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</si>
  <si>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</si>
  <si>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</si>
  <si>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</si>
  <si>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</si>
  <si>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</si>
  <si>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</si>
  <si>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</si>
  <si>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</si>
  <si>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</si>
  <si>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</si>
  <si>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</si>
  <si>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</si>
  <si>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</si>
  <si>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</si>
  <si>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</si>
  <si>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</si>
  <si>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</si>
  <si>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</si>
  <si>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</si>
  <si>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</si>
  <si>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</si>
  <si>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</si>
  <si>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</si>
  <si>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</si>
  <si>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</si>
  <si>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</si>
  <si>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</si>
  <si>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</si>
  <si>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</si>
  <si>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</si>
  <si>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</si>
  <si>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</si>
  <si>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</si>
  <si>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</si>
  <si>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</si>
  <si>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</si>
  <si>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</si>
  <si>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</si>
  <si>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</si>
  <si>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</si>
  <si>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</si>
  <si>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</si>
  <si>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</si>
  <si>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</si>
  <si>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</si>
  <si>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</si>
  <si>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</si>
  <si>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</si>
  <si>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</si>
  <si>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</si>
  <si>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</si>
  <si>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</si>
  <si>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</si>
  <si>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</si>
  <si>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</si>
  <si>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</si>
  <si>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</si>
  <si>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</si>
  <si>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</si>
  <si>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</si>
  <si>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</si>
  <si>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</si>
  <si>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</si>
  <si>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</si>
  <si>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</si>
  <si>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</si>
  <si>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</si>
  <si>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</si>
  <si>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</si>
  <si>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</si>
  <si>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</si>
  <si>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</si>
  <si>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</si>
  <si>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</si>
  <si>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</si>
  <si>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</si>
  <si>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</si>
  <si>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</si>
  <si>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</si>
  <si>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</si>
  <si>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</si>
  <si>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</si>
  <si>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</si>
  <si>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</si>
  <si>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</si>
  <si>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</si>
  <si>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</si>
  <si>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</si>
  <si>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</si>
  <si>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</si>
  <si>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</si>
  <si>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</si>
  <si>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</si>
  <si>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</si>
  <si>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</si>
  <si>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</si>
  <si>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</si>
  <si>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</si>
  <si>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</si>
  <si>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</si>
  <si>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</si>
  <si>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</si>
  <si>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</si>
  <si>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</si>
  <si>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</si>
  <si>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</si>
  <si>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</si>
  <si>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</si>
  <si>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</si>
  <si>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</si>
  <si>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</si>
  <si>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</si>
  <si>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</si>
  <si>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</si>
  <si>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</si>
  <si>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</si>
  <si>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</si>
  <si>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</si>
  <si>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</si>
  <si>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</si>
  <si>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</si>
  <si>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</si>
  <si>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</si>
  <si>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</si>
  <si>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</si>
  <si>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</si>
  <si>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</si>
  <si>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</si>
  <si>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</si>
  <si>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</si>
  <si>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</si>
  <si>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</si>
  <si>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</si>
  <si>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</si>
  <si>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</si>
  <si>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</si>
  <si>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</si>
  <si>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</si>
  <si>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</si>
  <si>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</si>
  <si>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</si>
  <si>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</si>
  <si>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</si>
  <si>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</si>
  <si>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</si>
  <si>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</si>
  <si>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</si>
  <si>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</si>
  <si>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</si>
  <si>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</si>
  <si>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</si>
  <si>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</si>
  <si>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</si>
  <si>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</si>
  <si>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</si>
  <si>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</si>
  <si>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</si>
  <si>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</si>
  <si>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</si>
  <si>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</si>
  <si>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</si>
  <si>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</si>
  <si>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</si>
  <si>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</si>
  <si>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</si>
  <si>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</si>
  <si>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</si>
  <si>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</si>
  <si>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</si>
  <si>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</si>
  <si>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</si>
  <si>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</si>
  <si>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</si>
  <si>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</si>
  <si>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</si>
  <si>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</si>
  <si>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</si>
  <si>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</si>
  <si>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</si>
  <si>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</si>
  <si>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</si>
  <si>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</si>
  <si>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</si>
  <si>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</si>
  <si>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</si>
  <si>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</si>
  <si>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</si>
  <si>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</si>
  <si>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</si>
  <si>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</si>
  <si>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</si>
  <si>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</si>
  <si>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</si>
  <si>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</si>
  <si>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</si>
  <si>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</si>
  <si>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</si>
  <si>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</si>
  <si>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</si>
  <si>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</si>
  <si>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</si>
  <si>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</si>
  <si>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</si>
  <si>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</si>
  <si>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</si>
  <si>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</si>
  <si>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</si>
  <si>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</si>
  <si>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</si>
  <si>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</si>
  <si>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</si>
  <si>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</si>
  <si>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</si>
  <si>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</si>
  <si>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</si>
  <si>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</si>
  <si>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</si>
  <si>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</si>
  <si>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</si>
  <si>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</si>
  <si>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</si>
  <si>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</si>
  <si>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</si>
  <si>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</si>
  <si>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</si>
  <si>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</si>
  <si>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</si>
  <si>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</si>
  <si>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</si>
  <si>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</si>
  <si>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</si>
  <si>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</si>
  <si>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</si>
  <si>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</si>
  <si>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</si>
  <si>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</si>
  <si>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</si>
  <si>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</si>
  <si>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</si>
  <si>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</si>
  <si>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</si>
  <si>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</si>
  <si>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</si>
  <si>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</si>
  <si>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</si>
  <si>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</si>
  <si>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</si>
  <si>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</si>
  <si>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</si>
  <si>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</si>
  <si>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</si>
  <si>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</si>
  <si>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</si>
  <si>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</si>
  <si>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</si>
  <si>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</si>
  <si>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</si>
  <si>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</si>
  <si>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</si>
  <si>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</si>
  <si>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</si>
  <si>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</si>
  <si>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</si>
  <si>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</si>
  <si>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</si>
  <si>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</si>
  <si>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</si>
  <si>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</si>
  <si>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</si>
  <si>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</si>
  <si>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</si>
  <si>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</si>
  <si>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</si>
  <si>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</si>
  <si>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</si>
  <si>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</si>
  <si>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</si>
  <si>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</si>
  <si>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</si>
  <si>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</si>
  <si>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</si>
  <si>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</si>
  <si>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</si>
  <si>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</si>
  <si>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</si>
  <si>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</si>
  <si>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</si>
  <si>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</si>
  <si>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</si>
  <si>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</si>
  <si>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</si>
  <si>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</si>
  <si>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</si>
  <si>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</si>
  <si>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</si>
  <si>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</si>
  <si>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</si>
  <si>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</si>
  <si>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</si>
  <si>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</si>
  <si>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</si>
  <si>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</si>
  <si>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</si>
  <si>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</si>
  <si>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</si>
  <si>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</si>
  <si>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</si>
  <si>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</si>
  <si>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</si>
  <si>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</si>
  <si>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</si>
  <si>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</si>
  <si>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</si>
  <si>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</si>
  <si>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</si>
  <si>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</si>
  <si>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</si>
  <si>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</si>
  <si>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</si>
  <si>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</si>
  <si>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</si>
  <si>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</si>
  <si>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</si>
  <si>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</si>
  <si>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</si>
  <si>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</si>
  <si>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</si>
  <si>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</si>
  <si>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</si>
  <si>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</si>
  <si>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</si>
  <si>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</si>
  <si>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</si>
  <si>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</si>
  <si>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</si>
  <si>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</si>
  <si>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</si>
  <si>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</si>
  <si>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</si>
  <si>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</si>
  <si>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</si>
  <si>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</si>
  <si>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</si>
  <si>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</si>
  <si>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</si>
  <si>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</si>
  <si>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</si>
  <si>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</si>
  <si>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</si>
  <si>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</si>
  <si>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</si>
  <si>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</si>
  <si>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</si>
  <si>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</si>
  <si>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</si>
  <si>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</si>
  <si>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</si>
  <si>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</si>
  <si>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</si>
  <si>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</si>
  <si>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</si>
  <si>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</si>
  <si>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</si>
  <si>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</si>
  <si>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</si>
  <si>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</si>
  <si>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</si>
  <si>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</si>
  <si>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</si>
  <si>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</si>
  <si>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</si>
  <si>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</si>
  <si>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</si>
  <si>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</si>
  <si>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</si>
  <si>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</si>
  <si>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</si>
  <si>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</si>
  <si>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</si>
  <si>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</si>
  <si>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</si>
  <si>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</si>
  <si>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</si>
  <si>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</si>
  <si>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</si>
  <si>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</si>
  <si>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</si>
  <si>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</si>
  <si>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</si>
  <si>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</si>
  <si>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</si>
  <si>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</si>
  <si>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</si>
  <si>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</si>
  <si>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</si>
  <si>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</si>
  <si>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</si>
  <si>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</si>
  <si>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</si>
  <si>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</si>
  <si>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</si>
  <si>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</si>
  <si>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</si>
  <si>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</si>
  <si>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</si>
  <si>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</si>
  <si>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</si>
  <si>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</si>
  <si>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</si>
  <si>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</si>
  <si>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</si>
  <si>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</si>
  <si>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</si>
  <si>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</si>
  <si>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</si>
  <si>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</si>
  <si>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</si>
  <si>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</si>
  <si>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</si>
  <si>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</si>
  <si>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</si>
  <si>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</si>
  <si>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</si>
  <si>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</si>
  <si>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</si>
  <si>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</si>
  <si>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</si>
  <si>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</si>
  <si>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</si>
  <si>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</si>
  <si>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</si>
  <si>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</si>
  <si>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</si>
  <si>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</si>
  <si>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</si>
  <si>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</si>
  <si>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</si>
  <si>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</si>
  <si>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</si>
  <si>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</si>
  <si>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</si>
  <si>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</si>
  <si>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</si>
  <si>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</si>
  <si>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</si>
  <si>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</si>
  <si>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</si>
  <si>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</si>
  <si>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</si>
  <si>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</si>
  <si>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</si>
  <si>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</si>
  <si>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</si>
  <si>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</si>
  <si>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</si>
  <si>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</si>
  <si>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</si>
  <si>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</si>
  <si>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</si>
  <si>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</si>
  <si>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</si>
  <si>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</si>
  <si>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</si>
  <si>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</si>
  <si>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</si>
  <si>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</si>
  <si>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</si>
  <si>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</si>
  <si>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</si>
  <si>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</si>
  <si>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</si>
  <si>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</si>
  <si>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</si>
  <si>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</si>
  <si>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</si>
  <si>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</si>
  <si>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</si>
  <si>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</si>
  <si>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</si>
  <si>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</si>
  <si>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</si>
  <si>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</si>
  <si>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</si>
  <si>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</si>
  <si>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</si>
  <si>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</si>
  <si>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</si>
  <si>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</si>
  <si>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</si>
  <si>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</si>
  <si>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</si>
  <si>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</si>
  <si>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</si>
  <si>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</si>
  <si>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</si>
  <si>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</si>
  <si>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</si>
  <si>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</si>
  <si>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</si>
  <si>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</si>
  <si>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</si>
  <si>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</si>
  <si>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</si>
  <si>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</si>
  <si>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</si>
  <si>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</si>
  <si>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</si>
  <si>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</si>
  <si>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</si>
  <si>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</si>
  <si>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</si>
  <si>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</si>
  <si>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</si>
  <si>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</si>
  <si>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</si>
  <si>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</si>
  <si>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</si>
  <si>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</si>
  <si>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</si>
  <si>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</si>
  <si>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</si>
  <si>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</si>
  <si>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</si>
  <si>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</si>
  <si>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</si>
  <si>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</si>
  <si>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</si>
  <si>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</si>
  <si>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</si>
  <si>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</si>
  <si>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</si>
  <si>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</si>
  <si>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</si>
  <si>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</si>
  <si>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</si>
  <si>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</si>
  <si>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</si>
  <si>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</si>
  <si>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</si>
  <si>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</si>
  <si>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</si>
  <si>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</si>
  <si>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</si>
  <si>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</si>
  <si>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</si>
  <si>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</si>
  <si>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</si>
  <si>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</si>
  <si>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</si>
  <si>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</si>
  <si>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</si>
  <si>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</si>
  <si>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</si>
  <si>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</si>
  <si>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</si>
  <si>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</si>
  <si>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</si>
  <si>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</si>
  <si>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</si>
  <si>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</si>
  <si>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</si>
  <si>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</si>
  <si>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</si>
  <si>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</si>
  <si>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</si>
  <si>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</si>
  <si>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</si>
  <si>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</si>
  <si>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</si>
  <si>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</si>
  <si>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</si>
  <si>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</si>
  <si>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</si>
  <si>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</si>
  <si>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</si>
  <si>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</si>
  <si>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</si>
  <si>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</si>
  <si>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</si>
  <si>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</si>
  <si>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</si>
  <si>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</si>
  <si>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</si>
  <si>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</si>
  <si>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</si>
  <si>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</si>
  <si>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</si>
  <si>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</si>
  <si>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</si>
  <si>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</si>
  <si>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</si>
  <si>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</si>
  <si>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</si>
  <si>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</si>
  <si>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</si>
  <si>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</si>
  <si>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</si>
  <si>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</si>
  <si>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</si>
  <si>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</si>
  <si>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</si>
  <si>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</si>
  <si>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</si>
  <si>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</si>
  <si>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</si>
  <si>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</si>
  <si>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</si>
  <si>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</si>
  <si>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</si>
  <si>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</si>
  <si>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</si>
  <si>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</si>
  <si>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</si>
  <si>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</si>
  <si>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</si>
  <si>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</si>
  <si>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</si>
  <si>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</si>
  <si>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</si>
  <si>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</si>
  <si>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</si>
  <si>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</si>
  <si>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</si>
  <si>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</si>
  <si>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</si>
  <si>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</si>
  <si>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</si>
  <si>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</si>
  <si>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</si>
  <si>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</si>
  <si>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</si>
  <si>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</si>
  <si>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</si>
  <si>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</si>
  <si>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</si>
  <si>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</si>
  <si>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</si>
  <si>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</si>
  <si>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</si>
  <si>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</si>
  <si>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</si>
  <si>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</si>
  <si>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</si>
  <si>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</si>
  <si>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</si>
  <si>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</si>
  <si>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</si>
  <si>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</si>
  <si>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</si>
  <si>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</si>
  <si>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</si>
  <si>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</si>
  <si>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</si>
  <si>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</si>
  <si>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</si>
  <si>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</si>
  <si>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</si>
  <si>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</si>
  <si>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</si>
  <si>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</si>
  <si>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</si>
  <si>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</si>
  <si>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</si>
  <si>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</si>
  <si>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</si>
  <si>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</si>
  <si>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</si>
  <si>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</si>
  <si>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</si>
  <si>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</si>
  <si>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</si>
  <si>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</si>
  <si>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</si>
  <si>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</si>
  <si>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</si>
  <si>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</si>
  <si>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</si>
  <si>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</si>
  <si>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</si>
  <si>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</si>
  <si>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</si>
  <si>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</si>
  <si>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</si>
  <si>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</si>
  <si>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</si>
  <si>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</si>
  <si>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</si>
  <si>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</si>
  <si>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</si>
  <si>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</si>
  <si>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</si>
  <si>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</si>
  <si>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</si>
  <si>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</si>
  <si>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</si>
  <si>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</si>
  <si>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</si>
  <si>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</si>
  <si>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</si>
  <si>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</si>
  <si>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</si>
  <si>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</si>
  <si>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</si>
  <si>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</si>
  <si>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</si>
  <si>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</si>
  <si>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</si>
  <si>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</si>
  <si>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</si>
  <si>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</si>
  <si>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</si>
  <si>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</si>
  <si>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</si>
  <si>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</si>
  <si>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</si>
  <si>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</si>
  <si>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</si>
  <si>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</si>
  <si>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</si>
  <si>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</si>
  <si>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</si>
  <si>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</si>
  <si>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</si>
  <si>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</si>
  <si>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</si>
  <si>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</si>
  <si>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</si>
  <si>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</si>
  <si>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</si>
  <si>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</si>
  <si>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</si>
  <si>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</si>
  <si>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</si>
  <si>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</si>
  <si>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</si>
  <si>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</si>
  <si>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</si>
  <si>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</si>
  <si>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</si>
  <si>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</si>
  <si>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</si>
  <si>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</si>
  <si>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</si>
  <si>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</si>
  <si>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</si>
  <si>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</si>
  <si>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</si>
  <si>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</si>
  <si>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</si>
  <si>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</si>
  <si>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</si>
  <si>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</si>
  <si>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</si>
  <si>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</si>
  <si>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</si>
  <si>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</si>
  <si>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</si>
  <si>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</si>
  <si>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</si>
  <si>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</si>
  <si>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</si>
  <si>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</si>
  <si>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</si>
  <si>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</si>
  <si>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</si>
  <si>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</si>
  <si>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</si>
  <si>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</si>
  <si>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</si>
  <si>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</si>
  <si>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</si>
  <si>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</si>
  <si>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</si>
  <si>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</si>
  <si>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</si>
  <si>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</si>
  <si>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</si>
  <si>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</si>
  <si>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</si>
  <si>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</si>
  <si>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</si>
  <si>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</si>
  <si>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</si>
  <si>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</si>
  <si>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</si>
  <si>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</si>
  <si>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</si>
  <si>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</si>
  <si>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</si>
  <si>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</si>
  <si>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</si>
  <si>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</si>
  <si>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</si>
  <si>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</si>
  <si>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</si>
  <si>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</si>
  <si>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</si>
  <si>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</si>
  <si>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</si>
  <si>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</si>
  <si>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</si>
  <si>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</si>
  <si>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</si>
  <si>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</si>
  <si>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</si>
  <si>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</si>
  <si>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</si>
  <si>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</si>
  <si>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</si>
  <si>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</si>
  <si>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</si>
  <si>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</si>
  <si>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</si>
  <si>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</si>
  <si>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</si>
  <si>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</si>
  <si>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</si>
  <si>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</si>
  <si>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</si>
  <si>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</si>
  <si>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</si>
  <si>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</si>
  <si>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</si>
  <si>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</si>
  <si>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</si>
  <si>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</si>
  <si>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</si>
  <si>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</si>
  <si>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</si>
  <si>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</si>
  <si>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</si>
  <si>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</si>
  <si>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</si>
  <si>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</si>
  <si>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</si>
  <si>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</si>
  <si>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</si>
  <si>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</si>
  <si>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</si>
  <si>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</si>
  <si>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</si>
  <si>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</si>
  <si>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</si>
  <si>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</si>
  <si>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</si>
  <si>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</si>
  <si>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</si>
  <si>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</si>
  <si>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</si>
  <si>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</si>
  <si>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</si>
  <si>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</si>
  <si>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</si>
  <si>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</si>
  <si>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</si>
  <si>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</si>
  <si>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</si>
  <si>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</si>
  <si>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</si>
  <si>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</si>
  <si>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</si>
  <si>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</si>
  <si>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</si>
  <si>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</si>
  <si>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</si>
  <si>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</si>
  <si>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</si>
  <si>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</si>
  <si>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</si>
  <si>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</si>
  <si>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</si>
  <si>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</si>
  <si>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</si>
  <si>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</si>
  <si>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</si>
  <si>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</si>
  <si>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</si>
  <si>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</si>
  <si>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</si>
  <si>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</si>
  <si>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</si>
  <si>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</si>
  <si>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</si>
  <si>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</si>
  <si>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</si>
  <si>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</si>
  <si>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</si>
  <si>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</si>
  <si>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</si>
  <si>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</si>
  <si>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</si>
  <si>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</si>
  <si>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</si>
  <si>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</si>
  <si>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</si>
  <si>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</si>
  <si>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</si>
  <si>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</si>
  <si>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</si>
  <si>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</si>
  <si>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</si>
  <si>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</si>
  <si>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</si>
  <si>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</si>
  <si>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</si>
  <si>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</si>
  <si>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</si>
  <si>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</si>
  <si>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</si>
  <si>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</si>
  <si>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</si>
  <si>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</si>
  <si>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</si>
  <si>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</si>
  <si>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</si>
  <si>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</si>
  <si>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</si>
  <si>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</si>
  <si>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</si>
  <si>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</si>
  <si>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</si>
  <si>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</si>
  <si>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</si>
  <si>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</si>
  <si>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</si>
  <si>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</si>
  <si>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</si>
  <si>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</si>
  <si>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</si>
  <si>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</si>
  <si>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</si>
  <si>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</si>
  <si>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</si>
  <si>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</si>
  <si>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</si>
  <si>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</si>
  <si>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</si>
  <si>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</si>
  <si>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</si>
  <si>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</si>
  <si>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</si>
  <si>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</si>
  <si>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</si>
  <si>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</si>
  <si>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</si>
  <si>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</si>
  <si>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</si>
  <si>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</si>
  <si>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</si>
  <si>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</si>
  <si>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</si>
  <si>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</si>
  <si>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</si>
  <si>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</si>
  <si>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</si>
  <si>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</si>
  <si>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</si>
  <si>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</si>
  <si>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</si>
  <si>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</si>
  <si>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</si>
  <si>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</si>
  <si>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</si>
  <si>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</si>
  <si>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</si>
  <si>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</si>
  <si>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</si>
  <si>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</si>
  <si>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</si>
  <si>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</si>
  <si>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</si>
  <si>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</si>
  <si>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</si>
  <si>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</si>
  <si>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</si>
  <si>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</si>
  <si>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</si>
  <si>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</si>
  <si>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</si>
  <si>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</si>
  <si>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</si>
  <si>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</si>
  <si>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</si>
  <si>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</si>
  <si>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</si>
  <si>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</si>
  <si>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</si>
  <si>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</si>
  <si>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</si>
  <si>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</si>
  <si>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</si>
  <si>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</si>
  <si>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</si>
  <si>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</si>
  <si>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</si>
  <si>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</si>
  <si>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</si>
  <si>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</si>
  <si>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</si>
  <si>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</si>
  <si>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</si>
  <si>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</si>
  <si>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</si>
  <si>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</si>
  <si>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</si>
  <si>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</si>
  <si>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</si>
  <si>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</si>
  <si>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</si>
  <si>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</si>
  <si>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</si>
  <si>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</si>
  <si>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</si>
  <si>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</si>
  <si>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</si>
  <si>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</si>
  <si>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</si>
  <si>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</si>
  <si>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</si>
  <si>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</si>
  <si>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</si>
  <si>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</si>
  <si>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</si>
  <si>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</si>
  <si>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</si>
  <si>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</si>
  <si>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</si>
  <si>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</si>
  <si>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</si>
  <si>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</si>
  <si>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</si>
  <si>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</si>
  <si>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</si>
  <si>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</si>
  <si>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</si>
  <si>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</si>
  <si>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</si>
  <si>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</si>
  <si>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</si>
  <si>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</si>
  <si>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</si>
  <si>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</si>
  <si>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</si>
  <si>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</si>
  <si>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</si>
  <si>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</si>
  <si>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</si>
  <si>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</si>
  <si>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</si>
  <si>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</si>
  <si>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</si>
  <si>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</si>
  <si>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</si>
  <si>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</si>
  <si>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</si>
  <si>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</si>
  <si>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</si>
  <si>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</si>
  <si>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</si>
  <si>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</si>
  <si>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</si>
  <si>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</si>
  <si>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</si>
  <si>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</si>
  <si>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</si>
  <si>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</si>
  <si>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</si>
  <si>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</si>
  <si>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</si>
  <si>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</si>
  <si>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</si>
  <si>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</si>
  <si>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</si>
  <si>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</si>
  <si>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</si>
  <si>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</si>
  <si>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</si>
  <si>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</si>
  <si>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</si>
  <si>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</si>
  <si>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</si>
  <si>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</si>
  <si>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</si>
  <si>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</si>
  <si>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</si>
  <si>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</si>
  <si>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</si>
  <si>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</si>
  <si>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</si>
  <si>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</si>
  <si>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</si>
  <si>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</si>
  <si>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</si>
  <si>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</si>
  <si>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</si>
  <si>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</si>
  <si>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</si>
  <si>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</si>
  <si>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</si>
  <si>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</si>
  <si>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</si>
  <si>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</si>
  <si>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</si>
  <si>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</si>
  <si>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</si>
  <si>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</si>
  <si>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</si>
  <si>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</si>
  <si>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</si>
  <si>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</si>
  <si>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</si>
  <si>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</si>
  <si>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</si>
  <si>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</si>
  <si>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</si>
  <si>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</si>
  <si>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</si>
  <si>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</si>
  <si>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</si>
  <si>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</si>
  <si>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</si>
  <si>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</si>
  <si>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</si>
  <si>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</si>
  <si>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</si>
  <si>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</si>
  <si>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</si>
  <si>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</si>
  <si>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</si>
  <si>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</si>
  <si>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</si>
  <si>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</si>
  <si>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</si>
  <si>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</si>
  <si>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</si>
  <si>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</si>
  <si>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</si>
  <si>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</si>
  <si>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</si>
  <si>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</si>
  <si>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</si>
  <si>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</si>
  <si>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</si>
  <si>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</si>
  <si>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</si>
  <si>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</si>
  <si>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</si>
  <si>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</si>
  <si>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</si>
  <si>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</si>
  <si>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</si>
  <si>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</si>
  <si>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</si>
  <si>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</si>
  <si>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</si>
  <si>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</si>
  <si>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</si>
  <si>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</si>
  <si>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</si>
  <si>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</si>
  <si>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</si>
  <si>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</si>
  <si>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</si>
  <si>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</si>
  <si>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</si>
  <si>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</si>
  <si>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</si>
  <si>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</si>
  <si>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</si>
  <si>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</si>
  <si>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</si>
  <si>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</si>
  <si>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</si>
  <si>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</si>
  <si>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</si>
  <si>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</si>
  <si>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</si>
  <si>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</si>
  <si>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</si>
  <si>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</si>
  <si>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</si>
  <si>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</si>
  <si>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</si>
  <si>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</si>
  <si>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</si>
  <si>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</si>
  <si>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</si>
  <si>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</si>
  <si>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</si>
  <si>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</si>
  <si>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</si>
  <si>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</si>
  <si>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</si>
  <si>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</si>
  <si>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</si>
  <si>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</si>
  <si>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</si>
  <si>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</si>
  <si>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</si>
  <si>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</si>
  <si>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</si>
  <si>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</si>
  <si>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</si>
  <si>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</si>
  <si>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</si>
  <si>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</si>
  <si>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</si>
  <si>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</si>
  <si>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</si>
  <si>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</si>
  <si>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</si>
  <si>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</si>
  <si>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</si>
  <si>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</si>
  <si>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</si>
  <si>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</si>
  <si>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</si>
  <si>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</si>
  <si>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</si>
  <si>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</si>
  <si>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</si>
  <si>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</si>
  <si>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</si>
  <si>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</si>
  <si>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</si>
  <si>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</si>
  <si>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</si>
  <si>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</si>
  <si>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</si>
  <si>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</si>
  <si>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</si>
  <si>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</si>
  <si>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</si>
  <si>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</si>
  <si>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</si>
  <si>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</si>
  <si>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</si>
  <si>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</si>
  <si>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</si>
  <si>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</si>
  <si>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</si>
  <si>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</si>
  <si>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</si>
  <si>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</si>
  <si>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</si>
  <si>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</si>
  <si>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</si>
  <si>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</si>
  <si>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</si>
  <si>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</si>
  <si>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</si>
  <si>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</si>
  <si>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</si>
  <si>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</si>
  <si>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</si>
  <si>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</si>
  <si>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</si>
  <si>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</si>
  <si>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</si>
  <si>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</si>
  <si>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</si>
  <si>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</si>
  <si>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</si>
  <si>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</si>
  <si>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</si>
  <si>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</si>
  <si>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</si>
  <si>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</si>
  <si>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</si>
  <si>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</si>
  <si>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</si>
  <si>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</si>
  <si>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</si>
  <si>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</si>
  <si>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</si>
  <si>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</si>
  <si>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</si>
  <si>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</si>
  <si>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</si>
  <si>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</si>
  <si>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</si>
  <si>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</si>
  <si>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</si>
  <si>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</si>
  <si>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</si>
  <si>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</si>
  <si>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</si>
  <si>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</si>
  <si>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</si>
  <si>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</si>
  <si>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</si>
  <si>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</si>
  <si>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</si>
  <si>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</si>
  <si>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</si>
  <si>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</si>
  <si>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</si>
  <si>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</si>
  <si>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</si>
  <si>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</si>
  <si>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</si>
  <si>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</si>
  <si>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</si>
  <si>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</si>
  <si>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</si>
  <si>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</si>
  <si>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</si>
  <si>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</si>
  <si>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</si>
  <si>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</si>
  <si>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</si>
  <si>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</si>
  <si>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</si>
  <si>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</si>
  <si>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</si>
  <si>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</si>
  <si>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</si>
  <si>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</si>
  <si>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</si>
  <si>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</si>
  <si>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</si>
  <si>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</si>
  <si>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</si>
  <si>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</si>
  <si>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</si>
  <si>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</si>
  <si>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</si>
  <si>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</si>
  <si>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</si>
  <si>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</si>
  <si>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</si>
  <si>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</si>
  <si>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</si>
  <si>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</si>
  <si>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</si>
  <si>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</si>
  <si>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</si>
  <si>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</si>
  <si>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</si>
  <si>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</si>
  <si>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</si>
  <si>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</si>
  <si>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</si>
  <si>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</si>
  <si>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</si>
  <si>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</si>
  <si>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</si>
  <si>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</si>
  <si>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</si>
  <si>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</si>
  <si>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</si>
  <si>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</si>
  <si>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</si>
  <si>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</si>
  <si>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</si>
  <si>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</si>
  <si>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</si>
  <si>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</si>
  <si>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</si>
  <si>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</si>
  <si>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</si>
  <si>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</si>
  <si>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</si>
  <si>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</si>
  <si>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</si>
  <si>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</si>
  <si>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</si>
  <si>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</si>
  <si>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</si>
  <si>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</si>
  <si>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</si>
  <si>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</si>
  <si>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</si>
  <si>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</si>
  <si>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</si>
  <si>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</si>
  <si>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</si>
  <si>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</si>
  <si>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</si>
  <si>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</si>
  <si>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</si>
  <si>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</si>
  <si>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</si>
  <si>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</si>
  <si>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</si>
  <si>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</si>
  <si>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</si>
  <si>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</si>
  <si>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</si>
  <si>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</si>
  <si>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</si>
  <si>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</si>
  <si>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</si>
  <si>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</si>
  <si>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</si>
  <si>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</si>
  <si>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</si>
  <si>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</si>
  <si>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</si>
  <si>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</si>
  <si>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</si>
  <si>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</si>
  <si>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</si>
  <si>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</si>
  <si>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</si>
  <si>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</si>
  <si>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</si>
  <si>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</si>
  <si>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</si>
  <si>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</si>
  <si>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</si>
  <si>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</si>
  <si>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</si>
  <si>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</si>
  <si>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</si>
  <si>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</si>
  <si>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</si>
  <si>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</si>
  <si>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</si>
  <si>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</si>
  <si>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</si>
  <si>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</si>
  <si>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</si>
  <si>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</si>
  <si>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</si>
  <si>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</si>
  <si>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</si>
  <si>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</si>
  <si>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</si>
  <si>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</si>
  <si>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</si>
  <si>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</si>
  <si>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</si>
  <si>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</si>
  <si>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</si>
  <si>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</si>
  <si>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</si>
  <si>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</si>
  <si>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</si>
  <si>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</si>
  <si>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</si>
  <si>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</si>
  <si>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</si>
  <si>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</si>
  <si>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</si>
  <si>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</si>
  <si>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</si>
  <si>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</si>
  <si>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</si>
  <si>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</si>
  <si>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</si>
  <si>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</si>
  <si>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</si>
  <si>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</si>
  <si>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</si>
  <si>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</si>
  <si>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</si>
  <si>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</si>
  <si>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</si>
  <si>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</si>
  <si>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</si>
  <si>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</si>
  <si>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</si>
  <si>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</si>
  <si>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</si>
  <si>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</si>
  <si>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</si>
  <si>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</si>
  <si>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</si>
  <si>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</si>
  <si>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</si>
  <si>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</si>
  <si>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</si>
  <si>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</si>
  <si>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</si>
  <si>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</si>
  <si>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</si>
  <si>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</si>
  <si>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</si>
  <si>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19:45</t>
  </si>
  <si>
    <t>18:22</t>
  </si>
  <si>
    <t>327:45</t>
  </si>
  <si>
    <t>18:27</t>
  </si>
  <si>
    <t>21:01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</si>
  <si>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</si>
  <si>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</si>
  <si>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</si>
  <si>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</si>
  <si>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</si>
  <si>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</si>
  <si>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</si>
  <si>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</si>
  <si>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</si>
  <si>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</si>
  <si>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</si>
  <si>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</si>
  <si>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</si>
  <si>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</si>
  <si>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</si>
  <si>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</si>
  <si>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</si>
  <si>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</si>
  <si>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</si>
  <si>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</si>
  <si>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</si>
  <si>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</si>
  <si>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</si>
  <si>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</si>
  <si>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</si>
  <si>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</si>
  <si>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</si>
  <si>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</si>
  <si>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</si>
  <si>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21:03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</si>
  <si>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</si>
  <si>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</si>
  <si>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</si>
  <si>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</si>
  <si>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</si>
  <si>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</si>
  <si>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</si>
  <si>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</si>
  <si>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</si>
  <si>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</si>
  <si>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12:13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</si>
  <si>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</si>
  <si>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</si>
  <si>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</si>
  <si>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</si>
  <si>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</si>
  <si>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</si>
  <si>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</si>
  <si>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</si>
  <si>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</si>
  <si>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</si>
  <si>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</si>
  <si>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</si>
  <si>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</si>
  <si>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</si>
  <si>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</si>
  <si>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</si>
  <si>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</si>
  <si>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</si>
  <si>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</si>
  <si>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</si>
  <si>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</si>
  <si>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</si>
  <si>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</si>
  <si>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</si>
  <si>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</si>
  <si>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</si>
  <si>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</si>
  <si>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</si>
  <si>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</si>
  <si>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</si>
  <si>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</si>
  <si>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18:09</t>
  </si>
  <si>
    <t>14:48</t>
  </si>
  <si>
    <t>572:19</t>
  </si>
  <si>
    <t>22:12</t>
  </si>
  <si>
    <t>662:24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</si>
  <si>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</si>
  <si>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</si>
  <si>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</si>
  <si>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</si>
  <si>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</si>
  <si>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</si>
  <si>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</si>
  <si>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</si>
  <si>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</si>
  <si>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</si>
  <si>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</si>
  <si>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</si>
  <si>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</si>
  <si>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</si>
  <si>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</si>
  <si>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</si>
  <si>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</si>
  <si>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</si>
  <si>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</si>
  <si>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</si>
  <si>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</si>
  <si>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</si>
  <si>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</si>
  <si>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</si>
  <si>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</si>
  <si>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</si>
  <si>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</si>
  <si>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</si>
  <si>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</si>
  <si>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</si>
  <si>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</si>
  <si>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</si>
  <si>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</si>
  <si>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</si>
  <si>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</si>
  <si>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</si>
  <si>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22:41</t>
  </si>
  <si>
    <t>744:37</t>
  </si>
  <si>
    <t>24:01</t>
  </si>
  <si>
    <t>17:04</t>
  </si>
  <si>
    <t>496:54</t>
  </si>
  <si>
    <t>21:44</t>
  </si>
  <si>
    <t>21:59</t>
  </si>
  <si>
    <t>518:38</t>
  </si>
  <si>
    <t>14:24</t>
  </si>
  <si>
    <t>15:26</t>
  </si>
  <si>
    <t>14:55</t>
  </si>
  <si>
    <t>11:18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</si>
  <si>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</si>
  <si>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</si>
  <si>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</si>
  <si>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</si>
  <si>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</si>
  <si>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</si>
  <si>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</si>
  <si>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</si>
  <si>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</si>
  <si>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</si>
  <si>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</si>
  <si>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</si>
  <si>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</si>
  <si>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</si>
  <si>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</si>
  <si>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</si>
  <si>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</si>
  <si>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</si>
  <si>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</si>
  <si>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</si>
  <si>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</si>
  <si>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</si>
  <si>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</si>
  <si>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</si>
  <si>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</si>
  <si>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</si>
  <si>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</si>
  <si>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</si>
  <si>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176:06</t>
  </si>
  <si>
    <t>8:00</t>
  </si>
  <si>
    <t>32:37</t>
  </si>
  <si>
    <t>58:38</t>
  </si>
  <si>
    <t>120:51</t>
  </si>
  <si>
    <t>1343:43</t>
  </si>
  <si>
    <t>58:25</t>
  </si>
  <si>
    <t>633:33</t>
  </si>
  <si>
    <t>23:57</t>
  </si>
  <si>
    <t>592:03</t>
  </si>
  <si>
    <t>23:25</t>
  </si>
  <si>
    <t>469:40</t>
  </si>
  <si>
    <t>297:21</t>
  </si>
  <si>
    <t>11:26</t>
  </si>
  <si>
    <t>250:24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</si>
  <si>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</si>
  <si>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</si>
  <si>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</si>
  <si>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</si>
  <si>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</si>
  <si>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</si>
  <si>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</si>
  <si>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</si>
  <si>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</si>
  <si>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</si>
  <si>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</si>
  <si>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</si>
  <si>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</si>
  <si>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</si>
  <si>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</si>
  <si>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</si>
  <si>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</si>
  <si>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</si>
  <si>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</si>
  <si>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</si>
  <si>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</si>
  <si>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546:17</t>
  </si>
  <si>
    <t>544:32</t>
  </si>
  <si>
    <t>454:57</t>
  </si>
  <si>
    <t>491:34</t>
  </si>
  <si>
    <t>22:44</t>
  </si>
  <si>
    <t>687:38</t>
  </si>
  <si>
    <t>718:58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</si>
  <si>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</si>
  <si>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</si>
  <si>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</si>
  <si>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</si>
  <si>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</si>
  <si>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</si>
  <si>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</si>
  <si>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</si>
  <si>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</si>
  <si>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53:13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</si>
  <si>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</si>
  <si>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</si>
  <si>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</si>
  <si>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</si>
  <si>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</si>
  <si>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</si>
  <si>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</si>
  <si>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</si>
  <si>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</si>
  <si>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</si>
  <si>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</si>
  <si>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</si>
  <si>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</si>
  <si>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531:40</t>
  </si>
  <si>
    <t>862:07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</si>
  <si>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</si>
  <si>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</si>
  <si>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</si>
  <si>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</si>
  <si>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</si>
  <si>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</si>
  <si>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</si>
  <si>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</si>
  <si>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</si>
  <si>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</si>
  <si>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</si>
  <si>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</si>
  <si>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</si>
  <si>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</si>
  <si>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</si>
  <si>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</si>
  <si>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</si>
  <si>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</si>
  <si>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</si>
  <si>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17:60</t>
  </si>
  <si>
    <t>17:53</t>
  </si>
  <si>
    <t>18:18</t>
  </si>
  <si>
    <t>20:56</t>
  </si>
  <si>
    <t>19:37</t>
  </si>
  <si>
    <t>18:15</t>
  </si>
  <si>
    <t>19:06</t>
  </si>
  <si>
    <t>19:03</t>
  </si>
  <si>
    <t>25:04</t>
  </si>
  <si>
    <t>113:23</t>
  </si>
  <si>
    <t>16:09</t>
  </si>
  <si>
    <t>17:44</t>
  </si>
  <si>
    <t>17:28</t>
  </si>
  <si>
    <t>579:13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</si>
  <si>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</si>
  <si>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</si>
  <si>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</si>
  <si>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</si>
  <si>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</si>
  <si>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</si>
  <si>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</si>
  <si>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</si>
  <si>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</si>
  <si>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</si>
  <si>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</si>
  <si>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</si>
  <si>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</si>
  <si>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</si>
  <si>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18:04</t>
  </si>
  <si>
    <t>13:30</t>
  </si>
  <si>
    <t>16:44</t>
  </si>
  <si>
    <t>21:35</t>
  </si>
  <si>
    <t>14:12</t>
  </si>
  <si>
    <t>18:41</t>
  </si>
  <si>
    <t>17:32</t>
  </si>
  <si>
    <t>15:34</t>
  </si>
  <si>
    <t>21:48</t>
  </si>
  <si>
    <t>17:03</t>
  </si>
  <si>
    <t>22:00</t>
  </si>
  <si>
    <t>14:37</t>
  </si>
  <si>
    <t>23:12</t>
  </si>
  <si>
    <t>13:03</t>
  </si>
  <si>
    <t>15:18</t>
  </si>
  <si>
    <t>15:41</t>
  </si>
  <si>
    <t>13:29</t>
  </si>
  <si>
    <t>18:48</t>
  </si>
  <si>
    <t>22:16</t>
  </si>
  <si>
    <t>23:49</t>
  </si>
  <si>
    <t>516:56</t>
  </si>
  <si>
    <t>15:12</t>
  </si>
  <si>
    <t>22:42</t>
  </si>
  <si>
    <t>14:20</t>
  </si>
  <si>
    <t>12:52</t>
  </si>
  <si>
    <t>17:34</t>
  </si>
  <si>
    <t>13:33</t>
  </si>
  <si>
    <t>13:47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</si>
  <si>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</si>
  <si>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</si>
  <si>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</si>
  <si>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</si>
  <si>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</si>
  <si>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</si>
  <si>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</si>
  <si>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</si>
  <si>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12:14</t>
  </si>
  <si>
    <t>15:04</t>
  </si>
  <si>
    <t>546:33</t>
  </si>
  <si>
    <t>11:14</t>
  </si>
  <si>
    <t>11:34</t>
  </si>
  <si>
    <t>11:47</t>
  </si>
  <si>
    <t>18:24</t>
  </si>
  <si>
    <t>257:03</t>
  </si>
  <si>
    <t>11:41</t>
  </si>
  <si>
    <t>10:43</t>
  </si>
  <si>
    <t>13:51</t>
  </si>
  <si>
    <t>8:57</t>
  </si>
  <si>
    <t>8:44</t>
  </si>
  <si>
    <t>9:37</t>
  </si>
  <si>
    <t>10:01</t>
  </si>
  <si>
    <t>Denver Barkey</t>
  </si>
  <si>
    <t>13:08</t>
  </si>
  <si>
    <t>69:08</t>
  </si>
  <si>
    <t>14:58</t>
  </si>
  <si>
    <t>9:26</t>
  </si>
  <si>
    <t>19:49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</si>
  <si>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</si>
  <si>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</si>
  <si>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</si>
  <si>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</si>
  <si>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</si>
  <si>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</si>
  <si>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</si>
  <si>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</si>
  <si>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</si>
  <si>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</si>
  <si>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</si>
  <si>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</si>
  <si>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</si>
  <si>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</si>
  <si>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</si>
  <si>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</si>
  <si>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</si>
  <si>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</si>
  <si>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</si>
  <si>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</si>
  <si>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</si>
  <si>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</si>
  <si>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</si>
  <si>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</si>
  <si>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</si>
  <si>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</si>
  <si>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</si>
  <si>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19:57</t>
  </si>
  <si>
    <t>19:35</t>
  </si>
  <si>
    <t>19:36</t>
  </si>
  <si>
    <t>24:20</t>
  </si>
  <si>
    <t>18:39</t>
  </si>
  <si>
    <t>23:16</t>
  </si>
  <si>
    <t>20:51</t>
  </si>
  <si>
    <t>24:11</t>
  </si>
  <si>
    <t>27:31</t>
  </si>
  <si>
    <t>21:54</t>
  </si>
  <si>
    <t>18:51</t>
  </si>
  <si>
    <t>606:28</t>
  </si>
  <si>
    <t>629:05</t>
  </si>
  <si>
    <t>17:58</t>
  </si>
  <si>
    <t>13:13</t>
  </si>
  <si>
    <t>25:02</t>
  </si>
  <si>
    <t>11:51</t>
  </si>
  <si>
    <t>23:55</t>
  </si>
  <si>
    <t>361:32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</si>
  <si>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</si>
  <si>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</si>
  <si>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</si>
  <si>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</si>
  <si>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</si>
  <si>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</si>
  <si>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</si>
  <si>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</si>
  <si>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</si>
  <si>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</si>
  <si>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</si>
  <si>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</si>
  <si>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</si>
  <si>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</si>
  <si>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</si>
  <si>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</si>
  <si>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</si>
  <si>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222:22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</si>
  <si>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</si>
  <si>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</si>
  <si>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</si>
  <si>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</si>
  <si>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</si>
  <si>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</si>
  <si>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</si>
  <si>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</si>
  <si>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</si>
  <si>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</si>
  <si>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</si>
  <si>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85:32</t>
  </si>
  <si>
    <t>276:08</t>
  </si>
  <si>
    <t>703:39</t>
  </si>
  <si>
    <t>109:25</t>
  </si>
  <si>
    <t>13:41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</si>
  <si>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</si>
  <si>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</si>
  <si>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</si>
  <si>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</si>
  <si>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</si>
  <si>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</si>
  <si>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</si>
  <si>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</si>
  <si>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</si>
  <si>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Connor Ingram</t>
  </si>
  <si>
    <t>218:16</t>
  </si>
  <si>
    <t>61:16</t>
  </si>
  <si>
    <t>10:13</t>
  </si>
  <si>
    <t>9:39</t>
  </si>
  <si>
    <t>537:32</t>
  </si>
  <si>
    <t>59:44</t>
  </si>
  <si>
    <t>16:30</t>
  </si>
  <si>
    <t>20:19</t>
  </si>
  <si>
    <t>22:06</t>
  </si>
  <si>
    <t>358:24</t>
  </si>
  <si>
    <t>540:42</t>
  </si>
  <si>
    <t>410:19</t>
  </si>
  <si>
    <t>21:39</t>
  </si>
  <si>
    <t>360:04</t>
  </si>
  <si>
    <t>282:02</t>
  </si>
  <si>
    <t>20:49</t>
  </si>
  <si>
    <t>10:30</t>
  </si>
  <si>
    <t>256:55</t>
  </si>
  <si>
    <t>432:37</t>
  </si>
  <si>
    <t>116:23</t>
  </si>
  <si>
    <t>10:33</t>
  </si>
  <si>
    <t>79:23</t>
  </si>
  <si>
    <t>146:00</t>
  </si>
  <si>
    <t>13:36</t>
  </si>
  <si>
    <t>1239:07</t>
  </si>
  <si>
    <t>53:52</t>
  </si>
  <si>
    <t>114:04</t>
  </si>
  <si>
    <t>21:11</t>
  </si>
  <si>
    <t>18:05</t>
  </si>
  <si>
    <t>19:30</t>
  </si>
  <si>
    <t>20:52</t>
  </si>
  <si>
    <t>746:17</t>
  </si>
  <si>
    <t>762:58</t>
  </si>
  <si>
    <t>673:03</t>
  </si>
  <si>
    <t>19:46</t>
  </si>
  <si>
    <t>22:39</t>
  </si>
  <si>
    <t>797:12</t>
  </si>
  <si>
    <t>657:51</t>
  </si>
  <si>
    <t>952:43</t>
  </si>
  <si>
    <t>24:26</t>
  </si>
  <si>
    <t>15:52</t>
  </si>
  <si>
    <t>16:59</t>
  </si>
  <si>
    <t>14:35</t>
  </si>
  <si>
    <t>18:43</t>
  </si>
  <si>
    <t>797:30</t>
  </si>
  <si>
    <t>612:32</t>
  </si>
  <si>
    <t>15:42</t>
  </si>
  <si>
    <t>520:05</t>
  </si>
  <si>
    <t>420:05</t>
  </si>
  <si>
    <t>12:57</t>
  </si>
  <si>
    <t>21:50</t>
  </si>
  <si>
    <t>449:44</t>
  </si>
  <si>
    <t>653:11</t>
  </si>
  <si>
    <t>19:26</t>
  </si>
  <si>
    <t>721:32</t>
  </si>
  <si>
    <t>18:30</t>
  </si>
  <si>
    <t>791:37</t>
  </si>
  <si>
    <t>380:52</t>
  </si>
  <si>
    <t>543:42</t>
  </si>
  <si>
    <t>596:58</t>
  </si>
  <si>
    <t>574:02</t>
  </si>
  <si>
    <t>11:49</t>
  </si>
  <si>
    <t>361:54</t>
  </si>
  <si>
    <t>524:18</t>
  </si>
  <si>
    <t>11:07</t>
  </si>
  <si>
    <t>215:03</t>
  </si>
  <si>
    <t>9:21</t>
  </si>
  <si>
    <t>762:50</t>
  </si>
  <si>
    <t>571:09</t>
  </si>
  <si>
    <t>273:52</t>
  </si>
  <si>
    <t>398:40</t>
  </si>
  <si>
    <t>8:24</t>
  </si>
  <si>
    <t>11:37</t>
  </si>
  <si>
    <t>149:56</t>
  </si>
  <si>
    <t>15:60</t>
  </si>
  <si>
    <t>219:04</t>
  </si>
  <si>
    <t>214:07</t>
  </si>
  <si>
    <t>182:19</t>
  </si>
  <si>
    <t>262:35</t>
  </si>
  <si>
    <t>308:05</t>
  </si>
  <si>
    <t>180:14</t>
  </si>
  <si>
    <t>9:01</t>
  </si>
  <si>
    <t>220:18</t>
  </si>
  <si>
    <t>157:52</t>
  </si>
  <si>
    <t>1320:39</t>
  </si>
  <si>
    <t>57:25</t>
  </si>
  <si>
    <t>1046:16</t>
  </si>
  <si>
    <t>55:04</t>
  </si>
  <si>
    <t>94:48</t>
  </si>
  <si>
    <t>7:56</t>
  </si>
  <si>
    <t>83:31</t>
  </si>
  <si>
    <t>11:56</t>
  </si>
  <si>
    <t>31:50</t>
  </si>
  <si>
    <t>1088:01</t>
  </si>
  <si>
    <t>54:24</t>
  </si>
  <si>
    <t>61:27</t>
  </si>
  <si>
    <t>961:01</t>
  </si>
  <si>
    <t>9:14</t>
  </si>
  <si>
    <t>640:08</t>
  </si>
  <si>
    <t>58:12</t>
  </si>
  <si>
    <t>57:09</t>
  </si>
  <si>
    <t>897:54</t>
  </si>
  <si>
    <t>Pheonix Copley</t>
  </si>
  <si>
    <t>58:34</t>
  </si>
  <si>
    <t>851:17</t>
  </si>
  <si>
    <t>60:48</t>
  </si>
  <si>
    <t>871:39</t>
  </si>
  <si>
    <t>62:16</t>
  </si>
  <si>
    <t>1446:34</t>
  </si>
  <si>
    <t>58:03</t>
  </si>
  <si>
    <t>1488:50</t>
  </si>
  <si>
    <t>172:11</t>
  </si>
  <si>
    <t>57:24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</si>
  <si>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</si>
  <si>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</si>
  <si>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</si>
  <si>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</si>
  <si>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</si>
  <si>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</si>
  <si>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</si>
  <si>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</si>
  <si>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</si>
  <si>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</si>
  <si>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</si>
  <si>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</si>
  <si>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</si>
  <si>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</si>
  <si>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</si>
  <si>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</si>
  <si>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</si>
  <si>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</si>
  <si>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</si>
  <si>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</si>
  <si>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17:38</t>
  </si>
  <si>
    <t>760:28</t>
  </si>
  <si>
    <t>724:02</t>
  </si>
  <si>
    <t>775:52</t>
  </si>
  <si>
    <t>815:40</t>
  </si>
  <si>
    <t>20:55</t>
  </si>
  <si>
    <t>621:09</t>
  </si>
  <si>
    <t>944:02</t>
  </si>
  <si>
    <t>677:48</t>
  </si>
  <si>
    <t>714:38</t>
  </si>
  <si>
    <t>1015:36</t>
  </si>
  <si>
    <t>26:02</t>
  </si>
  <si>
    <t>695:02</t>
  </si>
  <si>
    <t>725:30</t>
  </si>
  <si>
    <t>739:47</t>
  </si>
  <si>
    <t>19:60</t>
  </si>
  <si>
    <t>675:04</t>
  </si>
  <si>
    <t>672:49</t>
  </si>
  <si>
    <t>726:48</t>
  </si>
  <si>
    <t>718:24</t>
  </si>
  <si>
    <t>593:57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</si>
  <si>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</si>
  <si>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</si>
  <si>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</si>
  <si>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</si>
  <si>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</si>
  <si>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</si>
  <si>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</si>
  <si>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</si>
  <si>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</si>
  <si>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</si>
  <si>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767:28</t>
  </si>
  <si>
    <t>22:34</t>
  </si>
  <si>
    <t>881:52</t>
  </si>
  <si>
    <t>652:23</t>
  </si>
  <si>
    <t>689:18</t>
  </si>
  <si>
    <t>562:00</t>
  </si>
  <si>
    <t>648:42</t>
  </si>
  <si>
    <t>633:50</t>
  </si>
  <si>
    <t>384:47</t>
  </si>
  <si>
    <t>666:51</t>
  </si>
  <si>
    <t>808:59</t>
  </si>
  <si>
    <t>576:16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</si>
  <si>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</si>
  <si>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</si>
  <si>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</si>
  <si>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</si>
  <si>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</si>
  <si>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</si>
  <si>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</si>
  <si>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</si>
  <si>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619:07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</si>
  <si>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</si>
  <si>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</si>
  <si>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</si>
  <si>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</si>
  <si>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</si>
  <si>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</si>
  <si>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</si>
  <si>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</si>
  <si>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602:48</t>
  </si>
  <si>
    <t>586:16</t>
  </si>
  <si>
    <t>612:07</t>
  </si>
  <si>
    <t>671:38</t>
  </si>
  <si>
    <t>700:22</t>
  </si>
  <si>
    <t>782:03</t>
  </si>
  <si>
    <t>654:54</t>
  </si>
  <si>
    <t>631:26</t>
  </si>
  <si>
    <t>697:15</t>
  </si>
  <si>
    <t>498:48</t>
  </si>
  <si>
    <t>621:21</t>
  </si>
  <si>
    <t>625:17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</si>
  <si>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</si>
  <si>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</si>
  <si>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</si>
  <si>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</si>
  <si>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</si>
  <si>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</si>
  <si>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</si>
  <si>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</si>
  <si>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</si>
  <si>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</si>
  <si>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</si>
  <si>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</si>
  <si>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</si>
  <si>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</si>
  <si>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</si>
  <si>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</si>
  <si>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</si>
  <si>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</si>
  <si>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</si>
  <si>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</si>
  <si>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</si>
  <si>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</si>
  <si>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</si>
  <si>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</si>
  <si>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</si>
  <si>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</si>
  <si>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</si>
  <si>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645:47</t>
  </si>
  <si>
    <t>547:22</t>
  </si>
  <si>
    <t>544:16</t>
  </si>
  <si>
    <t>721:19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</si>
  <si>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</si>
  <si>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</si>
  <si>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</si>
  <si>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</si>
  <si>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</si>
  <si>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</si>
  <si>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</si>
  <si>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</si>
  <si>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</si>
  <si>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</si>
  <si>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</si>
  <si>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</si>
  <si>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</si>
  <si>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</si>
  <si>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</si>
  <si>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623:04</t>
  </si>
  <si>
    <t>616:22</t>
  </si>
  <si>
    <t>441:15</t>
  </si>
  <si>
    <t>529:15</t>
  </si>
  <si>
    <t>789:43</t>
  </si>
  <si>
    <t>666:10</t>
  </si>
  <si>
    <t>653:27</t>
  </si>
  <si>
    <t>804:05</t>
  </si>
  <si>
    <t>518:55</t>
  </si>
  <si>
    <t>932:41</t>
  </si>
  <si>
    <t>416:33</t>
  </si>
  <si>
    <t>303:01</t>
  </si>
  <si>
    <t>838:54</t>
  </si>
  <si>
    <t>547:32</t>
  </si>
  <si>
    <t>697:45</t>
  </si>
  <si>
    <t>125:26</t>
  </si>
  <si>
    <t>401:59</t>
  </si>
  <si>
    <t>518:47</t>
  </si>
  <si>
    <t>351:06</t>
  </si>
  <si>
    <t>514:43</t>
  </si>
  <si>
    <t>581:31</t>
  </si>
  <si>
    <t>625:14</t>
  </si>
  <si>
    <t>470:58</t>
  </si>
  <si>
    <t>487:44</t>
  </si>
  <si>
    <t>600:51</t>
  </si>
  <si>
    <t>442:03</t>
  </si>
  <si>
    <t>342:19</t>
  </si>
  <si>
    <t>581:51</t>
  </si>
  <si>
    <t>528:29</t>
  </si>
  <si>
    <t>386:44</t>
  </si>
  <si>
    <t>507:18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</si>
  <si>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</si>
  <si>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</si>
  <si>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</si>
  <si>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</si>
  <si>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</si>
  <si>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</si>
  <si>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</si>
  <si>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</si>
  <si>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</si>
  <si>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</si>
  <si>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</si>
  <si>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</si>
  <si>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</si>
  <si>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</si>
  <si>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</si>
  <si>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</si>
  <si>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</si>
  <si>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</si>
  <si>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</si>
  <si>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</si>
  <si>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</si>
  <si>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</si>
  <si>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</si>
  <si>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</si>
  <si>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</si>
  <si>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</si>
  <si>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</si>
  <si>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</si>
  <si>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</si>
  <si>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</si>
  <si>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</si>
  <si>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</si>
  <si>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</si>
  <si>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533:16</t>
  </si>
  <si>
    <t>608:41</t>
  </si>
  <si>
    <t>460:38</t>
  </si>
  <si>
    <t>536:16</t>
  </si>
  <si>
    <t>536:05</t>
  </si>
  <si>
    <t>436:15</t>
  </si>
  <si>
    <t>515:12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</si>
  <si>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</si>
  <si>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</si>
  <si>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</si>
  <si>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</si>
  <si>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</si>
  <si>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</si>
  <si>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</si>
  <si>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</si>
  <si>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</si>
  <si>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</si>
  <si>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</si>
  <si>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466:53</t>
  </si>
  <si>
    <t>462:47</t>
  </si>
  <si>
    <t>536:30</t>
  </si>
  <si>
    <t>656:02</t>
  </si>
  <si>
    <t>486:28</t>
  </si>
  <si>
    <t>365:13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</si>
  <si>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</si>
  <si>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</si>
  <si>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</si>
  <si>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</si>
  <si>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</si>
  <si>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</si>
  <si>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</si>
  <si>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</si>
  <si>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554:41</t>
  </si>
  <si>
    <t>690:50</t>
  </si>
  <si>
    <t>540:34</t>
  </si>
  <si>
    <t>718:55</t>
  </si>
  <si>
    <t>477:39</t>
  </si>
  <si>
    <t>594:25</t>
  </si>
  <si>
    <t>688:07</t>
  </si>
  <si>
    <t>527:20</t>
  </si>
  <si>
    <t>186:43</t>
  </si>
  <si>
    <t>435:44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</si>
  <si>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</si>
  <si>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</si>
  <si>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</si>
  <si>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</si>
  <si>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</si>
  <si>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</si>
  <si>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</si>
  <si>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</si>
  <si>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</si>
  <si>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548:12</t>
  </si>
  <si>
    <t>883:41</t>
  </si>
  <si>
    <t>748:55</t>
  </si>
  <si>
    <t>786:34</t>
  </si>
  <si>
    <t>371:33</t>
  </si>
  <si>
    <t>10:56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</si>
  <si>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</si>
  <si>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</si>
  <si>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</si>
  <si>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</si>
  <si>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</si>
  <si>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</si>
  <si>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</si>
  <si>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</si>
  <si>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248:50</t>
  </si>
  <si>
    <t>372:29</t>
  </si>
  <si>
    <t>368:56</t>
  </si>
  <si>
    <t>568:23</t>
  </si>
  <si>
    <t>628:41</t>
  </si>
  <si>
    <t>554:48</t>
  </si>
  <si>
    <t>599:53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</si>
  <si>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</si>
  <si>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</si>
  <si>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</si>
  <si>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</si>
  <si>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</si>
  <si>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</si>
  <si>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</si>
  <si>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</si>
  <si>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</si>
  <si>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</si>
  <si>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</si>
  <si>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</si>
  <si>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457:24</t>
  </si>
  <si>
    <t>713:04</t>
  </si>
  <si>
    <t>411:23</t>
  </si>
  <si>
    <t>795:00</t>
  </si>
  <si>
    <t>449:06</t>
  </si>
  <si>
    <t>736:15</t>
  </si>
  <si>
    <t>618:25</t>
  </si>
  <si>
    <t>371:40</t>
  </si>
  <si>
    <t>10:03</t>
  </si>
  <si>
    <t>758:51</t>
  </si>
  <si>
    <t>524:52</t>
  </si>
  <si>
    <t>802:12</t>
  </si>
  <si>
    <t>333:04</t>
  </si>
  <si>
    <t>11:54</t>
  </si>
  <si>
    <t>371:52</t>
  </si>
  <si>
    <t>785:31</t>
  </si>
  <si>
    <t>384:59</t>
  </si>
  <si>
    <t>435:46</t>
  </si>
  <si>
    <t>641:59</t>
  </si>
  <si>
    <t>534:28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</si>
  <si>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</si>
  <si>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</si>
  <si>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</si>
  <si>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</si>
  <si>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</si>
  <si>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</si>
  <si>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</si>
  <si>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</si>
  <si>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</si>
  <si>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</si>
  <si>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</si>
  <si>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</si>
  <si>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</si>
  <si>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</si>
  <si>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</si>
  <si>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</si>
  <si>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</si>
  <si>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</si>
  <si>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</si>
  <si>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</si>
  <si>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</si>
  <si>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</si>
  <si>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</si>
  <si>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</si>
  <si>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</si>
  <si>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</si>
  <si>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</si>
  <si>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</si>
  <si>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</si>
  <si>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</si>
  <si>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</si>
  <si>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</si>
  <si>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</si>
  <si>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</si>
  <si>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</si>
  <si>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</si>
  <si>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</si>
  <si>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</si>
  <si>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</si>
  <si>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</si>
  <si>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</si>
  <si>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</si>
  <si>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</si>
  <si>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344:50</t>
  </si>
  <si>
    <t>342:11</t>
  </si>
  <si>
    <t>413:25</t>
  </si>
  <si>
    <t>11:29</t>
  </si>
  <si>
    <t>348:36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</si>
  <si>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</si>
  <si>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</si>
  <si>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</si>
  <si>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</si>
  <si>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</si>
  <si>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</si>
  <si>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</si>
  <si>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</si>
  <si>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</si>
  <si>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</si>
  <si>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</si>
  <si>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296:34</t>
  </si>
  <si>
    <t>187:46</t>
  </si>
  <si>
    <t>407:43</t>
  </si>
  <si>
    <t>96:31</t>
  </si>
  <si>
    <t>287:08</t>
  </si>
  <si>
    <t>339:33</t>
  </si>
  <si>
    <t>220:46</t>
  </si>
  <si>
    <t>165:49</t>
  </si>
  <si>
    <t>438:20</t>
  </si>
  <si>
    <t>426:55</t>
  </si>
  <si>
    <t>388:16</t>
  </si>
  <si>
    <t>190:38</t>
  </si>
  <si>
    <t>163:02</t>
  </si>
  <si>
    <t>240:09</t>
  </si>
  <si>
    <t>8:54</t>
  </si>
  <si>
    <t>235:08</t>
  </si>
  <si>
    <t>235:37</t>
  </si>
  <si>
    <t>64:01</t>
  </si>
  <si>
    <t>10:40</t>
  </si>
  <si>
    <t>253:48</t>
  </si>
  <si>
    <t>351:04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</si>
  <si>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</si>
  <si>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</si>
  <si>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</si>
  <si>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</si>
  <si>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</si>
  <si>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</si>
  <si>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</si>
  <si>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</si>
  <si>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128:55</t>
  </si>
  <si>
    <t>204:43</t>
  </si>
  <si>
    <t>353:03</t>
  </si>
  <si>
    <t>755:57</t>
  </si>
  <si>
    <t>748:05</t>
  </si>
  <si>
    <t>276:02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</si>
  <si>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</si>
  <si>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</si>
  <si>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</si>
  <si>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</si>
  <si>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</si>
  <si>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</si>
  <si>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</si>
  <si>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</si>
  <si>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</si>
  <si>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</si>
  <si>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</si>
  <si>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</si>
  <si>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</si>
  <si>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</si>
  <si>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</si>
  <si>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</si>
  <si>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</si>
  <si>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</si>
  <si>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</si>
  <si>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</si>
  <si>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</si>
  <si>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</si>
  <si>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</si>
  <si>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</si>
  <si>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</si>
  <si>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</si>
  <si>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</si>
  <si>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</si>
  <si>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</si>
  <si>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</si>
  <si>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</si>
  <si>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</si>
  <si>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</si>
  <si>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</si>
  <si>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</si>
  <si>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</si>
  <si>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</si>
  <si>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</si>
  <si>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</si>
  <si>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</si>
  <si>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</si>
  <si>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</si>
  <si>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</si>
  <si>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</si>
  <si>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</si>
  <si>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1683:12</t>
  </si>
  <si>
    <t>58:02</t>
  </si>
  <si>
    <t>1868:13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</si>
  <si>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</si>
  <si>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</si>
  <si>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</si>
  <si>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</si>
  <si>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</si>
  <si>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</si>
  <si>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</si>
  <si>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</si>
  <si>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</si>
  <si>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</si>
  <si>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</si>
  <si>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</si>
  <si>
    <t>697:42</t>
  </si>
  <si>
    <t>720:43</t>
  </si>
  <si>
    <t>790:50</t>
  </si>
  <si>
    <t>723:00</t>
  </si>
  <si>
    <t>727:17</t>
  </si>
  <si>
    <t>792:56</t>
  </si>
  <si>
    <t>701:59</t>
  </si>
  <si>
    <t>692:23</t>
  </si>
  <si>
    <t>896:29</t>
  </si>
  <si>
    <t>23:36</t>
  </si>
  <si>
    <t>823:10</t>
  </si>
  <si>
    <t>689:45</t>
  </si>
  <si>
    <t>686:35</t>
  </si>
  <si>
    <t>704:29</t>
  </si>
  <si>
    <t>569:11</t>
  </si>
  <si>
    <t>698:25</t>
  </si>
  <si>
    <t>711:17</t>
  </si>
  <si>
    <t>1002:47</t>
  </si>
  <si>
    <t>795:12</t>
  </si>
  <si>
    <t>644:01</t>
  </si>
  <si>
    <t>625:12</t>
  </si>
  <si>
    <t>680:26</t>
  </si>
  <si>
    <t>687:01</t>
  </si>
  <si>
    <t>681:05</t>
  </si>
  <si>
    <t>21:17</t>
  </si>
  <si>
    <t>885:13</t>
  </si>
  <si>
    <t>612:36</t>
  </si>
  <si>
    <t>572:04</t>
  </si>
  <si>
    <t>810:23</t>
  </si>
  <si>
    <t>579:25</t>
  </si>
  <si>
    <t>609:34</t>
  </si>
  <si>
    <t>692:47</t>
  </si>
  <si>
    <t>690:13</t>
  </si>
  <si>
    <t>927:44</t>
  </si>
  <si>
    <t>23:47</t>
  </si>
  <si>
    <t>722:41</t>
  </si>
  <si>
    <t>589:11</t>
  </si>
  <si>
    <t>573:13</t>
  </si>
  <si>
    <t>781:08</t>
  </si>
  <si>
    <t>431:18</t>
  </si>
  <si>
    <t>618:17</t>
  </si>
  <si>
    <t>649:47</t>
  </si>
  <si>
    <t>610:24</t>
  </si>
  <si>
    <t>718:25</t>
  </si>
  <si>
    <t>636:16</t>
  </si>
  <si>
    <t>579:43</t>
  </si>
  <si>
    <t>630:43</t>
  </si>
  <si>
    <t>547:12</t>
  </si>
  <si>
    <t>539:24</t>
  </si>
  <si>
    <t>785:44</t>
  </si>
  <si>
    <t>22:27</t>
  </si>
  <si>
    <t>676:18</t>
  </si>
  <si>
    <t>16:54</t>
  </si>
  <si>
    <t>798:40</t>
  </si>
  <si>
    <t>673:51</t>
  </si>
  <si>
    <t>543:26</t>
  </si>
  <si>
    <t>306:51</t>
  </si>
  <si>
    <t>901:13</t>
  </si>
  <si>
    <t>536:15</t>
  </si>
  <si>
    <t>504:04</t>
  </si>
  <si>
    <t>536:56</t>
  </si>
  <si>
    <t>509:37</t>
  </si>
  <si>
    <t>805:15</t>
  </si>
  <si>
    <t>607:50</t>
  </si>
  <si>
    <t>648:54</t>
  </si>
  <si>
    <t>823:25</t>
  </si>
  <si>
    <t>699:03</t>
  </si>
  <si>
    <t>54:43</t>
  </si>
  <si>
    <t>598:45</t>
  </si>
  <si>
    <t>739:40</t>
  </si>
  <si>
    <t>836:15</t>
  </si>
  <si>
    <t>915:19</t>
  </si>
  <si>
    <t>24:44</t>
  </si>
  <si>
    <t>572:24</t>
  </si>
  <si>
    <t>577:49</t>
  </si>
  <si>
    <t>376:43</t>
  </si>
  <si>
    <t>536:49</t>
  </si>
  <si>
    <t>477:13</t>
  </si>
  <si>
    <t>719:54</t>
  </si>
  <si>
    <t>23:03</t>
  </si>
  <si>
    <t>817:48</t>
  </si>
  <si>
    <t>953:40</t>
  </si>
  <si>
    <t>25:46</t>
  </si>
  <si>
    <t>498:27</t>
  </si>
  <si>
    <t>694:32</t>
  </si>
  <si>
    <t>495:51</t>
  </si>
  <si>
    <t>620:35</t>
  </si>
  <si>
    <t>370:36</t>
  </si>
  <si>
    <t>728:51</t>
  </si>
  <si>
    <t>566:53</t>
  </si>
  <si>
    <t>619:39</t>
  </si>
  <si>
    <t>556:00</t>
  </si>
  <si>
    <t>589:15</t>
  </si>
  <si>
    <t>499:30</t>
  </si>
  <si>
    <t>489:26</t>
  </si>
  <si>
    <t>398:45</t>
  </si>
  <si>
    <t>785:01</t>
  </si>
  <si>
    <t>320:16</t>
  </si>
  <si>
    <t>18:50</t>
  </si>
  <si>
    <t>436:37</t>
  </si>
  <si>
    <t>527:03</t>
  </si>
  <si>
    <t>406:42</t>
  </si>
  <si>
    <t>393:17</t>
  </si>
  <si>
    <t>410:22</t>
  </si>
  <si>
    <t>491:00</t>
  </si>
  <si>
    <t>364:06</t>
  </si>
  <si>
    <t>14:00</t>
  </si>
  <si>
    <t>771:45</t>
  </si>
  <si>
    <t>468:49</t>
  </si>
  <si>
    <t>407:09</t>
  </si>
  <si>
    <t>443:33</t>
  </si>
  <si>
    <t>356:43</t>
  </si>
  <si>
    <t>737:19</t>
  </si>
  <si>
    <t>726:32</t>
  </si>
  <si>
    <t>329:21</t>
  </si>
  <si>
    <t>335:51</t>
  </si>
  <si>
    <t>291:00</t>
  </si>
  <si>
    <t>310:53</t>
  </si>
  <si>
    <t>846:40</t>
  </si>
  <si>
    <t>428:04</t>
  </si>
  <si>
    <t>392:51</t>
  </si>
  <si>
    <t>385:08</t>
  </si>
  <si>
    <t>277:55</t>
  </si>
  <si>
    <t>785:51</t>
  </si>
  <si>
    <t>202:40</t>
  </si>
  <si>
    <t>777:32</t>
  </si>
  <si>
    <t>311:03</t>
  </si>
  <si>
    <t>464:22</t>
  </si>
  <si>
    <t>276:25</t>
  </si>
  <si>
    <t>11:03</t>
  </si>
  <si>
    <t>465:59</t>
  </si>
  <si>
    <t>275:21</t>
  </si>
  <si>
    <t>142:54</t>
  </si>
  <si>
    <t>637:57</t>
  </si>
  <si>
    <t>391:54</t>
  </si>
  <si>
    <t>303:09</t>
  </si>
  <si>
    <t>221:06</t>
  </si>
  <si>
    <t>336:05</t>
  </si>
  <si>
    <t>589:51</t>
  </si>
  <si>
    <t>364:28</t>
  </si>
  <si>
    <t>568:47</t>
  </si>
  <si>
    <t>464:45</t>
  </si>
  <si>
    <t>383:01</t>
  </si>
  <si>
    <t>286:57</t>
  </si>
  <si>
    <t>12:29</t>
  </si>
  <si>
    <t>522:01</t>
  </si>
  <si>
    <t>32:21</t>
  </si>
  <si>
    <t>626:23</t>
  </si>
  <si>
    <t>525:39</t>
  </si>
  <si>
    <t>262:32</t>
  </si>
  <si>
    <t>686:44</t>
  </si>
  <si>
    <t>190:28</t>
  </si>
  <si>
    <t>586:31</t>
  </si>
  <si>
    <t>803:59</t>
  </si>
  <si>
    <t>443:30</t>
  </si>
  <si>
    <t>92:21</t>
  </si>
  <si>
    <t>26:04</t>
  </si>
  <si>
    <t>146:48</t>
  </si>
  <si>
    <t>316:43</t>
  </si>
  <si>
    <t>85:51</t>
  </si>
  <si>
    <t>712:16</t>
  </si>
  <si>
    <t>239:15</t>
  </si>
  <si>
    <t>266:35</t>
  </si>
  <si>
    <t>162:08</t>
  </si>
  <si>
    <t>73:49</t>
  </si>
  <si>
    <t>403:44</t>
  </si>
  <si>
    <t>52:31</t>
  </si>
  <si>
    <t>132:43</t>
  </si>
  <si>
    <t>113:32</t>
  </si>
  <si>
    <t>153:10</t>
  </si>
  <si>
    <t>265:01</t>
  </si>
  <si>
    <t>971:39</t>
  </si>
  <si>
    <t>120:42</t>
  </si>
  <si>
    <t>10:04</t>
  </si>
  <si>
    <t>153:34</t>
  </si>
  <si>
    <t>82:08</t>
  </si>
  <si>
    <t>197:42</t>
  </si>
  <si>
    <t>68:25</t>
  </si>
  <si>
    <t>404:33</t>
  </si>
  <si>
    <t>343:33</t>
  </si>
  <si>
    <t>218:08</t>
  </si>
  <si>
    <t>94:29</t>
  </si>
  <si>
    <t>Maxim Groshev</t>
  </si>
  <si>
    <t>1540:19</t>
  </si>
  <si>
    <t>59:15</t>
  </si>
  <si>
    <t>86:44</t>
  </si>
  <si>
    <t>117:30</t>
  </si>
  <si>
    <t>1141:37</t>
  </si>
  <si>
    <t>364:16</t>
  </si>
  <si>
    <t>1441:31</t>
  </si>
  <si>
    <t>638:33</t>
  </si>
  <si>
    <t>710:47</t>
  </si>
  <si>
    <t>50:46</t>
  </si>
  <si>
    <t>913:56</t>
  </si>
  <si>
    <t>57:07</t>
  </si>
  <si>
    <t>56:02</t>
  </si>
  <si>
    <t>913:09</t>
  </si>
  <si>
    <t>745:45</t>
  </si>
  <si>
    <t>57:22</t>
  </si>
  <si>
    <t>1313:45</t>
  </si>
  <si>
    <t>59:43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</si>
</sst>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07" tableType="queryTable" totalsRowShown="0">
  <autoFilter ref="A1:T207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2" tableType="queryTable" totalsRowShown="0">
  <autoFilter ref="A1:AE95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96" zoomScale="90" zoomScaleNormal="120" workbookViewId="0">
      <selection activeCell="G583" sqref="G5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D623" t="s">
        <v>31</v>
      </c>
      <c r="F623" t="s">
        <v>60</v>
      </c>
    </row>
    <row r="624" spans="1:10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7.491191657664964E-2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3644.5896371317153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-5.9622828283354432E-4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0.7357374827810681</v>
      </c>
      <c r="J7">
        <f>(Table3[[#This Row],[HomeMargin]]-Table3[[#This Row],[HomeForecast]])^2</f>
        <v>6.983467800688628E-2</v>
      </c>
    </row>
    <row r="8" spans="1:10" x14ac:dyDescent="0.2">
      <c r="A8" s="4" t="s">
        <v>21</v>
      </c>
      <c r="B8">
        <v>-6.5206076050157921E-2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-1.6917520096814769</v>
      </c>
      <c r="J8">
        <f>(Table3[[#This Row],[HomeMargin]]-Table3[[#This Row],[HomeForecast]])^2</f>
        <v>1.7115128041724545</v>
      </c>
    </row>
    <row r="9" spans="1:10" x14ac:dyDescent="0.2">
      <c r="A9" s="4" t="s">
        <v>23</v>
      </c>
      <c r="B9">
        <v>8.8679045351754957E-2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0.10762906800255428</v>
      </c>
      <c r="J9">
        <f>(Table3[[#This Row],[HomeMargin]]-Table3[[#This Row],[HomeForecast]])^2</f>
        <v>9.6573584242944257</v>
      </c>
    </row>
    <row r="10" spans="1:10" x14ac:dyDescent="0.2">
      <c r="A10" s="4" t="s">
        <v>16</v>
      </c>
      <c r="B10">
        <v>-0.31573427760518757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0.56563949595244956</v>
      </c>
      <c r="J10">
        <f>(Table3[[#This Row],[HomeMargin]]-Table3[[#This Row],[HomeForecast]])^2</f>
        <v>2.4512270312862401</v>
      </c>
    </row>
    <row r="11" spans="1:10" x14ac:dyDescent="0.2">
      <c r="A11" s="4" t="s">
        <v>25</v>
      </c>
      <c r="B11">
        <v>0.53620748452970379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1.2399767713216048E-2</v>
      </c>
      <c r="J11">
        <f>(Table3[[#This Row],[HomeMargin]]-Table3[[#This Row],[HomeForecast]])^2</f>
        <v>8.9257551479600465</v>
      </c>
    </row>
    <row r="12" spans="1:10" x14ac:dyDescent="0.2">
      <c r="A12" s="4" t="s">
        <v>10</v>
      </c>
      <c r="B12">
        <v>-0.45160327336373768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0.24221451744872363</v>
      </c>
      <c r="J12">
        <f>(Table3[[#This Row],[HomeMargin]]-Table3[[#This Row],[HomeForecast]])^2</f>
        <v>1.5430969073603651</v>
      </c>
    </row>
    <row r="13" spans="1:10" x14ac:dyDescent="0.2">
      <c r="A13" s="4" t="s">
        <v>12</v>
      </c>
      <c r="B13">
        <v>1.8116689824371455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0.58984676203833242</v>
      </c>
      <c r="J13">
        <f>(Table3[[#This Row],[HomeMargin]]-Table3[[#This Row],[HomeForecast]])^2</f>
        <v>6.7073062508404355</v>
      </c>
    </row>
    <row r="14" spans="1:10" x14ac:dyDescent="0.2">
      <c r="A14" s="4" t="s">
        <v>28</v>
      </c>
      <c r="B14">
        <v>-0.15682239438733669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0.46130911389022938</v>
      </c>
      <c r="J14">
        <f>(Table3[[#This Row],[HomeMargin]]-Table3[[#This Row],[HomeForecast]])^2</f>
        <v>0.29018787077772978</v>
      </c>
    </row>
    <row r="15" spans="1:10" x14ac:dyDescent="0.2">
      <c r="A15" s="4" t="s">
        <v>39</v>
      </c>
      <c r="B15">
        <v>0.92535559469880035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9.7427363289097332E-2</v>
      </c>
      <c r="J15">
        <f>(Table3[[#This Row],[HomeMargin]]-Table3[[#This Row],[HomeForecast]])^2</f>
        <v>16.788910997430243</v>
      </c>
    </row>
    <row r="16" spans="1:10" x14ac:dyDescent="0.2">
      <c r="A16" s="4" t="s">
        <v>26</v>
      </c>
      <c r="B16">
        <v>-8.2026557704658234E-2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0.68714105076408483</v>
      </c>
      <c r="J16">
        <f>(Table3[[#This Row],[HomeMargin]]-Table3[[#This Row],[HomeForecast]])^2</f>
        <v>5.3493165190606611</v>
      </c>
    </row>
    <row r="17" spans="1:10" x14ac:dyDescent="0.2">
      <c r="A17" s="4" t="s">
        <v>17</v>
      </c>
      <c r="B17">
        <v>0.17499330177061237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1.700660473191407</v>
      </c>
      <c r="J17">
        <f>(Table3[[#This Row],[HomeMargin]]-Table3[[#This Row],[HomeForecast]])^2</f>
        <v>0.49092509869280637</v>
      </c>
    </row>
    <row r="18" spans="1:10" x14ac:dyDescent="0.2">
      <c r="A18" s="4" t="s">
        <v>11</v>
      </c>
      <c r="B18">
        <v>0.20922229284068078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-5.231994047161935E-2</v>
      </c>
      <c r="J18">
        <f>(Table3[[#This Row],[HomeMargin]]-Table3[[#This Row],[HomeForecast]])^2</f>
        <v>15.584177852397998</v>
      </c>
    </row>
    <row r="19" spans="1:10" x14ac:dyDescent="0.2">
      <c r="A19" s="4" t="s">
        <v>13</v>
      </c>
      <c r="B19">
        <v>4.5005056179018996E-2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-1.8683228144365183E-2</v>
      </c>
      <c r="J19">
        <f>(Table3[[#This Row],[HomeMargin]]-Table3[[#This Row],[HomeForecast]])^2</f>
        <v>1.0377155193026248</v>
      </c>
    </row>
    <row r="20" spans="1:10" x14ac:dyDescent="0.2">
      <c r="A20" s="4" t="s">
        <v>34</v>
      </c>
      <c r="B20">
        <v>0.6527374602185485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-6.4319342597988438E-2</v>
      </c>
      <c r="J20">
        <f>(Table3[[#This Row],[HomeMargin]]-Table3[[#This Row],[HomeForecast]])^2</f>
        <v>1.1327756630282142</v>
      </c>
    </row>
    <row r="21" spans="1:10" x14ac:dyDescent="0.2">
      <c r="A21" s="4" t="s">
        <v>18</v>
      </c>
      <c r="B21">
        <v>4.5205299343610755E-2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-0.18708354963060925</v>
      </c>
      <c r="J21">
        <f>(Table3[[#This Row],[HomeMargin]]-Table3[[#This Row],[HomeForecast]])^2</f>
        <v>1.4091673538036074</v>
      </c>
    </row>
    <row r="22" spans="1:10" x14ac:dyDescent="0.2">
      <c r="A22" s="4" t="s">
        <v>29</v>
      </c>
      <c r="B22">
        <v>-0.29605365356197477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-0.26920367647386301</v>
      </c>
      <c r="J22">
        <f>(Table3[[#This Row],[HomeMargin]]-Table3[[#This Row],[HomeForecast]])^2</f>
        <v>5.1492853253224951</v>
      </c>
    </row>
    <row r="23" spans="1:10" x14ac:dyDescent="0.2">
      <c r="A23" s="4" t="s">
        <v>24</v>
      </c>
      <c r="B23">
        <v>-7.602164965773138E-2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-0.3543553355616188</v>
      </c>
      <c r="J23">
        <f>(Table3[[#This Row],[HomeMargin]]-Table3[[#This Row],[HomeForecast]])^2</f>
        <v>0.41685703271774988</v>
      </c>
    </row>
    <row r="24" spans="1:10" x14ac:dyDescent="0.2">
      <c r="A24" s="4" t="s">
        <v>30</v>
      </c>
      <c r="B24">
        <v>0.29544191342066151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-1.4872260109027584</v>
      </c>
      <c r="J24">
        <f>(Table3[[#This Row],[HomeMargin]]-Table3[[#This Row],[HomeForecast]])^2</f>
        <v>12.339581098478147</v>
      </c>
    </row>
    <row r="25" spans="1:10" x14ac:dyDescent="0.2">
      <c r="A25" s="4" t="s">
        <v>15</v>
      </c>
      <c r="B25">
        <v>6.6163598639307278E-2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0.78464791399246592</v>
      </c>
      <c r="J25">
        <f>(Table3[[#This Row],[HomeMargin]]-Table3[[#This Row],[HomeForecast]])^2</f>
        <v>3.1849681769176597</v>
      </c>
    </row>
    <row r="26" spans="1:10" x14ac:dyDescent="0.2">
      <c r="A26" s="4" t="s">
        <v>36</v>
      </c>
      <c r="B26">
        <v>6.3057484159014243E-2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-7.7508042395275423E-2</v>
      </c>
      <c r="J26">
        <f>(Table3[[#This Row],[HomeMargin]]-Table3[[#This Row],[HomeForecast]])^2</f>
        <v>16.626071835798154</v>
      </c>
    </row>
    <row r="27" spans="1:10" x14ac:dyDescent="0.2">
      <c r="A27" s="4" t="s">
        <v>27</v>
      </c>
      <c r="B27">
        <v>0.3028174375616956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-0.90722569190714775</v>
      </c>
      <c r="J27">
        <f>(Table3[[#This Row],[HomeMargin]]-Table3[[#This Row],[HomeForecast]])^2</f>
        <v>8.6070722421074716E-3</v>
      </c>
    </row>
    <row r="28" spans="1:10" x14ac:dyDescent="0.2">
      <c r="A28" s="4" t="s">
        <v>14</v>
      </c>
      <c r="B28">
        <v>3.3446447213402619E-2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-7.8973204825263238E-2</v>
      </c>
      <c r="J28">
        <f>(Table3[[#This Row],[HomeMargin]]-Table3[[#This Row],[HomeForecast]])^2</f>
        <v>4.3221295863814264</v>
      </c>
    </row>
    <row r="29" spans="1:10" x14ac:dyDescent="0.2">
      <c r="A29" s="4" t="s">
        <v>33</v>
      </c>
      <c r="B29">
        <v>-0.21695959508717547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0.30830196354465783</v>
      </c>
      <c r="J29">
        <f>(Table3[[#This Row],[HomeMargin]]-Table3[[#This Row],[HomeForecast]])^2</f>
        <v>0.47844617363617592</v>
      </c>
    </row>
    <row r="30" spans="1:10" x14ac:dyDescent="0.2">
      <c r="A30" s="4" t="s">
        <v>32</v>
      </c>
      <c r="B30">
        <v>-0.34471182133334621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0.66857810623232161</v>
      </c>
      <c r="J30">
        <f>(Table3[[#This Row],[HomeMargin]]-Table3[[#This Row],[HomeForecast]])^2</f>
        <v>7.1213091090624845</v>
      </c>
    </row>
    <row r="31" spans="1:10" x14ac:dyDescent="0.2">
      <c r="A31" s="4" t="s">
        <v>35</v>
      </c>
      <c r="B31">
        <v>-0.90940046726085955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-0.42189665613069882</v>
      </c>
      <c r="J31">
        <f>(Table3[[#This Row],[HomeMargin]]-Table3[[#This Row],[HomeForecast]])^2</f>
        <v>0.3342034761928675</v>
      </c>
    </row>
    <row r="32" spans="1:10" x14ac:dyDescent="0.2">
      <c r="A32" s="4" t="s">
        <v>37</v>
      </c>
      <c r="B32">
        <v>0.77279348157483052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0.96122530431499476</v>
      </c>
      <c r="J32">
        <f>(Table3[[#This Row],[HomeMargin]]-Table3[[#This Row],[HomeForecast]])^2</f>
        <v>3.846404694285444</v>
      </c>
    </row>
    <row r="33" spans="1:10" x14ac:dyDescent="0.2">
      <c r="A33" s="4" t="s">
        <v>19</v>
      </c>
      <c r="B33">
        <v>-1.7306849519822837E-2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1.0192208391814242E-2</v>
      </c>
      <c r="J33">
        <f>(Table3[[#This Row],[HomeMargin]]-Table3[[#This Row],[HomeForecast]])^2</f>
        <v>8.9389506307610151</v>
      </c>
    </row>
    <row r="34" spans="1:10" x14ac:dyDescent="0.2">
      <c r="A34" t="s">
        <v>55</v>
      </c>
      <c r="B34">
        <v>0.18592042582238802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0.71805945492437462</v>
      </c>
      <c r="J34">
        <f>(Table3[[#This Row],[HomeMargin]]-Table3[[#This Row],[HomeForecast]])^2</f>
        <v>1.6433715611087916</v>
      </c>
    </row>
    <row r="35" spans="1:10" x14ac:dyDescent="0.2">
      <c r="A35" s="4" t="s">
        <v>38</v>
      </c>
      <c r="B35">
        <v>-0.46815423657711264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0.22107672525831618</v>
      </c>
      <c r="J35">
        <f>(Table3[[#This Row],[HomeMargin]]-Table3[[#This Row],[HomeForecast]])^2</f>
        <v>14.280261116384413</v>
      </c>
    </row>
    <row r="36" spans="1:10" x14ac:dyDescent="0.2">
      <c r="A36" s="4" t="s">
        <v>20</v>
      </c>
      <c r="B36">
        <v>0.21230765705109297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0.88447177118253484</v>
      </c>
      <c r="J36">
        <f>(Table3[[#This Row],[HomeMargin]]-Table3[[#This Row],[HomeForecast]])^2</f>
        <v>15.089120941113979</v>
      </c>
    </row>
    <row r="37" spans="1:10" x14ac:dyDescent="0.2">
      <c r="A37" s="4" t="s">
        <v>22</v>
      </c>
      <c r="B37">
        <v>0.44972876941152479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-0.40706216280771312</v>
      </c>
      <c r="J37">
        <f>(Table3[[#This Row],[HomeMargin]]-Table3[[#This Row],[HomeForecast]])^2</f>
        <v>0.35157527877426692</v>
      </c>
    </row>
    <row r="38" spans="1:10" x14ac:dyDescent="0.2">
      <c r="A38" s="4" t="s">
        <v>40</v>
      </c>
      <c r="B38">
        <v>-5.6782013784997053E-2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-7.9374939414213641E-2</v>
      </c>
      <c r="J38">
        <f>(Table3[[#This Row],[HomeMargin]]-Table3[[#This Row],[HomeForecast]])^2</f>
        <v>3.6888006233501556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4.2194765150744981E-2</v>
      </c>
      <c r="J39">
        <f>(Table3[[#This Row],[HomeMargin]]-Table3[[#This Row],[HomeForecast]])^2</f>
        <v>25.423728049713574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-0.48210756180778958</v>
      </c>
      <c r="J40">
        <f>(Table3[[#This Row],[HomeMargin]]-Table3[[#This Row],[HomeForecast]])^2</f>
        <v>2.1966428247678311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-0.14145145022769229</v>
      </c>
      <c r="J41">
        <f>(Table3[[#This Row],[HomeMargin]]-Table3[[#This Row],[HomeForecast]])^2</f>
        <v>0.73710561231613281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0.92372704780921155</v>
      </c>
      <c r="J42">
        <f>(Table3[[#This Row],[HomeMargin]]-Table3[[#This Row],[HomeForecast]])^2</f>
        <v>8.5481798500911683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-2.6875153387366409E-2</v>
      </c>
      <c r="J43">
        <f>(Table3[[#This Row],[HomeMargin]]-Table3[[#This Row],[HomeForecast]])^2</f>
        <v>1.0544725806443271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-0.30865325419556788</v>
      </c>
      <c r="J44">
        <f>(Table3[[#This Row],[HomeMargin]]-Table3[[#This Row],[HomeForecast]])^2</f>
        <v>0.47796032293437807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-0.76308764104833882</v>
      </c>
      <c r="J45">
        <f>(Table3[[#This Row],[HomeMargin]]-Table3[[#This Row],[HomeForecast]])^2</f>
        <v>5.6127465824040754E-2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-1.6480780205087409</v>
      </c>
      <c r="J46">
        <f>(Table3[[#This Row],[HomeMargin]]-Table3[[#This Row],[HomeForecast]])^2</f>
        <v>0.12384907964904622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-5.8888281529556746E-3</v>
      </c>
      <c r="J47">
        <f>(Table3[[#This Row],[HomeMargin]]-Table3[[#This Row],[HomeForecast]])^2</f>
        <v>0.98825702199110377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-0.56261178260947609</v>
      </c>
      <c r="J48">
        <f>(Table3[[#This Row],[HomeMargin]]-Table3[[#This Row],[HomeForecast]])^2</f>
        <v>6.5669791483689179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0.68264432061617919</v>
      </c>
      <c r="J49">
        <f>(Table3[[#This Row],[HomeMargin]]-Table3[[#This Row],[HomeForecast]])^2</f>
        <v>0.10071462723716647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0.42713584378230818</v>
      </c>
      <c r="J50">
        <f>(Table3[[#This Row],[HomeMargin]]-Table3[[#This Row],[HomeForecast]])^2</f>
        <v>11.745260091737475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0.43402305429763866</v>
      </c>
      <c r="J51">
        <f>(Table3[[#This Row],[HomeMargin]]-Table3[[#This Row],[HomeForecast]])^2</f>
        <v>11.792514337447683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0.16850706129766446</v>
      </c>
      <c r="J52">
        <f>(Table3[[#This Row],[HomeMargin]]-Table3[[#This Row],[HomeForecast]])^2</f>
        <v>8.0173522619211877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0.13963162476148505</v>
      </c>
      <c r="J53">
        <f>(Table3[[#This Row],[HomeMargin]]-Table3[[#This Row],[HomeForecast]])^2</f>
        <v>1.2987602401565024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0.51615814726039655</v>
      </c>
      <c r="J54">
        <f>(Table3[[#This Row],[HomeMargin]]-Table3[[#This Row],[HomeForecast]])^2</f>
        <v>12.363368116545665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4.0869241080413482E-2</v>
      </c>
      <c r="J55">
        <f>(Table3[[#This Row],[HomeMargin]]-Table3[[#This Row],[HomeForecast]])^2</f>
        <v>0.91993181270566204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-0.45313001807963094</v>
      </c>
      <c r="J56">
        <f>(Table3[[#This Row],[HomeMargin]]-Table3[[#This Row],[HomeForecast]])^2</f>
        <v>2.3928067409663227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0.34753005105690149</v>
      </c>
      <c r="J57">
        <f>(Table3[[#This Row],[HomeMargin]]-Table3[[#This Row],[HomeForecast]])^2</f>
        <v>7.0355968300462024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0.46482903725360658</v>
      </c>
      <c r="J58">
        <f>(Table3[[#This Row],[HomeMargin]]-Table3[[#This Row],[HomeForecast]])^2</f>
        <v>0.28640795936690161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-3.3917786554655466E-2</v>
      </c>
      <c r="J59">
        <f>(Table3[[#This Row],[HomeMargin]]-Table3[[#This Row],[HomeForecast]])^2</f>
        <v>3.8654792700261456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-0.67825516304022959</v>
      </c>
      <c r="J60">
        <f>(Table3[[#This Row],[HomeMargin]]-Table3[[#This Row],[HomeForecast]])^2</f>
        <v>11.033988761868892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0.35365872061880155</v>
      </c>
      <c r="J61">
        <f>(Table3[[#This Row],[HomeMargin]]-Table3[[#This Row],[HomeForecast]])^2</f>
        <v>7.0031221669569197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-0.24815279558665604</v>
      </c>
      <c r="J62">
        <f>(Table3[[#This Row],[HomeMargin]]-Table3[[#This Row],[HomeForecast]])^2</f>
        <v>1.5578854011307848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0.10053347776939037</v>
      </c>
      <c r="J63">
        <f>(Table3[[#This Row],[HomeMargin]]-Table3[[#This Row],[HomeForecast]])^2</f>
        <v>15.205839157997286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-0.21633693396868936</v>
      </c>
      <c r="J64">
        <f>(Table3[[#This Row],[HomeMargin]]-Table3[[#This Row],[HomeForecast]])^2</f>
        <v>10.344823272811107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-0.38288527732047223</v>
      </c>
      <c r="J65">
        <f>(Table3[[#This Row],[HomeMargin]]-Table3[[#This Row],[HomeForecast]])^2</f>
        <v>21.317748362384052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0.57656662000422521</v>
      </c>
      <c r="J66">
        <f>(Table3[[#This Row],[HomeMargin]]-Table3[[#This Row],[HomeForecast]])^2</f>
        <v>2.0261625872861959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-0.46189179623588772</v>
      </c>
      <c r="J67">
        <f>(Table3[[#This Row],[HomeMargin]]-Table3[[#This Row],[HomeForecast]])^2</f>
        <v>6.4419932540146894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-1.8935794602478326</v>
      </c>
      <c r="J68">
        <f>(Table3[[#This Row],[HomeMargin]]-Table3[[#This Row],[HomeForecast]])^2</f>
        <v>1.2241664107854773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1.4684217478525627</v>
      </c>
      <c r="J69">
        <f>(Table3[[#This Row],[HomeMargin]]-Table3[[#This Row],[HomeForecast]])^2</f>
        <v>12.029949420976626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8.6470525542266016E-2</v>
      </c>
      <c r="J70">
        <f>(Table3[[#This Row],[HomeMargin]]-Table3[[#This Row],[HomeForecast]])^2</f>
        <v>4.3533592539566195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0.41617086948223514</v>
      </c>
      <c r="J71">
        <f>(Table3[[#This Row],[HomeMargin]]-Table3[[#This Row],[HomeForecast]])^2</f>
        <v>0.34085645364112932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-0.21033202592176253</v>
      </c>
      <c r="J72">
        <f>(Table3[[#This Row],[HomeMargin]]-Table3[[#This Row],[HomeForecast]])^2</f>
        <v>4.8855676648154036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0.19536052822669878</v>
      </c>
      <c r="J73">
        <f>(Table3[[#This Row],[HomeMargin]]-Table3[[#This Row],[HomeForecast]])^2</f>
        <v>3.2567236230822196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0.4826812220690101</v>
      </c>
      <c r="J74">
        <f>(Table3[[#This Row],[HomeMargin]]-Table3[[#This Row],[HomeForecast]])^2</f>
        <v>0.26761871800001286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0.43451136792334227</v>
      </c>
      <c r="J75">
        <f>(Table3[[#This Row],[HomeMargin]]-Table3[[#This Row],[HomeForecast]])^2</f>
        <v>11.795868336394667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-8.5585315824804747E-3</v>
      </c>
      <c r="J76">
        <f>(Table3[[#This Row],[HomeMargin]]-Table3[[#This Row],[HomeForecast]])^2</f>
        <v>1.0171903116278094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0.35242564967790058</v>
      </c>
      <c r="J77">
        <f>(Table3[[#This Row],[HomeMargin]]-Table3[[#This Row],[HomeForecast]])^2</f>
        <v>0.41935253919508914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9.1462879790024598E-2</v>
      </c>
      <c r="J78">
        <f>(Table3[[#This Row],[HomeMargin]]-Table3[[#This Row],[HomeForecast]])^2</f>
        <v>1.1912912179595336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-0.77990812270283916</v>
      </c>
      <c r="J79">
        <f>(Table3[[#This Row],[HomeMargin]]-Table3[[#This Row],[HomeForecast]])^2</f>
        <v>3.1680729252635453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0.47779193748621307</v>
      </c>
      <c r="J80">
        <f>(Table3[[#This Row],[HomeMargin]]-Table3[[#This Row],[HomeForecast]])^2</f>
        <v>6.3615335106095516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-0.12809677423037402</v>
      </c>
      <c r="J81">
        <f>(Table3[[#This Row],[HomeMargin]]-Table3[[#This Row],[HomeForecast]])^2</f>
        <v>17.041182977411221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-4.5631330912276169E-2</v>
      </c>
      <c r="J82">
        <f>(Table3[[#This Row],[HomeMargin]]-Table3[[#This Row],[HomeForecast]])^2</f>
        <v>9.2758702038344811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-0.85470395938551758</v>
      </c>
      <c r="J83">
        <f>(Table3[[#This Row],[HomeMargin]]-Table3[[#This Row],[HomeForecast]])^2</f>
        <v>3.439926776960315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1.9517869750639529</v>
      </c>
      <c r="J84">
        <f>(Table3[[#This Row],[HomeMargin]]-Table3[[#This Row],[HomeForecast]])^2</f>
        <v>1.0987505456455779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-0.41629051177403514</v>
      </c>
      <c r="J85">
        <f>(Table3[[#This Row],[HomeMargin]]-Table3[[#This Row],[HomeForecast]])^2</f>
        <v>0.34071676664501777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5.3953617280953117E-2</v>
      </c>
      <c r="J86">
        <f>(Table3[[#This Row],[HomeMargin]]-Table3[[#This Row],[HomeForecast]])^2</f>
        <v>1.1108182273796059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-0.1761030348516941</v>
      </c>
      <c r="J87">
        <f>(Table3[[#This Row],[HomeMargin]]-Table3[[#This Row],[HomeForecast]])^2</f>
        <v>4.7354244182907541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-0.15747251268499762</v>
      </c>
      <c r="J88">
        <f>(Table3[[#This Row],[HomeMargin]]-Table3[[#This Row],[HomeForecast]])^2</f>
        <v>0.70985256688133147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-0.27500810608020326</v>
      </c>
      <c r="J89">
        <f>(Table3[[#This Row],[HomeMargin]]-Table3[[#This Row],[HomeForecast]])^2</f>
        <v>1.6256456705702267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-0.17549412572392845</v>
      </c>
      <c r="J90">
        <f>(Table3[[#This Row],[HomeMargin]]-Table3[[#This Row],[HomeForecast]])^2</f>
        <v>7.9778334338200345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-1.7598441453830103</v>
      </c>
      <c r="J91">
        <f>(Table3[[#This Row],[HomeMargin]]-Table3[[#This Row],[HomeForecast]])^2</f>
        <v>14.136427997570898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0.40231688839017299</v>
      </c>
      <c r="J92">
        <f>(Table3[[#This Row],[HomeMargin]]-Table3[[#This Row],[HomeForecast]])^2</f>
        <v>1.9664926554642965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0.60295385123293022</v>
      </c>
      <c r="J93">
        <f>(Table3[[#This Row],[HomeMargin]]-Table3[[#This Row],[HomeForecast]])^2</f>
        <v>19.334014834387318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0.31418355635362738</v>
      </c>
      <c r="J94">
        <f>(Table3[[#This Row],[HomeMargin]]-Table3[[#This Row],[HomeForecast]])^2</f>
        <v>7.2136099689612481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-0.37609512850425447</v>
      </c>
      <c r="J95">
        <f>(Table3[[#This Row],[HomeMargin]]-Table3[[#This Row],[HomeForecast]])^2</f>
        <v>1.8936378026931404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-0.18210794289862098</v>
      </c>
      <c r="J96">
        <f>(Table3[[#This Row],[HomeMargin]]-Table3[[#This Row],[HomeForecast]])^2</f>
        <v>4.7615950744612503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0.32603841844919557</v>
      </c>
      <c r="J97">
        <f>(Table3[[#This Row],[HomeMargin]]-Table3[[#This Row],[HomeForecast]])^2</f>
        <v>0.45422421340646163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0.99279492256528712</v>
      </c>
      <c r="J98">
        <f>(Table3[[#This Row],[HomeMargin]]-Table3[[#This Row],[HomeForecast]])^2</f>
        <v>3.9712316034019892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-0.18404034724354087</v>
      </c>
      <c r="J99">
        <f>(Table3[[#This Row],[HomeMargin]]-Table3[[#This Row],[HomeForecast]])^2</f>
        <v>0.66579015492644134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3.1438170568505439E-2</v>
      </c>
      <c r="J100">
        <f>(Table3[[#This Row],[HomeMargin]]-Table3[[#This Row],[HomeForecast]])^2</f>
        <v>3.8752356762946727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-0.51166194500259166</v>
      </c>
      <c r="J101">
        <f>(Table3[[#This Row],[HomeMargin]]-Table3[[#This Row],[HomeForecast]])^2</f>
        <v>2.2151501659534687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0.72244117547169151</v>
      </c>
      <c r="J102">
        <f>(Table3[[#This Row],[HomeMargin]]-Table3[[#This Row],[HomeForecast]])^2</f>
        <v>5.1872741991867715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-0.24898791090196115</v>
      </c>
      <c r="J103">
        <f>(Table3[[#This Row],[HomeMargin]]-Table3[[#This Row],[HomeForecast]])^2</f>
        <v>10.55592244518709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-0.19951645231418907</v>
      </c>
      <c r="J104">
        <f>(Table3[[#This Row],[HomeMargin]]-Table3[[#This Row],[HomeForecast]])^2</f>
        <v>0.64077391011566198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1.1570899056627866</v>
      </c>
      <c r="J105">
        <f>(Table3[[#This Row],[HomeMargin]]-Table3[[#This Row],[HomeForecast]])^2</f>
        <v>26.59557629508901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-0.22054550870249159</v>
      </c>
      <c r="J106">
        <f>(Table3[[#This Row],[HomeMargin]]-Table3[[#This Row],[HomeForecast]])^2</f>
        <v>7.7253672691938906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0.58731342508448658</v>
      </c>
      <c r="J107">
        <f>(Table3[[#This Row],[HomeMargin]]-Table3[[#This Row],[HomeForecast]])^2</f>
        <v>0.17031020911549766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-3.7023901034948486E-2</v>
      </c>
      <c r="J108">
        <f>(Table3[[#This Row],[HomeMargin]]-Table3[[#This Row],[HomeForecast]])^2</f>
        <v>0.92732296717794871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0.5765126003671649</v>
      </c>
      <c r="J109">
        <f>(Table3[[#This Row],[HomeMargin]]-Table3[[#This Row],[HomeForecast]])^2</f>
        <v>11.720265975444791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-0.87949360686322886</v>
      </c>
      <c r="J110">
        <f>(Table3[[#This Row],[HomeMargin]]-Table3[[#This Row],[HomeForecast]])^2</f>
        <v>1.4521790786834042E-2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0.13362671671455817</v>
      </c>
      <c r="J111">
        <f>(Table3[[#This Row],[HomeMargin]]-Table3[[#This Row],[HomeForecast]])^2</f>
        <v>9.8196163997072627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-1.5508366400381077</v>
      </c>
      <c r="J112">
        <f>(Table3[[#This Row],[HomeMargin]]-Table3[[#This Row],[HomeForecast]])^2</f>
        <v>6.5067675641609029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0.8693525073215207</v>
      </c>
      <c r="J113">
        <f>(Table3[[#This Row],[HomeMargin]]-Table3[[#This Row],[HomeForecast]])^2</f>
        <v>4.5396587380570894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0.24561751963306283</v>
      </c>
      <c r="J114">
        <f>(Table3[[#This Row],[HomeMargin]]-Table3[[#This Row],[HomeForecast]])^2</f>
        <v>3.077857887418447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-0.28602766037214866</v>
      </c>
      <c r="J115">
        <f>(Table3[[#This Row],[HomeMargin]]-Table3[[#This Row],[HomeForecast]])^2</f>
        <v>0.50975650175366793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-0.65384719329963026</v>
      </c>
      <c r="J116">
        <f>(Table3[[#This Row],[HomeMargin]]-Table3[[#This Row],[HomeForecast]])^2</f>
        <v>13.350599311983586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1.0302068809325262E-2</v>
      </c>
      <c r="J117">
        <f>(Table3[[#This Row],[HomeMargin]]-Table3[[#This Row],[HomeForecast]])^2</f>
        <v>4.041314407859053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1.3503734144840913</v>
      </c>
      <c r="J118">
        <f>(Table3[[#This Row],[HomeMargin]]-Table3[[#This Row],[HomeForecast]])^2</f>
        <v>5.5242551875136066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0.95526245509643104</v>
      </c>
      <c r="J119">
        <f>(Table3[[#This Row],[HomeMargin]]-Table3[[#This Row],[HomeForecast]])^2</f>
        <v>3.8230512683097229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0.20469991900365125</v>
      </c>
      <c r="J120">
        <f>(Table3[[#This Row],[HomeMargin]]-Table3[[#This Row],[HomeForecast]])^2</f>
        <v>0.63250221883279889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0.2506877622039278</v>
      </c>
      <c r="J121">
        <f>(Table3[[#This Row],[HomeMargin]]-Table3[[#This Row],[HomeForecast]])^2</f>
        <v>5.0655954029345232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0.2470124995917875</v>
      </c>
      <c r="J122">
        <f>(Table3[[#This Row],[HomeMargin]]-Table3[[#This Row],[HomeForecast]])^2</f>
        <v>0.56699017577100785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0.45238038770196937</v>
      </c>
      <c r="J123">
        <f>(Table3[[#This Row],[HomeMargin]]-Table3[[#This Row],[HomeForecast]])^2</f>
        <v>20.680844138157696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0.3580351103031324</v>
      </c>
      <c r="J124">
        <f>(Table3[[#This Row],[HomeMargin]]-Table3[[#This Row],[HomeForecast]])^2</f>
        <v>1.8442593608160414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-0.16484803682603172</v>
      </c>
      <c r="J125">
        <f>(Table3[[#This Row],[HomeMargin]]-Table3[[#This Row],[HomeForecast]])^2</f>
        <v>1.35687094889746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-1.020408976506598</v>
      </c>
      <c r="J126">
        <f>(Table3[[#This Row],[HomeMargin]]-Table3[[#This Row],[HomeForecast]])^2</f>
        <v>3.9187806202956548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1.2993086715152178</v>
      </c>
      <c r="J127">
        <f>(Table3[[#This Row],[HomeMargin]]-Table3[[#This Row],[HomeForecast]])^2</f>
        <v>5.2868203669050748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0.36284172412499882</v>
      </c>
      <c r="J128">
        <f>(Table3[[#This Row],[HomeMargin]]-Table3[[#This Row],[HomeForecast]])^2</f>
        <v>11.308704461515994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0.18089781144822745</v>
      </c>
      <c r="J129">
        <f>(Table3[[#This Row],[HomeMargin]]-Table3[[#This Row],[HomeForecast]])^2</f>
        <v>3.3091327723938488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-0.53163924722221179</v>
      </c>
      <c r="J130">
        <f>(Table3[[#This Row],[HomeMargin]]-Table3[[#This Row],[HomeForecast]])^2</f>
        <v>12.029526311409306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0.21584986200609374</v>
      </c>
      <c r="J131">
        <f>(Table3[[#This Row],[HomeMargin]]-Table3[[#This Row],[HomeForecast]])^2</f>
        <v>3.1831917149036744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0.33386418039684018</v>
      </c>
      <c r="J132">
        <f>(Table3[[#This Row],[HomeMargin]]-Table3[[#This Row],[HomeForecast]])^2</f>
        <v>2.7760085693646928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-1.8019631419106537</v>
      </c>
      <c r="J133">
        <f>(Table3[[#This Row],[HomeMargin]]-Table3[[#This Row],[HomeForecast]])^2</f>
        <v>7.8509974486258214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0.4640600267457462</v>
      </c>
      <c r="J134">
        <f>(Table3[[#This Row],[HomeMargin]]-Table3[[#This Row],[HomeForecast]])^2</f>
        <v>0.28723165493177027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0.90228582613285091</v>
      </c>
      <c r="J135">
        <f>(Table3[[#This Row],[HomeMargin]]-Table3[[#This Row],[HomeForecast]])^2</f>
        <v>1.2049764075088374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7.1826552366237445E-2</v>
      </c>
      <c r="J136">
        <f>(Table3[[#This Row],[HomeMargin]]-Table3[[#This Row],[HomeForecast]])^2</f>
        <v>8.5741997394273959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0.54172895097281015</v>
      </c>
      <c r="J137">
        <f>(Table3[[#This Row],[HomeMargin]]-Table3[[#This Row],[HomeForecast]])^2</f>
        <v>20.627301864104581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-0.26614679316434414</v>
      </c>
      <c r="J138">
        <f>(Table3[[#This Row],[HomeMargin]]-Table3[[#This Row],[HomeForecast]])^2</f>
        <v>1.6031277018403527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8.2287440717683735E-2</v>
      </c>
      <c r="J139">
        <f>(Table3[[#This Row],[HomeMargin]]-Table3[[#This Row],[HomeForecast]])^2</f>
        <v>0.84219634146449895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0.26518075817738895</v>
      </c>
      <c r="J140">
        <f>(Table3[[#This Row],[HomeMargin]]-Table3[[#This Row],[HomeForecast]])^2</f>
        <v>1.6006823508623125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-0.44479320652730892</v>
      </c>
      <c r="J141">
        <f>(Table3[[#This Row],[HomeMargin]]-Table3[[#This Row],[HomeForecast]])^2</f>
        <v>2.087427409627463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0.84830162643431373</v>
      </c>
      <c r="J142">
        <f>(Table3[[#This Row],[HomeMargin]]-Table3[[#This Row],[HomeForecast]])^2</f>
        <v>2.3012396542474504E-2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-3.1073978294928153E-2</v>
      </c>
      <c r="J143">
        <f>(Table3[[#This Row],[HomeMargin]]-Table3[[#This Row],[HomeForecast]])^2</f>
        <v>1.0631135487169299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-0.43844761934407372</v>
      </c>
      <c r="J144">
        <f>(Table3[[#This Row],[HomeMargin]]-Table3[[#This Row],[HomeForecast]])^2</f>
        <v>0.3153410762203383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0.46158320182916024</v>
      </c>
      <c r="J145">
        <f>(Table3[[#This Row],[HomeMargin]]-Table3[[#This Row],[HomeForecast]])^2</f>
        <v>41.752057474160786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-0.3069859596678452</v>
      </c>
      <c r="J146">
        <f>(Table3[[#This Row],[HomeMargin]]-Table3[[#This Row],[HomeForecast]])^2</f>
        <v>18.550128056775947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-0.42169641296610705</v>
      </c>
      <c r="J147">
        <f>(Table3[[#This Row],[HomeMargin]]-Table3[[#This Row],[HomeForecast]])^2</f>
        <v>2.4910422128440537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0.94460897188237358</v>
      </c>
      <c r="J148">
        <f>(Table3[[#This Row],[HomeMargin]]-Table3[[#This Row],[HomeForecast]])^2</f>
        <v>3.7815040535254218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-1.8127787155182271</v>
      </c>
      <c r="J149">
        <f>(Table3[[#This Row],[HomeMargin]]-Table3[[#This Row],[HomeForecast]])^2</f>
        <v>7.9117241024723679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-1.1464973316841256</v>
      </c>
      <c r="J150">
        <f>(Table3[[#This Row],[HomeMargin]]-Table3[[#This Row],[HomeForecast]])^2</f>
        <v>2.1461468190568711E-2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0.63539774110038716</v>
      </c>
      <c r="J151">
        <f>(Table3[[#This Row],[HomeMargin]]-Table3[[#This Row],[HomeForecast]])^2</f>
        <v>0.1329348071947003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-0.56823562177107534</v>
      </c>
      <c r="J152">
        <f>(Table3[[#This Row],[HomeMargin]]-Table3[[#This Row],[HomeForecast]])^2</f>
        <v>2.4593629653917111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-0.16779052303073544</v>
      </c>
      <c r="J153">
        <f>(Table3[[#This Row],[HomeMargin]]-Table3[[#This Row],[HomeForecast]])^2</f>
        <v>0.69257261355745681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0.20317547678582182</v>
      </c>
      <c r="J154">
        <f>(Table3[[#This Row],[HomeMargin]]-Table3[[#This Row],[HomeForecast]])^2</f>
        <v>23.009525506508933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1.0177588310509118</v>
      </c>
      <c r="J155">
        <f>(Table3[[#This Row],[HomeMargin]]-Table3[[#This Row],[HomeForecast]])^2</f>
        <v>3.9292800518766478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-0.2857360728941698</v>
      </c>
      <c r="J156">
        <f>(Table3[[#This Row],[HomeMargin]]-Table3[[#This Row],[HomeForecast]])^2</f>
        <v>10.796061540718002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0.3204133563157413</v>
      </c>
      <c r="J157">
        <f>(Table3[[#This Row],[HomeMargin]]-Table3[[#This Row],[HomeForecast]])^2</f>
        <v>1.7434914315370005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0.39881174405526043</v>
      </c>
      <c r="J158">
        <f>(Table3[[#This Row],[HomeMargin]]-Table3[[#This Row],[HomeForecast]])^2</f>
        <v>11.551921271527961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-0.43974884094610228</v>
      </c>
      <c r="J159">
        <f>(Table3[[#This Row],[HomeMargin]]-Table3[[#This Row],[HomeForecast]])^2</f>
        <v>19.711369770682253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1.9626025486715264</v>
      </c>
      <c r="J160">
        <f>(Table3[[#This Row],[HomeMargin]]-Table3[[#This Row],[HomeForecast]])^2</f>
        <v>4.15098837467976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0.55053874186392515</v>
      </c>
      <c r="J161">
        <f>(Table3[[#This Row],[HomeMargin]]-Table3[[#This Row],[HomeForecast]])^2</f>
        <v>0.20201542256526331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6.398479252487399E-2</v>
      </c>
      <c r="J162">
        <f>(Table3[[#This Row],[HomeMargin]]-Table3[[#This Row],[HomeForecast]])^2</f>
        <v>8.6201852985252092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0.28473043770016399</v>
      </c>
      <c r="J163">
        <f>(Table3[[#This Row],[HomeMargin]]-Table3[[#This Row],[HomeForecast]])^2</f>
        <v>1.650532297553255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0.78443139058019518</v>
      </c>
      <c r="J164">
        <f>(Table3[[#This Row],[HomeMargin]]-Table3[[#This Row],[HomeForecast]])^2</f>
        <v>3.1841953876879692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-0.99393521856015565</v>
      </c>
      <c r="J165">
        <f>(Table3[[#This Row],[HomeMargin]]-Table3[[#This Row],[HomeForecast]])^2</f>
        <v>4.0242959073332898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0.34428290692494262</v>
      </c>
      <c r="J166">
        <f>(Table3[[#This Row],[HomeMargin]]-Table3[[#This Row],[HomeForecast]])^2</f>
        <v>0.42996490615080341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-0.3150052041003073</v>
      </c>
      <c r="J167">
        <f>(Table3[[#This Row],[HomeMargin]]-Table3[[#This Row],[HomeForecast]])^2</f>
        <v>0.46921787040966167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-0.18705273468954481</v>
      </c>
      <c r="J168">
        <f>(Table3[[#This Row],[HomeMargin]]-Table3[[#This Row],[HomeForecast]])^2</f>
        <v>0.66088325617574772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-0.75246199297955163</v>
      </c>
      <c r="J169">
        <f>(Table3[[#This Row],[HomeMargin]]-Table3[[#This Row],[HomeForecast]])^2</f>
        <v>5.0514270930014487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0.37333934466201435</v>
      </c>
      <c r="J170">
        <f>(Table3[[#This Row],[HomeMargin]]-Table3[[#This Row],[HomeForecast]])^2</f>
        <v>0.39270357694863367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-0.45940591863977026</v>
      </c>
      <c r="J171">
        <f>(Table3[[#This Row],[HomeMargin]]-Table3[[#This Row],[HomeForecast]])^2</f>
        <v>2.3734301235221702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-6.4603628290864218E-2</v>
      </c>
      <c r="J172">
        <f>(Table3[[#This Row],[HomeMargin]]-Table3[[#This Row],[HomeForecast]])^2</f>
        <v>9.3917953985335298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-7.8973204825263238E-2</v>
      </c>
      <c r="J173">
        <f>(Table3[[#This Row],[HomeMargin]]-Table3[[#This Row],[HomeForecast]])^2</f>
        <v>1.1641831767308992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0.31567748768569193</v>
      </c>
      <c r="J174">
        <f>(Table3[[#This Row],[HomeMargin]]-Table3[[#This Row],[HomeForecast]])^2</f>
        <v>13.574232374746016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0.18374161970795472</v>
      </c>
      <c r="J175">
        <f>(Table3[[#This Row],[HomeMargin]]-Table3[[#This Row],[HomeForecast]])^2</f>
        <v>1.401244222228812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0.20194353046032687</v>
      </c>
      <c r="J176">
        <f>(Table3[[#This Row],[HomeMargin]]-Table3[[#This Row],[HomeForecast]])^2</f>
        <v>1.4446682504154345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0.69420292958179552</v>
      </c>
      <c r="J177">
        <f>(Table3[[#This Row],[HomeMargin]]-Table3[[#This Row],[HomeForecast]])^2</f>
        <v>13.647135284930719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0.45370367834085146</v>
      </c>
      <c r="J178">
        <f>(Table3[[#This Row],[HomeMargin]]-Table3[[#This Row],[HomeForecast]])^2</f>
        <v>0.29843967105831587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0.67378300770031996</v>
      </c>
      <c r="J179">
        <f>(Table3[[#This Row],[HomeMargin]]-Table3[[#This Row],[HomeForecast]])^2</f>
        <v>5.4112854952637708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-6.6026028852794447E-2</v>
      </c>
      <c r="J180">
        <f>(Table3[[#This Row],[HomeMargin]]-Table3[[#This Row],[HomeForecast]])^2</f>
        <v>9.4005156096028362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-0.36633431410709727</v>
      </c>
      <c r="J181">
        <f>(Table3[[#This Row],[HomeMargin]]-Table3[[#This Row],[HomeForecast]])^2</f>
        <v>0.40153220147812285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-7.7650196547320194E-2</v>
      </c>
      <c r="J182">
        <f>(Table3[[#This Row],[HomeMargin]]-Table3[[#This Row],[HomeForecast]])^2</f>
        <v>1.1613299461184778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0.46973317615539029</v>
      </c>
      <c r="J183">
        <f>(Table3[[#This Row],[HomeMargin]]-Table3[[#This Row],[HomeForecast]])^2</f>
        <v>6.4022501998486883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0.15634224599847435</v>
      </c>
      <c r="J184">
        <f>(Table3[[#This Row],[HomeMargin]]-Table3[[#This Row],[HomeForecast]])^2</f>
        <v>8.086389421893001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-1.5244494088094029</v>
      </c>
      <c r="J185">
        <f>(Table3[[#This Row],[HomeMargin]]-Table3[[#This Row],[HomeForecast]])^2</f>
        <v>0.22614836478172637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0.22919877256751298</v>
      </c>
      <c r="J186">
        <f>(Table3[[#This Row],[HomeMargin]]-Table3[[#This Row],[HomeForecast]])^2</f>
        <v>4.9693271676165063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-0.52650164400321209</v>
      </c>
      <c r="J187">
        <f>(Table3[[#This Row],[HomeMargin]]-Table3[[#This Row],[HomeForecast]])^2</f>
        <v>2.3302072691445095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-0.28613780748312018</v>
      </c>
      <c r="J188">
        <f>(Table3[[#This Row],[HomeMargin]]-Table3[[#This Row],[HomeForecast]])^2</f>
        <v>1.6541504598374877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0.82748998945017249</v>
      </c>
      <c r="J189">
        <f>(Table3[[#This Row],[HomeMargin]]-Table3[[#This Row],[HomeForecast]])^2</f>
        <v>2.9759703739901597E-2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0.70150849171099972</v>
      </c>
      <c r="J190">
        <f>(Table3[[#This Row],[HomeMargin]]-Table3[[#This Row],[HomeForecast]])^2</f>
        <v>8.9097180520642319E-2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-0.64122138528146988</v>
      </c>
      <c r="J191">
        <f>(Table3[[#This Row],[HomeMargin]]-Table3[[#This Row],[HomeForecast]])^2</f>
        <v>2.6936076355052272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0.19593862241340002</v>
      </c>
      <c r="J192">
        <f>(Table3[[#This Row],[HomeMargin]]-Table3[[#This Row],[HomeForecast]])^2</f>
        <v>10.21402367823366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1.1958036133723109</v>
      </c>
      <c r="J193">
        <f>(Table3[[#This Row],[HomeMargin]]-Table3[[#This Row],[HomeForecast]])^2</f>
        <v>3.2551246015204098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5.7059731761246152E-2</v>
      </c>
      <c r="J194">
        <f>(Table3[[#This Row],[HomeMargin]]-Table3[[#This Row],[HomeForecast]])^2</f>
        <v>0.88913634946617315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9.4592540619862442E-2</v>
      </c>
      <c r="J195">
        <f>(Table3[[#This Row],[HomeMargin]]-Table3[[#This Row],[HomeForecast]])^2</f>
        <v>3.6305775862614706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0.39503620365816805</v>
      </c>
      <c r="J196">
        <f>(Table3[[#This Row],[HomeMargin]]-Table3[[#This Row],[HomeForecast]])^2</f>
        <v>11.526270824149664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-0.33596350339600384</v>
      </c>
      <c r="J197">
        <f>(Table3[[#This Row],[HomeMargin]]-Table3[[#This Row],[HomeForecast]])^2</f>
        <v>0.44094446882210908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-1.9537166609476713</v>
      </c>
      <c r="J198">
        <f>(Table3[[#This Row],[HomeMargin]]-Table3[[#This Row],[HomeForecast]])^2</f>
        <v>8.72444211315986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-1.5316544421750032E-2</v>
      </c>
      <c r="J199">
        <f>(Table3[[#This Row],[HomeMargin]]-Table3[[#This Row],[HomeForecast]])^2</f>
        <v>9.0921338630635251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0.15033733795154747</v>
      </c>
      <c r="J200">
        <f>(Table3[[#This Row],[HomeMargin]]-Table3[[#This Row],[HomeForecast]])^2</f>
        <v>8.1205772874730719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0.52717622438464784</v>
      </c>
      <c r="J201">
        <f>(Table3[[#This Row],[HomeMargin]]-Table3[[#This Row],[HomeForecast]])^2</f>
        <v>0.22356232278715688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0.69346363174353276</v>
      </c>
      <c r="J202">
        <f>(Table3[[#This Row],[HomeMargin]]-Table3[[#This Row],[HomeForecast]])^2</f>
        <v>2.8678190720379955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-6.0021120805867592E-2</v>
      </c>
      <c r="J203">
        <f>(Table3[[#This Row],[HomeMargin]]-Table3[[#This Row],[HomeForecast]])^2</f>
        <v>0.88356029333105723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-0.51196113917579289</v>
      </c>
      <c r="J204">
        <f>(Table3[[#This Row],[HomeMargin]]-Table3[[#This Row],[HomeForecast]])^2</f>
        <v>2.2142596513230037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0.2470124995917875</v>
      </c>
      <c r="J205">
        <f>(Table3[[#This Row],[HomeMargin]]-Table3[[#This Row],[HomeForecast]])^2</f>
        <v>1.5550401741381579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0.1818033686070411</v>
      </c>
      <c r="J206">
        <f>(Table3[[#This Row],[HomeMargin]]-Table3[[#This Row],[HomeForecast]])^2</f>
        <v>3.3058389904087035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-1.0094818524548224</v>
      </c>
      <c r="J207">
        <f>(Table3[[#This Row],[HomeMargin]]-Table3[[#This Row],[HomeForecast]])^2</f>
        <v>4.0380173153452645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2.4158619843424184E-2</v>
      </c>
      <c r="J208">
        <f>(Table3[[#This Row],[HomeMargin]]-Table3[[#This Row],[HomeForecast]])^2</f>
        <v>0.95226639922589074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-0.13490660454686468</v>
      </c>
      <c r="J209">
        <f>(Table3[[#This Row],[HomeMargin]]-Table3[[#This Row],[HomeForecast]])^2</f>
        <v>17.097452628325286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-2.2329463893983409E-2</v>
      </c>
      <c r="J210">
        <f>(Table3[[#This Row],[HomeMargin]]-Table3[[#This Row],[HomeForecast]])^2</f>
        <v>0.95583967716982599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1.1137874174389646</v>
      </c>
      <c r="J211">
        <f>(Table3[[#This Row],[HomeMargin]]-Table3[[#This Row],[HomeForecast]])^2</f>
        <v>1.2947576367429183E-2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0.82527420950483765</v>
      </c>
      <c r="J212">
        <f>(Table3[[#This Row],[HomeMargin]]-Table3[[#This Row],[HomeForecast]])^2</f>
        <v>3.0529101864159365E-2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0.17669898654066568</v>
      </c>
      <c r="J213">
        <f>(Table3[[#This Row],[HomeMargin]]-Table3[[#This Row],[HomeForecast]])^2</f>
        <v>7.971028612600505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1.023703030357173</v>
      </c>
      <c r="J214">
        <f>(Table3[[#This Row],[HomeMargin]]-Table3[[#This Row],[HomeForecast]])^2</f>
        <v>5.6183364811306612E-4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-0.18270022164143521</v>
      </c>
      <c r="J215">
        <f>(Table3[[#This Row],[HomeMargin]]-Table3[[#This Row],[HomeForecast]])^2</f>
        <v>0.66797892770495915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0.43555990604746908</v>
      </c>
      <c r="J216">
        <f>(Table3[[#This Row],[HomeMargin]]-Table3[[#This Row],[HomeForecast]])^2</f>
        <v>2.060832243851018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-0.39513196931374689</v>
      </c>
      <c r="J217">
        <f>(Table3[[#This Row],[HomeMargin]]-Table3[[#This Row],[HomeForecast]])^2</f>
        <v>6.7853374572912797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0.36924613133240086</v>
      </c>
      <c r="J218">
        <f>(Table3[[#This Row],[HomeMargin]]-Table3[[#This Row],[HomeForecast]])^2</f>
        <v>0.39785044283914284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-8.399996664120124E-2</v>
      </c>
      <c r="J219">
        <f>(Table3[[#This Row],[HomeMargin]]-Table3[[#This Row],[HomeForecast]])^2</f>
        <v>16.679055727525334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-5.2840309669521107E-2</v>
      </c>
      <c r="J220">
        <f>(Table3[[#This Row],[HomeMargin]]-Table3[[#This Row],[HomeForecast]])^2</f>
        <v>24.474389001630762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-0.12831535876556122</v>
      </c>
      <c r="J221">
        <f>(Table3[[#This Row],[HomeMargin]]-Table3[[#This Row],[HomeForecast]])^2</f>
        <v>4.529726266357379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5.8360953363274681E-2</v>
      </c>
      <c r="J222">
        <f>(Table3[[#This Row],[HomeMargin]]-Table3[[#This Row],[HomeForecast]])^2</f>
        <v>9.3535717210571168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1.434041153249034</v>
      </c>
      <c r="J223">
        <f>(Table3[[#This Row],[HomeMargin]]-Table3[[#This Row],[HomeForecast]])^2</f>
        <v>12.716062496721479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-5.3351643632522525E-2</v>
      </c>
      <c r="J224">
        <f>(Table3[[#This Row],[HomeMargin]]-Table3[[#This Row],[HomeForecast]])^2</f>
        <v>1.1095496851433369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1.0729914291892642</v>
      </c>
      <c r="J225">
        <f>(Table3[[#This Row],[HomeMargin]]-Table3[[#This Row],[HomeForecast]])^2</f>
        <v>16.589259182249201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-4.1618059112195072E-2</v>
      </c>
      <c r="J226">
        <f>(Table3[[#This Row],[HomeMargin]]-Table3[[#This Row],[HomeForecast]])^2</f>
        <v>1.0849681810686562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1.0008637395582836</v>
      </c>
      <c r="J227">
        <f>(Table3[[#This Row],[HomeMargin]]-Table3[[#This Row],[HomeForecast]])^2</f>
        <v>9.0051831833957277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-8.9305320085012144E-2</v>
      </c>
      <c r="J228">
        <f>(Table3[[#This Row],[HomeMargin]]-Table3[[#This Row],[HomeForecast]])^2</f>
        <v>8.4721435196854138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-4.6315032424692495E-2</v>
      </c>
      <c r="J229">
        <f>(Table3[[#This Row],[HomeMargin]]-Table3[[#This Row],[HomeForecast]])^2</f>
        <v>1.0947751470778855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-0.52395917454702068</v>
      </c>
      <c r="J230">
        <f>(Table3[[#This Row],[HomeMargin]]-Table3[[#This Row],[HomeForecast]])^2</f>
        <v>2.1786965184039127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-0.34137040562147253</v>
      </c>
      <c r="J231">
        <f>(Table3[[#This Row],[HomeMargin]]-Table3[[#This Row],[HomeForecast]])^2</f>
        <v>5.4820153763200583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-0.48557390794708788</v>
      </c>
      <c r="J232">
        <f>(Table3[[#This Row],[HomeMargin]]-Table3[[#This Row],[HomeForecast]])^2</f>
        <v>6.3223385723964807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0.21078091233519974</v>
      </c>
      <c r="J233">
        <f>(Table3[[#This Row],[HomeMargin]]-Table3[[#This Row],[HomeForecast]])^2</f>
        <v>17.73067589168646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-7.3278239767315873E-2</v>
      </c>
      <c r="J234">
        <f>(Table3[[#This Row],[HomeMargin]]-Table3[[#This Row],[HomeForecast]])^2</f>
        <v>8.5657002618195008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-0.28238363022123736</v>
      </c>
      <c r="J235">
        <f>(Table3[[#This Row],[HomeMargin]]-Table3[[#This Row],[HomeForecast]])^2</f>
        <v>7.3854387332895008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-8.5265664725528767E-2</v>
      </c>
      <c r="J236">
        <f>(Table3[[#This Row],[HomeMargin]]-Table3[[#This Row],[HomeForecast]])^2</f>
        <v>1.1778015630321439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0.52244035575459846</v>
      </c>
      <c r="J237">
        <f>(Table3[[#This Row],[HomeMargin]]-Table3[[#This Row],[HomeForecast]])^2</f>
        <v>6.1383017907933999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-1.5617637640898834</v>
      </c>
      <c r="J238">
        <f>(Table3[[#This Row],[HomeMargin]]-Table3[[#This Row],[HomeForecast]])^2</f>
        <v>41.45088582938606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-6.5803209902127624E-2</v>
      </c>
      <c r="J239">
        <f>(Table3[[#This Row],[HomeMargin]]-Table3[[#This Row],[HomeForecast]])^2</f>
        <v>16.530755741650445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-3.4556180294484359E-2</v>
      </c>
      <c r="J240">
        <f>(Table3[[#This Row],[HomeMargin]]-Table3[[#This Row],[HomeForecast]])^2</f>
        <v>1.0703064901855135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-1.1464973316841256</v>
      </c>
      <c r="J241">
        <f>(Table3[[#This Row],[HomeMargin]]-Table3[[#This Row],[HomeForecast]])^2</f>
        <v>2.1461468190568711E-2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-0.1543663982047046</v>
      </c>
      <c r="J242">
        <f>(Table3[[#This Row],[HomeMargin]]-Table3[[#This Row],[HomeForecast]])^2</f>
        <v>23.480165002847649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0.314671869979331</v>
      </c>
      <c r="J243">
        <f>(Table3[[#This Row],[HomeMargin]]-Table3[[#This Row],[HomeForecast]])^2</f>
        <v>1.7283621257149508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-0.35126997135120663</v>
      </c>
      <c r="J244">
        <f>(Table3[[#This Row],[HomeMargin]]-Table3[[#This Row],[HomeForecast]])^2</f>
        <v>5.5284704781779048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-0.48977672935086369</v>
      </c>
      <c r="J245">
        <f>(Table3[[#This Row],[HomeMargin]]-Table3[[#This Row],[HomeForecast]])^2</f>
        <v>0.26032778591190181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0.39797662873995537</v>
      </c>
      <c r="J246">
        <f>(Table3[[#This Row],[HomeMargin]]-Table3[[#This Row],[HomeForecast]])^2</f>
        <v>0.36243213954330961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0.12281114310698472</v>
      </c>
      <c r="J247">
        <f>(Table3[[#This Row],[HomeMargin]]-Table3[[#This Row],[HomeForecast]])^2</f>
        <v>4.5063271492991843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-0.2364199256131263</v>
      </c>
      <c r="J248">
        <f>(Table3[[#This Row],[HomeMargin]]-Table3[[#This Row],[HomeForecast]])^2</f>
        <v>1.5287342324531688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0.28781580191057621</v>
      </c>
      <c r="J249">
        <f>(Table3[[#This Row],[HomeMargin]]-Table3[[#This Row],[HomeForecast]])^2</f>
        <v>1.6584695396505806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0.13109770207881316</v>
      </c>
      <c r="J250">
        <f>(Table3[[#This Row],[HomeMargin]]-Table3[[#This Row],[HomeForecast]])^2</f>
        <v>8.2306003950174649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1.3449793326087962</v>
      </c>
      <c r="J251">
        <f>(Table3[[#This Row],[HomeMargin]]-Table3[[#This Row],[HomeForecast]])^2</f>
        <v>0.11901073992721044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0.4444886322357291</v>
      </c>
      <c r="J252">
        <f>(Table3[[#This Row],[HomeMargin]]-Table3[[#This Row],[HomeForecast]])^2</f>
        <v>19.753479202072626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1.0433836544003858</v>
      </c>
      <c r="J253">
        <f>(Table3[[#This Row],[HomeMargin]]-Table3[[#This Row],[HomeForecast]])^2</f>
        <v>0.91511483266836047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-4.7951025086724136E-2</v>
      </c>
      <c r="J254">
        <f>(Table3[[#This Row],[HomeMargin]]-Table3[[#This Row],[HomeForecast]])^2</f>
        <v>4.1941034011537637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6.3353307611033263E-2</v>
      </c>
      <c r="J255">
        <f>(Table3[[#This Row],[HomeMargin]]-Table3[[#This Row],[HomeForecast]])^2</f>
        <v>1.1307202568073249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-0.47860241747287702</v>
      </c>
      <c r="J256">
        <f>(Table3[[#This Row],[HomeMargin]]-Table3[[#This Row],[HomeForecast]])^2</f>
        <v>0.27185543906512805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-2.2049113024376084</v>
      </c>
      <c r="J257">
        <f>(Table3[[#This Row],[HomeMargin]]-Table3[[#This Row],[HomeForecast]])^2</f>
        <v>1.4518112467418938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0.40672761273459868</v>
      </c>
      <c r="J258">
        <f>(Table3[[#This Row],[HomeMargin]]-Table3[[#This Row],[HomeForecast]])^2</f>
        <v>0.35197212549158835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-0.29655164650174326</v>
      </c>
      <c r="J259">
        <f>(Table3[[#This Row],[HomeMargin]]-Table3[[#This Row],[HomeForecast]])^2</f>
        <v>0.49483958603940836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0.43712916877793168</v>
      </c>
      <c r="J260">
        <f>(Table3[[#This Row],[HomeMargin]]-Table3[[#This Row],[HomeForecast]])^2</f>
        <v>6.5683068975288954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7.7997280787061862E-2</v>
      </c>
      <c r="J261">
        <f>(Table3[[#This Row],[HomeMargin]]-Table3[[#This Row],[HomeForecast]])^2</f>
        <v>1.1620781373842997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2.7012690046314555E-2</v>
      </c>
      <c r="J262">
        <f>(Table3[[#This Row],[HomeMargin]]-Table3[[#This Row],[HomeForecast]])^2</f>
        <v>3.8926789252382799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0.16139063169482865</v>
      </c>
      <c r="J263">
        <f>(Table3[[#This Row],[HomeMargin]]-Table3[[#This Row],[HomeForecast]])^2</f>
        <v>9.9943907261678291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1.8871771272966287</v>
      </c>
      <c r="J264">
        <f>(Table3[[#This Row],[HomeMargin]]-Table3[[#This Row],[HomeForecast]])^2</f>
        <v>1.2383747460117838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0.94460897188237358</v>
      </c>
      <c r="J265">
        <f>(Table3[[#This Row],[HomeMargin]]-Table3[[#This Row],[HomeForecast]])^2</f>
        <v>3.7815040535254218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7.5112159741241399E-2</v>
      </c>
      <c r="J266">
        <f>(Table3[[#This Row],[HomeMargin]]-Table3[[#This Row],[HomeForecast]])^2</f>
        <v>16.606539114470927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-0.78738619396313647</v>
      </c>
      <c r="J267">
        <f>(Table3[[#This Row],[HomeMargin]]-Table3[[#This Row],[HomeForecast]])^2</f>
        <v>4.5204630517481026E-2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-0.11297751036935988</v>
      </c>
      <c r="J268">
        <f>(Table3[[#This Row],[HomeMargin]]-Table3[[#This Row],[HomeForecast]])^2</f>
        <v>0.78680889711053903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-0.51875427307902233</v>
      </c>
      <c r="J269">
        <f>(Table3[[#This Row],[HomeMargin]]-Table3[[#This Row],[HomeForecast]])^2</f>
        <v>2.3066145419957897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-0.33646030621546597</v>
      </c>
      <c r="J270">
        <f>(Table3[[#This Row],[HomeMargin]]-Table3[[#This Row],[HomeForecast]])^2</f>
        <v>2.7673643127967411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-0.30066970712935664</v>
      </c>
      <c r="J271">
        <f>(Table3[[#This Row],[HomeMargin]]-Table3[[#This Row],[HomeForecast]])^2</f>
        <v>0.48906285852653975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0.20273605236773287</v>
      </c>
      <c r="J272">
        <f>(Table3[[#This Row],[HomeMargin]]-Table3[[#This Row],[HomeForecast]])^2</f>
        <v>1.4465740116651178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0.78154179951217284</v>
      </c>
      <c r="J273">
        <f>(Table3[[#This Row],[HomeMargin]]-Table3[[#This Row],[HomeForecast]])^2</f>
        <v>22.863141980482109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0.17215329704728266</v>
      </c>
      <c r="J274">
        <f>(Table3[[#This Row],[HomeMargin]]-Table3[[#This Row],[HomeForecast]])^2</f>
        <v>7.9967169754005543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-0.2569037795812994</v>
      </c>
      <c r="J275">
        <f>(Table3[[#This Row],[HomeMargin]]-Table3[[#This Row],[HomeForecast]])^2</f>
        <v>1.5798071111257557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-2.3862765941362468E-2</v>
      </c>
      <c r="J276">
        <f>(Table3[[#This Row],[HomeMargin]]-Table3[[#This Row],[HomeForecast]])^2</f>
        <v>4.0960204953638231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1.7979018536620401</v>
      </c>
      <c r="J277">
        <f>(Table3[[#This Row],[HomeMargin]]-Table3[[#This Row],[HomeForecast]])^2</f>
        <v>1.4450399534291591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-6.5184128451750501E-3</v>
      </c>
      <c r="J278">
        <f>(Table3[[#This Row],[HomeMargin]]-Table3[[#This Row],[HomeForecast]])^2</f>
        <v>9.0391529667770705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-0.16559455999419437</v>
      </c>
      <c r="J279">
        <f>(Table3[[#This Row],[HomeMargin]]-Table3[[#This Row],[HomeForecast]])^2</f>
        <v>10.020988918264839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-0.80523837877853999</v>
      </c>
      <c r="J280">
        <f>(Table3[[#This Row],[HomeMargin]]-Table3[[#This Row],[HomeForecast]])^2</f>
        <v>38.375071543758331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0.20317547678582182</v>
      </c>
      <c r="J281">
        <f>(Table3[[#This Row],[HomeMargin]]-Table3[[#This Row],[HomeForecast]])^2</f>
        <v>3.2285783672238586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-0.21301789097169951</v>
      </c>
      <c r="J282">
        <f>(Table3[[#This Row],[HomeMargin]]-Table3[[#This Row],[HomeForecast]])^2</f>
        <v>4.8974481857608279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1.2600010877807807E-2</v>
      </c>
      <c r="J283">
        <f>(Table3[[#This Row],[HomeMargin]]-Table3[[#This Row],[HomeForecast]])^2</f>
        <v>1.0253587820297363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-8.2223397929188646E-3</v>
      </c>
      <c r="J284">
        <f>(Table3[[#This Row],[HomeMargin]]-Table3[[#This Row],[HomeForecast]])^2</f>
        <v>0.98362292728583245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1.0792736376834662</v>
      </c>
      <c r="J285">
        <f>(Table3[[#This Row],[HomeMargin]]-Table3[[#This Row],[HomeForecast]])^2</f>
        <v>6.2843096315694695E-3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-0.25458818419872775</v>
      </c>
      <c r="J286">
        <f>(Table3[[#This Row],[HomeMargin]]-Table3[[#This Row],[HomeForecast]])^2</f>
        <v>1.573991511931061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-1.1373059882459056</v>
      </c>
      <c r="J287">
        <f>(Table3[[#This Row],[HomeMargin]]-Table3[[#This Row],[HomeForecast]])^2</f>
        <v>1.8852934408184755E-2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-3.4609571021623875E-2</v>
      </c>
      <c r="J288">
        <f>(Table3[[#This Row],[HomeMargin]]-Table3[[#This Row],[HomeForecast]])^2</f>
        <v>0.93197868036305309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0.43612609933574109</v>
      </c>
      <c r="J289">
        <f>(Table3[[#This Row],[HomeMargin]]-Table3[[#This Row],[HomeForecast]])^2</f>
        <v>2.0624581731932912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-0.14807407644999432</v>
      </c>
      <c r="J290">
        <f>(Table3[[#This Row],[HomeMargin]]-Table3[[#This Row],[HomeForecast]])^2</f>
        <v>0.72577777921653008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-0.18404034724354087</v>
      </c>
      <c r="J291">
        <f>(Table3[[#This Row],[HomeMargin]]-Table3[[#This Row],[HomeForecast]])^2</f>
        <v>0.66579015492644134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-0.35938450726726523</v>
      </c>
      <c r="J292">
        <f>(Table3[[#This Row],[HomeMargin]]-Table3[[#This Row],[HomeForecast]])^2</f>
        <v>1.8479262385982655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0.69745007371375434</v>
      </c>
      <c r="J293">
        <f>(Table3[[#This Row],[HomeMargin]]-Table3[[#This Row],[HomeForecast]])^2</f>
        <v>10.906836015613289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-9.5793686479763551E-2</v>
      </c>
      <c r="J294">
        <f>(Table3[[#This Row],[HomeMargin]]-Table3[[#This Row],[HomeForecast]])^2</f>
        <v>0.81758905740985621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-0.4886592721575001</v>
      </c>
      <c r="J295">
        <f>(Table3[[#This Row],[HomeMargin]]-Table3[[#This Row],[HomeForecast]])^2</f>
        <v>2.2841507956354974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0.72824560507803171</v>
      </c>
      <c r="J296">
        <f>(Table3[[#This Row],[HomeMargin]]-Table3[[#This Row],[HomeForecast]])^2</f>
        <v>1.6173592410033417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0.1853232919704183</v>
      </c>
      <c r="J297">
        <f>(Table3[[#This Row],[HomeMargin]]-Table3[[#This Row],[HomeForecast]])^2</f>
        <v>1.4049913064875899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9.2964344556644887E-2</v>
      </c>
      <c r="J298">
        <f>(Table3[[#This Row],[HomeMargin]]-Table3[[#This Row],[HomeForecast]])^2</f>
        <v>1.1945710584721363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-5.2840309669521107E-2</v>
      </c>
      <c r="J299">
        <f>(Table3[[#This Row],[HomeMargin]]-Table3[[#This Row],[HomeForecast]])^2</f>
        <v>9.3198339563430963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-1.0467962077353028</v>
      </c>
      <c r="J300">
        <f>(Table3[[#This Row],[HomeMargin]]-Table3[[#This Row],[HomeForecast]])^2</f>
        <v>3.8150050541171945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0.60066233564590588</v>
      </c>
      <c r="J301">
        <f>(Table3[[#This Row],[HomeMargin]]-Table3[[#This Row],[HomeForecast]])^2</f>
        <v>2.5621199127554068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1.5911389855931337</v>
      </c>
      <c r="J302">
        <f>(Table3[[#This Row],[HomeMargin]]-Table3[[#This Row],[HomeForecast]])^2</f>
        <v>1.9848893579155442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0.51534171974410514</v>
      </c>
      <c r="J303">
        <f>(Table3[[#This Row],[HomeMargin]]-Table3[[#This Row],[HomeForecast]])^2</f>
        <v>0.23489364862060153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0.22310207292061512</v>
      </c>
      <c r="J304">
        <f>(Table3[[#This Row],[HomeMargin]]-Table3[[#This Row],[HomeForecast]])^2</f>
        <v>1.495978680782706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0.40441201735202703</v>
      </c>
      <c r="J305">
        <f>(Table3[[#This Row],[HomeMargin]]-Table3[[#This Row],[HomeForecast]])^2</f>
        <v>12.928252940962519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1.3158596347285929</v>
      </c>
      <c r="J306">
        <f>(Table3[[#This Row],[HomeMargin]]-Table3[[#This Row],[HomeForecast]])^2</f>
        <v>28.258363656136808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-0.11160473752857192</v>
      </c>
      <c r="J307">
        <f>(Table3[[#This Row],[HomeMargin]]-Table3[[#This Row],[HomeForecast]])^2</f>
        <v>1.2356650924959651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-0.52650164400321209</v>
      </c>
      <c r="J308">
        <f>(Table3[[#This Row],[HomeMargin]]-Table3[[#This Row],[HomeForecast]])^2</f>
        <v>2.1711974051252363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-1.1402339842207759E-2</v>
      </c>
      <c r="J309">
        <f>(Table3[[#This Row],[HomeMargin]]-Table3[[#This Row],[HomeForecast]])^2</f>
        <v>16.091348732091543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-0.12711577715429781</v>
      </c>
      <c r="J310">
        <f>(Table3[[#This Row],[HomeMargin]]-Table3[[#This Row],[HomeForecast]])^2</f>
        <v>1.2703899751101368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0.752288445994443</v>
      </c>
      <c r="J311">
        <f>(Table3[[#This Row],[HomeMargin]]-Table3[[#This Row],[HomeForecast]])^2</f>
        <v>5.0522072300100751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0.47963562980915547</v>
      </c>
      <c r="J312">
        <f>(Table3[[#This Row],[HomeMargin]]-Table3[[#This Row],[HomeForecast]])^2</f>
        <v>0.27077907776411425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-6.0957079181900464E-2</v>
      </c>
      <c r="J313">
        <f>(Table3[[#This Row],[HomeMargin]]-Table3[[#This Row],[HomeForecast]])^2</f>
        <v>9.3694582405937901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0.70482559785478849</v>
      </c>
      <c r="J314">
        <f>(Table3[[#This Row],[HomeMargin]]-Table3[[#This Row],[HomeForecast]])^2</f>
        <v>2.9064303191009366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0.33759718020533763</v>
      </c>
      <c r="J315">
        <f>(Table3[[#This Row],[HomeMargin]]-Table3[[#This Row],[HomeForecast]])^2</f>
        <v>2.7635831352612445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-0.32796810433291385</v>
      </c>
      <c r="J316">
        <f>(Table3[[#This Row],[HomeMargin]]-Table3[[#This Row],[HomeForecast]])^2</f>
        <v>1.763499286125553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0.92372704780921155</v>
      </c>
      <c r="J317">
        <f>(Table3[[#This Row],[HomeMargin]]-Table3[[#This Row],[HomeForecast]])^2</f>
        <v>9.4634552763806283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0.96700553431768632</v>
      </c>
      <c r="J318">
        <f>(Table3[[#This Row],[HomeMargin]]-Table3[[#This Row],[HomeForecast]])^2</f>
        <v>1.088634765661375E-3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0.22105597498843538</v>
      </c>
      <c r="J319">
        <f>(Table3[[#This Row],[HomeMargin]]-Table3[[#This Row],[HomeForecast]])^2</f>
        <v>0.6067537941012171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0.17495229717898927</v>
      </c>
      <c r="J320">
        <f>(Table3[[#This Row],[HomeMargin]]-Table3[[#This Row],[HomeForecast]])^2</f>
        <v>7.9808945232142703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0.13952176434397401</v>
      </c>
      <c r="J321">
        <f>(Table3[[#This Row],[HomeMargin]]-Table3[[#This Row],[HomeForecast]])^2</f>
        <v>0.74042279403770739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0.47932523953359218</v>
      </c>
      <c r="J322">
        <f>(Table3[[#This Row],[HomeMargin]]-Table3[[#This Row],[HomeForecast]])^2</f>
        <v>20.064354601522673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0.19144189226549435</v>
      </c>
      <c r="J323">
        <f>(Table3[[#This Row],[HomeMargin]]-Table3[[#This Row],[HomeForecast]])^2</f>
        <v>0.65376621358320441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0.34964738421756214</v>
      </c>
      <c r="J324">
        <f>(Table3[[#This Row],[HomeMargin]]-Table3[[#This Row],[HomeForecast]])^2</f>
        <v>7.0243689879848104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1.1258204134801858E-2</v>
      </c>
      <c r="J325">
        <f>(Table3[[#This Row],[HomeMargin]]-Table3[[#This Row],[HomeForecast]])^2</f>
        <v>1.0226431554299447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-3.1979535453741825E-2</v>
      </c>
      <c r="J326">
        <f>(Table3[[#This Row],[HomeMargin]]-Table3[[#This Row],[HomeForecast]])^2</f>
        <v>0.93706361978035357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1.8204173003744879</v>
      </c>
      <c r="J327">
        <f>(Table3[[#This Row],[HomeMargin]]-Table3[[#This Row],[HomeForecast]])^2</f>
        <v>1.3914153452558111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-0.30255655454867009</v>
      </c>
      <c r="J328">
        <f>(Table3[[#This Row],[HomeMargin]]-Table3[[#This Row],[HomeForecast]])^2</f>
        <v>22.065974923213663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0.36015585907506181</v>
      </c>
      <c r="J329">
        <f>(Table3[[#This Row],[HomeMargin]]-Table3[[#This Row],[HomeForecast]])^2</f>
        <v>0.40940052467597221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-0.32961155349126436</v>
      </c>
      <c r="J330">
        <f>(Table3[[#This Row],[HomeMargin]]-Table3[[#This Row],[HomeForecast]])^2</f>
        <v>13.47175134826481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1.2871298213992048</v>
      </c>
      <c r="J331">
        <f>(Table3[[#This Row],[HomeMargin]]-Table3[[#This Row],[HomeForecast]])^2</f>
        <v>8.2443534336739274E-2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-0.18705273468954481</v>
      </c>
      <c r="J332">
        <f>(Table3[[#This Row],[HomeMargin]]-Table3[[#This Row],[HomeForecast]])^2</f>
        <v>1.4090941949339266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0.67271209638086782</v>
      </c>
      <c r="J333">
        <f>(Table3[[#This Row],[HomeMargin]]-Table3[[#This Row],[HomeForecast]])^2</f>
        <v>0.10711737185540636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0.2144274614441635</v>
      </c>
      <c r="J334">
        <f>(Table3[[#This Row],[HomeMargin]]-Table3[[#This Row],[HomeForecast]])^2</f>
        <v>1.4748340591097151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4.8524685347944657E-2</v>
      </c>
      <c r="J335">
        <f>(Table3[[#This Row],[HomeMargin]]-Table3[[#This Row],[HomeForecast]])^2</f>
        <v>9.2935027571757853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-1.3185979146992635</v>
      </c>
      <c r="J336">
        <f>(Table3[[#This Row],[HomeMargin]]-Table3[[#This Row],[HomeForecast]])^2</f>
        <v>0.46430880185219225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0.61519423529214223</v>
      </c>
      <c r="J337">
        <f>(Table3[[#This Row],[HomeMargin]]-Table3[[#This Row],[HomeForecast]])^2</f>
        <v>28.99613312363098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0.18512304880582656</v>
      </c>
      <c r="J338">
        <f>(Table3[[#This Row],[HomeMargin]]-Table3[[#This Row],[HomeForecast]])^2</f>
        <v>1.4045166408108178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-0.54437909642849625</v>
      </c>
      <c r="J339">
        <f>(Table3[[#This Row],[HomeMargin]]-Table3[[#This Row],[HomeForecast]])^2</f>
        <v>19.852557636343342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-0.51807758173805118</v>
      </c>
      <c r="J340">
        <f>(Table3[[#This Row],[HomeMargin]]-Table3[[#This Row],[HomeForecast]])^2</f>
        <v>0.23224921722344474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-0.13799196875727687</v>
      </c>
      <c r="J341">
        <f>(Table3[[#This Row],[HomeMargin]]-Table3[[#This Row],[HomeForecast]])^2</f>
        <v>1.2950257209560629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-1.1661779557273384</v>
      </c>
      <c r="J342">
        <f>(Table3[[#This Row],[HomeMargin]]-Table3[[#This Row],[HomeForecast]])^2</f>
        <v>4.6923269358790707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0.14970775325932811</v>
      </c>
      <c r="J343">
        <f>(Table3[[#This Row],[HomeMargin]]-Table3[[#This Row],[HomeForecast]])^2</f>
        <v>0.72299690486729973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0.10914090764671805</v>
      </c>
      <c r="J344">
        <f>(Table3[[#This Row],[HomeMargin]]-Table3[[#This Row],[HomeForecast]])^2</f>
        <v>9.6667571836022592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0.13742406544008323</v>
      </c>
      <c r="J345">
        <f>(Table3[[#This Row],[HomeMargin]]-Table3[[#This Row],[HomeForecast]])^2</f>
        <v>8.1943409811215808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-2.0328107194224705</v>
      </c>
      <c r="J346">
        <f>(Table3[[#This Row],[HomeMargin]]-Table3[[#This Row],[HomeForecast]])^2</f>
        <v>0.93545510446407909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1.2797542972581706</v>
      </c>
      <c r="J347">
        <f>(Table3[[#This Row],[HomeMargin]]-Table3[[#This Row],[HomeForecast]])^2</f>
        <v>5.1972796558670948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0.45375100379607664</v>
      </c>
      <c r="J348">
        <f>(Table3[[#This Row],[HomeMargin]]-Table3[[#This Row],[HomeForecast]])^2</f>
        <v>6.4833839506694861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0.45307018512339847</v>
      </c>
      <c r="J349">
        <f>(Table3[[#This Row],[HomeMargin]]-Table3[[#This Row],[HomeForecast]])^2</f>
        <v>2.1114129628945477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-0.20510516266954007</v>
      </c>
      <c r="J350">
        <f>(Table3[[#This Row],[HomeMargin]]-Table3[[#This Row],[HomeForecast]])^2</f>
        <v>0.63185780241461842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0.19466874375973037</v>
      </c>
      <c r="J351">
        <f>(Table3[[#This Row],[HomeMargin]]-Table3[[#This Row],[HomeForecast]])^2</f>
        <v>0.64855843227753096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-0.24815279558665604</v>
      </c>
      <c r="J352">
        <f>(Table3[[#This Row],[HomeMargin]]-Table3[[#This Row],[HomeForecast]])^2</f>
        <v>3.0689686276108485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-0.37261652260129918</v>
      </c>
      <c r="J353">
        <f>(Table3[[#This Row],[HomeMargin]]-Table3[[#This Row],[HomeForecast]])^2</f>
        <v>11.374542208523279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-2.1883603392242335</v>
      </c>
      <c r="J354">
        <f>(Table3[[#This Row],[HomeMargin]]-Table3[[#This Row],[HomeForecast]])^2</f>
        <v>1.4122002958411353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0.71506565133065736</v>
      </c>
      <c r="J355">
        <f>(Table3[[#This Row],[HomeMargin]]-Table3[[#This Row],[HomeForecast]])^2</f>
        <v>8.1187583051622519E-2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-7.6841602460367905E-2</v>
      </c>
      <c r="J356">
        <f>(Table3[[#This Row],[HomeMargin]]-Table3[[#This Row],[HomeForecast]])^2</f>
        <v>4.3132710417101485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-7.7508042395275423E-2</v>
      </c>
      <c r="J357">
        <f>(Table3[[#This Row],[HomeMargin]]-Table3[[#This Row],[HomeForecast]])^2</f>
        <v>8.5409592422642948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-0.6346075574268959</v>
      </c>
      <c r="J358">
        <f>(Table3[[#This Row],[HomeMargin]]-Table3[[#This Row],[HomeForecast]])^2</f>
        <v>5.595081407381957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5.6859488596654392E-2</v>
      </c>
      <c r="J359">
        <f>(Table3[[#This Row],[HomeMargin]]-Table3[[#This Row],[HomeForecast]])^2</f>
        <v>0.88951402425016435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8.0916824623576494E-2</v>
      </c>
      <c r="J360">
        <f>(Table3[[#This Row],[HomeMargin]]-Table3[[#This Row],[HomeForecast]])^2</f>
        <v>0.84471388326000962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-0.43036402982600591</v>
      </c>
      <c r="J361">
        <f>(Table3[[#This Row],[HomeMargin]]-Table3[[#This Row],[HomeForecast]])^2</f>
        <v>20.881572899908022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1.0504759824768164</v>
      </c>
      <c r="J362">
        <f>(Table3[[#This Row],[HomeMargin]]-Table3[[#This Row],[HomeForecast]])^2</f>
        <v>2.5478248069998755E-3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0.5448879605897845</v>
      </c>
      <c r="J363">
        <f>(Table3[[#This Row],[HomeMargin]]-Table3[[#This Row],[HomeForecast]])^2</f>
        <v>6.0275751260569868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4.8524685347944657E-2</v>
      </c>
      <c r="J364">
        <f>(Table3[[#This Row],[HomeMargin]]-Table3[[#This Row],[HomeForecast]])^2</f>
        <v>15.61415716230456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0.68146308037551118</v>
      </c>
      <c r="J365">
        <f>(Table3[[#This Row],[HomeMargin]]-Table3[[#This Row],[HomeForecast]])^2</f>
        <v>11.012687286910792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-0.67545037635153837</v>
      </c>
      <c r="J366">
        <f>(Table3[[#This Row],[HomeMargin]]-Table3[[#This Row],[HomeForecast]])^2</f>
        <v>18.701729447398055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0.54246992487092871</v>
      </c>
      <c r="J367">
        <f>(Table3[[#This Row],[HomeMargin]]-Table3[[#This Row],[HomeForecast]])^2</f>
        <v>2.3792134691313289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0.54495580246704611</v>
      </c>
      <c r="J368">
        <f>(Table3[[#This Row],[HomeMargin]]-Table3[[#This Row],[HomeForecast]])^2</f>
        <v>6.4768000365106859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-6.4603628290864218E-2</v>
      </c>
      <c r="J369">
        <f>(Table3[[#This Row],[HomeMargin]]-Table3[[#This Row],[HomeForecast]])^2</f>
        <v>0.87496637220661577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-1.0294288170056365</v>
      </c>
      <c r="J370">
        <f>(Table3[[#This Row],[HomeMargin]]-Table3[[#This Row],[HomeForecast]])^2</f>
        <v>8.6605527035123935E-4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2.1035404941009705</v>
      </c>
      <c r="J371">
        <f>(Table3[[#This Row],[HomeMargin]]-Table3[[#This Row],[HomeForecast]])^2</f>
        <v>15.182396681110909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0.28893901243396619</v>
      </c>
      <c r="J372">
        <f>(Table3[[#This Row],[HomeMargin]]-Table3[[#This Row],[HomeForecast]])^2</f>
        <v>10.817119827510114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-1.8683228144365183E-2</v>
      </c>
      <c r="J373">
        <f>(Table3[[#This Row],[HomeMargin]]-Table3[[#This Row],[HomeForecast]])^2</f>
        <v>3.9256161504364337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0.90829073417977779</v>
      </c>
      <c r="J374">
        <f>(Table3[[#This Row],[HomeMargin]]-Table3[[#This Row],[HomeForecast]])^2</f>
        <v>8.4105894372841772E-3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0.43555990604746908</v>
      </c>
      <c r="J375">
        <f>(Table3[[#This Row],[HomeMargin]]-Table3[[#This Row],[HomeForecast]])^2</f>
        <v>5.9319520559459562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1.9679318438297302E-2</v>
      </c>
      <c r="J376">
        <f>(Table3[[#This Row],[HomeMargin]]-Table3[[#This Row],[HomeForecast]])^2</f>
        <v>3.9216700018210067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-1.1951554994554969</v>
      </c>
      <c r="J377">
        <f>(Table3[[#This Row],[HomeMargin]]-Table3[[#This Row],[HomeForecast]])^2</f>
        <v>3.8085668967724459E-2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1.1634396757566678</v>
      </c>
      <c r="J378">
        <f>(Table3[[#This Row],[HomeMargin]]-Table3[[#This Row],[HomeForecast]])^2</f>
        <v>8.0460744730714371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0.21562704305542688</v>
      </c>
      <c r="J379">
        <f>(Table3[[#This Row],[HomeMargin]]-Table3[[#This Row],[HomeForecast]])^2</f>
        <v>1.4777491078076805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0.2241620894687284</v>
      </c>
      <c r="J380">
        <f>(Table3[[#This Row],[HomeMargin]]-Table3[[#This Row],[HomeForecast]])^2</f>
        <v>1.498572821292443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0.58142269977317151</v>
      </c>
      <c r="J381">
        <f>(Table3[[#This Row],[HomeMargin]]-Table3[[#This Row],[HomeForecast]])^2</f>
        <v>0.17520695626518051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2.9310632114797106E-2</v>
      </c>
      <c r="J382">
        <f>(Table3[[#This Row],[HomeMargin]]-Table3[[#This Row],[HomeForecast]])^2</f>
        <v>0.94223784892537477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-5.6457758112815559E-2</v>
      </c>
      <c r="J383">
        <f>(Table3[[#This Row],[HomeMargin]]-Table3[[#This Row],[HomeForecast]])^2</f>
        <v>15.5515254135486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0.239612611586136</v>
      </c>
      <c r="J384">
        <f>(Table3[[#This Row],[HomeMargin]]-Table3[[#This Row],[HomeForecast]])^2</f>
        <v>27.453540319492486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0.66790141489135046</v>
      </c>
      <c r="J385">
        <f>(Table3[[#This Row],[HomeMargin]]-Table3[[#This Row],[HomeForecast]])^2</f>
        <v>11.102880980883066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-0.11535692502408967</v>
      </c>
      <c r="J386">
        <f>(Table3[[#This Row],[HomeMargin]]-Table3[[#This Row],[HomeForecast]])^2</f>
        <v>0.78259337010283414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-8.0637703225113266E-2</v>
      </c>
      <c r="J387">
        <f>(Table3[[#This Row],[HomeMargin]]-Table3[[#This Row],[HomeForecast]])^2</f>
        <v>0.84522703273119482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0.814347085453062</v>
      </c>
      <c r="J388">
        <f>(Table3[[#This Row],[HomeMargin]]-Table3[[#This Row],[HomeForecast]])^2</f>
        <v>3.4467004679772664E-2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-0.77990812270283916</v>
      </c>
      <c r="J389">
        <f>(Table3[[#This Row],[HomeMargin]]-Table3[[#This Row],[HomeForecast]])^2</f>
        <v>4.9288079436408312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0.59986848702251794</v>
      </c>
      <c r="J390">
        <f>(Table3[[#This Row],[HomeMargin]]-Table3[[#This Row],[HomeForecast]])^2</f>
        <v>6.7593161498127579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-1.0840196056419473</v>
      </c>
      <c r="J391">
        <f>(Table3[[#This Row],[HomeMargin]]-Table3[[#This Row],[HomeForecast]])^2</f>
        <v>4.343137716700018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6.7536392435615544E-2</v>
      </c>
      <c r="J392">
        <f>(Table3[[#This Row],[HomeMargin]]-Table3[[#This Row],[HomeForecast]])^2</f>
        <v>1.1396339491744487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0.32610655806658684</v>
      </c>
      <c r="J393">
        <f>(Table3[[#This Row],[HomeMargin]]-Table3[[#This Row],[HomeForecast]])^2</f>
        <v>0.45413237108086252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-0.89754603484322415</v>
      </c>
      <c r="J394">
        <f>(Table3[[#This Row],[HomeMargin]]-Table3[[#This Row],[HomeForecast]])^2</f>
        <v>3.600680954349242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0.24201427428413189</v>
      </c>
      <c r="J395">
        <f>(Table3[[#This Row],[HomeMargin]]-Table3[[#This Row],[HomeForecast]])^2</f>
        <v>10.510656554662066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0.54194753550799735</v>
      </c>
      <c r="J396">
        <f>(Table3[[#This Row],[HomeMargin]]-Table3[[#This Row],[HomeForecast]])^2</f>
        <v>2.1259169892112024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9.1732398231149953E-2</v>
      </c>
      <c r="J397">
        <f>(Table3[[#This Row],[HomeMargin]]-Table3[[#This Row],[HomeForecast]])^2</f>
        <v>0.82495003642293829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1.8413755996701844</v>
      </c>
      <c r="J398">
        <f>(Table3[[#This Row],[HomeMargin]]-Table3[[#This Row],[HomeForecast]])^2</f>
        <v>9.9769081023588875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0.58807120933278123</v>
      </c>
      <c r="J399">
        <f>(Table3[[#This Row],[HomeMargin]]-Table3[[#This Row],[HomeForecast]])^2</f>
        <v>0.16968532858055735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0.63897033144344317</v>
      </c>
      <c r="J400">
        <f>(Table3[[#This Row],[HomeMargin]]-Table3[[#This Row],[HomeForecast]])^2</f>
        <v>2.6862237473518298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-0.30392717064277736</v>
      </c>
      <c r="J401">
        <f>(Table3[[#This Row],[HomeMargin]]-Table3[[#This Row],[HomeForecast]])^2</f>
        <v>2.8766630424838149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-0.16435972320032807</v>
      </c>
      <c r="J402">
        <f>(Table3[[#This Row],[HomeMargin]]-Table3[[#This Row],[HomeForecast]])^2</f>
        <v>8.0408557794085187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-0.63171796635887367</v>
      </c>
      <c r="J403">
        <f>(Table3[[#This Row],[HomeMargin]]-Table3[[#This Row],[HomeForecast]])^2</f>
        <v>5.6087597908673477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0.1256652133098751</v>
      </c>
      <c r="J404">
        <f>(Table3[[#This Row],[HomeMargin]]-Table3[[#This Row],[HomeForecast]])^2</f>
        <v>26.272443878934968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-0.44479320652730892</v>
      </c>
      <c r="J405">
        <f>(Table3[[#This Row],[HomeMargin]]-Table3[[#This Row],[HomeForecast]])^2</f>
        <v>12.639495344354374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-1.020408976506598</v>
      </c>
      <c r="J406">
        <f>(Table3[[#This Row],[HomeMargin]]-Table3[[#This Row],[HomeForecast]])^2</f>
        <v>4.0820524323484388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0.50417916871491808</v>
      </c>
      <c r="J407">
        <f>(Table3[[#This Row],[HomeMargin]]-Table3[[#This Row],[HomeForecast]])^2</f>
        <v>0.24583829673622967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0.92685367871154101</v>
      </c>
      <c r="J408">
        <f>(Table3[[#This Row],[HomeMargin]]-Table3[[#This Row],[HomeForecast]])^2</f>
        <v>5.3503843180344691E-3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-0.37609512850425447</v>
      </c>
      <c r="J409">
        <f>(Table3[[#This Row],[HomeMargin]]-Table3[[#This Row],[HomeForecast]])^2</f>
        <v>5.6458280597016506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0.93721002711643575</v>
      </c>
      <c r="J410">
        <f>(Table3[[#This Row],[HomeMargin]]-Table3[[#This Row],[HomeForecast]])^2</f>
        <v>16.506262363763234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-7.9374939414213641E-2</v>
      </c>
      <c r="J411">
        <f>(Table3[[#This Row],[HomeMargin]]-Table3[[#This Row],[HomeForecast]])^2</f>
        <v>8.5300507445217288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0.22037297571340167</v>
      </c>
      <c r="J412">
        <f>(Table3[[#This Row],[HomeMargin]]-Table3[[#This Row],[HomeForecast]])^2</f>
        <v>14.285580442717565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0.15571266130625494</v>
      </c>
      <c r="J413">
        <f>(Table3[[#This Row],[HomeMargin]]-Table3[[#This Row],[HomeForecast]])^2</f>
        <v>4.6470970781160963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0.34428290692494262</v>
      </c>
      <c r="J414">
        <f>(Table3[[#This Row],[HomeMargin]]-Table3[[#This Row],[HomeForecast]])^2</f>
        <v>18.872793975400231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-0.32796810433291385</v>
      </c>
      <c r="J415">
        <f>(Table3[[#This Row],[HomeMargin]]-Table3[[#This Row],[HomeForecast]])^2</f>
        <v>11.075371703457208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-0.83389232240137634</v>
      </c>
      <c r="J416">
        <f>(Table3[[#This Row],[HomeMargin]]-Table3[[#This Row],[HomeForecast]])^2</f>
        <v>4.6920224709517031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2.3547351355909076</v>
      </c>
      <c r="J417">
        <f>(Table3[[#This Row],[HomeMargin]]-Table3[[#This Row],[HomeForecast]])^2</f>
        <v>0.12583701642269962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5.8091434922149326E-2</v>
      </c>
      <c r="J418">
        <f>(Table3[[#This Row],[HomeMargin]]-Table3[[#This Row],[HomeForecast]])^2</f>
        <v>0.88719174496701569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-0.40283224187128652</v>
      </c>
      <c r="J419">
        <f>(Table3[[#This Row],[HomeMargin]]-Table3[[#This Row],[HomeForecast]])^2</f>
        <v>0.35660933134847367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0.30144105893715323</v>
      </c>
      <c r="J420">
        <f>(Table3[[#This Row],[HomeMargin]]-Table3[[#This Row],[HomeForecast]])^2</f>
        <v>10.899513065636073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-0.32981179665585614</v>
      </c>
      <c r="J421">
        <f>(Table3[[#This Row],[HomeMargin]]-Table3[[#This Row],[HomeForecast]])^2</f>
        <v>2.789528634589939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5.7059731761246152E-2</v>
      </c>
      <c r="J422">
        <f>(Table3[[#This Row],[HomeMargin]]-Table3[[#This Row],[HomeForecast]])^2</f>
        <v>9.345614203556142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9.4592540619862442E-2</v>
      </c>
      <c r="J423">
        <f>(Table3[[#This Row],[HomeMargin]]-Table3[[#This Row],[HomeForecast]])^2</f>
        <v>15.252207423782023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-0.40243965157751938</v>
      </c>
      <c r="J424">
        <f>(Table3[[#This Row],[HomeMargin]]-Table3[[#This Row],[HomeForecast]])^2</f>
        <v>1.9668369763168736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-0.78428007948284351</v>
      </c>
      <c r="J425">
        <f>(Table3[[#This Row],[HomeMargin]]-Table3[[#This Row],[HomeForecast]])^2</f>
        <v>3.1836554020393022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0.73882284699148038</v>
      </c>
      <c r="J426">
        <f>(Table3[[#This Row],[HomeMargin]]-Table3[[#This Row],[HomeForecast]])^2</f>
        <v>6.8213505253635676E-2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-0.11160473752857192</v>
      </c>
      <c r="J427">
        <f>(Table3[[#This Row],[HomeMargin]]-Table3[[#This Row],[HomeForecast]])^2</f>
        <v>47.449989292038808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0.17689922970525745</v>
      </c>
      <c r="J428">
        <f>(Table3[[#This Row],[HomeMargin]]-Table3[[#This Row],[HomeForecast]])^2</f>
        <v>0.67749487805979858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-0.92646532777988211</v>
      </c>
      <c r="J429">
        <f>(Table3[[#This Row],[HomeMargin]]-Table3[[#This Row],[HomeForecast]])^2</f>
        <v>4.2995460368989908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0.28905030878659027</v>
      </c>
      <c r="J430">
        <f>(Table3[[#This Row],[HomeMargin]]-Table3[[#This Row],[HomeForecast]])^2</f>
        <v>7.3492482282900822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-0.59177644792205064</v>
      </c>
      <c r="J431">
        <f>(Table3[[#This Row],[HomeMargin]]-Table3[[#This Row],[HomeForecast]])^2</f>
        <v>29.248881989250631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0.91910630778735125</v>
      </c>
      <c r="J432">
        <f>(Table3[[#This Row],[HomeMargin]]-Table3[[#This Row],[HomeForecast]])^2</f>
        <v>4.3301185582903896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0.6284262506261763</v>
      </c>
      <c r="J433">
        <f>(Table3[[#This Row],[HomeMargin]]-Table3[[#This Row],[HomeForecast]])^2</f>
        <v>21.42232955748548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1.160798939711799E-4</v>
      </c>
      <c r="J434">
        <f>(Table3[[#This Row],[HomeMargin]]-Table3[[#This Row],[HomeForecast]])^2</f>
        <v>0.99976785368659937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-0.89355982124708644</v>
      </c>
      <c r="J435">
        <f>(Table3[[#This Row],[HomeMargin]]-Table3[[#This Row],[HomeForecast]])^2</f>
        <v>15.159808081629645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0.59461703968060819</v>
      </c>
      <c r="J436">
        <f>(Table3[[#This Row],[HomeMargin]]-Table3[[#This Row],[HomeForecast]])^2</f>
        <v>19.407399027072444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0.58018786297930514</v>
      </c>
      <c r="J437">
        <f>(Table3[[#This Row],[HomeMargin]]-Table3[[#This Row],[HomeForecast]])^2</f>
        <v>2.4969936823071031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0.57152024611940633</v>
      </c>
      <c r="J438">
        <f>(Table3[[#This Row],[HomeMargin]]-Table3[[#This Row],[HomeForecast]])^2</f>
        <v>2.4696758839631991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-1.4413151524398344</v>
      </c>
      <c r="J439">
        <f>(Table3[[#This Row],[HomeMargin]]-Table3[[#This Row],[HomeForecast]])^2</f>
        <v>19.725280283291671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7.1805802096356605E-2</v>
      </c>
      <c r="J440">
        <f>(Table3[[#This Row],[HomeMargin]]-Table3[[#This Row],[HomeForecast]])^2</f>
        <v>4.2923792816001285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0.81425895093807754</v>
      </c>
      <c r="J441">
        <f>(Table3[[#This Row],[HomeMargin]]-Table3[[#This Row],[HomeForecast]])^2</f>
        <v>3.2915355410589338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-0.37541308111770866</v>
      </c>
      <c r="J442">
        <f>(Table3[[#This Row],[HomeMargin]]-Table3[[#This Row],[HomeForecast]])^2</f>
        <v>1.8917611437097084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1.2172271063626254</v>
      </c>
      <c r="J443">
        <f>(Table3[[#This Row],[HomeMargin]]-Table3[[#This Row],[HomeForecast]])^2</f>
        <v>3.1782791902881775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-0.2134173901321747</v>
      </c>
      <c r="J444">
        <f>(Table3[[#This Row],[HomeMargin]]-Table3[[#This Row],[HomeForecast]])^2</f>
        <v>7.7650426416177805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-0.57916274582285099</v>
      </c>
      <c r="J445">
        <f>(Table3[[#This Row],[HomeMargin]]-Table3[[#This Row],[HomeForecast]])^2</f>
        <v>5.8604530112119591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-7.0549142560102363E-2</v>
      </c>
      <c r="J446">
        <f>(Table3[[#This Row],[HomeMargin]]-Table3[[#This Row],[HomeForecast]])^2</f>
        <v>9.428272036876578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8.5727490184223099E-2</v>
      </c>
      <c r="J447">
        <f>(Table3[[#This Row],[HomeMargin]]-Table3[[#This Row],[HomeForecast]])^2</f>
        <v>8.4929842614679458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0.9071730546683282</v>
      </c>
      <c r="J448">
        <f>(Table3[[#This Row],[HomeMargin]]-Table3[[#This Row],[HomeForecast]])^2</f>
        <v>4.3799246231062963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-0.42674278685092593</v>
      </c>
      <c r="J449">
        <f>(Table3[[#This Row],[HomeMargin]]-Table3[[#This Row],[HomeForecast]])^2</f>
        <v>5.8890805535329971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0.30668723213225907</v>
      </c>
      <c r="J450">
        <f>(Table3[[#This Row],[HomeMargin]]-Table3[[#This Row],[HomeForecast]])^2</f>
        <v>13.640559201294876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0.44095660380466711</v>
      </c>
      <c r="J451">
        <f>(Table3[[#This Row],[HomeMargin]]-Table3[[#This Row],[HomeForecast]])^2</f>
        <v>0.312529518829612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0.57152024611940633</v>
      </c>
      <c r="J452">
        <f>(Table3[[#This Row],[HomeMargin]]-Table3[[#This Row],[HomeForecast]])^2</f>
        <v>29.468392438291513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-1.6705934672211886</v>
      </c>
      <c r="J453">
        <f>(Table3[[#This Row],[HomeMargin]]-Table3[[#This Row],[HomeForecast]])^2</f>
        <v>0.44969559827973538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1.0473698679965233</v>
      </c>
      <c r="J454">
        <f>(Table3[[#This Row],[HomeMargin]]-Table3[[#This Row],[HomeForecast]])^2</f>
        <v>4.191723376380101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-0.18777334705203835</v>
      </c>
      <c r="J455">
        <f>(Table3[[#This Row],[HomeMargin]]-Table3[[#This Row],[HomeForecast]])^2</f>
        <v>0.65971213575904841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0.55226348473081865</v>
      </c>
      <c r="J456">
        <f>(Table3[[#This Row],[HomeMargin]]-Table3[[#This Row],[HomeForecast]])^2</f>
        <v>6.5140488954903013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1.2399767713216048E-2</v>
      </c>
      <c r="J457">
        <f>(Table3[[#This Row],[HomeMargin]]-Table3[[#This Row],[HomeForecast]])^2</f>
        <v>1.0249532896657736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-1.0459797802190116</v>
      </c>
      <c r="J458">
        <f>(Table3[[#This Row],[HomeMargin]]-Table3[[#This Row],[HomeForecast]])^2</f>
        <v>9.2779928215030587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0.52591896165755381</v>
      </c>
      <c r="J459">
        <f>(Table3[[#This Row],[HomeMargin]]-Table3[[#This Row],[HomeForecast]])^2</f>
        <v>29.965563214340317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0.82807899619352887</v>
      </c>
      <c r="J460">
        <f>(Table3[[#This Row],[HomeMargin]]-Table3[[#This Row],[HomeForecast]])^2</f>
        <v>14.654188801098057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0.96682106406204738</v>
      </c>
      <c r="J461">
        <f>(Table3[[#This Row],[HomeMargin]]-Table3[[#This Row],[HomeForecast]])^2</f>
        <v>1.1008417899747642E-3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-1.1307704003331087E-2</v>
      </c>
      <c r="J462">
        <f>(Table3[[#This Row],[HomeMargin]]-Table3[[#This Row],[HomeForecast]])^2</f>
        <v>9.0679740881898141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1.0295176831811199</v>
      </c>
      <c r="J463">
        <f>(Table3[[#This Row],[HomeMargin]]-Table3[[#This Row],[HomeForecast]])^2</f>
        <v>4.1189420263448611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-7.123214183513607E-2</v>
      </c>
      <c r="J464">
        <f>(Table3[[#This Row],[HomeMargin]]-Table3[[#This Row],[HomeForecast]])^2</f>
        <v>0.86260973436014887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-1.4339396282988002</v>
      </c>
      <c r="J465">
        <f>(Table3[[#This Row],[HomeMargin]]-Table3[[#This Row],[HomeForecast]])^2</f>
        <v>0.18830360100810087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0.68146308037551118</v>
      </c>
      <c r="J466">
        <f>(Table3[[#This Row],[HomeMargin]]-Table3[[#This Row],[HomeForecast]])^2</f>
        <v>1.7385396084128359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-0.3295014063802929</v>
      </c>
      <c r="J467">
        <f>(Table3[[#This Row],[HomeMargin]]-Table3[[#This Row],[HomeForecast]])^2</f>
        <v>11.085579615088349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-0.92253736497524508</v>
      </c>
      <c r="J468">
        <f>(Table3[[#This Row],[HomeMargin]]-Table3[[#This Row],[HomeForecast]])^2</f>
        <v>4.3158509999239989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-0.71518841451800375</v>
      </c>
      <c r="J469">
        <f>(Table3[[#This Row],[HomeMargin]]-Table3[[#This Row],[HomeForecast]])^2</f>
        <v>7.3722481263327913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0.21582728622001862</v>
      </c>
      <c r="J470">
        <f>(Table3[[#This Row],[HomeMargin]]-Table3[[#This Row],[HomeForecast]])^2</f>
        <v>4.9098905623571731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-0.31121576229580478</v>
      </c>
      <c r="J471">
        <f>(Table3[[#This Row],[HomeMargin]]-Table3[[#This Row],[HomeForecast]])^2</f>
        <v>13.60712915233492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0.76794179549369013</v>
      </c>
      <c r="J472">
        <f>(Table3[[#This Row],[HomeMargin]]-Table3[[#This Row],[HomeForecast]])^2</f>
        <v>4.9820838283039324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0.16122617299550707</v>
      </c>
      <c r="J473">
        <f>(Table3[[#This Row],[HomeMargin]]-Table3[[#This Row],[HomeForecast]])^2</f>
        <v>1.3484462248497915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-0.65267626565457015</v>
      </c>
      <c r="J474">
        <f>(Table3[[#This Row],[HomeMargin]]-Table3[[#This Row],[HomeForecast]])^2</f>
        <v>18.899223651203094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-2.0328107194224705</v>
      </c>
      <c r="J475">
        <f>(Table3[[#This Row],[HomeMargin]]-Table3[[#This Row],[HomeForecast]])^2</f>
        <v>9.1979408598438432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0.15804617294621817</v>
      </c>
      <c r="J476">
        <f>(Table3[[#This Row],[HomeMargin]]-Table3[[#This Row],[HomeForecast]])^2</f>
        <v>0.70888624689050961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0.21399105039339528</v>
      </c>
      <c r="J477">
        <f>(Table3[[#This Row],[HomeMargin]]-Table3[[#This Row],[HomeForecast]])^2</f>
        <v>1.4737742704352592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0.59468894922552074</v>
      </c>
      <c r="J478">
        <f>(Table3[[#This Row],[HomeMargin]]-Table3[[#This Row],[HomeForecast]])^2</f>
        <v>5.7855212509778289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0.1089545920728858</v>
      </c>
      <c r="J479">
        <f>(Table3[[#This Row],[HomeMargin]]-Table3[[#This Row],[HomeForecast]])^2</f>
        <v>1.2297802872795407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-0.76928247463405197</v>
      </c>
      <c r="J480">
        <f>(Table3[[#This Row],[HomeMargin]]-Table3[[#This Row],[HomeForecast]])^2</f>
        <v>4.9761006779747783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-0.90722569190714775</v>
      </c>
      <c r="J481">
        <f>(Table3[[#This Row],[HomeMargin]]-Table3[[#This Row],[HomeForecast]])^2</f>
        <v>8.6070722421074716E-3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-0.15879580332387971</v>
      </c>
      <c r="J482">
        <f>(Table3[[#This Row],[HomeMargin]]-Table3[[#This Row],[HomeForecast]])^2</f>
        <v>0.70762450050551695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-0.4428549554263953</v>
      </c>
      <c r="J483">
        <f>(Table3[[#This Row],[HomeMargin]]-Table3[[#This Row],[HomeForecast]])^2</f>
        <v>11.853250244104087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-0.31480496093571558</v>
      </c>
      <c r="J484">
        <f>(Table3[[#This Row],[HomeMargin]]-Table3[[#This Row],[HomeForecast]])^2</f>
        <v>1.7287120853011684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5.1610049558356852E-2</v>
      </c>
      <c r="J485">
        <f>(Table3[[#This Row],[HomeMargin]]-Table3[[#This Row],[HomeForecast]])^2</f>
        <v>1.1058836963321299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-0.1449679619697013</v>
      </c>
      <c r="J486">
        <f>(Table3[[#This Row],[HomeMargin]]-Table3[[#This Row],[HomeForecast]])^2</f>
        <v>8.1512079381794393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1.6773586061731143</v>
      </c>
      <c r="J487">
        <f>(Table3[[#This Row],[HomeMargin]]-Table3[[#This Row],[HomeForecast]])^2</f>
        <v>5.3946630443180981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0.33193177605192026</v>
      </c>
      <c r="J488">
        <f>(Table3[[#This Row],[HomeMargin]]-Table3[[#This Row],[HomeForecast]])^2</f>
        <v>7.1185880476414596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-0.19770621790360221</v>
      </c>
      <c r="J489">
        <f>(Table3[[#This Row],[HomeMargin]]-Table3[[#This Row],[HomeForecast]])^2</f>
        <v>10.225325056019358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-0.77390321465591227</v>
      </c>
      <c r="J490">
        <f>(Table3[[#This Row],[HomeMargin]]-Table3[[#This Row],[HomeForecast]])^2</f>
        <v>10.407700468407457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0.68825873027553441</v>
      </c>
      <c r="J491">
        <f>(Table3[[#This Row],[HomeMargin]]-Table3[[#This Row],[HomeForecast]])^2</f>
        <v>18.591112777045147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0.37095005828014471</v>
      </c>
      <c r="J492">
        <f>(Table3[[#This Row],[HomeMargin]]-Table3[[#This Row],[HomeForecast]])^2</f>
        <v>6.911903596057174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0.16542169708725227</v>
      </c>
      <c r="J493">
        <f>(Table3[[#This Row],[HomeMargin]]-Table3[[#This Row],[HomeForecast]])^2</f>
        <v>1.358207732041731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6.3153064446441504E-2</v>
      </c>
      <c r="J494">
        <f>(Table3[[#This Row],[HomeMargin]]-Table3[[#This Row],[HomeForecast]])^2</f>
        <v>4.2566005673347416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0.27456466214400227</v>
      </c>
      <c r="J495">
        <f>(Table3[[#This Row],[HomeMargin]]-Table3[[#This Row],[HomeForecast]])^2</f>
        <v>1.6245150779862547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-0.48192136535221797</v>
      </c>
      <c r="J496">
        <f>(Table3[[#This Row],[HomeMargin]]-Table3[[#This Row],[HomeForecast]])^2</f>
        <v>0.26840547167851003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8.3335978841810515E-2</v>
      </c>
      <c r="J497">
        <f>(Table3[[#This Row],[HomeMargin]]-Table3[[#This Row],[HomeForecast]])^2</f>
        <v>9.5069607584203872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-1.1566798541529311E-2</v>
      </c>
      <c r="J498">
        <f>(Table3[[#This Row],[HomeMargin]]-Table3[[#This Row],[HomeForecast]])^2</f>
        <v>0.97700019374544167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-0.38288527732047223</v>
      </c>
      <c r="J499">
        <f>(Table3[[#This Row],[HomeMargin]]-Table3[[#This Row],[HomeForecast]])^2</f>
        <v>1.9123716902297196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0.60554416373238384</v>
      </c>
      <c r="J500">
        <f>(Table3[[#This Row],[HomeMargin]]-Table3[[#This Row],[HomeForecast]])^2</f>
        <v>1.944507079300817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-0.29421813486178006</v>
      </c>
      <c r="J501">
        <f>(Table3[[#This Row],[HomeMargin]]-Table3[[#This Row],[HomeForecast]])^2</f>
        <v>0.49812804115798448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-0.29466479908242982</v>
      </c>
      <c r="J502">
        <f>(Table3[[#This Row],[HomeMargin]]-Table3[[#This Row],[HomeForecast]])^2</f>
        <v>13.729508951158852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2.1826345525757698</v>
      </c>
      <c r="J503">
        <f>(Table3[[#This Row],[HomeMargin]]-Table3[[#This Row],[HomeForecast]])^2</f>
        <v>3.335537979455161E-2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0.79104521843476916</v>
      </c>
      <c r="J504">
        <f>(Table3[[#This Row],[HomeMargin]]-Table3[[#This Row],[HomeForecast]])^2</f>
        <v>22.954114285086668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0.43565125036085622</v>
      </c>
      <c r="J505">
        <f>(Table3[[#This Row],[HomeMargin]]-Table3[[#This Row],[HomeForecast]])^2</f>
        <v>2.0610945126626898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0.6645918926361839</v>
      </c>
      <c r="J506">
        <f>(Table3[[#This Row],[HomeMargin]]-Table3[[#This Row],[HomeForecast]])^2</f>
        <v>0.11249859848537719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-5.1350479824819586E-4</v>
      </c>
      <c r="J507">
        <f>(Table3[[#This Row],[HomeMargin]]-Table3[[#This Row],[HomeForecast]])^2</f>
        <v>9.0030812924766668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-0.40243965157751938</v>
      </c>
      <c r="J508">
        <f>(Table3[[#This Row],[HomeMargin]]-Table3[[#This Row],[HomeForecast]])^2</f>
        <v>1.9668369763168736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9.5870215872346148E-2</v>
      </c>
      <c r="J509">
        <f>(Table3[[#This Row],[HomeMargin]]-Table3[[#This Row],[HomeForecast]])^2</f>
        <v>0.81745066654671805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-0.15847813039135855</v>
      </c>
      <c r="J510">
        <f>(Table3[[#This Row],[HomeMargin]]-Table3[[#This Row],[HomeForecast]])^2</f>
        <v>0.70815905702962345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0.3253179588772277</v>
      </c>
      <c r="J511">
        <f>(Table3[[#This Row],[HomeMargin]]-Table3[[#This Row],[HomeForecast]])^2</f>
        <v>1.7564676921225011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-0.11738823471378557</v>
      </c>
      <c r="J512">
        <f>(Table3[[#This Row],[HomeMargin]]-Table3[[#This Row],[HomeForecast]])^2</f>
        <v>8.3094505893665058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-0.43159886661987218</v>
      </c>
      <c r="J513">
        <f>(Table3[[#This Row],[HomeMargin]]-Table3[[#This Row],[HomeForecast]])^2</f>
        <v>19.639068514626533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0.30830196354465783</v>
      </c>
      <c r="J514">
        <f>(Table3[[#This Row],[HomeMargin]]-Table3[[#This Row],[HomeForecast]])^2</f>
        <v>0.47844617363617592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0.79285545284535608</v>
      </c>
      <c r="J515">
        <f>(Table3[[#This Row],[HomeMargin]]-Table3[[#This Row],[HomeForecast]])^2</f>
        <v>10.285776146343766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-5.4876085850351974E-2</v>
      </c>
      <c r="J516">
        <f>(Table3[[#This Row],[HomeMargin]]-Table3[[#This Row],[HomeForecast]])^2</f>
        <v>9.3322678999003656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0.46704450349603088</v>
      </c>
      <c r="J517">
        <f>(Table3[[#This Row],[HomeMargin]]-Table3[[#This Row],[HomeForecast]])^2</f>
        <v>2.1522195752379156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-7.756206203233576E-2</v>
      </c>
      <c r="J518">
        <f>(Table3[[#This Row],[HomeMargin]]-Table3[[#This Row],[HomeForecast]])^2</f>
        <v>0.85089174940203638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-0.35847895010845154</v>
      </c>
      <c r="J519">
        <f>(Table3[[#This Row],[HomeMargin]]-Table3[[#This Row],[HomeForecast]])^2</f>
        <v>2.6945913572370515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0.95526245509643104</v>
      </c>
      <c r="J520">
        <f>(Table3[[#This Row],[HomeMargin]]-Table3[[#This Row],[HomeForecast]])^2</f>
        <v>4.180951627538275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0.14167174349879044</v>
      </c>
      <c r="J521">
        <f>(Table3[[#This Row],[HomeMargin]]-Table3[[#This Row],[HomeForecast]])^2</f>
        <v>9.8701013438987317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-0.53843489712223513</v>
      </c>
      <c r="J522">
        <f>(Table3[[#This Row],[HomeMargin]]-Table3[[#This Row],[HomeForecast]])^2</f>
        <v>6.0593027557056205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0.63848310531079933</v>
      </c>
      <c r="J523">
        <f>(Table3[[#This Row],[HomeMargin]]-Table3[[#This Row],[HomeForecast]])^2</f>
        <v>13.238559307632116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-4.4927581367361656E-2</v>
      </c>
      <c r="J524">
        <f>(Table3[[#This Row],[HomeMargin]]-Table3[[#This Row],[HomeForecast]])^2</f>
        <v>0.91216332483279761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-0.17621458529589629</v>
      </c>
      <c r="J525">
        <f>(Table3[[#This Row],[HomeMargin]]-Table3[[#This Row],[HomeForecast]])^2</f>
        <v>10.088339091846381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-8.1314249527853516E-2</v>
      </c>
      <c r="J526">
        <f>(Table3[[#This Row],[HomeMargin]]-Table3[[#This Row],[HomeForecast]])^2</f>
        <v>1.1692405062319853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-0.30255655454867009</v>
      </c>
      <c r="J527">
        <f>(Table3[[#This Row],[HomeMargin]]-Table3[[#This Row],[HomeForecast]])^2</f>
        <v>1.6966535777977028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0.27792060738367336</v>
      </c>
      <c r="J528">
        <f>(Table3[[#This Row],[HomeMargin]]-Table3[[#This Row],[HomeForecast]])^2</f>
        <v>22.298033790171779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-0.18270022164143521</v>
      </c>
      <c r="J529">
        <f>(Table3[[#This Row],[HomeMargin]]-Table3[[#This Row],[HomeForecast]])^2</f>
        <v>7.9371780411392194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0.6092297517930696</v>
      </c>
      <c r="J530">
        <f>(Table3[[#This Row],[HomeMargin]]-Table3[[#This Row],[HomeForecast]])^2</f>
        <v>13.026539401228263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-6.6634937980560111E-2</v>
      </c>
      <c r="J531">
        <f>(Table3[[#This Row],[HomeMargin]]-Table3[[#This Row],[HomeForecast]])^2</f>
        <v>3.7379004630374322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-2.081468887193842</v>
      </c>
      <c r="J532">
        <f>(Table3[[#This Row],[HomeMargin]]-Table3[[#This Row],[HomeForecast]])^2</f>
        <v>6.6371795806029598E-3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0.17368659909466175</v>
      </c>
      <c r="J533">
        <f>(Table3[[#This Row],[HomeMargin]]-Table3[[#This Row],[HomeForecast]])^2</f>
        <v>7.9880474401370982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0.50920834042056451</v>
      </c>
      <c r="J534">
        <f>(Table3[[#This Row],[HomeMargin]]-Table3[[#This Row],[HomeForecast]])^2</f>
        <v>0.2408764531127365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-0.19303506695039663</v>
      </c>
      <c r="J535">
        <f>(Table3[[#This Row],[HomeMargin]]-Table3[[#This Row],[HomeForecast]])^2</f>
        <v>7.8790521353701655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0.23912915323831141</v>
      </c>
      <c r="J536">
        <f>(Table3[[#This Row],[HomeMargin]]-Table3[[#This Row],[HomeForecast]])^2</f>
        <v>0.57892444545184896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-0.75734922151502893</v>
      </c>
      <c r="J537">
        <f>(Table3[[#This Row],[HomeMargin]]-Table3[[#This Row],[HomeForecast]])^2</f>
        <v>5.0294825142392465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-0.77770653689921287</v>
      </c>
      <c r="J538">
        <f>(Table3[[#This Row],[HomeMargin]]-Table3[[#This Row],[HomeForecast]])^2</f>
        <v>3.1602405313341926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0.36324122328547404</v>
      </c>
      <c r="J539">
        <f>(Table3[[#This Row],[HomeMargin]]-Table3[[#This Row],[HomeForecast]])^2</f>
        <v>1.8584266328648757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-0.16528746124412064</v>
      </c>
      <c r="J540">
        <f>(Table3[[#This Row],[HomeMargin]]-Table3[[#This Row],[HomeForecast]])^2</f>
        <v>3.3661700998680439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-0.13922647563329099</v>
      </c>
      <c r="J541">
        <f>(Table3[[#This Row],[HomeMargin]]-Table3[[#This Row],[HomeForecast]])^2</f>
        <v>4.576289914050431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-0.73464793802923556</v>
      </c>
      <c r="J542">
        <f>(Table3[[#This Row],[HomeMargin]]-Table3[[#This Row],[HomeForecast]])^2</f>
        <v>5.131819964675195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0.10388946030480828</v>
      </c>
      <c r="J543">
        <f>(Table3[[#This Row],[HomeMargin]]-Table3[[#This Row],[HomeForecast]])^2</f>
        <v>3.5952351787431915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0.5717204892839981</v>
      </c>
      <c r="J544">
        <f>(Table3[[#This Row],[HomeMargin]]-Table3[[#This Row],[HomeForecast]])^2</f>
        <v>5.8965413821631447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0.10452295352226126</v>
      </c>
      <c r="J545">
        <f>(Table3[[#This Row],[HomeMargin]]-Table3[[#This Row],[HomeForecast]])^2</f>
        <v>15.174741419634925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-1.0674032732093262</v>
      </c>
      <c r="J546">
        <f>(Table3[[#This Row],[HomeMargin]]-Table3[[#This Row],[HomeForecast]])^2</f>
        <v>0.86973665482067875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-0.90065214932351723</v>
      </c>
      <c r="J547">
        <f>(Table3[[#This Row],[HomeMargin]]-Table3[[#This Row],[HomeForecast]])^2</f>
        <v>9.8699954340367192E-3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0.80270034197246121</v>
      </c>
      <c r="J548">
        <f>(Table3[[#This Row],[HomeMargin]]-Table3[[#This Row],[HomeForecast]])^2</f>
        <v>3.2497285229476285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0.54194753550799735</v>
      </c>
      <c r="J549">
        <f>(Table3[[#This Row],[HomeMargin]]-Table3[[#This Row],[HomeForecast]])^2</f>
        <v>11.958126847179212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-0.85103990640498428</v>
      </c>
      <c r="J550">
        <f>(Table3[[#This Row],[HomeMargin]]-Table3[[#This Row],[HomeForecast]])^2</f>
        <v>17.213869858243964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1.9433629127987921</v>
      </c>
      <c r="J551">
        <f>(Table3[[#This Row],[HomeMargin]]-Table3[[#This Row],[HomeForecast]])^2</f>
        <v>0.8899335852442215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-0.25207327511237337</v>
      </c>
      <c r="J552">
        <f>(Table3[[#This Row],[HomeMargin]]-Table3[[#This Row],[HomeForecast]])^2</f>
        <v>1.5676874862506249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0.83850806657442378</v>
      </c>
      <c r="J553">
        <f>(Table3[[#This Row],[HomeMargin]]-Table3[[#This Row],[HomeForecast]])^2</f>
        <v>14.734144177156921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0.33685399205676902</v>
      </c>
      <c r="J554">
        <f>(Table3[[#This Row],[HomeMargin]]-Table3[[#This Row],[HomeForecast]])^2</f>
        <v>1.7871785960781199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0.2311380826811528</v>
      </c>
      <c r="J555">
        <f>(Table3[[#This Row],[HomeMargin]]-Table3[[#This Row],[HomeForecast]])^2</f>
        <v>0.59114864790321386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0.47786007710360434</v>
      </c>
      <c r="J556">
        <f>(Table3[[#This Row],[HomeMargin]]-Table3[[#This Row],[HomeForecast]])^2</f>
        <v>2.1840704074966713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-0.1318509514922569</v>
      </c>
      <c r="J557">
        <f>(Table3[[#This Row],[HomeMargin]]-Table3[[#This Row],[HomeForecast]])^2</f>
        <v>1.2810865763939274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-0.45313001807963094</v>
      </c>
      <c r="J558">
        <f>(Table3[[#This Row],[HomeMargin]]-Table3[[#This Row],[HomeForecast]])^2</f>
        <v>11.924106921762633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1.19353467667819</v>
      </c>
      <c r="J559">
        <f>(Table3[[#This Row],[HomeMargin]]-Table3[[#This Row],[HomeForecast]])^2</f>
        <v>26.972802437858835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0.5526560750245858</v>
      </c>
      <c r="J560">
        <f>(Table3[[#This Row],[HomeMargin]]-Table3[[#This Row],[HomeForecast]])^2</f>
        <v>5.9894922871140652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8.6670768706857776E-2</v>
      </c>
      <c r="J561">
        <f>(Table3[[#This Row],[HomeMargin]]-Table3[[#This Row],[HomeForecast]])^2</f>
        <v>15.314145672493375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-0.2038348874655023</v>
      </c>
      <c r="J562">
        <f>(Table3[[#This Row],[HomeMargin]]-Table3[[#This Row],[HomeForecast]])^2</f>
        <v>4.8568882112100837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-0.1617419223457387</v>
      </c>
      <c r="J563">
        <f>(Table3[[#This Row],[HomeMargin]]-Table3[[#This Row],[HomeForecast]])^2</f>
        <v>1.3496442941355722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0.58957267409940162</v>
      </c>
      <c r="J564">
        <f>(Table3[[#This Row],[HomeMargin]]-Table3[[#This Row],[HomeForecast]])^2</f>
        <v>1.9893052416471129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0.20266414282282039</v>
      </c>
      <c r="J565">
        <f>(Table3[[#This Row],[HomeMargin]]-Table3[[#This Row],[HomeForecast]])^2</f>
        <v>4.8517293260773888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0.31149791362177637</v>
      </c>
      <c r="J566">
        <f>(Table3[[#This Row],[HomeMargin]]-Table3[[#This Row],[HomeForecast]])^2</f>
        <v>2.8510392957036141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0.60666724369283276</v>
      </c>
      <c r="J567">
        <f>(Table3[[#This Row],[HomeMargin]]-Table3[[#This Row],[HomeForecast]])^2</f>
        <v>13.008048606726856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-5.3351643632522525E-2</v>
      </c>
      <c r="J568">
        <f>(Table3[[#This Row],[HomeMargin]]-Table3[[#This Row],[HomeForecast]])^2</f>
        <v>15.576033248818112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1.0175743607952727</v>
      </c>
      <c r="J569">
        <f>(Table3[[#This Row],[HomeMargin]]-Table3[[#This Row],[HomeForecast]])^2</f>
        <v>8.8948626933857273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-0.45684341053953337</v>
      </c>
      <c r="J570">
        <f>(Table3[[#This Row],[HomeMargin]]-Table3[[#This Row],[HomeForecast]])^2</f>
        <v>2.1223927228324593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3.7597561296169035E-2</v>
      </c>
      <c r="J571">
        <f>(Table3[[#This Row],[HomeMargin]]-Table3[[#This Row],[HomeForecast]])^2</f>
        <v>0.92621845402308123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-1.0840196056419473</v>
      </c>
      <c r="J572">
        <f>(Table3[[#This Row],[HomeMargin]]-Table3[[#This Row],[HomeForecast]])^2</f>
        <v>8.5029416602805448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-8.9788778432836697E-2</v>
      </c>
      <c r="J573">
        <f>(Table3[[#This Row],[HomeMargin]]-Table3[[#This Row],[HomeForecast]])^2</f>
        <v>3.6489069110011148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-0.2873053356246324</v>
      </c>
      <c r="J574">
        <f>(Table3[[#This Row],[HomeMargin]]-Table3[[#This Row],[HomeForecast]])^2</f>
        <v>1.6571550271276476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6.3153064446441504E-2</v>
      </c>
      <c r="J575">
        <f>(Table3[[#This Row],[HomeMargin]]-Table3[[#This Row],[HomeForecast]])^2</f>
        <v>0.87768218065609338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0.31761435618403466</v>
      </c>
      <c r="J576">
        <f>(Table3[[#This Row],[HomeMargin]]-Table3[[#This Row],[HomeForecast]])^2</f>
        <v>0.46565016688612954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0.41902750962716229</v>
      </c>
      <c r="J577">
        <f>(Table3[[#This Row],[HomeMargin]]-Table3[[#This Row],[HomeForecast]])^2</f>
        <v>5.8516940923329921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0.27673936714300534</v>
      </c>
      <c r="J578">
        <f>(Table3[[#This Row],[HomeMargin]]-Table3[[#This Row],[HomeForecast]])^2</f>
        <v>5.1835421458987323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0.84588359071545782</v>
      </c>
      <c r="J579">
        <f>(Table3[[#This Row],[HomeMargin]]-Table3[[#This Row],[HomeForecast]])^2</f>
        <v>4.6402175047489305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1.7571058654123397</v>
      </c>
      <c r="J580">
        <f>(Table3[[#This Row],[HomeMargin]]-Table3[[#This Row],[HomeForecast]])^2</f>
        <v>1.5447858297924091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-3.5499458817119037E-2</v>
      </c>
      <c r="J581">
        <f>(Table3[[#This Row],[HomeMargin]]-Table3[[#This Row],[HomeForecast]])^2</f>
        <v>15.717264541039356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0.40189710826567265</v>
      </c>
      <c r="J582">
        <f>(Table3[[#This Row],[HomeMargin]]-Table3[[#This Row],[HomeForecast]])^2</f>
        <v>11.572903935226346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-0.67950879434878364</v>
      </c>
      <c r="J583">
        <f>(Table3[[#This Row],[HomeMargin]]-Table3[[#This Row],[HomeForecast]])^2</f>
        <v>1.743697024202203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1.700660473191407</v>
      </c>
      <c r="J584">
        <f>(Table3[[#This Row],[HomeMargin]]-Table3[[#This Row],[HomeForecast]])^2</f>
        <v>0.49092509869280637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-0.93247023582680899</v>
      </c>
      <c r="J585">
        <f>(Table3[[#This Row],[HomeMargin]]-Table3[[#This Row],[HomeForecast]])^2</f>
        <v>3.7344412123565234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0.56563949595244956</v>
      </c>
      <c r="J586">
        <f>(Table3[[#This Row],[HomeMargin]]-Table3[[#This Row],[HomeForecast]])^2</f>
        <v>11.794832071761743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0.46462879408901486</v>
      </c>
      <c r="J587">
        <f>(Table3[[#This Row],[HomeMargin]]-Table3[[#This Row],[HomeForecast]])^2</f>
        <v>2.1451375044746417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1.023703030357173</v>
      </c>
      <c r="J588">
        <f>(Table3[[#This Row],[HomeMargin]]-Table3[[#This Row],[HomeForecast]])^2</f>
        <v>4.0953739550768056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0.44637547965504254</v>
      </c>
      <c r="J589">
        <f>(Table3[[#This Row],[HomeMargin]]-Table3[[#This Row],[HomeForecast]])^2</f>
        <v>0.30650010952718421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4.9290355383908926E-2</v>
      </c>
      <c r="J590">
        <f>(Table3[[#This Row],[HomeMargin]]-Table3[[#This Row],[HomeForecast]])^2</f>
        <v>1.1010102499016901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2.4158619843424184E-2</v>
      </c>
      <c r="J591">
        <f>(Table3[[#This Row],[HomeMargin]]-Table3[[#This Row],[HomeForecast]])^2</f>
        <v>8.8556319198521951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0.50417916871491808</v>
      </c>
      <c r="J592">
        <f>(Table3[[#This Row],[HomeMargin]]-Table3[[#This Row],[HomeForecast]])^2</f>
        <v>20.212404947016886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0.45847708734886722</v>
      </c>
      <c r="J593">
        <f>(Table3[[#This Row],[HomeMargin]]-Table3[[#This Row],[HomeForecast]])^2</f>
        <v>19.878017938414835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0.22879703797856255</v>
      </c>
      <c r="J594">
        <f>(Table3[[#This Row],[HomeMargin]]-Table3[[#This Row],[HomeForecast]])^2</f>
        <v>7.6795658567163878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0.69314595881101171</v>
      </c>
      <c r="J595">
        <f>(Table3[[#This Row],[HomeMargin]]-Table3[[#This Row],[HomeForecast]])^2</f>
        <v>5.3215755673499663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-0.41581566279915028</v>
      </c>
      <c r="J596">
        <f>(Table3[[#This Row],[HomeMargin]]-Table3[[#This Row],[HomeForecast]])^2</f>
        <v>2.0045339910273974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1.4518707846391876</v>
      </c>
      <c r="J597">
        <f>(Table3[[#This Row],[HomeMargin]]-Table3[[#This Row],[HomeForecast]])^2</f>
        <v>6.0116703445671869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-0.4886592721575001</v>
      </c>
      <c r="J598">
        <f>(Table3[[#This Row],[HomeMargin]]-Table3[[#This Row],[HomeForecast]])^2</f>
        <v>2.2841507956354974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0.12051320103850217</v>
      </c>
      <c r="J599">
        <f>(Table3[[#This Row],[HomeMargin]]-Table3[[#This Row],[HomeForecast]])^2</f>
        <v>23.809391421239525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-0.45083850249260654</v>
      </c>
      <c r="J600">
        <f>(Table3[[#This Row],[HomeMargin]]-Table3[[#This Row],[HomeForecast]])^2</f>
        <v>0.30157835034456298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0.30419023135800388</v>
      </c>
      <c r="J601">
        <f>(Table3[[#This Row],[HomeMargin]]-Table3[[#This Row],[HomeForecast]])^2</f>
        <v>2.8757707714216205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-0.53843489712223513</v>
      </c>
      <c r="J602">
        <f>(Table3[[#This Row],[HomeMargin]]-Table3[[#This Row],[HomeForecast]])^2</f>
        <v>2.3667819326835025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-5.4524171021874401E-3</v>
      </c>
      <c r="J603">
        <f>(Table3[[#This Row],[HomeMargin]]-Table3[[#This Row],[HomeForecast]])^2</f>
        <v>4.0218393972610063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-0.17628272491328753</v>
      </c>
      <c r="J604">
        <f>(Table3[[#This Row],[HomeMargin]]-Table3[[#This Row],[HomeForecast]])^2</f>
        <v>7.9733792496231279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-1.5244494088094029</v>
      </c>
      <c r="J605">
        <f>(Table3[[#This Row],[HomeMargin]]-Table3[[#This Row],[HomeForecast]])^2</f>
        <v>0.27504718240053228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-0.6346075574268959</v>
      </c>
      <c r="J606">
        <f>(Table3[[#This Row],[HomeMargin]]-Table3[[#This Row],[HomeForecast]])^2</f>
        <v>0.13351163708953917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-0.37735239123134856</v>
      </c>
      <c r="J607">
        <f>(Table3[[#This Row],[HomeMargin]]-Table3[[#This Row],[HomeForecast]])^2</f>
        <v>5.6518043920934122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-0.41013780400049066</v>
      </c>
      <c r="J608">
        <f>(Table3[[#This Row],[HomeMargin]]-Table3[[#This Row],[HomeForecast]])^2</f>
        <v>12.887110586266418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1.0192208391814242E-2</v>
      </c>
      <c r="J609">
        <f>(Table3[[#This Row],[HomeMargin]]-Table3[[#This Row],[HomeForecast]])^2</f>
        <v>0.97971946432827373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-0.57261734231839223</v>
      </c>
      <c r="J610">
        <f>(Table3[[#This Row],[HomeMargin]]-Table3[[#This Row],[HomeForecast]])^2</f>
        <v>12.763594674634133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0.80250009880786943</v>
      </c>
      <c r="J611">
        <f>(Table3[[#This Row],[HomeMargin]]-Table3[[#This Row],[HomeForecast]])^2</f>
        <v>3.9006210970901338E-2</v>
      </c>
    </row>
    <row r="612" spans="4:10" x14ac:dyDescent="0.2">
      <c r="D612" t="s">
        <v>33</v>
      </c>
      <c r="E612">
        <f>'NHL2025-26Results'!C607</f>
        <v>5</v>
      </c>
      <c r="F612" t="s">
        <v>31</v>
      </c>
      <c r="G612">
        <f>'NHL2025-26Results'!E607</f>
        <v>4</v>
      </c>
      <c r="H612">
        <f>Table3[[#This Row],[G_1]]-Table3[[#This Row],[G]]</f>
        <v>-1</v>
      </c>
      <c r="I612">
        <f>HomeEdge+VLOOKUP(Table3[[#This Row],[Home]],$A$6:$B$38,2,FALSE)-VLOOKUP(Table3[[#This Row],[Visitor]],$A$6:$B$38,2,FALSE)</f>
        <v>0.29127528338099157</v>
      </c>
      <c r="J612">
        <f>(Table3[[#This Row],[HomeMargin]]-Table3[[#This Row],[HomeForecast]])^2</f>
        <v>1.6673918574706599</v>
      </c>
    </row>
    <row r="613" spans="4:10" x14ac:dyDescent="0.2">
      <c r="D613" t="s">
        <v>15</v>
      </c>
      <c r="E613">
        <f>'NHL2025-26Results'!C608</f>
        <v>2</v>
      </c>
      <c r="F613" t="s">
        <v>25</v>
      </c>
      <c r="G613">
        <f>'NHL2025-26Results'!E608</f>
        <v>3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0.54495580246704611</v>
      </c>
      <c r="J613">
        <f>(Table3[[#This Row],[HomeMargin]]-Table3[[#This Row],[HomeForecast]])^2</f>
        <v>0.20706522170840996</v>
      </c>
    </row>
    <row r="614" spans="4:10" x14ac:dyDescent="0.2">
      <c r="D614" t="s">
        <v>21</v>
      </c>
      <c r="E614">
        <f>'NHL2025-26Results'!C609</f>
        <v>1</v>
      </c>
      <c r="F614" t="s">
        <v>16</v>
      </c>
      <c r="G614">
        <f>'NHL2025-26Results'!E609</f>
        <v>2</v>
      </c>
      <c r="H614">
        <f>Table3[[#This Row],[G_1]]-Table3[[#This Row],[G]]</f>
        <v>1</v>
      </c>
      <c r="I614">
        <f>HomeEdge+VLOOKUP(Table3[[#This Row],[Home]],$A$6:$B$38,2,FALSE)-VLOOKUP(Table3[[#This Row],[Visitor]],$A$6:$B$38,2,FALSE)</f>
        <v>-0.17561628497838</v>
      </c>
      <c r="J614">
        <f>(Table3[[#This Row],[HomeMargin]]-Table3[[#This Row],[HomeForecast]])^2</f>
        <v>1.3820736495063677</v>
      </c>
    </row>
    <row r="615" spans="4:10" x14ac:dyDescent="0.2">
      <c r="D615" t="s">
        <v>13</v>
      </c>
      <c r="E615">
        <f>'NHL2025-26Results'!C610</f>
        <v>2</v>
      </c>
      <c r="F615" t="s">
        <v>12</v>
      </c>
      <c r="G615">
        <f>'NHL2025-26Results'!E610</f>
        <v>5</v>
      </c>
      <c r="H615">
        <f>Table3[[#This Row],[G_1]]-Table3[[#This Row],[G]]</f>
        <v>3</v>
      </c>
      <c r="I615">
        <f>HomeEdge+VLOOKUP(Table3[[#This Row],[Home]],$A$6:$B$38,2,FALSE)-VLOOKUP(Table3[[#This Row],[Visitor]],$A$6:$B$38,2,FALSE)</f>
        <v>1.8415758428347762</v>
      </c>
      <c r="J615">
        <f>(Table3[[#This Row],[HomeMargin]]-Table3[[#This Row],[HomeForecast]])^2</f>
        <v>1.3419465279039593</v>
      </c>
    </row>
    <row r="616" spans="4:10" x14ac:dyDescent="0.2">
      <c r="D616" t="s">
        <v>22</v>
      </c>
      <c r="E616">
        <f>'NHL2025-26Results'!C611</f>
        <v>3</v>
      </c>
      <c r="F616" t="s">
        <v>11</v>
      </c>
      <c r="G616">
        <f>'NHL2025-26Results'!E611</f>
        <v>5</v>
      </c>
      <c r="H616">
        <f>Table3[[#This Row],[G_1]]-Table3[[#This Row],[G]]</f>
        <v>2</v>
      </c>
      <c r="I616">
        <f>HomeEdge+VLOOKUP(Table3[[#This Row],[Home]],$A$6:$B$38,2,FALSE)-VLOOKUP(Table3[[#This Row],[Visitor]],$A$6:$B$38,2,FALSE)</f>
        <v>-0.16559455999419437</v>
      </c>
      <c r="J616">
        <f>(Table3[[#This Row],[HomeMargin]]-Table3[[#This Row],[HomeForecast]])^2</f>
        <v>4.6897997982764492</v>
      </c>
    </row>
    <row r="617" spans="4:10" x14ac:dyDescent="0.2">
      <c r="D617" t="s">
        <v>28</v>
      </c>
      <c r="E617">
        <f>'NHL2025-26Results'!C612</f>
        <v>4</v>
      </c>
      <c r="F617" t="s">
        <v>36</v>
      </c>
      <c r="G617">
        <f>'NHL2025-26Results'!E612</f>
        <v>1</v>
      </c>
      <c r="H617">
        <f>Table3[[#This Row],[G_1]]-Table3[[#This Row],[G]]</f>
        <v>-3</v>
      </c>
      <c r="I617">
        <f>HomeEdge+VLOOKUP(Table3[[#This Row],[Home]],$A$6:$B$38,2,FALSE)-VLOOKUP(Table3[[#This Row],[Visitor]],$A$6:$B$38,2,FALSE)</f>
        <v>0.29479179512300058</v>
      </c>
      <c r="J617">
        <f>(Table3[[#This Row],[HomeMargin]]-Table3[[#This Row],[HomeForecast]])^2</f>
        <v>10.855652973209843</v>
      </c>
    </row>
    <row r="618" spans="4:10" x14ac:dyDescent="0.2">
      <c r="D618" t="s">
        <v>38</v>
      </c>
      <c r="E618">
        <f>'NHL2025-26Results'!C613</f>
        <v>3</v>
      </c>
      <c r="F618" t="s">
        <v>32</v>
      </c>
      <c r="G618">
        <f>'NHL2025-26Results'!E613</f>
        <v>2</v>
      </c>
      <c r="H618">
        <f>Table3[[#This Row],[G_1]]-Table3[[#This Row],[G]]</f>
        <v>-1</v>
      </c>
      <c r="I618">
        <f>HomeEdge+VLOOKUP(Table3[[#This Row],[Home]],$A$6:$B$38,2,FALSE)-VLOOKUP(Table3[[#This Row],[Visitor]],$A$6:$B$38,2,FALSE)</f>
        <v>0.19835433182041606</v>
      </c>
      <c r="J618">
        <f>(Table3[[#This Row],[HomeMargin]]-Table3[[#This Row],[HomeForecast]])^2</f>
        <v>1.436053104592756</v>
      </c>
    </row>
    <row r="619" spans="4:10" x14ac:dyDescent="0.2">
      <c r="D619" t="s">
        <v>23</v>
      </c>
      <c r="E619">
        <f>'NHL2025-26Results'!C614</f>
        <v>4</v>
      </c>
      <c r="F619" t="s">
        <v>35</v>
      </c>
      <c r="G619">
        <f>'NHL2025-26Results'!E614</f>
        <v>2</v>
      </c>
      <c r="H619">
        <f>Table3[[#This Row],[G_1]]-Table3[[#This Row],[G]]</f>
        <v>-2</v>
      </c>
      <c r="I619">
        <f>HomeEdge+VLOOKUP(Table3[[#This Row],[Home]],$A$6:$B$38,2,FALSE)-VLOOKUP(Table3[[#This Row],[Visitor]],$A$6:$B$38,2,FALSE)</f>
        <v>-0.92316759603596488</v>
      </c>
      <c r="J619">
        <f>(Table3[[#This Row],[HomeMargin]]-Table3[[#This Row],[HomeForecast]])^2</f>
        <v>1.159568026226963</v>
      </c>
    </row>
    <row r="620" spans="4:10" x14ac:dyDescent="0.2">
      <c r="D620" t="s">
        <v>29</v>
      </c>
      <c r="E620">
        <f>'NHL2025-26Results'!C615</f>
        <v>4</v>
      </c>
      <c r="F620" t="s">
        <v>55</v>
      </c>
      <c r="G620">
        <f>'NHL2025-26Results'!E615</f>
        <v>3</v>
      </c>
      <c r="H620">
        <f>Table3[[#This Row],[G_1]]-Table3[[#This Row],[G]]</f>
        <v>-1</v>
      </c>
      <c r="I620">
        <f>HomeEdge+VLOOKUP(Table3[[#This Row],[Home]],$A$6:$B$38,2,FALSE)-VLOOKUP(Table3[[#This Row],[Visitor]],$A$6:$B$38,2,FALSE)</f>
        <v>0.5568859959610124</v>
      </c>
      <c r="J620">
        <f>(Table3[[#This Row],[HomeMargin]]-Table3[[#This Row],[HomeForecast]])^2</f>
        <v>2.4238940044195134</v>
      </c>
    </row>
    <row r="621" spans="4:10" x14ac:dyDescent="0.2">
      <c r="D621" t="s">
        <v>34</v>
      </c>
      <c r="E621">
        <f>'NHL2025-26Results'!C616</f>
        <v>5</v>
      </c>
      <c r="F621" t="s">
        <v>20</v>
      </c>
      <c r="G621">
        <f>'NHL2025-26Results'!E616</f>
        <v>2</v>
      </c>
      <c r="H621">
        <f>Table3[[#This Row],[G_1]]-Table3[[#This Row],[G]]</f>
        <v>-3</v>
      </c>
      <c r="I621">
        <f>HomeEdge+VLOOKUP(Table3[[#This Row],[Home]],$A$6:$B$38,2,FALSE)-VLOOKUP(Table3[[#This Row],[Visitor]],$A$6:$B$38,2,FALSE)</f>
        <v>-0.36551788659080586</v>
      </c>
      <c r="J621">
        <f>(Table3[[#This Row],[HomeMargin]]-Table3[[#This Row],[HomeForecast]])^2</f>
        <v>6.9404960058729745</v>
      </c>
    </row>
    <row r="622" spans="4:10" x14ac:dyDescent="0.2">
      <c r="D622" t="s">
        <v>17</v>
      </c>
      <c r="E622">
        <f>'NHL2025-26Results'!C617</f>
        <v>3</v>
      </c>
      <c r="F622" t="s">
        <v>40</v>
      </c>
      <c r="G622">
        <f>'NHL2025-26Results'!E617</f>
        <v>1</v>
      </c>
      <c r="H622">
        <f>Table3[[#This Row],[G_1]]-Table3[[#This Row],[G]]</f>
        <v>-2</v>
      </c>
      <c r="I622">
        <f>HomeEdge+VLOOKUP(Table3[[#This Row],[Home]],$A$6:$B$38,2,FALSE)-VLOOKUP(Table3[[#This Row],[Visitor]],$A$6:$B$38,2,FALSE)</f>
        <v>-0.15686339897895979</v>
      </c>
      <c r="J622">
        <f>(Table3[[#This Row],[HomeMargin]]-Table3[[#This Row],[HomeForecast]])^2</f>
        <v>3.3971525300233929</v>
      </c>
    </row>
    <row r="623" spans="4:10" x14ac:dyDescent="0.2">
      <c r="D623" t="s">
        <v>30</v>
      </c>
      <c r="E623">
        <f>'NHL2025-26Results'!C618</f>
        <v>3</v>
      </c>
      <c r="F623" t="s">
        <v>10</v>
      </c>
      <c r="G623">
        <f>'NHL2025-26Results'!E618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-0.6721332702077496</v>
      </c>
      <c r="J623">
        <f>(Table3[[#This Row],[HomeMargin]]-Table3[[#This Row],[HomeForecast]])^2</f>
        <v>0.10749659250466453</v>
      </c>
    </row>
    <row r="624" spans="4:10" x14ac:dyDescent="0.2">
      <c r="D624" t="s">
        <v>18</v>
      </c>
      <c r="E624">
        <f>'NHL2025-26Results'!C619</f>
        <v>3</v>
      </c>
      <c r="F624" t="s">
        <v>11</v>
      </c>
      <c r="G624">
        <f>'NHL2025-26Results'!E619</f>
        <v>2</v>
      </c>
      <c r="H624">
        <f>Table3[[#This Row],[G_1]]-Table3[[#This Row],[G]]</f>
        <v>-1</v>
      </c>
      <c r="I624">
        <f>HomeEdge+VLOOKUP(Table3[[#This Row],[Home]],$A$6:$B$38,2,FALSE)-VLOOKUP(Table3[[#This Row],[Visitor]],$A$6:$B$38,2,FALSE)</f>
        <v>0.23892891007371966</v>
      </c>
      <c r="J624">
        <f>(Table3[[#This Row],[HomeMargin]]-Table3[[#This Row],[HomeForecast]])^2</f>
        <v>1.5349448442164551</v>
      </c>
    </row>
    <row r="625" spans="4:10" x14ac:dyDescent="0.2">
      <c r="D625" t="s">
        <v>25</v>
      </c>
      <c r="E625">
        <f>'NHL2025-26Results'!C620</f>
        <v>1</v>
      </c>
      <c r="F625" t="s">
        <v>14</v>
      </c>
      <c r="G625">
        <f>'NHL2025-26Results'!E620</f>
        <v>5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-0.42784912073965153</v>
      </c>
      <c r="J625">
        <f>(Table3[[#This Row],[HomeMargin]]-Table3[[#This Row],[HomeForecast]])^2</f>
        <v>19.605847836034904</v>
      </c>
    </row>
    <row r="626" spans="4:10" x14ac:dyDescent="0.2">
      <c r="D626" t="s">
        <v>24</v>
      </c>
      <c r="E626">
        <f>'NHL2025-26Results'!C621</f>
        <v>0</v>
      </c>
      <c r="F626" t="s">
        <v>19</v>
      </c>
      <c r="G626">
        <f>'NHL2025-26Results'!E621</f>
        <v>4</v>
      </c>
      <c r="H626">
        <f>Table3[[#This Row],[G_1]]-Table3[[#This Row],[G]]</f>
        <v>4</v>
      </c>
      <c r="I626">
        <f>HomeEdge+VLOOKUP(Table3[[#This Row],[Home]],$A$6:$B$38,2,FALSE)-VLOOKUP(Table3[[#This Row],[Visitor]],$A$6:$B$38,2,FALSE)</f>
        <v>0.13362671671455817</v>
      </c>
      <c r="J626">
        <f>(Table3[[#This Row],[HomeMargin]]-Table3[[#This Row],[HomeForecast]])^2</f>
        <v>14.948842365703445</v>
      </c>
    </row>
    <row r="627" spans="4:10" x14ac:dyDescent="0.2">
      <c r="D627" t="s">
        <v>27</v>
      </c>
      <c r="E627">
        <f>'NHL2025-26Results'!C622</f>
        <v>6</v>
      </c>
      <c r="F627" t="s">
        <v>38</v>
      </c>
      <c r="G627">
        <f>'NHL2025-26Results'!E622</f>
        <v>3</v>
      </c>
      <c r="H627">
        <f>Table3[[#This Row],[G_1]]-Table3[[#This Row],[G]]</f>
        <v>-3</v>
      </c>
      <c r="I627">
        <f>HomeEdge+VLOOKUP(Table3[[#This Row],[Home]],$A$6:$B$38,2,FALSE)-VLOOKUP(Table3[[#This Row],[Visitor]],$A$6:$B$38,2,FALSE)</f>
        <v>-0.69605975756215854</v>
      </c>
      <c r="J627">
        <f>(Table3[[#This Row],[HomeMargin]]-Table3[[#This Row],[HomeForecast]])^2</f>
        <v>5.3081406407245391</v>
      </c>
    </row>
    <row r="628" spans="4:10" x14ac:dyDescent="0.2">
      <c r="D628" t="s">
        <v>37</v>
      </c>
      <c r="F628" t="s">
        <v>31</v>
      </c>
    </row>
    <row r="629" spans="4:10" x14ac:dyDescent="0.2">
      <c r="D629" t="s">
        <v>24</v>
      </c>
      <c r="F629" t="s">
        <v>28</v>
      </c>
    </row>
    <row r="630" spans="4:10" x14ac:dyDescent="0.2">
      <c r="D630" t="s">
        <v>27</v>
      </c>
      <c r="F630" t="s">
        <v>16</v>
      </c>
    </row>
    <row r="631" spans="4:10" x14ac:dyDescent="0.2">
      <c r="D631" t="s">
        <v>35</v>
      </c>
      <c r="F631" t="s">
        <v>12</v>
      </c>
    </row>
    <row r="632" spans="4:10" x14ac:dyDescent="0.2">
      <c r="D632" t="s">
        <v>23</v>
      </c>
      <c r="F632" t="s">
        <v>39</v>
      </c>
    </row>
    <row r="633" spans="4:10" x14ac:dyDescent="0.2">
      <c r="D633" t="s">
        <v>40</v>
      </c>
      <c r="F633" t="s">
        <v>26</v>
      </c>
    </row>
    <row r="634" spans="4:10" x14ac:dyDescent="0.2">
      <c r="D634" t="s">
        <v>21</v>
      </c>
      <c r="F634" t="s">
        <v>17</v>
      </c>
    </row>
    <row r="635" spans="4:10" x14ac:dyDescent="0.2">
      <c r="D635" t="s">
        <v>34</v>
      </c>
      <c r="F635" t="s">
        <v>33</v>
      </c>
    </row>
    <row r="636" spans="4:10" x14ac:dyDescent="0.2">
      <c r="D636" t="s">
        <v>29</v>
      </c>
      <c r="F636" t="s">
        <v>20</v>
      </c>
    </row>
    <row r="637" spans="4:10" x14ac:dyDescent="0.2">
      <c r="D637" t="s">
        <v>15</v>
      </c>
      <c r="F637" t="s">
        <v>22</v>
      </c>
    </row>
    <row r="638" spans="4:10" x14ac:dyDescent="0.2">
      <c r="D638" t="s">
        <v>18</v>
      </c>
      <c r="F638" t="s">
        <v>25</v>
      </c>
    </row>
    <row r="639" spans="4:10" x14ac:dyDescent="0.2">
      <c r="D639" t="s">
        <v>39</v>
      </c>
      <c r="F639" t="s">
        <v>10</v>
      </c>
    </row>
    <row r="640" spans="4:10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618" activePane="bottomLeft" state="frozen"/>
      <selection activeCell="I1" sqref="I1"/>
      <selection pane="bottomLeft" activeCell="O623" sqref="O623:O63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7.491191657664964E-2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0.20922229284068078</v>
      </c>
      <c r="H2" t="s">
        <v>10</v>
      </c>
      <c r="I2">
        <f>VLOOKUP(Table4[[#This Row],[Visitor]],'NHL Model'!$A$6:$B$38,2,FALSE)</f>
        <v>-0.45160327336373768</v>
      </c>
      <c r="J2">
        <f>($B$1+Table4[[#This Row],[Home Differential]])-Table4[[#This Row],[Away Differential]]</f>
        <v>0.7357374827810681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0.62346862932873415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0.1417758730995822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4.5005056179018996E-2</v>
      </c>
      <c r="H3" t="s">
        <v>12</v>
      </c>
      <c r="I3">
        <f>VLOOKUP(Table4[[#This Row],[Visitor]],'NHL Model'!$A$6:$B$38,2,FALSE)</f>
        <v>1.8116689824371455</v>
      </c>
      <c r="J3">
        <f>($B$1+Table4[[#This Row],[Home Differential]])-Table4[[#This Row],[Away Differential]]</f>
        <v>-1.6917520096814769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0.73638600352530303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6.9492339137361539E-2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356</v>
      </c>
      <c r="V3">
        <f>COUNTIF(Table4[Locked Correct],"YES")</f>
        <v>341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6.6163598639307278E-2</v>
      </c>
      <c r="H4" t="s">
        <v>14</v>
      </c>
      <c r="I4">
        <f>VLOOKUP(Table4[[#This Row],[Visitor]],'NHL Model'!$A$6:$B$38,2,FALSE)</f>
        <v>3.3446447213402619E-2</v>
      </c>
      <c r="J4">
        <f>($B$1+Table4[[#This Row],[Home Differential]])-Table4[[#This Row],[Away Differential]]</f>
        <v>0.10762906800255428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0.54480871584684387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0.29681653686268705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265</v>
      </c>
      <c r="V4">
        <f>COUNTIF(Table4[Locked Correct],"NO")</f>
        <v>280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0.17499330177061237</v>
      </c>
      <c r="H5" t="s">
        <v>16</v>
      </c>
      <c r="I5">
        <f>VLOOKUP(Table4[[#This Row],[Visitor]],'NHL Model'!$A$6:$B$38,2,FALSE)</f>
        <v>-0.31573427760518757</v>
      </c>
      <c r="J5">
        <f>($B$1+Table4[[#This Row],[Home Differential]])-Table4[[#This Row],[Away Differential]]</f>
        <v>0.56563949595244956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0.63961962397103711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0.4091132633688509</v>
      </c>
      <c r="O5">
        <v>-4.1674767740132361E-3</v>
      </c>
      <c r="P5" s="11"/>
      <c r="Q5" t="s">
        <v>16</v>
      </c>
      <c r="R5" t="s">
        <v>248</v>
      </c>
      <c r="T5">
        <f>SUM(T3:T4)</f>
        <v>621</v>
      </c>
      <c r="V5">
        <f>SUM(V3:V4)</f>
        <v>621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-1.7306849519822837E-2</v>
      </c>
      <c r="H6" t="s">
        <v>18</v>
      </c>
      <c r="I6">
        <f>VLOOKUP(Table4[[#This Row],[Visitor]],'NHL Model'!$A$6:$B$38,2,FALSE)</f>
        <v>4.5205299343610755E-2</v>
      </c>
      <c r="J6">
        <f>($B$1+Table4[[#This Row],[Home Differential]])-Table4[[#This Row],[Away Differential]]</f>
        <v>1.2399767713216048E-2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0.49539384083076071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0.25462737587153161</v>
      </c>
      <c r="O6">
        <v>-4.4363714293103977E-3</v>
      </c>
      <c r="P6" s="11"/>
      <c r="Q6" t="s">
        <v>18</v>
      </c>
      <c r="R6" t="s">
        <v>249</v>
      </c>
      <c r="T6" s="13">
        <f>T3/T5</f>
        <v>0.57326892109500804</v>
      </c>
      <c r="V6" s="13">
        <f>V3/V5</f>
        <v>0.54911433172302737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0.21230765705109297</v>
      </c>
      <c r="H7" t="s">
        <v>13</v>
      </c>
      <c r="I7">
        <f>VLOOKUP(Table4[[#This Row],[Visitor]],'NHL Model'!$A$6:$B$38,2,FALSE)</f>
        <v>4.5005056179018996E-2</v>
      </c>
      <c r="J7">
        <f>($B$1+Table4[[#This Row],[Home Differential]])-Table4[[#This Row],[Away Differential]]</f>
        <v>0.24221451744872363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0.53483666945684261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0.28605026299568792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0.44972876941152479</v>
      </c>
      <c r="H8" t="s">
        <v>21</v>
      </c>
      <c r="I8">
        <f>VLOOKUP(Table4[[#This Row],[Visitor]],'NHL Model'!$A$6:$B$38,2,FALSE)</f>
        <v>-6.5206076050157921E-2</v>
      </c>
      <c r="J8">
        <f>($B$1+Table4[[#This Row],[Home Differential]])-Table4[[#This Row],[Away Differential]]</f>
        <v>0.58984676203833242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0.61085831853684702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0.37314788532566406</v>
      </c>
      <c r="O8">
        <v>-4.9858230986448791E-3</v>
      </c>
      <c r="P8" s="11"/>
      <c r="Q8" t="s">
        <v>21</v>
      </c>
      <c r="R8" t="s">
        <v>248</v>
      </c>
      <c r="T8">
        <f>SUM(Table4[Error])</f>
        <v>146.64236902601991</v>
      </c>
      <c r="V8">
        <f>COUNTIF(Table4[Locked Correct],"")</f>
        <v>691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-6.5206076050157921E-2</v>
      </c>
      <c r="H9" t="s">
        <v>10</v>
      </c>
      <c r="I9">
        <f>VLOOKUP(Table4[[#This Row],[Visitor]],'NHL Model'!$A$6:$B$38,2,FALSE)</f>
        <v>-0.45160327336373768</v>
      </c>
      <c r="J9">
        <f>($B$1+Table4[[#This Row],[Home Differential]])-Table4[[#This Row],[Away Differential]]</f>
        <v>0.46130911389022938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0.60587174338587102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0.15533708266169272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8.8679045351754957E-2</v>
      </c>
      <c r="H10" t="s">
        <v>15</v>
      </c>
      <c r="I10">
        <f>VLOOKUP(Table4[[#This Row],[Visitor]],'NHL Model'!$A$6:$B$38,2,FALSE)</f>
        <v>6.6163598639307278E-2</v>
      </c>
      <c r="J10">
        <f>($B$1+Table4[[#This Row],[Home Differential]])-Table4[[#This Row],[Away Differential]]</f>
        <v>9.7427363289097332E-2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0.5201767681311863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0.27058387010340595</v>
      </c>
      <c r="O10">
        <v>2.893763878885032E-2</v>
      </c>
      <c r="P10" s="11"/>
      <c r="Q10" t="s">
        <v>23</v>
      </c>
      <c r="R10" t="s">
        <v>249</v>
      </c>
      <c r="T10">
        <v>0.11240862433859308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0.53620748452970379</v>
      </c>
      <c r="H11" t="s">
        <v>24</v>
      </c>
      <c r="I11">
        <f>VLOOKUP(Table4[[#This Row],[Visitor]],'NHL Model'!$A$6:$B$38,2,FALSE)</f>
        <v>-7.602164965773138E-2</v>
      </c>
      <c r="J11">
        <f>($B$1+Table4[[#This Row],[Home Differential]])-Table4[[#This Row],[Away Differential]]</f>
        <v>0.68714105076408483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0.64245797154731399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0.12783630211006133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1.8116689824371455</v>
      </c>
      <c r="H12" t="s">
        <v>55</v>
      </c>
      <c r="I12">
        <f>VLOOKUP(Table4[[#This Row],[Visitor]],'NHL Model'!$A$6:$B$38,2,FALSE)</f>
        <v>0.18592042582238802</v>
      </c>
      <c r="J12">
        <f>($B$1+Table4[[#This Row],[Home Differential]])-Table4[[#This Row],[Away Differential]]</f>
        <v>1.700660473191407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0.85014748745451296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2.2455775516195351E-2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-8.2026557704658234E-2</v>
      </c>
      <c r="H13" t="s">
        <v>18</v>
      </c>
      <c r="I13">
        <f>VLOOKUP(Table4[[#This Row],[Visitor]],'NHL Model'!$A$6:$B$38,2,FALSE)</f>
        <v>4.5205299343610755E-2</v>
      </c>
      <c r="J13">
        <f>($B$1+Table4[[#This Row],[Home Differential]])-Table4[[#This Row],[Away Differential]]</f>
        <v>-5.231994047161935E-2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0.48914481086025163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0.2609730242710081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0.20922229284068078</v>
      </c>
      <c r="H14" t="s">
        <v>27</v>
      </c>
      <c r="I14">
        <f>VLOOKUP(Table4[[#This Row],[Visitor]],'NHL Model'!$A$6:$B$38,2,FALSE)</f>
        <v>0.3028174375616956</v>
      </c>
      <c r="J14">
        <f>($B$1+Table4[[#This Row],[Home Differential]])-Table4[[#This Row],[Away Differential]]</f>
        <v>-1.8683228144365183E-2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0.48210015597391226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0.23242056039007053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-0.29605365356197477</v>
      </c>
      <c r="H15" t="s">
        <v>28</v>
      </c>
      <c r="I15">
        <f>VLOOKUP(Table4[[#This Row],[Visitor]],'NHL Model'!$A$6:$B$38,2,FALSE)</f>
        <v>-0.15682239438733669</v>
      </c>
      <c r="J15">
        <f>($B$1+Table4[[#This Row],[Home Differential]])-Table4[[#This Row],[Away Differential]]</f>
        <v>-6.4319342597988438E-2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0.46723004881980257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0.2183039185201551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3.3446447213402619E-2</v>
      </c>
      <c r="H16" t="s">
        <v>30</v>
      </c>
      <c r="I16">
        <f>VLOOKUP(Table4[[#This Row],[Visitor]],'NHL Model'!$A$6:$B$38,2,FALSE)</f>
        <v>0.29544191342066151</v>
      </c>
      <c r="J16">
        <f>($B$1+Table4[[#This Row],[Home Differential]])-Table4[[#This Row],[Away Differential]]</f>
        <v>-0.18708354963060925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0.51461322004759369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0.26482676624775309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-0.34471182133334621</v>
      </c>
      <c r="H17" t="s">
        <v>31</v>
      </c>
      <c r="I17">
        <f>VLOOKUP(Table4[[#This Row],[Visitor]],'NHL Model'!$A$6:$B$38,2,FALSE)</f>
        <v>-5.9622828283354432E-4</v>
      </c>
      <c r="J17">
        <f>($B$1+Table4[[#This Row],[Home Differential]])-Table4[[#This Row],[Away Differential]]</f>
        <v>-0.26920367647386301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0.49026081493931861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0.2403556666649648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-0.21695959508717547</v>
      </c>
      <c r="H18" t="s">
        <v>20</v>
      </c>
      <c r="I18">
        <f>VLOOKUP(Table4[[#This Row],[Visitor]],'NHL Model'!$A$6:$B$38,2,FALSE)</f>
        <v>0.21230765705109297</v>
      </c>
      <c r="J18">
        <f>($B$1+Table4[[#This Row],[Home Differential]])-Table4[[#This Row],[Away Differential]]</f>
        <v>-0.3543553355616188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0.5206018265667528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0.22982260869113377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-0.90940046726085955</v>
      </c>
      <c r="H19" t="s">
        <v>34</v>
      </c>
      <c r="I19">
        <f>VLOOKUP(Table4[[#This Row],[Visitor]],'NHL Model'!$A$6:$B$38,2,FALSE)</f>
        <v>0.6527374602185485</v>
      </c>
      <c r="J19">
        <f>($B$1+Table4[[#This Row],[Home Differential]])-Table4[[#This Row],[Away Differential]]</f>
        <v>-1.4872260109027584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0.69806506085418341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9.1164707476987974E-2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0.77279348157483052</v>
      </c>
      <c r="H20" t="s">
        <v>36</v>
      </c>
      <c r="I20">
        <f>VLOOKUP(Table4[[#This Row],[Visitor]],'NHL Model'!$A$6:$B$38,2,FALSE)</f>
        <v>6.3057484159014243E-2</v>
      </c>
      <c r="J20">
        <f>($B$1+Table4[[#This Row],[Home Differential]])-Table4[[#This Row],[Away Differential]]</f>
        <v>0.78464791399246592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0.61201071641156357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0.37455711700259531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-0.46815423657711264</v>
      </c>
      <c r="H21" t="s">
        <v>16</v>
      </c>
      <c r="I21">
        <f>VLOOKUP(Table4[[#This Row],[Visitor]],'NHL Model'!$A$6:$B$38,2,FALSE)</f>
        <v>-0.31573427760518757</v>
      </c>
      <c r="J21">
        <f>($B$1+Table4[[#This Row],[Home Differential]])-Table4[[#This Row],[Away Differential]]</f>
        <v>-7.7508042395275423E-2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0.46871257242083031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0.21969147554535209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-5.6782013784997053E-2</v>
      </c>
      <c r="H22" t="s">
        <v>39</v>
      </c>
      <c r="I22">
        <f>VLOOKUP(Table4[[#This Row],[Visitor]],'NHL Model'!$A$6:$B$38,2,FALSE)</f>
        <v>0.92535559469880035</v>
      </c>
      <c r="J22">
        <f>($B$1+Table4[[#This Row],[Home Differential]])-Table4[[#This Row],[Away Differential]]</f>
        <v>-0.90722569190714775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0.64819847938686881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0.12376430990571137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-6.5206076050157921E-2</v>
      </c>
      <c r="H23" t="s">
        <v>23</v>
      </c>
      <c r="I23">
        <f>VLOOKUP(Table4[[#This Row],[Visitor]],'NHL Model'!$A$6:$B$38,2,FALSE)</f>
        <v>8.8679045351754957E-2</v>
      </c>
      <c r="J23">
        <f>($B$1+Table4[[#This Row],[Home Differential]])-Table4[[#This Row],[Away Differential]]</f>
        <v>-7.8973204825263238E-2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0.45486064881540289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0.20689820984076929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0.53620748452970379</v>
      </c>
      <c r="H24" t="s">
        <v>27</v>
      </c>
      <c r="I24">
        <f>VLOOKUP(Table4[[#This Row],[Visitor]],'NHL Model'!$A$6:$B$38,2,FALSE)</f>
        <v>0.3028174375616956</v>
      </c>
      <c r="J24">
        <f>($B$1+Table4[[#This Row],[Home Differential]])-Table4[[#This Row],[Away Differential]]</f>
        <v>0.30830196354465783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0.59987319090728997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0.16010146335471401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-0.31573427760518757</v>
      </c>
      <c r="H25" t="s">
        <v>35</v>
      </c>
      <c r="I25">
        <f>VLOOKUP(Table4[[#This Row],[Visitor]],'NHL Model'!$A$6:$B$38,2,FALSE)</f>
        <v>-0.90940046726085955</v>
      </c>
      <c r="J25">
        <f>($B$1+Table4[[#This Row],[Home Differential]])-Table4[[#This Row],[Away Differential]]</f>
        <v>0.66857810623232161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0.64569336427161406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0.41691992066439526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-0.45160327336373768</v>
      </c>
      <c r="H26" t="s">
        <v>18</v>
      </c>
      <c r="I26">
        <f>VLOOKUP(Table4[[#This Row],[Visitor]],'NHL Model'!$A$6:$B$38,2,FALSE)</f>
        <v>4.5205299343610755E-2</v>
      </c>
      <c r="J26">
        <f>($B$1+Table4[[#This Row],[Home Differential]])-Table4[[#This Row],[Away Differential]]</f>
        <v>-0.42189665613069882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0.56482839751703917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0.18937432360758807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1.8116689824371455</v>
      </c>
      <c r="H27" t="s">
        <v>39</v>
      </c>
      <c r="I27">
        <f>VLOOKUP(Table4[[#This Row],[Visitor]],'NHL Model'!$A$6:$B$38,2,FALSE)</f>
        <v>0.92535559469880035</v>
      </c>
      <c r="J27">
        <f>($B$1+Table4[[#This Row],[Home Differential]])-Table4[[#This Row],[Away Differential]]</f>
        <v>0.96122530431499476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0.68566734265734963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0.47013970478679129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-8.2026557704658234E-2</v>
      </c>
      <c r="H28" t="s">
        <v>19</v>
      </c>
      <c r="I28">
        <f>VLOOKUP(Table4[[#This Row],[Visitor]],'NHL Model'!$A$6:$B$38,2,FALSE)</f>
        <v>-1.7306849519822837E-2</v>
      </c>
      <c r="J28">
        <f>($B$1+Table4[[#This Row],[Home Differential]])-Table4[[#This Row],[Away Differential]]</f>
        <v>1.0192208391814242E-2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0.57484383863797661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0.18075776154409087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0.17499330177061237</v>
      </c>
      <c r="H29" t="s">
        <v>38</v>
      </c>
      <c r="I29">
        <f>VLOOKUP(Table4[[#This Row],[Visitor]],'NHL Model'!$A$6:$B$38,2,FALSE)</f>
        <v>-0.46815423657711264</v>
      </c>
      <c r="J29">
        <f>($B$1+Table4[[#This Row],[Home Differential]])-Table4[[#This Row],[Away Differential]]</f>
        <v>0.71805945492437462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0.61469665804564078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0.14845866532119786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0.20922229284068078</v>
      </c>
      <c r="H30" t="s">
        <v>36</v>
      </c>
      <c r="I30">
        <f>VLOOKUP(Table4[[#This Row],[Visitor]],'NHL Model'!$A$6:$B$38,2,FALSE)</f>
        <v>6.3057484159014243E-2</v>
      </c>
      <c r="J30">
        <f>($B$1+Table4[[#This Row],[Home Differential]])-Table4[[#This Row],[Away Differential]]</f>
        <v>0.22107672525831618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0.54485093055956846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0.20716067541249078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0.6527374602185485</v>
      </c>
      <c r="H31" t="s">
        <v>28</v>
      </c>
      <c r="I31">
        <f>VLOOKUP(Table4[[#This Row],[Visitor]],'NHL Model'!$A$6:$B$38,2,FALSE)</f>
        <v>-0.15682239438733669</v>
      </c>
      <c r="J31">
        <f>($B$1+Table4[[#This Row],[Home Differential]])-Table4[[#This Row],[Away Differential]]</f>
        <v>0.88447177118253484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0.66170599208916903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0.43785481996671144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-0.29605365356197477</v>
      </c>
      <c r="H32" t="s">
        <v>55</v>
      </c>
      <c r="I32">
        <f>VLOOKUP(Table4[[#This Row],[Visitor]],'NHL Model'!$A$6:$B$38,2,FALSE)</f>
        <v>0.18592042582238802</v>
      </c>
      <c r="J32">
        <f>($B$1+Table4[[#This Row],[Home Differential]])-Table4[[#This Row],[Away Differential]]</f>
        <v>-0.40706216280771312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0.50575729774150746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0.2442758487357769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0.29544191342066151</v>
      </c>
      <c r="H33" t="s">
        <v>22</v>
      </c>
      <c r="I33">
        <f>VLOOKUP(Table4[[#This Row],[Visitor]],'NHL Model'!$A$6:$B$38,2,FALSE)</f>
        <v>0.44972876941152479</v>
      </c>
      <c r="J33">
        <f>($B$1+Table4[[#This Row],[Home Differential]])-Table4[[#This Row],[Away Differential]]</f>
        <v>-7.9374939414213641E-2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0.46215983781845338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0.28927204005547236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3.3446447213402619E-2</v>
      </c>
      <c r="H34" t="s">
        <v>15</v>
      </c>
      <c r="I34">
        <f>VLOOKUP(Table4[[#This Row],[Visitor]],'NHL Model'!$A$6:$B$38,2,FALSE)</f>
        <v>6.6163598639307278E-2</v>
      </c>
      <c r="J34">
        <f>($B$1+Table4[[#This Row],[Home Differential]])-Table4[[#This Row],[Away Differential]]</f>
        <v>4.2194765150744981E-2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0.4748414658001161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0.22547441764320283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-0.34471182133334621</v>
      </c>
      <c r="H35" t="s">
        <v>20</v>
      </c>
      <c r="I35">
        <f>VLOOKUP(Table4[[#This Row],[Visitor]],'NHL Model'!$A$6:$B$38,2,FALSE)</f>
        <v>0.21230765705109297</v>
      </c>
      <c r="J35">
        <f>($B$1+Table4[[#This Row],[Home Differential]])-Table4[[#This Row],[Away Differential]]</f>
        <v>-0.48210756180778958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0.53496227857527756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0.28618463949845285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-0.21695959508717547</v>
      </c>
      <c r="H36" t="s">
        <v>31</v>
      </c>
      <c r="I36">
        <f>VLOOKUP(Table4[[#This Row],[Visitor]],'NHL Model'!$A$6:$B$38,2,FALSE)</f>
        <v>-5.9622828283354432E-4</v>
      </c>
      <c r="J36">
        <f>($B$1+Table4[[#This Row],[Home Differential]])-Table4[[#This Row],[Away Differential]]</f>
        <v>-0.14145145022769229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0.47590036293079385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0.27468042957607358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0.77279348157483052</v>
      </c>
      <c r="H37" t="s">
        <v>24</v>
      </c>
      <c r="I37">
        <f>VLOOKUP(Table4[[#This Row],[Visitor]],'NHL Model'!$A$6:$B$38,2,FALSE)</f>
        <v>-7.602164965773138E-2</v>
      </c>
      <c r="J37">
        <f>($B$1+Table4[[#This Row],[Home Differential]])-Table4[[#This Row],[Away Differential]]</f>
        <v>0.92372704780921155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0.62764441051810715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0.39393750605462224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-5.6782013784997053E-2</v>
      </c>
      <c r="H38" t="s">
        <v>13</v>
      </c>
      <c r="I38">
        <f>VLOOKUP(Table4[[#This Row],[Visitor]],'NHL Model'!$A$6:$B$38,2,FALSE)</f>
        <v>4.5005056179018996E-2</v>
      </c>
      <c r="J38">
        <f>($B$1+Table4[[#This Row],[Home Differential]])-Table4[[#This Row],[Away Differential]]</f>
        <v>-2.6875153387366409E-2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0.49541133026556722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0.24543238615549892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6.6163598639307278E-2</v>
      </c>
      <c r="H39" t="s">
        <v>22</v>
      </c>
      <c r="I39">
        <f>VLOOKUP(Table4[[#This Row],[Visitor]],'NHL Model'!$A$6:$B$38,2,FALSE)</f>
        <v>0.44972876941152479</v>
      </c>
      <c r="J39">
        <f>($B$1+Table4[[#This Row],[Home Differential]])-Table4[[#This Row],[Away Differential]]</f>
        <v>-0.30865325419556788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0.50198500732792206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0.24801893292616983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-6.5206076050157921E-2</v>
      </c>
      <c r="H40" t="s">
        <v>37</v>
      </c>
      <c r="I40">
        <f>VLOOKUP(Table4[[#This Row],[Visitor]],'NHL Model'!$A$6:$B$38,2,FALSE)</f>
        <v>0.77279348157483052</v>
      </c>
      <c r="J40">
        <f>($B$1+Table4[[#This Row],[Home Differential]])-Table4[[#This Row],[Away Differential]]</f>
        <v>-0.76308764104833882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0.60255615546995878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0.15796160955481958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8.8679045351754957E-2</v>
      </c>
      <c r="H41" t="s">
        <v>12</v>
      </c>
      <c r="I41">
        <f>VLOOKUP(Table4[[#This Row],[Visitor]],'NHL Model'!$A$6:$B$38,2,FALSE)</f>
        <v>1.8116689824371455</v>
      </c>
      <c r="J41">
        <f>($B$1+Table4[[#This Row],[Home Differential]])-Table4[[#This Row],[Away Differential]]</f>
        <v>-1.6480780205087409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0.69244504140428098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9.4590052556814436E-2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-0.15682239438733669</v>
      </c>
      <c r="H42" t="s">
        <v>24</v>
      </c>
      <c r="I42">
        <f>VLOOKUP(Table4[[#This Row],[Visitor]],'NHL Model'!$A$6:$B$38,2,FALSE)</f>
        <v>-7.602164965773138E-2</v>
      </c>
      <c r="J42">
        <f>($B$1+Table4[[#This Row],[Home Differential]])-Table4[[#This Row],[Away Differential]]</f>
        <v>-5.8888281529556746E-3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0.48143118584087086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0.26891361501840544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-0.45160327336373768</v>
      </c>
      <c r="H43" t="s">
        <v>55</v>
      </c>
      <c r="I43">
        <f>VLOOKUP(Table4[[#This Row],[Visitor]],'NHL Model'!$A$6:$B$38,2,FALSE)</f>
        <v>0.18592042582238802</v>
      </c>
      <c r="J43">
        <f>($B$1+Table4[[#This Row],[Home Differential]])-Table4[[#This Row],[Away Differential]]</f>
        <v>-0.56261178260947609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0.52324241651981485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0.27378262644549539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0.6527374602185485</v>
      </c>
      <c r="H44" t="s">
        <v>13</v>
      </c>
      <c r="I44">
        <f>VLOOKUP(Table4[[#This Row],[Visitor]],'NHL Model'!$A$6:$B$38,2,FALSE)</f>
        <v>4.5005056179018996E-2</v>
      </c>
      <c r="J44">
        <f>($B$1+Table4[[#This Row],[Home Differential]])-Table4[[#This Row],[Away Differential]]</f>
        <v>0.68264432061617919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0.60683219637165897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0.15458092180993374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0.29544191342066151</v>
      </c>
      <c r="H45" t="s">
        <v>40</v>
      </c>
      <c r="I45">
        <f>VLOOKUP(Table4[[#This Row],[Visitor]],'NHL Model'!$A$6:$B$38,2,FALSE)</f>
        <v>-5.6782013784997053E-2</v>
      </c>
      <c r="J45">
        <f>($B$1+Table4[[#This Row],[Home Differential]])-Table4[[#This Row],[Away Differential]]</f>
        <v>0.42713584378230818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0.60203037310388852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0.36244057013960723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6.3057484159014243E-2</v>
      </c>
      <c r="H46" t="s">
        <v>29</v>
      </c>
      <c r="I46">
        <f>VLOOKUP(Table4[[#This Row],[Visitor]],'NHL Model'!$A$6:$B$38,2,FALSE)</f>
        <v>-0.29605365356197477</v>
      </c>
      <c r="J46">
        <f>($B$1+Table4[[#This Row],[Home Differential]])-Table4[[#This Row],[Away Differential]]</f>
        <v>0.43402305429763866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0.58878793446483213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0.34667123177136344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0.3028174375616956</v>
      </c>
      <c r="H47" t="s">
        <v>11</v>
      </c>
      <c r="I47">
        <f>VLOOKUP(Table4[[#This Row],[Visitor]],'NHL Model'!$A$6:$B$38,2,FALSE)</f>
        <v>0.20922229284068078</v>
      </c>
      <c r="J47">
        <f>($B$1+Table4[[#This Row],[Home Differential]])-Table4[[#This Row],[Away Differential]]</f>
        <v>0.16850706129766446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0.52663395464411711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0.22407541289586777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-1.7306849519822837E-2</v>
      </c>
      <c r="H48" t="s">
        <v>26</v>
      </c>
      <c r="I48">
        <f>VLOOKUP(Table4[[#This Row],[Visitor]],'NHL Model'!$A$6:$B$38,2,FALSE)</f>
        <v>-8.2026557704658234E-2</v>
      </c>
      <c r="J48">
        <f>($B$1+Table4[[#This Row],[Home Differential]])-Table4[[#This Row],[Away Differential]]</f>
        <v>0.13963162476148505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0.53351550535255299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0.28463879445159002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-0.46815423657711264</v>
      </c>
      <c r="H49" t="s">
        <v>35</v>
      </c>
      <c r="I49">
        <f>VLOOKUP(Table4[[#This Row],[Visitor]],'NHL Model'!$A$6:$B$38,2,FALSE)</f>
        <v>-0.90940046726085955</v>
      </c>
      <c r="J49">
        <f>($B$1+Table4[[#This Row],[Home Differential]])-Table4[[#This Row],[Away Differential]]</f>
        <v>0.51615814726039655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0.59802062727469818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0.35762867064602349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-5.9622828283354432E-4</v>
      </c>
      <c r="H50" t="s">
        <v>14</v>
      </c>
      <c r="I50">
        <f>VLOOKUP(Table4[[#This Row],[Visitor]],'NHL Model'!$A$6:$B$38,2,FALSE)</f>
        <v>3.3446447213402619E-2</v>
      </c>
      <c r="J50">
        <f>($B$1+Table4[[#This Row],[Home Differential]])-Table4[[#This Row],[Away Differential]]</f>
        <v>4.0869241080413482E-2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0.57602262659618308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0.17975681315839959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-0.31573427760518757</v>
      </c>
      <c r="H51" t="s">
        <v>20</v>
      </c>
      <c r="I51">
        <f>VLOOKUP(Table4[[#This Row],[Visitor]],'NHL Model'!$A$6:$B$38,2,FALSE)</f>
        <v>0.21230765705109297</v>
      </c>
      <c r="J51">
        <f>($B$1+Table4[[#This Row],[Home Differential]])-Table4[[#This Row],[Away Differential]]</f>
        <v>-0.45313001807963094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0.50093572197885305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0.24906515359676865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0.92535559469880035</v>
      </c>
      <c r="H52" t="s">
        <v>34</v>
      </c>
      <c r="I52">
        <f>VLOOKUP(Table4[[#This Row],[Visitor]],'NHL Model'!$A$6:$B$38,2,FALSE)</f>
        <v>0.6527374602185485</v>
      </c>
      <c r="J52">
        <f>($B$1+Table4[[#This Row],[Home Differential]])-Table4[[#This Row],[Away Differential]]</f>
        <v>0.34753005105690149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0.54730066907327435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0.20493668422150507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4.5205299343610755E-2</v>
      </c>
      <c r="H53" t="s">
        <v>32</v>
      </c>
      <c r="I53">
        <f>VLOOKUP(Table4[[#This Row],[Visitor]],'NHL Model'!$A$6:$B$38,2,FALSE)</f>
        <v>-0.34471182133334621</v>
      </c>
      <c r="J53">
        <f>($B$1+Table4[[#This Row],[Home Differential]])-Table4[[#This Row],[Away Differential]]</f>
        <v>0.46482903725360658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0.59225079263031055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0.16625941611061001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6.6163598639307278E-2</v>
      </c>
      <c r="H54" t="s">
        <v>17</v>
      </c>
      <c r="I54">
        <f>VLOOKUP(Table4[[#This Row],[Visitor]],'NHL Model'!$A$6:$B$38,2,FALSE)</f>
        <v>0.17499330177061237</v>
      </c>
      <c r="J54">
        <f>($B$1+Table4[[#This Row],[Home Differential]])-Table4[[#This Row],[Away Differential]]</f>
        <v>-3.3917786554655466E-2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0.46381265172721886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0.2874968724477967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-0.21695959508717547</v>
      </c>
      <c r="H55" t="s">
        <v>25</v>
      </c>
      <c r="I55">
        <f>VLOOKUP(Table4[[#This Row],[Visitor]],'NHL Model'!$A$6:$B$38,2,FALSE)</f>
        <v>0.53620748452970379</v>
      </c>
      <c r="J55">
        <f>($B$1+Table4[[#This Row],[Home Differential]])-Table4[[#This Row],[Away Differential]]</f>
        <v>-0.67825516304022959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0.59364530461623521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0.16512413846043228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-1.7306849519822837E-2</v>
      </c>
      <c r="H56" t="s">
        <v>29</v>
      </c>
      <c r="I56">
        <f>VLOOKUP(Table4[[#This Row],[Visitor]],'NHL Model'!$A$6:$B$38,2,FALSE)</f>
        <v>-0.29605365356197477</v>
      </c>
      <c r="J56">
        <f>($B$1+Table4[[#This Row],[Home Differential]])-Table4[[#This Row],[Away Differential]]</f>
        <v>0.35365872061880155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0.59106896372218432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0.16722459243124821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0.44972876941152479</v>
      </c>
      <c r="H57" t="s">
        <v>37</v>
      </c>
      <c r="I57">
        <f>VLOOKUP(Table4[[#This Row],[Visitor]],'NHL Model'!$A$6:$B$38,2,FALSE)</f>
        <v>0.77279348157483052</v>
      </c>
      <c r="J57">
        <f>($B$1+Table4[[#This Row],[Home Differential]])-Table4[[#This Row],[Away Differential]]</f>
        <v>-0.24815279558665604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0.55421030385135628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0.30714906089501265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8.8679045351754957E-2</v>
      </c>
      <c r="H58" t="s">
        <v>36</v>
      </c>
      <c r="I58">
        <f>VLOOKUP(Table4[[#This Row],[Visitor]],'NHL Model'!$A$6:$B$38,2,FALSE)</f>
        <v>6.3057484159014243E-2</v>
      </c>
      <c r="J58">
        <f>($B$1+Table4[[#This Row],[Home Differential]])-Table4[[#This Row],[Away Differential]]</f>
        <v>0.10053347776939037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0.56944036481975258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0.18538159944654775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-8.2026557704658234E-2</v>
      </c>
      <c r="H59" t="s">
        <v>11</v>
      </c>
      <c r="I59">
        <f>VLOOKUP(Table4[[#This Row],[Visitor]],'NHL Model'!$A$6:$B$38,2,FALSE)</f>
        <v>0.20922229284068078</v>
      </c>
      <c r="J59">
        <f>($B$1+Table4[[#This Row],[Home Differential]])-Table4[[#This Row],[Away Differential]]</f>
        <v>-0.21633693396868936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0.48712805449642133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0.23729374147746843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-0.90940046726085955</v>
      </c>
      <c r="H60" t="s">
        <v>10</v>
      </c>
      <c r="I60">
        <f>VLOOKUP(Table4[[#This Row],[Visitor]],'NHL Model'!$A$6:$B$38,2,FALSE)</f>
        <v>-0.45160327336373768</v>
      </c>
      <c r="J60">
        <f>($B$1+Table4[[#This Row],[Home Differential]])-Table4[[#This Row],[Away Differential]]</f>
        <v>-0.38288527732047223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0.50303960730309505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0.24696963190946197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0.18592042582238802</v>
      </c>
      <c r="H61" t="s">
        <v>16</v>
      </c>
      <c r="I61">
        <f>VLOOKUP(Table4[[#This Row],[Visitor]],'NHL Model'!$A$6:$B$38,2,FALSE)</f>
        <v>-0.31573427760518757</v>
      </c>
      <c r="J61">
        <f>($B$1+Table4[[#This Row],[Home Differential]])-Table4[[#This Row],[Away Differential]]</f>
        <v>0.57656662000422521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0.60481106059422729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0.15617429782865949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-5.9622828283354432E-4</v>
      </c>
      <c r="H62" t="s">
        <v>25</v>
      </c>
      <c r="I62">
        <f>VLOOKUP(Table4[[#This Row],[Visitor]],'NHL Model'!$A$6:$B$38,2,FALSE)</f>
        <v>0.53620748452970379</v>
      </c>
      <c r="J62">
        <f>($B$1+Table4[[#This Row],[Home Differential]])-Table4[[#This Row],[Away Differential]]</f>
        <v>-0.46189179623588772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0.5301814909733753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0.22072943142400064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-0.15682239438733669</v>
      </c>
      <c r="H63" t="s">
        <v>12</v>
      </c>
      <c r="I63">
        <f>VLOOKUP(Table4[[#This Row],[Visitor]],'NHL Model'!$A$6:$B$38,2,FALSE)</f>
        <v>1.8116689824371455</v>
      </c>
      <c r="J63">
        <f>($B$1+Table4[[#This Row],[Home Differential]])-Table4[[#This Row],[Away Differential]]</f>
        <v>-1.8935794602478326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0.75907314959723249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5.8045747244997517E-2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0.92535559469880035</v>
      </c>
      <c r="H64" t="s">
        <v>38</v>
      </c>
      <c r="I64">
        <f>VLOOKUP(Table4[[#This Row],[Visitor]],'NHL Model'!$A$6:$B$38,2,FALSE)</f>
        <v>-0.46815423657711264</v>
      </c>
      <c r="J64">
        <f>($B$1+Table4[[#This Row],[Home Differential]])-Table4[[#This Row],[Away Differential]]</f>
        <v>1.4684217478525627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0.70164863447863757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0.49231080626573676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4.5005056179018996E-2</v>
      </c>
      <c r="H65" t="s">
        <v>14</v>
      </c>
      <c r="I65">
        <f>VLOOKUP(Table4[[#This Row],[Visitor]],'NHL Model'!$A$6:$B$38,2,FALSE)</f>
        <v>3.3446447213402619E-2</v>
      </c>
      <c r="J65">
        <f>($B$1+Table4[[#This Row],[Home Differential]])-Table4[[#This Row],[Away Differential]]</f>
        <v>8.6470525542266016E-2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0.54243031319587309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0.29423064467377297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4.5205299343610755E-2</v>
      </c>
      <c r="H66" t="s">
        <v>29</v>
      </c>
      <c r="I66">
        <f>VLOOKUP(Table4[[#This Row],[Visitor]],'NHL Model'!$A$6:$B$38,2,FALSE)</f>
        <v>-0.29605365356197477</v>
      </c>
      <c r="J66">
        <f>($B$1+Table4[[#This Row],[Home Differential]])-Table4[[#This Row],[Away Differential]]</f>
        <v>0.41617086948223514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0.58678119492829428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0.17074978086488832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-7.602164965773138E-2</v>
      </c>
      <c r="H67" t="s">
        <v>11</v>
      </c>
      <c r="I67">
        <f>VLOOKUP(Table4[[#This Row],[Visitor]],'NHL Model'!$A$6:$B$38,2,FALSE)</f>
        <v>0.20922229284068078</v>
      </c>
      <c r="J67">
        <f>($B$1+Table4[[#This Row],[Home Differential]])-Table4[[#This Row],[Away Differential]]</f>
        <v>-0.21033202592176253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0.52053754362610283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0.27095933432429692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0.29544191342066151</v>
      </c>
      <c r="H68" t="s">
        <v>17</v>
      </c>
      <c r="I68">
        <f>VLOOKUP(Table4[[#This Row],[Visitor]],'NHL Model'!$A$6:$B$38,2,FALSE)</f>
        <v>0.17499330177061237</v>
      </c>
      <c r="J68">
        <f>($B$1+Table4[[#This Row],[Home Differential]])-Table4[[#This Row],[Away Differential]]</f>
        <v>0.19536052822669878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0.57597682872663913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0.17979564977671791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6.3057484159014243E-2</v>
      </c>
      <c r="H69" t="s">
        <v>32</v>
      </c>
      <c r="I69">
        <f>VLOOKUP(Table4[[#This Row],[Visitor]],'NHL Model'!$A$6:$B$38,2,FALSE)</f>
        <v>-0.34471182133334621</v>
      </c>
      <c r="J69">
        <f>($B$1+Table4[[#This Row],[Home Differential]])-Table4[[#This Row],[Away Differential]]</f>
        <v>0.4826812220690101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0.5942575321668484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0.16462695020333606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0.3028174375616956</v>
      </c>
      <c r="H70" t="s">
        <v>40</v>
      </c>
      <c r="I70">
        <f>VLOOKUP(Table4[[#This Row],[Visitor]],'NHL Model'!$A$6:$B$38,2,FALSE)</f>
        <v>-5.6782013784997053E-2</v>
      </c>
      <c r="J70">
        <f>($B$1+Table4[[#This Row],[Home Differential]])-Table4[[#This Row],[Away Differential]]</f>
        <v>0.43451136792334227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0.59339728057328778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0.35212033259177322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-1.7306849519822837E-2</v>
      </c>
      <c r="H71" t="s">
        <v>15</v>
      </c>
      <c r="I71">
        <f>VLOOKUP(Table4[[#This Row],[Visitor]],'NHL Model'!$A$6:$B$38,2,FALSE)</f>
        <v>6.6163598639307278E-2</v>
      </c>
      <c r="J71">
        <f>($B$1+Table4[[#This Row],[Home Differential]])-Table4[[#This Row],[Away Differential]]</f>
        <v>-8.5585315824804747E-3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0.51948057128006364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0.26986006393746126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0.21230765705109297</v>
      </c>
      <c r="H72" t="s">
        <v>21</v>
      </c>
      <c r="I72">
        <f>VLOOKUP(Table4[[#This Row],[Visitor]],'NHL Model'!$A$6:$B$38,2,FALSE)</f>
        <v>-6.5206076050157921E-2</v>
      </c>
      <c r="J72">
        <f>($B$1+Table4[[#This Row],[Home Differential]])-Table4[[#This Row],[Away Differential]]</f>
        <v>0.35242564967790058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0.57961568246192774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0.17672297443195076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-0.45160327336373768</v>
      </c>
      <c r="H73" t="s">
        <v>38</v>
      </c>
      <c r="I73">
        <f>VLOOKUP(Table4[[#This Row],[Visitor]],'NHL Model'!$A$6:$B$38,2,FALSE)</f>
        <v>-0.46815423657711264</v>
      </c>
      <c r="J73">
        <f>($B$1+Table4[[#This Row],[Home Differential]])-Table4[[#This Row],[Away Differential]]</f>
        <v>9.1462879790024598E-2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0.50776865368117252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0.25782900566119049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-8.2026557704658234E-2</v>
      </c>
      <c r="H74" t="s">
        <v>37</v>
      </c>
      <c r="I74">
        <f>VLOOKUP(Table4[[#This Row],[Visitor]],'NHL Model'!$A$6:$B$38,2,FALSE)</f>
        <v>0.77279348157483052</v>
      </c>
      <c r="J74">
        <f>($B$1+Table4[[#This Row],[Home Differential]])-Table4[[#This Row],[Away Differential]]</f>
        <v>-0.77990812270283916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0.58444259273190791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0.34157314419919477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0.18592042582238802</v>
      </c>
      <c r="H75" t="s">
        <v>33</v>
      </c>
      <c r="I75">
        <f>VLOOKUP(Table4[[#This Row],[Visitor]],'NHL Model'!$A$6:$B$38,2,FALSE)</f>
        <v>-0.21695959508717547</v>
      </c>
      <c r="J75">
        <f>($B$1+Table4[[#This Row],[Home Differential]])-Table4[[#This Row],[Away Differential]]</f>
        <v>0.47779193748621307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0.58641821478672806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0.17104989306019699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0.44972876941152479</v>
      </c>
      <c r="H76" t="s">
        <v>34</v>
      </c>
      <c r="I76">
        <f>VLOOKUP(Table4[[#This Row],[Visitor]],'NHL Model'!$A$6:$B$38,2,FALSE)</f>
        <v>0.6527374602185485</v>
      </c>
      <c r="J76">
        <f>($B$1+Table4[[#This Row],[Home Differential]])-Table4[[#This Row],[Away Differential]]</f>
        <v>-0.12809677423037402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0.54071497164713189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0.29237268056335863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8.8679045351754957E-2</v>
      </c>
      <c r="H77" t="s">
        <v>11</v>
      </c>
      <c r="I77">
        <f>VLOOKUP(Table4[[#This Row],[Visitor]],'NHL Model'!$A$6:$B$38,2,FALSE)</f>
        <v>0.20922229284068078</v>
      </c>
      <c r="J77">
        <f>($B$1+Table4[[#This Row],[Home Differential]])-Table4[[#This Row],[Away Differential]]</f>
        <v>-4.5631330912276169E-2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0.46296068043579286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0.21433259162957233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-0.15682239438733669</v>
      </c>
      <c r="H78" t="s">
        <v>37</v>
      </c>
      <c r="I78">
        <f>VLOOKUP(Table4[[#This Row],[Visitor]],'NHL Model'!$A$6:$B$38,2,FALSE)</f>
        <v>0.77279348157483052</v>
      </c>
      <c r="J78">
        <f>($B$1+Table4[[#This Row],[Home Differential]])-Table4[[#This Row],[Away Differential]]</f>
        <v>-0.85470395938551758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0.62696412717930572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0.39308401676970861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1.8116689824371455</v>
      </c>
      <c r="H79" t="s">
        <v>21</v>
      </c>
      <c r="I79">
        <f>VLOOKUP(Table4[[#This Row],[Visitor]],'NHL Model'!$A$6:$B$38,2,FALSE)</f>
        <v>-6.5206076050157921E-2</v>
      </c>
      <c r="J79">
        <f>($B$1+Table4[[#This Row],[Home Differential]])-Table4[[#This Row],[Away Differential]]</f>
        <v>1.9517869750639529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0.87837627206496904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1.479233119681443E-2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4.5005056179018996E-2</v>
      </c>
      <c r="H80" t="s">
        <v>25</v>
      </c>
      <c r="I80">
        <f>VLOOKUP(Table4[[#This Row],[Visitor]],'NHL Model'!$A$6:$B$38,2,FALSE)</f>
        <v>0.53620748452970379</v>
      </c>
      <c r="J80">
        <f>($B$1+Table4[[#This Row],[Home Differential]])-Table4[[#This Row],[Away Differential]]</f>
        <v>-0.41629051177403514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0.56419821854206309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0.18992319272191141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4.5205299343610755E-2</v>
      </c>
      <c r="H81" t="s">
        <v>15</v>
      </c>
      <c r="I81">
        <f>VLOOKUP(Table4[[#This Row],[Visitor]],'NHL Model'!$A$6:$B$38,2,FALSE)</f>
        <v>6.6163598639307278E-2</v>
      </c>
      <c r="J81">
        <f>($B$1+Table4[[#This Row],[Home Differential]])-Table4[[#This Row],[Away Differential]]</f>
        <v>5.3953617280953117E-2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0.47616326219187377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0.22673145226120711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-7.602164965773138E-2</v>
      </c>
      <c r="H82" t="s">
        <v>17</v>
      </c>
      <c r="I82">
        <f>VLOOKUP(Table4[[#This Row],[Visitor]],'NHL Model'!$A$6:$B$38,2,FALSE)</f>
        <v>0.17499330177061237</v>
      </c>
      <c r="J82">
        <f>($B$1+Table4[[#This Row],[Home Differential]])-Table4[[#This Row],[Away Differential]]</f>
        <v>-0.1761030348516941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0.47979549988953024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0.23020372171424422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6.3057484159014243E-2</v>
      </c>
      <c r="H83" t="s">
        <v>30</v>
      </c>
      <c r="I83">
        <f>VLOOKUP(Table4[[#This Row],[Visitor]],'NHL Model'!$A$6:$B$38,2,FALSE)</f>
        <v>0.29544191342066151</v>
      </c>
      <c r="J83">
        <f>($B$1+Table4[[#This Row],[Home Differential]])-Table4[[#This Row],[Away Differential]]</f>
        <v>-0.15747251268499762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0.51128468411929817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0.23884265997637416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0.3028174375616956</v>
      </c>
      <c r="H84" t="s">
        <v>34</v>
      </c>
      <c r="I84">
        <f>VLOOKUP(Table4[[#This Row],[Visitor]],'NHL Model'!$A$6:$B$38,2,FALSE)</f>
        <v>0.6527374602185485</v>
      </c>
      <c r="J84">
        <f>($B$1+Table4[[#This Row],[Home Differential]])-Table4[[#This Row],[Away Differential]]</f>
        <v>-0.27500810608020326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0.55722907236012176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0.31050423908332181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-0.21695959508717547</v>
      </c>
      <c r="H85" t="s">
        <v>14</v>
      </c>
      <c r="I85">
        <f>VLOOKUP(Table4[[#This Row],[Visitor]],'NHL Model'!$A$6:$B$38,2,FALSE)</f>
        <v>3.3446447213402619E-2</v>
      </c>
      <c r="J85">
        <f>($B$1+Table4[[#This Row],[Home Differential]])-Table4[[#This Row],[Away Differential]]</f>
        <v>-0.17549412572392845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0.48701677287829914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0.26315179130819455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-0.90940046726085955</v>
      </c>
      <c r="H86" t="s">
        <v>39</v>
      </c>
      <c r="I86">
        <f>VLOOKUP(Table4[[#This Row],[Visitor]],'NHL Model'!$A$6:$B$38,2,FALSE)</f>
        <v>0.92535559469880035</v>
      </c>
      <c r="J86">
        <f>($B$1+Table4[[#This Row],[Home Differential]])-Table4[[#This Row],[Away Differential]]</f>
        <v>-1.7598441453830103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0.74404014682778929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0.55359574009151824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-1.7306849519822837E-2</v>
      </c>
      <c r="H87" t="s">
        <v>32</v>
      </c>
      <c r="I87">
        <f>VLOOKUP(Table4[[#This Row],[Visitor]],'NHL Model'!$A$6:$B$38,2,FALSE)</f>
        <v>-0.34471182133334621</v>
      </c>
      <c r="J87">
        <f>($B$1+Table4[[#This Row],[Home Differential]])-Table4[[#This Row],[Away Differential]]</f>
        <v>0.40231688839017299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0.59653856142420059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0.35585825526605475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0.21230765705109297</v>
      </c>
      <c r="H88" t="s">
        <v>16</v>
      </c>
      <c r="I88">
        <f>VLOOKUP(Table4[[#This Row],[Visitor]],'NHL Model'!$A$6:$B$38,2,FALSE)</f>
        <v>-0.31573427760518757</v>
      </c>
      <c r="J88">
        <f>($B$1+Table4[[#This Row],[Home Differential]])-Table4[[#This Row],[Away Differential]]</f>
        <v>0.60295385123293022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0.60777721295675047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0.15383871467597426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-5.6782013784997053E-2</v>
      </c>
      <c r="H89" t="s">
        <v>29</v>
      </c>
      <c r="I89">
        <f>VLOOKUP(Table4[[#This Row],[Visitor]],'NHL Model'!$A$6:$B$38,2,FALSE)</f>
        <v>-0.29605365356197477</v>
      </c>
      <c r="J89">
        <f>($B$1+Table4[[#This Row],[Home Differential]])-Table4[[#This Row],[Away Differential]]</f>
        <v>0.31418355635362738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0.57531694135951816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0.18035570029623493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-0.45160327336373768</v>
      </c>
      <c r="H90" t="s">
        <v>31</v>
      </c>
      <c r="I90">
        <f>VLOOKUP(Table4[[#This Row],[Visitor]],'NHL Model'!$A$6:$B$38,2,FALSE)</f>
        <v>-5.9622828283354432E-4</v>
      </c>
      <c r="J90">
        <f>($B$1+Table4[[#This Row],[Home Differential]])-Table4[[#This Row],[Away Differential]]</f>
        <v>-0.37609512850425447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0.50227633601560961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0.25228151772126556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-8.2026557704658234E-2</v>
      </c>
      <c r="H91" t="s">
        <v>17</v>
      </c>
      <c r="I91">
        <f>VLOOKUP(Table4[[#This Row],[Visitor]],'NHL Model'!$A$6:$B$38,2,FALSE)</f>
        <v>0.17499330177061237</v>
      </c>
      <c r="J91">
        <f>($B$1+Table4[[#This Row],[Home Differential]])-Table4[[#This Row],[Away Differential]]</f>
        <v>-0.18210794289862098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0.4467723568286846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0.19960553882625748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0.18592042582238802</v>
      </c>
      <c r="H92" t="s">
        <v>21</v>
      </c>
      <c r="I92">
        <f>VLOOKUP(Table4[[#This Row],[Visitor]],'NHL Model'!$A$6:$B$38,2,FALSE)</f>
        <v>-6.5206076050157921E-2</v>
      </c>
      <c r="J92">
        <f>($B$1+Table4[[#This Row],[Home Differential]])-Table4[[#This Row],[Away Differential]]</f>
        <v>0.32603841844919557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0.57664953009940467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0.17922562036505488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0.44972876941152479</v>
      </c>
      <c r="H93" t="s">
        <v>38</v>
      </c>
      <c r="I93">
        <f>VLOOKUP(Table4[[#This Row],[Visitor]],'NHL Model'!$A$6:$B$38,2,FALSE)</f>
        <v>-0.46815423657711264</v>
      </c>
      <c r="J93">
        <f>($B$1+Table4[[#This Row],[Home Differential]])-Table4[[#This Row],[Away Differential]]</f>
        <v>0.99279492256528712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0.61367340029258444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0.37659504222666257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-0.31573427760518757</v>
      </c>
      <c r="H94" t="s">
        <v>40</v>
      </c>
      <c r="I94">
        <f>VLOOKUP(Table4[[#This Row],[Visitor]],'NHL Model'!$A$6:$B$38,2,FALSE)</f>
        <v>-5.6782013784997053E-2</v>
      </c>
      <c r="J94">
        <f>($B$1+Table4[[#This Row],[Home Differential]])-Table4[[#This Row],[Away Differential]]</f>
        <v>-0.18404034724354087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0.45014830316930649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0.30233688850759283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4.5205299343610755E-2</v>
      </c>
      <c r="H95" t="s">
        <v>23</v>
      </c>
      <c r="I95">
        <f>VLOOKUP(Table4[[#This Row],[Visitor]],'NHL Model'!$A$6:$B$38,2,FALSE)</f>
        <v>8.8679045351754957E-2</v>
      </c>
      <c r="J95">
        <f>($B$1+Table4[[#This Row],[Home Differential]])-Table4[[#This Row],[Away Differential]]</f>
        <v>3.1438170568505439E-2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0.54353392150532776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0.20836128081630428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6.6163598639307278E-2</v>
      </c>
      <c r="H96" t="s">
        <v>34</v>
      </c>
      <c r="I96">
        <f>VLOOKUP(Table4[[#This Row],[Visitor]],'NHL Model'!$A$6:$B$38,2,FALSE)</f>
        <v>0.6527374602185485</v>
      </c>
      <c r="J96">
        <f>($B$1+Table4[[#This Row],[Home Differential]])-Table4[[#This Row],[Away Differential]]</f>
        <v>-0.51166194500259166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0.5884032462521811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0.16941188769574267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0.3028174375616956</v>
      </c>
      <c r="H97" t="s">
        <v>32</v>
      </c>
      <c r="I97">
        <f>VLOOKUP(Table4[[#This Row],[Visitor]],'NHL Model'!$A$6:$B$38,2,FALSE)</f>
        <v>-0.34471182133334621</v>
      </c>
      <c r="J97">
        <f>($B$1+Table4[[#This Row],[Home Differential]])-Table4[[#This Row],[Away Differential]]</f>
        <v>0.72244117547169151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0.62576307414587351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0.14005327667274697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0.21230765705109297</v>
      </c>
      <c r="H98" t="s">
        <v>25</v>
      </c>
      <c r="I98">
        <f>VLOOKUP(Table4[[#This Row],[Visitor]],'NHL Model'!$A$6:$B$38,2,FALSE)</f>
        <v>0.53620748452970379</v>
      </c>
      <c r="J98">
        <f>($B$1+Table4[[#This Row],[Home Differential]])-Table4[[#This Row],[Away Differential]]</f>
        <v>-0.24898791090196115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0.54539196332976447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0.29745239366469517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-6.5206076050157921E-2</v>
      </c>
      <c r="H99" t="s">
        <v>11</v>
      </c>
      <c r="I99">
        <f>VLOOKUP(Table4[[#This Row],[Visitor]],'NHL Model'!$A$6:$B$38,2,FALSE)</f>
        <v>0.20922229284068078</v>
      </c>
      <c r="J99">
        <f>($B$1+Table4[[#This Row],[Home Differential]])-Table4[[#This Row],[Away Differential]]</f>
        <v>-0.19951645231418907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0.50518599062720959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0.24484090387157592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0.92535559469880035</v>
      </c>
      <c r="H100" t="s">
        <v>28</v>
      </c>
      <c r="I100">
        <f>VLOOKUP(Table4[[#This Row],[Visitor]],'NHL Model'!$A$6:$B$38,2,FALSE)</f>
        <v>-0.15682239438733669</v>
      </c>
      <c r="J100">
        <f>($B$1+Table4[[#This Row],[Home Differential]])-Table4[[#This Row],[Away Differential]]</f>
        <v>1.1570899056627866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0.70865897710636105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0.50219754583343401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-0.29605365356197477</v>
      </c>
      <c r="H101" t="s">
        <v>31</v>
      </c>
      <c r="I101">
        <f>VLOOKUP(Table4[[#This Row],[Visitor]],'NHL Model'!$A$6:$B$38,2,FALSE)</f>
        <v>-5.9622828283354432E-4</v>
      </c>
      <c r="J101">
        <f>($B$1+Table4[[#This Row],[Home Differential]])-Table4[[#This Row],[Away Differential]]</f>
        <v>-0.22054550870249159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0.48479121723730229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0.26544008983582057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0.29544191342066151</v>
      </c>
      <c r="H102" t="s">
        <v>33</v>
      </c>
      <c r="I102">
        <f>VLOOKUP(Table4[[#This Row],[Visitor]],'NHL Model'!$A$6:$B$38,2,FALSE)</f>
        <v>-0.21695959508717547</v>
      </c>
      <c r="J102">
        <f>($B$1+Table4[[#This Row],[Home Differential]])-Table4[[#This Row],[Away Differential]]</f>
        <v>0.58731342508448658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0.61278168409739209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0.14993802417045185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6.3057484159014243E-2</v>
      </c>
      <c r="H103" t="s">
        <v>17</v>
      </c>
      <c r="I103">
        <f>VLOOKUP(Table4[[#This Row],[Visitor]],'NHL Model'!$A$6:$B$38,2,FALSE)</f>
        <v>0.17499330177061237</v>
      </c>
      <c r="J103">
        <f>($B$1+Table4[[#This Row],[Home Differential]])-Table4[[#This Row],[Away Differential]]</f>
        <v>-3.7023901034948486E-2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0.46416180578298677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0.28712257038174954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3.3446447213402619E-2</v>
      </c>
      <c r="H104" t="s">
        <v>38</v>
      </c>
      <c r="I104">
        <f>VLOOKUP(Table4[[#This Row],[Visitor]],'NHL Model'!$A$6:$B$38,2,FALSE)</f>
        <v>-0.46815423657711264</v>
      </c>
      <c r="J104">
        <f>($B$1+Table4[[#This Row],[Home Differential]])-Table4[[#This Row],[Away Differential]]</f>
        <v>0.5765126003671649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0.56229242550706782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0.19158792076848577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-0.90940046726085955</v>
      </c>
      <c r="H105" t="s">
        <v>13</v>
      </c>
      <c r="I105">
        <f>VLOOKUP(Table4[[#This Row],[Visitor]],'NHL Model'!$A$6:$B$38,2,FALSE)</f>
        <v>4.5005056179018996E-2</v>
      </c>
      <c r="J105">
        <f>($B$1+Table4[[#This Row],[Home Differential]])-Table4[[#This Row],[Away Differential]]</f>
        <v>-0.87949360686322886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0.59125299770648765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0.16707411188393259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-1.7306849519822837E-2</v>
      </c>
      <c r="H106" t="s">
        <v>24</v>
      </c>
      <c r="I106">
        <f>VLOOKUP(Table4[[#This Row],[Visitor]],'NHL Model'!$A$6:$B$38,2,FALSE)</f>
        <v>-7.602164965773138E-2</v>
      </c>
      <c r="J106">
        <f>($B$1+Table4[[#This Row],[Home Differential]])-Table4[[#This Row],[Away Differential]]</f>
        <v>0.13362671671455817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0.54563304029872561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0.29771541466563073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0.18592042582238802</v>
      </c>
      <c r="H107" t="s">
        <v>12</v>
      </c>
      <c r="I107">
        <f>VLOOKUP(Table4[[#This Row],[Visitor]],'NHL Model'!$A$6:$B$38,2,FALSE)</f>
        <v>1.8116689824371455</v>
      </c>
      <c r="J107">
        <f>($B$1+Table4[[#This Row],[Home Differential]])-Table4[[#This Row],[Away Differential]]</f>
        <v>-1.5508366400381077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0.7205459006755276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0.51918639498030728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0.44972876941152479</v>
      </c>
      <c r="H108" t="s">
        <v>32</v>
      </c>
      <c r="I108">
        <f>VLOOKUP(Table4[[#This Row],[Visitor]],'NHL Model'!$A$6:$B$38,2,FALSE)</f>
        <v>-0.34471182133334621</v>
      </c>
      <c r="J108">
        <f>($B$1+Table4[[#This Row],[Home Differential]])-Table4[[#This Row],[Away Differential]]</f>
        <v>0.8693525073215207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0.64227717485886338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0.12796561962695621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8.8679045351754957E-2</v>
      </c>
      <c r="H109" t="s">
        <v>26</v>
      </c>
      <c r="I109">
        <f>VLOOKUP(Table4[[#This Row],[Visitor]],'NHL Model'!$A$6:$B$38,2,FALSE)</f>
        <v>-8.2026557704658234E-2</v>
      </c>
      <c r="J109">
        <f>($B$1+Table4[[#This Row],[Home Differential]])-Table4[[#This Row],[Away Differential]]</f>
        <v>0.24561751963306283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0.57306407294995543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0.18227428580608099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-0.31573427760518757</v>
      </c>
      <c r="H110" t="s">
        <v>18</v>
      </c>
      <c r="I110">
        <f>VLOOKUP(Table4[[#This Row],[Visitor]],'NHL Model'!$A$6:$B$38,2,FALSE)</f>
        <v>4.5205299343610755E-2</v>
      </c>
      <c r="J110">
        <f>($B$1+Table4[[#This Row],[Home Differential]])-Table4[[#This Row],[Away Differential]]</f>
        <v>-0.28602766037214866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0.51863846231170596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0.23170892996563891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-7.602164965773138E-2</v>
      </c>
      <c r="H111" t="s">
        <v>34</v>
      </c>
      <c r="I111">
        <f>VLOOKUP(Table4[[#This Row],[Visitor]],'NHL Model'!$A$6:$B$38,2,FALSE)</f>
        <v>0.6527374602185485</v>
      </c>
      <c r="J111">
        <f>($B$1+Table4[[#This Row],[Home Differential]])-Table4[[#This Row],[Away Differential]]</f>
        <v>-0.65384719329963026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0.60438609441449254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0.3652825511216039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-6.5206076050157921E-2</v>
      </c>
      <c r="H112" t="s">
        <v>31</v>
      </c>
      <c r="I112">
        <f>VLOOKUP(Table4[[#This Row],[Visitor]],'NHL Model'!$A$6:$B$38,2,FALSE)</f>
        <v>-5.9622828283354432E-4</v>
      </c>
      <c r="J112">
        <f>($B$1+Table4[[#This Row],[Home Differential]])-Table4[[#This Row],[Away Differential]]</f>
        <v>1.0302068809325262E-2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0.55517466188131281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0.30821890519503004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1.8116689824371455</v>
      </c>
      <c r="H113" t="s">
        <v>25</v>
      </c>
      <c r="I113">
        <f>VLOOKUP(Table4[[#This Row],[Visitor]],'NHL Model'!$A$6:$B$38,2,FALSE)</f>
        <v>0.53620748452970379</v>
      </c>
      <c r="J113">
        <f>($B$1+Table4[[#This Row],[Home Differential]])-Table4[[#This Row],[Away Differential]]</f>
        <v>1.3503734144840913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0.75737130710859335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0.57361129683137924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0.92535559469880035</v>
      </c>
      <c r="H114" t="s">
        <v>13</v>
      </c>
      <c r="I114">
        <f>VLOOKUP(Table4[[#This Row],[Visitor]],'NHL Model'!$A$6:$B$38,2,FALSE)</f>
        <v>4.5005056179018996E-2</v>
      </c>
      <c r="J114">
        <f>($B$1+Table4[[#This Row],[Home Differential]])-Table4[[#This Row],[Away Differential]]</f>
        <v>0.95526245509643104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0.65401748249440395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0.42773886740831796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0.17499330177061237</v>
      </c>
      <c r="H115" t="s">
        <v>18</v>
      </c>
      <c r="I115">
        <f>VLOOKUP(Table4[[#This Row],[Visitor]],'NHL Model'!$A$6:$B$38,2,FALSE)</f>
        <v>4.5205299343610755E-2</v>
      </c>
      <c r="J115">
        <f>($B$1+Table4[[#This Row],[Home Differential]])-Table4[[#This Row],[Away Differential]]</f>
        <v>0.20469991900365125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0.54213571935753113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0.20963969948824548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0.20922229284068078</v>
      </c>
      <c r="H116" t="s">
        <v>14</v>
      </c>
      <c r="I116">
        <f>VLOOKUP(Table4[[#This Row],[Visitor]],'NHL Model'!$A$6:$B$38,2,FALSE)</f>
        <v>3.3446447213402619E-2</v>
      </c>
      <c r="J116">
        <f>($B$1+Table4[[#This Row],[Home Differential]])-Table4[[#This Row],[Away Differential]]</f>
        <v>0.2506877622039278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0.56165678830211863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0.31545834784585092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-0.29605365356197477</v>
      </c>
      <c r="H117" t="s">
        <v>38</v>
      </c>
      <c r="I117">
        <f>VLOOKUP(Table4[[#This Row],[Visitor]],'NHL Model'!$A$6:$B$38,2,FALSE)</f>
        <v>-0.46815423657711264</v>
      </c>
      <c r="J117">
        <f>($B$1+Table4[[#This Row],[Home Differential]])-Table4[[#This Row],[Away Differential]]</f>
        <v>0.2470124995917875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0.5252537724594798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0.22538398056395539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0.29544191342066151</v>
      </c>
      <c r="H118" t="s">
        <v>26</v>
      </c>
      <c r="I118">
        <f>VLOOKUP(Table4[[#This Row],[Visitor]],'NHL Model'!$A$6:$B$38,2,FALSE)</f>
        <v>-8.2026557704658234E-2</v>
      </c>
      <c r="J118">
        <f>($B$1+Table4[[#This Row],[Home Differential]])-Table4[[#This Row],[Away Differential]]</f>
        <v>0.45238038770196937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0.57139940226481722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0.18369847237895595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6.6163598639307278E-2</v>
      </c>
      <c r="H119" t="s">
        <v>33</v>
      </c>
      <c r="I119">
        <f>VLOOKUP(Table4[[#This Row],[Visitor]],'NHL Model'!$A$6:$B$38,2,FALSE)</f>
        <v>-0.21695959508717547</v>
      </c>
      <c r="J119">
        <f>($B$1+Table4[[#This Row],[Home Differential]])-Table4[[#This Row],[Away Differential]]</f>
        <v>0.3580351103031324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0.5729565145879234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0.32827916760874126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6.3057484159014243E-2</v>
      </c>
      <c r="H120" t="s">
        <v>27</v>
      </c>
      <c r="I120">
        <f>VLOOKUP(Table4[[#This Row],[Visitor]],'NHL Model'!$A$6:$B$38,2,FALSE)</f>
        <v>0.3028174375616956</v>
      </c>
      <c r="J120">
        <f>($B$1+Table4[[#This Row],[Home Differential]])-Table4[[#This Row],[Away Differential]]</f>
        <v>-0.16484803682603172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0.49929957181376267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0.24930006241340674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-0.90940046726085955</v>
      </c>
      <c r="H121" t="s">
        <v>55</v>
      </c>
      <c r="I121">
        <f>VLOOKUP(Table4[[#This Row],[Visitor]],'NHL Model'!$A$6:$B$38,2,FALSE)</f>
        <v>0.18592042582238802</v>
      </c>
      <c r="J121">
        <f>($B$1+Table4[[#This Row],[Home Differential]])-Table4[[#This Row],[Away Differential]]</f>
        <v>-1.020408976506598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0.57470276931185849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0.18087773443100227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0.77279348157483052</v>
      </c>
      <c r="H122" t="s">
        <v>10</v>
      </c>
      <c r="I122">
        <f>VLOOKUP(Table4[[#This Row],[Visitor]],'NHL Model'!$A$6:$B$38,2,FALSE)</f>
        <v>-0.45160327336373768</v>
      </c>
      <c r="J122">
        <f>($B$1+Table4[[#This Row],[Home Differential]])-Table4[[#This Row],[Away Differential]]</f>
        <v>1.2993086715152178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0.69060795580177514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0.47693934861670662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-5.6782013784997053E-2</v>
      </c>
      <c r="H123" t="s">
        <v>32</v>
      </c>
      <c r="I123">
        <f>VLOOKUP(Table4[[#This Row],[Visitor]],'NHL Model'!$A$6:$B$38,2,FALSE)</f>
        <v>-0.34471182133334621</v>
      </c>
      <c r="J123">
        <f>($B$1+Table4[[#This Row],[Home Differential]])-Table4[[#This Row],[Away Differential]]</f>
        <v>0.36284172412499882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0.58078653906153443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0.33731300395507524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8.8679045351754957E-2</v>
      </c>
      <c r="H124" t="s">
        <v>19</v>
      </c>
      <c r="I124">
        <f>VLOOKUP(Table4[[#This Row],[Visitor]],'NHL Model'!$A$6:$B$38,2,FALSE)</f>
        <v>-1.7306849519822837E-2</v>
      </c>
      <c r="J124">
        <f>($B$1+Table4[[#This Row],[Home Differential]])-Table4[[#This Row],[Away Differential]]</f>
        <v>0.18089781144822745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0.59892656670549216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0.16085989889464403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-0.15682239438733669</v>
      </c>
      <c r="H125" t="s">
        <v>22</v>
      </c>
      <c r="I125">
        <f>VLOOKUP(Table4[[#This Row],[Visitor]],'NHL Model'!$A$6:$B$38,2,FALSE)</f>
        <v>0.44972876941152479</v>
      </c>
      <c r="J125">
        <f>($B$1+Table4[[#This Row],[Home Differential]])-Table4[[#This Row],[Away Differential]]</f>
        <v>-0.53163924722221179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0.52705055605082229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0.22368117653183639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-7.602164965773138E-2</v>
      </c>
      <c r="H126" t="s">
        <v>33</v>
      </c>
      <c r="I126">
        <f>VLOOKUP(Table4[[#This Row],[Visitor]],'NHL Model'!$A$6:$B$38,2,FALSE)</f>
        <v>-0.21695959508717547</v>
      </c>
      <c r="J126">
        <f>($B$1+Table4[[#This Row],[Home Differential]])-Table4[[#This Row],[Away Differential]]</f>
        <v>0.21584986200609374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0.55697366642561197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0.19627233224036494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-5.6782013784997053E-2</v>
      </c>
      <c r="H127" t="s">
        <v>16</v>
      </c>
      <c r="I127">
        <f>VLOOKUP(Table4[[#This Row],[Visitor]],'NHL Model'!$A$6:$B$38,2,FALSE)</f>
        <v>-0.31573427760518757</v>
      </c>
      <c r="J127">
        <f>($B$1+Table4[[#This Row],[Home Differential]])-Table4[[#This Row],[Away Differential]]</f>
        <v>0.33386418039684018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0.5775292132343407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0.17848156567039516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-6.5206076050157921E-2</v>
      </c>
      <c r="H128" t="s">
        <v>12</v>
      </c>
      <c r="I128">
        <f>VLOOKUP(Table4[[#This Row],[Visitor]],'NHL Model'!$A$6:$B$38,2,FALSE)</f>
        <v>1.8116689824371455</v>
      </c>
      <c r="J128">
        <f>($B$1+Table4[[#This Row],[Home Differential]])-Table4[[#This Row],[Away Differential]]</f>
        <v>-1.8019631419106537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0.73471994058108403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0.53981339108747162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0.92535559469880035</v>
      </c>
      <c r="H129" t="s">
        <v>25</v>
      </c>
      <c r="I129">
        <f>VLOOKUP(Table4[[#This Row],[Visitor]],'NHL Model'!$A$6:$B$38,2,FALSE)</f>
        <v>0.53620748452970379</v>
      </c>
      <c r="J129">
        <f>($B$1+Table4[[#This Row],[Home Differential]])-Table4[[#This Row],[Away Differential]]</f>
        <v>0.4640600267457462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0.57390347965180266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0.18155824465284176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-8.2026557704658234E-2</v>
      </c>
      <c r="H130" t="s">
        <v>35</v>
      </c>
      <c r="I130">
        <f>VLOOKUP(Table4[[#This Row],[Visitor]],'NHL Model'!$A$6:$B$38,2,FALSE)</f>
        <v>-0.90940046726085955</v>
      </c>
      <c r="J130">
        <f>($B$1+Table4[[#This Row],[Home Differential]])-Table4[[#This Row],[Away Differential]]</f>
        <v>0.90228582613285091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0.67512285498948532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0.10554515935018298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0.20922229284068078</v>
      </c>
      <c r="H131" t="s">
        <v>20</v>
      </c>
      <c r="I131">
        <f>VLOOKUP(Table4[[#This Row],[Visitor]],'NHL Model'!$A$6:$B$38,2,FALSE)</f>
        <v>0.21230765705109297</v>
      </c>
      <c r="J131">
        <f>($B$1+Table4[[#This Row],[Home Differential]])-Table4[[#This Row],[Away Differential]]</f>
        <v>7.1826552366237445E-2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0.52807392394247266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0.2227142212630551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0.6527374602185485</v>
      </c>
      <c r="H132" t="s">
        <v>55</v>
      </c>
      <c r="I132">
        <f>VLOOKUP(Table4[[#This Row],[Visitor]],'NHL Model'!$A$6:$B$38,2,FALSE)</f>
        <v>0.18592042582238802</v>
      </c>
      <c r="J132">
        <f>($B$1+Table4[[#This Row],[Home Differential]])-Table4[[#This Row],[Away Differential]]</f>
        <v>0.54172895097281015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0.62317874316746413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0.3883517459357802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-0.29605365356197477</v>
      </c>
      <c r="H133" t="s">
        <v>13</v>
      </c>
      <c r="I133">
        <f>VLOOKUP(Table4[[#This Row],[Visitor]],'NHL Model'!$A$6:$B$38,2,FALSE)</f>
        <v>4.5005056179018996E-2</v>
      </c>
      <c r="J133">
        <f>($B$1+Table4[[#This Row],[Home Differential]])-Table4[[#This Row],[Away Differential]]</f>
        <v>-0.26614679316434414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0.52230752613613662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0.27280515185845106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0.3028174375616956</v>
      </c>
      <c r="H134" t="s">
        <v>30</v>
      </c>
      <c r="I134">
        <f>VLOOKUP(Table4[[#This Row],[Visitor]],'NHL Model'!$A$6:$B$38,2,FALSE)</f>
        <v>0.29544191342066151</v>
      </c>
      <c r="J134">
        <f>($B$1+Table4[[#This Row],[Home Differential]])-Table4[[#This Row],[Away Differential]]</f>
        <v>8.2287440717683735E-2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0.52025226299919336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0.23015789115739513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3.3446447213402619E-2</v>
      </c>
      <c r="H135" t="s">
        <v>28</v>
      </c>
      <c r="I135">
        <f>VLOOKUP(Table4[[#This Row],[Visitor]],'NHL Model'!$A$6:$B$38,2,FALSE)</f>
        <v>-0.15682239438733669</v>
      </c>
      <c r="J135">
        <f>($B$1+Table4[[#This Row],[Home Differential]])-Table4[[#This Row],[Away Differential]]</f>
        <v>0.26518075817738895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0.56980860422778545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0.32468184545201706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-0.34471182133334621</v>
      </c>
      <c r="H136" t="s">
        <v>17</v>
      </c>
      <c r="I136">
        <f>VLOOKUP(Table4[[#This Row],[Visitor]],'NHL Model'!$A$6:$B$38,2,FALSE)</f>
        <v>0.17499330177061237</v>
      </c>
      <c r="J136">
        <f>($B$1+Table4[[#This Row],[Home Differential]])-Table4[[#This Row],[Away Differential]]</f>
        <v>-0.44479320652730892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0.50999859246088652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0.26009856431208545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0.77279348157483052</v>
      </c>
      <c r="H137" t="s">
        <v>31</v>
      </c>
      <c r="I137">
        <f>VLOOKUP(Table4[[#This Row],[Visitor]],'NHL Model'!$A$6:$B$38,2,FALSE)</f>
        <v>-5.9622828283354432E-4</v>
      </c>
      <c r="J137">
        <f>($B$1+Table4[[#This Row],[Home Differential]])-Table4[[#This Row],[Away Differential]]</f>
        <v>0.84830162643431373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0.63991087429721694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0.12966417844939471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-1.7306849519822837E-2</v>
      </c>
      <c r="H138" t="s">
        <v>23</v>
      </c>
      <c r="I138">
        <f>VLOOKUP(Table4[[#This Row],[Visitor]],'NHL Model'!$A$6:$B$38,2,FALSE)</f>
        <v>8.8679045351754957E-2</v>
      </c>
      <c r="J138">
        <f>($B$1+Table4[[#This Row],[Home Differential]])-Table4[[#This Row],[Away Differential]]</f>
        <v>-3.1073978294928153E-2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0.45217830970078216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0.20446522376385645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-0.46815423657711264</v>
      </c>
      <c r="H139" t="s">
        <v>18</v>
      </c>
      <c r="I139">
        <f>VLOOKUP(Table4[[#This Row],[Visitor]],'NHL Model'!$A$6:$B$38,2,FALSE)</f>
        <v>4.5205299343610755E-2</v>
      </c>
      <c r="J139">
        <f>($B$1+Table4[[#This Row],[Home Differential]])-Table4[[#This Row],[Away Differential]]</f>
        <v>-0.43844761934407372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0.56668886852333333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0.18775853666158909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0.44972876941152479</v>
      </c>
      <c r="H140" t="s">
        <v>36</v>
      </c>
      <c r="I140">
        <f>VLOOKUP(Table4[[#This Row],[Visitor]],'NHL Model'!$A$6:$B$38,2,FALSE)</f>
        <v>6.3057484159014243E-2</v>
      </c>
      <c r="J140">
        <f>($B$1+Table4[[#This Row],[Home Differential]])-Table4[[#This Row],[Away Differential]]</f>
        <v>0.46158320182916024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0.57569545654494292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0.33142525868649025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-0.31573427760518757</v>
      </c>
      <c r="H141" t="s">
        <v>15</v>
      </c>
      <c r="I141">
        <f>VLOOKUP(Table4[[#This Row],[Visitor]],'NHL Model'!$A$6:$B$38,2,FALSE)</f>
        <v>6.6163598639307278E-2</v>
      </c>
      <c r="J141">
        <f>($B$1+Table4[[#This Row],[Home Differential]])-Table4[[#This Row],[Away Differential]]</f>
        <v>-0.3069859596678452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0.53351777040762427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0.28464121134072251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-0.45160327336373768</v>
      </c>
      <c r="H142" t="s">
        <v>13</v>
      </c>
      <c r="I142">
        <f>VLOOKUP(Table4[[#This Row],[Visitor]],'NHL Model'!$A$6:$B$38,2,FALSE)</f>
        <v>4.5005056179018996E-2</v>
      </c>
      <c r="J142">
        <f>($B$1+Table4[[#This Row],[Home Differential]])-Table4[[#This Row],[Away Differential]]</f>
        <v>-0.42169641296610705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0.53979264491444401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0.21179080967484301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0.6527374602185485</v>
      </c>
      <c r="H143" t="s">
        <v>33</v>
      </c>
      <c r="I143">
        <f>VLOOKUP(Table4[[#This Row],[Visitor]],'NHL Model'!$A$6:$B$38,2,FALSE)</f>
        <v>-0.21695959508717547</v>
      </c>
      <c r="J143">
        <f>($B$1+Table4[[#This Row],[Home Differential]])-Table4[[#This Row],[Away Differential]]</f>
        <v>0.94460897188237358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0.66123837484247128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0.43723618836431255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-7.602164965773138E-2</v>
      </c>
      <c r="H144" t="s">
        <v>12</v>
      </c>
      <c r="I144">
        <f>VLOOKUP(Table4[[#This Row],[Visitor]],'NHL Model'!$A$6:$B$38,2,FALSE)</f>
        <v>1.8116689824371455</v>
      </c>
      <c r="J144">
        <f>($B$1+Table4[[#This Row],[Home Differential]])-Table4[[#This Row],[Away Differential]]</f>
        <v>-1.8127787155182271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0.74999044903664369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0.5624856736461864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-0.29605365356197477</v>
      </c>
      <c r="H145" t="s">
        <v>39</v>
      </c>
      <c r="I145">
        <f>VLOOKUP(Table4[[#This Row],[Visitor]],'NHL Model'!$A$6:$B$38,2,FALSE)</f>
        <v>0.92535559469880035</v>
      </c>
      <c r="J145">
        <f>($B$1+Table4[[#This Row],[Home Differential]])-Table4[[#This Row],[Away Differential]]</f>
        <v>-1.1464973316841256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0.67509467525743827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0.1055634700460695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0.77279348157483052</v>
      </c>
      <c r="H146" t="s">
        <v>20</v>
      </c>
      <c r="I146">
        <f>VLOOKUP(Table4[[#This Row],[Visitor]],'NHL Model'!$A$6:$B$38,2,FALSE)</f>
        <v>0.21230765705109297</v>
      </c>
      <c r="J146">
        <f>($B$1+Table4[[#This Row],[Home Differential]])-Table4[[#This Row],[Away Differential]]</f>
        <v>0.63539774110038716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0.59523370979446788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0.16383574968674905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-0.46815423657711264</v>
      </c>
      <c r="H147" t="s">
        <v>17</v>
      </c>
      <c r="I147">
        <f>VLOOKUP(Table4[[#This Row],[Visitor]],'NHL Model'!$A$6:$B$38,2,FALSE)</f>
        <v>0.17499330177061237</v>
      </c>
      <c r="J147">
        <f>($B$1+Table4[[#This Row],[Home Differential]])-Table4[[#This Row],[Away Differential]]</f>
        <v>-0.56823562177107534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0.52387458454347169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0.27444458033059504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-5.6782013784997053E-2</v>
      </c>
      <c r="H148" t="s">
        <v>55</v>
      </c>
      <c r="I148">
        <f>VLOOKUP(Table4[[#This Row],[Visitor]],'NHL Model'!$A$6:$B$38,2,FALSE)</f>
        <v>0.18592042582238802</v>
      </c>
      <c r="J148">
        <f>($B$1+Table4[[#This Row],[Home Differential]])-Table4[[#This Row],[Away Differential]]</f>
        <v>-0.16779052303073544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0.478861101870938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0.27158575114317285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6.3057484159014243E-2</v>
      </c>
      <c r="H149" t="s">
        <v>21</v>
      </c>
      <c r="I149">
        <f>VLOOKUP(Table4[[#This Row],[Visitor]],'NHL Model'!$A$6:$B$38,2,FALSE)</f>
        <v>-6.5206076050157921E-2</v>
      </c>
      <c r="J149">
        <f>($B$1+Table4[[#This Row],[Home Differential]])-Table4[[#This Row],[Away Differential]]</f>
        <v>0.20317547678582182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0.56283867584483205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0.19111002333709984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3.3446447213402619E-2</v>
      </c>
      <c r="H150" t="s">
        <v>35</v>
      </c>
      <c r="I150">
        <f>VLOOKUP(Table4[[#This Row],[Visitor]],'NHL Model'!$A$6:$B$38,2,FALSE)</f>
        <v>-0.90940046726085955</v>
      </c>
      <c r="J150">
        <f>($B$1+Table4[[#This Row],[Home Differential]])-Table4[[#This Row],[Away Differential]]</f>
        <v>1.0177588310509118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0.65440487010688764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0.11943599380583721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-6.5206076050157921E-2</v>
      </c>
      <c r="H151" t="s">
        <v>30</v>
      </c>
      <c r="I151">
        <f>VLOOKUP(Table4[[#This Row],[Visitor]],'NHL Model'!$A$6:$B$38,2,FALSE)</f>
        <v>0.29544191342066151</v>
      </c>
      <c r="J151">
        <f>($B$1+Table4[[#This Row],[Home Differential]])-Table4[[#This Row],[Away Differential]]</f>
        <v>-0.2857360728941698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0.51157125367246614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0.26170514758401869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8.8679045351754957E-2</v>
      </c>
      <c r="H152" t="s">
        <v>28</v>
      </c>
      <c r="I152">
        <f>VLOOKUP(Table4[[#This Row],[Visitor]],'NHL Model'!$A$6:$B$38,2,FALSE)</f>
        <v>-0.15682239438733669</v>
      </c>
      <c r="J152">
        <f>($B$1+Table4[[#This Row],[Home Differential]])-Table4[[#This Row],[Away Differential]]</f>
        <v>0.3204133563157413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0.61460931717789868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0.37774461276188287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0.53620748452970379</v>
      </c>
      <c r="H153" t="s">
        <v>20</v>
      </c>
      <c r="I153">
        <f>VLOOKUP(Table4[[#This Row],[Visitor]],'NHL Model'!$A$6:$B$38,2,FALSE)</f>
        <v>0.21230765705109297</v>
      </c>
      <c r="J153">
        <f>($B$1+Table4[[#This Row],[Home Differential]])-Table4[[#This Row],[Away Differential]]</f>
        <v>0.39881174405526043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0.61004727082367483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0.37215767263941407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-0.45160327336373768</v>
      </c>
      <c r="H154" t="s">
        <v>36</v>
      </c>
      <c r="I154">
        <f>VLOOKUP(Table4[[#This Row],[Visitor]],'NHL Model'!$A$6:$B$38,2,FALSE)</f>
        <v>6.3057484159014243E-2</v>
      </c>
      <c r="J154">
        <f>($B$1+Table4[[#This Row],[Home Differential]])-Table4[[#This Row],[Away Differential]]</f>
        <v>-0.43974884094610228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0.53020079303447287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0.28111288093438391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1.8116689824371455</v>
      </c>
      <c r="H155" t="s">
        <v>24</v>
      </c>
      <c r="I155">
        <f>VLOOKUP(Table4[[#This Row],[Visitor]],'NHL Model'!$A$6:$B$38,2,FALSE)</f>
        <v>-7.602164965773138E-2</v>
      </c>
      <c r="J155">
        <f>($B$1+Table4[[#This Row],[Home Differential]])-Table4[[#This Row],[Away Differential]]</f>
        <v>1.9626025486715264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0.860613452619583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1.9428609590633233E-2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0.92535559469880035</v>
      </c>
      <c r="H156" t="s">
        <v>22</v>
      </c>
      <c r="I156">
        <f>VLOOKUP(Table4[[#This Row],[Visitor]],'NHL Model'!$A$6:$B$38,2,FALSE)</f>
        <v>0.44972876941152479</v>
      </c>
      <c r="J156">
        <f>($B$1+Table4[[#This Row],[Home Differential]])-Table4[[#This Row],[Away Differential]]</f>
        <v>0.55053874186392515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0.63331387404659512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0.13445871496671633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0.17499330177061237</v>
      </c>
      <c r="H157" t="s">
        <v>55</v>
      </c>
      <c r="I157">
        <f>VLOOKUP(Table4[[#This Row],[Visitor]],'NHL Model'!$A$6:$B$38,2,FALSE)</f>
        <v>0.18592042582238802</v>
      </c>
      <c r="J157">
        <f>($B$1+Table4[[#This Row],[Home Differential]])-Table4[[#This Row],[Away Differential]]</f>
        <v>6.398479252487399E-2</v>
      </c>
      <c r="K157" t="str">
        <f>IF(Table4[[#This Row],[HomeIce Differential]]&gt;0,Table4[[#This Row],[Home]],Table4[[#This Row],[Visitor]])</f>
        <v>Edmonton Oilers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0.58322930886575841</v>
      </c>
      <c r="M157" t="str">
        <f>IF(OR((NHL2025_26Results[[#This Row],[Winning Team]]="")),"-",IF(Table4[[#This Row],[Predicted Winner]]=NHL2025_26Results[[#This Row],[Winning Team]],"YES","NO"))</f>
        <v>YES</v>
      </c>
      <c r="N157">
        <f>IF(Table4[[#This Row],[Adjusted Correct]]="-", "",IF(Table4[[#This Row],[Adjusted Correct]]="YES",(Table4[[#This Row],[Strength of Win]]-1)^2,(Table4[[#This Row],[Strength of Win]]-0)^2))</f>
        <v>0.17369780898851339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0.20922229284068078</v>
      </c>
      <c r="H158" t="s">
        <v>31</v>
      </c>
      <c r="I158">
        <f>VLOOKUP(Table4[[#This Row],[Visitor]],'NHL Model'!$A$6:$B$38,2,FALSE)</f>
        <v>-5.9622828283354432E-4</v>
      </c>
      <c r="J158">
        <f>($B$1+Table4[[#This Row],[Home Differential]])-Table4[[#This Row],[Away Differential]]</f>
        <v>0.28473043770016399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0.57277154782417594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0.32806724599690229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0.6527374602185485</v>
      </c>
      <c r="H159" t="s">
        <v>40</v>
      </c>
      <c r="I159">
        <f>VLOOKUP(Table4[[#This Row],[Visitor]],'NHL Model'!$A$6:$B$38,2,FALSE)</f>
        <v>-5.6782013784997053E-2</v>
      </c>
      <c r="J159">
        <f>($B$1+Table4[[#This Row],[Home Differential]])-Table4[[#This Row],[Away Differential]]</f>
        <v>0.78443139058019518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0.65046059052735072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0.42309897982918981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-0.29605365356197477</v>
      </c>
      <c r="H160" t="s">
        <v>37</v>
      </c>
      <c r="I160">
        <f>VLOOKUP(Table4[[#This Row],[Visitor]],'NHL Model'!$A$6:$B$38,2,FALSE)</f>
        <v>0.77279348157483052</v>
      </c>
      <c r="J160">
        <f>($B$1+Table4[[#This Row],[Home Differential]])-Table4[[#This Row],[Away Differential]]</f>
        <v>-0.99393521856015565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0.64261492148805688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0.12772409434298776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0.3028174375616956</v>
      </c>
      <c r="H161" t="s">
        <v>14</v>
      </c>
      <c r="I161">
        <f>VLOOKUP(Table4[[#This Row],[Visitor]],'NHL Model'!$A$6:$B$38,2,FALSE)</f>
        <v>3.3446447213402619E-2</v>
      </c>
      <c r="J161">
        <f>($B$1+Table4[[#This Row],[Home Differential]])-Table4[[#This Row],[Away Differential]]</f>
        <v>0.34428290692494262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0.57597543221807701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0.1797968340826466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-0.34471182133334621</v>
      </c>
      <c r="H162" t="s">
        <v>18</v>
      </c>
      <c r="I162">
        <f>VLOOKUP(Table4[[#This Row],[Visitor]],'NHL Model'!$A$6:$B$38,2,FALSE)</f>
        <v>4.5205299343610755E-2</v>
      </c>
      <c r="J162">
        <f>($B$1+Table4[[#This Row],[Home Differential]])-Table4[[#This Row],[Away Differential]]</f>
        <v>-0.3150052041003073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0.55281287644074817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0.19997632347719757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-0.21695959508717547</v>
      </c>
      <c r="H163" t="s">
        <v>13</v>
      </c>
      <c r="I163">
        <f>VLOOKUP(Table4[[#This Row],[Visitor]],'NHL Model'!$A$6:$B$38,2,FALSE)</f>
        <v>4.5005056179018996E-2</v>
      </c>
      <c r="J163">
        <f>($B$1+Table4[[#This Row],[Home Differential]])-Table4[[#This Row],[Away Differential]]</f>
        <v>-0.18705273468954481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0.51341667182962825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0.23676333525335569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-0.90940046726085955</v>
      </c>
      <c r="H164" t="s">
        <v>26</v>
      </c>
      <c r="I164">
        <f>VLOOKUP(Table4[[#This Row],[Visitor]],'NHL Model'!$A$6:$B$38,2,FALSE)</f>
        <v>-8.2026557704658234E-2</v>
      </c>
      <c r="J164">
        <f>($B$1+Table4[[#This Row],[Home Differential]])-Table4[[#This Row],[Away Differential]]</f>
        <v>-0.75246199297955163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0.57816663309514338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0.17794338943428739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-1.7306849519822837E-2</v>
      </c>
      <c r="H165" t="s">
        <v>16</v>
      </c>
      <c r="I165">
        <f>VLOOKUP(Table4[[#This Row],[Visitor]],'NHL Model'!$A$6:$B$38,2,FALSE)</f>
        <v>-0.31573427760518757</v>
      </c>
      <c r="J165">
        <f>($B$1+Table4[[#This Row],[Home Differential]])-Table4[[#This Row],[Away Differential]]</f>
        <v>0.37333934466201435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0.59328123559700685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0.16542015331749746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-0.46815423657711264</v>
      </c>
      <c r="H166" t="s">
        <v>15</v>
      </c>
      <c r="I166">
        <f>VLOOKUP(Table4[[#This Row],[Visitor]],'NHL Model'!$A$6:$B$38,2,FALSE)</f>
        <v>6.6163598639307278E-2</v>
      </c>
      <c r="J166">
        <f>($B$1+Table4[[#This Row],[Home Differential]])-Table4[[#This Row],[Away Differential]]</f>
        <v>-0.45940591863977026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0.58154277703207324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0.17510644745402917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-0.15682239438733669</v>
      </c>
      <c r="H167" t="s">
        <v>19</v>
      </c>
      <c r="I167">
        <f>VLOOKUP(Table4[[#This Row],[Visitor]],'NHL Model'!$A$6:$B$38,2,FALSE)</f>
        <v>-1.7306849519822837E-2</v>
      </c>
      <c r="J167">
        <f>($B$1+Table4[[#This Row],[Home Differential]])-Table4[[#This Row],[Away Differential]]</f>
        <v>-6.4603628290864218E-2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0.46726200498345788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0.21833378130116102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-6.5206076050157921E-2</v>
      </c>
      <c r="H168" t="s">
        <v>23</v>
      </c>
      <c r="I168">
        <f>VLOOKUP(Table4[[#This Row],[Visitor]],'NHL Model'!$A$6:$B$38,2,FALSE)</f>
        <v>8.8679045351754957E-2</v>
      </c>
      <c r="J168">
        <f>($B$1+Table4[[#This Row],[Home Differential]])-Table4[[#This Row],[Away Differential]]</f>
        <v>-7.8973204825263238E-2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0.45486064881540289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0.20689820984076929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0.53620748452970379</v>
      </c>
      <c r="H169" t="s">
        <v>30</v>
      </c>
      <c r="I169">
        <f>VLOOKUP(Table4[[#This Row],[Visitor]],'NHL Model'!$A$6:$B$38,2,FALSE)</f>
        <v>0.29544191342066151</v>
      </c>
      <c r="J169">
        <f>($B$1+Table4[[#This Row],[Home Differential]])-Table4[[#This Row],[Away Differential]]</f>
        <v>0.31567748768569193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0.5880575790605348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0.16969655816946755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0.17499330177061237</v>
      </c>
      <c r="H170" t="s">
        <v>15</v>
      </c>
      <c r="I170">
        <f>VLOOKUP(Table4[[#This Row],[Visitor]],'NHL Model'!$A$6:$B$38,2,FALSE)</f>
        <v>6.6163598639307278E-2</v>
      </c>
      <c r="J170">
        <f>($B$1+Table4[[#This Row],[Home Differential]])-Table4[[#This Row],[Away Differential]]</f>
        <v>0.18374161970795472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0.52726207222053456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0.27800529280229219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4.5005056179018996E-2</v>
      </c>
      <c r="H171" t="s">
        <v>26</v>
      </c>
      <c r="I171">
        <f>VLOOKUP(Table4[[#This Row],[Visitor]],'NHL Model'!$A$6:$B$38,2,FALSE)</f>
        <v>-8.2026557704658234E-2</v>
      </c>
      <c r="J171">
        <f>($B$1+Table4[[#This Row],[Home Differential]])-Table4[[#This Row],[Away Differential]]</f>
        <v>0.20194353046032687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0.52911677885588826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0.27996456566683098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0.6527374602185485</v>
      </c>
      <c r="H172" t="s">
        <v>14</v>
      </c>
      <c r="I172">
        <f>VLOOKUP(Table4[[#This Row],[Visitor]],'NHL Model'!$A$6:$B$38,2,FALSE)</f>
        <v>3.3446447213402619E-2</v>
      </c>
      <c r="J172">
        <f>($B$1+Table4[[#This Row],[Home Differential]])-Table4[[#This Row],[Away Differential]]</f>
        <v>0.69420292958179552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0.63309057610139174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0.40080367754839208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6.3057484159014243E-2</v>
      </c>
      <c r="H173" t="s">
        <v>16</v>
      </c>
      <c r="I173">
        <f>VLOOKUP(Table4[[#This Row],[Visitor]],'NHL Model'!$A$6:$B$38,2,FALSE)</f>
        <v>-0.31573427760518757</v>
      </c>
      <c r="J173">
        <f>($B$1+Table4[[#This Row],[Home Differential]])-Table4[[#This Row],[Away Differential]]</f>
        <v>0.45370367834085146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0.59100020633965467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0.16728083121420506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0.3028174375616956</v>
      </c>
      <c r="H174" t="s">
        <v>29</v>
      </c>
      <c r="I174">
        <f>VLOOKUP(Table4[[#This Row],[Visitor]],'NHL Model'!$A$6:$B$38,2,FALSE)</f>
        <v>-0.29605365356197477</v>
      </c>
      <c r="J174">
        <f>($B$1+Table4[[#This Row],[Home Differential]])-Table4[[#This Row],[Away Differential]]</f>
        <v>0.67378300770031996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0.62029347644385724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0.14417704403109161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-0.21695959508717547</v>
      </c>
      <c r="H175" t="s">
        <v>24</v>
      </c>
      <c r="I175">
        <f>VLOOKUP(Table4[[#This Row],[Visitor]],'NHL Model'!$A$6:$B$38,2,FALSE)</f>
        <v>-7.602164965773138E-2</v>
      </c>
      <c r="J175">
        <f>($B$1+Table4[[#This Row],[Home Differential]])-Table4[[#This Row],[Away Differential]]</f>
        <v>-6.6026028852794447E-2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0.48819112584311358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0.23833057535196675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-0.90940046726085955</v>
      </c>
      <c r="H176" t="s">
        <v>38</v>
      </c>
      <c r="I176">
        <f>VLOOKUP(Table4[[#This Row],[Visitor]],'NHL Model'!$A$6:$B$38,2,FALSE)</f>
        <v>-0.46815423657711264</v>
      </c>
      <c r="J176">
        <f>($B$1+Table4[[#This Row],[Home Differential]])-Table4[[#This Row],[Away Differential]]</f>
        <v>-0.36633431410709727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0.54369169911087112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0.20821726546032379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0.77279348157483052</v>
      </c>
      <c r="H177" t="s">
        <v>39</v>
      </c>
      <c r="I177">
        <f>VLOOKUP(Table4[[#This Row],[Visitor]],'NHL Model'!$A$6:$B$38,2,FALSE)</f>
        <v>0.92535559469880035</v>
      </c>
      <c r="J177">
        <f>($B$1+Table4[[#This Row],[Home Differential]])-Table4[[#This Row],[Away Differential]]</f>
        <v>-7.7650196547320194E-2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0.55039521844017225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0.30293489648180494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-5.6782013784997053E-2</v>
      </c>
      <c r="H178" t="s">
        <v>10</v>
      </c>
      <c r="I178">
        <f>VLOOKUP(Table4[[#This Row],[Visitor]],'NHL Model'!$A$6:$B$38,2,FALSE)</f>
        <v>-0.45160327336373768</v>
      </c>
      <c r="J178">
        <f>($B$1+Table4[[#This Row],[Home Differential]])-Table4[[#This Row],[Away Differential]]</f>
        <v>0.46973317615539029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0.59280206013782544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0.16581016222799913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-5.9622828283354432E-4</v>
      </c>
      <c r="H179" t="s">
        <v>26</v>
      </c>
      <c r="I179">
        <f>VLOOKUP(Table4[[#This Row],[Visitor]],'NHL Model'!$A$6:$B$38,2,FALSE)</f>
        <v>-8.2026557704658234E-2</v>
      </c>
      <c r="J179">
        <f>($B$1+Table4[[#This Row],[Home Differential]])-Table4[[#This Row],[Away Differential]]</f>
        <v>0.15634224599847435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0.56302876225323983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0.19094386261793558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0.21230765705109297</v>
      </c>
      <c r="H180" t="s">
        <v>12</v>
      </c>
      <c r="I180">
        <f>VLOOKUP(Table4[[#This Row],[Visitor]],'NHL Model'!$A$6:$B$38,2,FALSE)</f>
        <v>1.8116689824371455</v>
      </c>
      <c r="J180">
        <f>($B$1+Table4[[#This Row],[Home Differential]])-Table4[[#This Row],[Away Differential]]</f>
        <v>-1.5244494088094029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0.71757974831300453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7.9761198562945862E-2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0.44972876941152479</v>
      </c>
      <c r="H181" t="s">
        <v>30</v>
      </c>
      <c r="I181">
        <f>VLOOKUP(Table4[[#This Row],[Visitor]],'NHL Model'!$A$6:$B$38,2,FALSE)</f>
        <v>0.29544191342066151</v>
      </c>
      <c r="J181">
        <f>($B$1+Table4[[#This Row],[Home Differential]])-Table4[[#This Row],[Away Differential]]</f>
        <v>0.22919877256751298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0.53676636371218323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0.28811812921279978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-6.5206076050157921E-2</v>
      </c>
      <c r="H182" t="s">
        <v>25</v>
      </c>
      <c r="I182">
        <f>VLOOKUP(Table4[[#This Row],[Visitor]],'NHL Model'!$A$6:$B$38,2,FALSE)</f>
        <v>0.53620748452970379</v>
      </c>
      <c r="J182">
        <f>($B$1+Table4[[#This Row],[Home Differential]])-Table4[[#This Row],[Away Differential]]</f>
        <v>-0.52650164400321209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0.56245129937061789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0.31635146416369642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8.8679045351754957E-2</v>
      </c>
      <c r="H183" t="s">
        <v>22</v>
      </c>
      <c r="I183">
        <f>VLOOKUP(Table4[[#This Row],[Visitor]],'NHL Model'!$A$6:$B$38,2,FALSE)</f>
        <v>0.44972876941152479</v>
      </c>
      <c r="J183">
        <f>($B$1+Table4[[#This Row],[Home Differential]])-Table4[[#This Row],[Away Differential]]</f>
        <v>-0.28613780748312018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0.46073578588186731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0.21227746439218187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-0.15682239438733669</v>
      </c>
      <c r="H184" t="s">
        <v>35</v>
      </c>
      <c r="I184">
        <f>VLOOKUP(Table4[[#This Row],[Visitor]],'NHL Model'!$A$6:$B$38,2,FALSE)</f>
        <v>-0.90940046726085955</v>
      </c>
      <c r="J184">
        <f>($B$1+Table4[[#This Row],[Home Differential]])-Table4[[#This Row],[Away Differential]]</f>
        <v>0.82748998945017249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0.63301701136805089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0.1346765139452373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0.17499330177061237</v>
      </c>
      <c r="H185" t="s">
        <v>10</v>
      </c>
      <c r="I185">
        <f>VLOOKUP(Table4[[#This Row],[Visitor]],'NHL Model'!$A$6:$B$38,2,FALSE)</f>
        <v>-0.45160327336373768</v>
      </c>
      <c r="J185">
        <f>($B$1+Table4[[#This Row],[Home Differential]])-Table4[[#This Row],[Away Differential]]</f>
        <v>0.70150849171099972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0.65489247087452185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0.11909920665909275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0.20922229284068078</v>
      </c>
      <c r="H186" t="s">
        <v>39</v>
      </c>
      <c r="I186">
        <f>VLOOKUP(Table4[[#This Row],[Visitor]],'NHL Model'!$A$6:$B$38,2,FALSE)</f>
        <v>0.92535559469880035</v>
      </c>
      <c r="J186">
        <f>($B$1+Table4[[#This Row],[Home Differential]])-Table4[[#This Row],[Away Differential]]</f>
        <v>-0.64122138528146988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0.61753335927052255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0.3813474498119363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4.5005056179018996E-2</v>
      </c>
      <c r="H187" t="s">
        <v>24</v>
      </c>
      <c r="I187">
        <f>VLOOKUP(Table4[[#This Row],[Visitor]],'NHL Model'!$A$6:$B$38,2,FALSE)</f>
        <v>-7.602164965773138E-2</v>
      </c>
      <c r="J187">
        <f>($B$1+Table4[[#This Row],[Home Differential]])-Table4[[#This Row],[Away Differential]]</f>
        <v>0.19593862241340002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0.5412559602310586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0.29295801448564529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0.6527374602185485</v>
      </c>
      <c r="H188" t="s">
        <v>38</v>
      </c>
      <c r="I188">
        <f>VLOOKUP(Table4[[#This Row],[Visitor]],'NHL Model'!$A$6:$B$38,2,FALSE)</f>
        <v>-0.46815423657711264</v>
      </c>
      <c r="J188">
        <f>($B$1+Table4[[#This Row],[Home Differential]])-Table4[[#This Row],[Away Differential]]</f>
        <v>1.1958036133723109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0.65441863915830045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0.11942647696120096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4.5205299343610755E-2</v>
      </c>
      <c r="H189" t="s">
        <v>36</v>
      </c>
      <c r="I189">
        <f>VLOOKUP(Table4[[#This Row],[Visitor]],'NHL Model'!$A$6:$B$38,2,FALSE)</f>
        <v>6.3057484159014243E-2</v>
      </c>
      <c r="J189">
        <f>($B$1+Table4[[#This Row],[Home Differential]])-Table4[[#This Row],[Away Differential]]</f>
        <v>5.7059731761246152E-2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0.52564477518318009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0.22501287931101577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-0.29605365356197477</v>
      </c>
      <c r="H190" t="s">
        <v>16</v>
      </c>
      <c r="I190">
        <f>VLOOKUP(Table4[[#This Row],[Visitor]],'NHL Model'!$A$6:$B$38,2,FALSE)</f>
        <v>-0.31573427760518757</v>
      </c>
      <c r="J190">
        <f>($B$1+Table4[[#This Row],[Home Differential]])-Table4[[#This Row],[Away Differential]]</f>
        <v>9.4592540619862442E-2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0.55063301736377124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0.20193068508358872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0.3028174375616956</v>
      </c>
      <c r="H191" t="s">
        <v>19</v>
      </c>
      <c r="I191">
        <f>VLOOKUP(Table4[[#This Row],[Visitor]],'NHL Model'!$A$6:$B$38,2,FALSE)</f>
        <v>-1.7306849519822837E-2</v>
      </c>
      <c r="J191">
        <f>($B$1+Table4[[#This Row],[Home Differential]])-Table4[[#This Row],[Away Differential]]</f>
        <v>0.39503620365816805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0.58895993166269955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0.34687380110413174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-0.34471182133334621</v>
      </c>
      <c r="H192" t="s">
        <v>15</v>
      </c>
      <c r="I192">
        <f>VLOOKUP(Table4[[#This Row],[Visitor]],'NHL Model'!$A$6:$B$38,2,FALSE)</f>
        <v>6.6163598639307278E-2</v>
      </c>
      <c r="J192">
        <f>($B$1+Table4[[#This Row],[Home Differential]])-Table4[[#This Row],[Away Differential]]</f>
        <v>-0.33596350339600384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0.56766678494948808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0.18691200883591219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-0.21695959508717547</v>
      </c>
      <c r="H193" t="s">
        <v>12</v>
      </c>
      <c r="I193">
        <f>VLOOKUP(Table4[[#This Row],[Visitor]],'NHL Model'!$A$6:$B$38,2,FALSE)</f>
        <v>1.8116689824371455</v>
      </c>
      <c r="J193">
        <f>($B$1+Table4[[#This Row],[Home Differential]])-Table4[[#This Row],[Away Differential]]</f>
        <v>-1.9537166609476713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0.76583308959947527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0.5865003211254779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-5.6782013784997053E-2</v>
      </c>
      <c r="H194" t="s">
        <v>14</v>
      </c>
      <c r="I194">
        <f>VLOOKUP(Table4[[#This Row],[Visitor]],'NHL Model'!$A$6:$B$38,2,FALSE)</f>
        <v>3.3446447213402619E-2</v>
      </c>
      <c r="J194">
        <f>($B$1+Table4[[#This Row],[Home Differential]])-Table4[[#This Row],[Away Differential]]</f>
        <v>-1.5316544421750032E-2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0.46901143131423811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0.21997172270343029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-5.9622828283354432E-4</v>
      </c>
      <c r="H195" t="s">
        <v>24</v>
      </c>
      <c r="I195">
        <f>VLOOKUP(Table4[[#This Row],[Visitor]],'NHL Model'!$A$6:$B$38,2,FALSE)</f>
        <v>-7.602164965773138E-2</v>
      </c>
      <c r="J195">
        <f>($B$1+Table4[[#This Row],[Home Differential]])-Table4[[#This Row],[Away Differential]]</f>
        <v>0.15033733795154747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0.57503874822958057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0.18059206550628182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0.29544191342066151</v>
      </c>
      <c r="H196" t="s">
        <v>28</v>
      </c>
      <c r="I196">
        <f>VLOOKUP(Table4[[#This Row],[Visitor]],'NHL Model'!$A$6:$B$38,2,FALSE)</f>
        <v>-0.15682239438733669</v>
      </c>
      <c r="J196">
        <f>($B$1+Table4[[#This Row],[Home Differential]])-Table4[[#This Row],[Away Differential]]</f>
        <v>0.52717622438464784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0.61327577466570671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0.14955562646040926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0.3028174375616956</v>
      </c>
      <c r="H197" t="s">
        <v>16</v>
      </c>
      <c r="I197">
        <f>VLOOKUP(Table4[[#This Row],[Visitor]],'NHL Model'!$A$6:$B$38,2,FALSE)</f>
        <v>-0.31573427760518757</v>
      </c>
      <c r="J197">
        <f>($B$1+Table4[[#This Row],[Home Differential]])-Table4[[#This Row],[Away Differential]]</f>
        <v>0.69346363174353276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0.62250574831867977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0.3875134066897995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-0.21695959508717547</v>
      </c>
      <c r="H198" t="s">
        <v>26</v>
      </c>
      <c r="I198">
        <f>VLOOKUP(Table4[[#This Row],[Visitor]],'NHL Model'!$A$6:$B$38,2,FALSE)</f>
        <v>-8.2026557704658234E-2</v>
      </c>
      <c r="J198">
        <f>($B$1+Table4[[#This Row],[Home Differential]])-Table4[[#This Row],[Away Differential]]</f>
        <v>-6.0021120805867592E-2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0.50033030721828409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0.24966980188457435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0.18592042582238802</v>
      </c>
      <c r="H199" t="s">
        <v>37</v>
      </c>
      <c r="I199">
        <f>VLOOKUP(Table4[[#This Row],[Visitor]],'NHL Model'!$A$6:$B$38,2,FALSE)</f>
        <v>0.77279348157483052</v>
      </c>
      <c r="J199">
        <f>($B$1+Table4[[#This Row],[Home Differential]])-Table4[[#This Row],[Away Differential]]</f>
        <v>-0.51196113917579289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0.58843687825760083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0.16938420317834887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-0.29605365356197477</v>
      </c>
      <c r="H200" t="s">
        <v>38</v>
      </c>
      <c r="I200">
        <f>VLOOKUP(Table4[[#This Row],[Visitor]],'NHL Model'!$A$6:$B$38,2,FALSE)</f>
        <v>-0.46815423657711264</v>
      </c>
      <c r="J200">
        <f>($B$1+Table4[[#This Row],[Home Differential]])-Table4[[#This Row],[Away Differential]]</f>
        <v>0.2470124995917875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0.5252537724594798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0.27589152548291496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-0.34471182133334621</v>
      </c>
      <c r="H201" t="s">
        <v>10</v>
      </c>
      <c r="I201">
        <f>VLOOKUP(Table4[[#This Row],[Visitor]],'NHL Model'!$A$6:$B$38,2,FALSE)</f>
        <v>-0.45160327336373768</v>
      </c>
      <c r="J201">
        <f>($B$1+Table4[[#This Row],[Home Differential]])-Table4[[#This Row],[Away Differential]]</f>
        <v>0.1818033686070411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0.5604362665652397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0.193216275751105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-0.90940046726085955</v>
      </c>
      <c r="H202" t="s">
        <v>17</v>
      </c>
      <c r="I202">
        <f>VLOOKUP(Table4[[#This Row],[Visitor]],'NHL Model'!$A$6:$B$38,2,FALSE)</f>
        <v>0.17499330177061237</v>
      </c>
      <c r="J202">
        <f>($B$1+Table4[[#This Row],[Home Differential]])-Table4[[#This Row],[Away Differential]]</f>
        <v>-1.0094818524548224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0.57347446632922117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0.32887296353158502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-1.7306849519822837E-2</v>
      </c>
      <c r="H203" t="s">
        <v>14</v>
      </c>
      <c r="I203">
        <f>VLOOKUP(Table4[[#This Row],[Visitor]],'NHL Model'!$A$6:$B$38,2,FALSE)</f>
        <v>3.3446447213402619E-2</v>
      </c>
      <c r="J203">
        <f>($B$1+Table4[[#This Row],[Home Differential]])-Table4[[#This Row],[Away Differential]]</f>
        <v>2.4158619843424184E-2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0.54676850065864169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0.20541879199521568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-5.9622828283354432E-4</v>
      </c>
      <c r="H204" t="s">
        <v>11</v>
      </c>
      <c r="I204">
        <f>VLOOKUP(Table4[[#This Row],[Visitor]],'NHL Model'!$A$6:$B$38,2,FALSE)</f>
        <v>0.20922229284068078</v>
      </c>
      <c r="J204">
        <f>($B$1+Table4[[#This Row],[Home Differential]])-Table4[[#This Row],[Away Differential]]</f>
        <v>-0.13490660454686468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0.47299599113250845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0.22372520762742401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8.8679045351754957E-2</v>
      </c>
      <c r="H205" t="s">
        <v>55</v>
      </c>
      <c r="I205">
        <f>VLOOKUP(Table4[[#This Row],[Visitor]],'NHL Model'!$A$6:$B$38,2,FALSE)</f>
        <v>0.18592042582238802</v>
      </c>
      <c r="J205">
        <f>($B$1+Table4[[#This Row],[Home Differential]])-Table4[[#This Row],[Away Differential]]</f>
        <v>-2.2329463893983409E-2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0.42391793174380621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0.33187054936633392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1.8116689824371455</v>
      </c>
      <c r="H206" t="s">
        <v>37</v>
      </c>
      <c r="I206">
        <f>VLOOKUP(Table4[[#This Row],[Visitor]],'NHL Model'!$A$6:$B$38,2,FALSE)</f>
        <v>0.77279348157483052</v>
      </c>
      <c r="J206">
        <f>($B$1+Table4[[#This Row],[Home Differential]])-Table4[[#This Row],[Away Differential]]</f>
        <v>1.1137874174389646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0.71779190399254089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7.9641409452155254E-2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0.92535559469880035</v>
      </c>
      <c r="H207" t="s">
        <v>17</v>
      </c>
      <c r="I207">
        <f>VLOOKUP(Table4[[#This Row],[Visitor]],'NHL Model'!$A$6:$B$38,2,FALSE)</f>
        <v>0.17499330177061237</v>
      </c>
      <c r="J207">
        <f>($B$1+Table4[[#This Row],[Home Differential]])-Table4[[#This Row],[Away Differential]]</f>
        <v>0.82527420950483765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0.67136003116729337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0.10800422911436239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4.5005056179018996E-2</v>
      </c>
      <c r="H208" t="s">
        <v>40</v>
      </c>
      <c r="I208">
        <f>VLOOKUP(Table4[[#This Row],[Visitor]],'NHL Model'!$A$6:$B$38,2,FALSE)</f>
        <v>-5.6782013784997053E-2</v>
      </c>
      <c r="J208">
        <f>($B$1+Table4[[#This Row],[Home Differential]])-Table4[[#This Row],[Away Differential]]</f>
        <v>0.17669898654066568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0.55986248999905985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0.19372102770982769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0.6527374602185485</v>
      </c>
      <c r="H209" t="s">
        <v>29</v>
      </c>
      <c r="I209">
        <f>VLOOKUP(Table4[[#This Row],[Visitor]],'NHL Model'!$A$6:$B$38,2,FALSE)</f>
        <v>-0.29605365356197477</v>
      </c>
      <c r="J209">
        <f>($B$1+Table4[[#This Row],[Home Differential]])-Table4[[#This Row],[Away Differential]]</f>
        <v>1.023703030357173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0.67735678639792019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0.1040986432834773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4.5205299343610755E-2</v>
      </c>
      <c r="H210" t="s">
        <v>27</v>
      </c>
      <c r="I210">
        <f>VLOOKUP(Table4[[#This Row],[Visitor]],'NHL Model'!$A$6:$B$38,2,FALSE)</f>
        <v>0.3028174375616956</v>
      </c>
      <c r="J210">
        <f>($B$1+Table4[[#This Row],[Home Differential]])-Table4[[#This Row],[Away Differential]]</f>
        <v>-0.18270022164143521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0.50130631135030046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0.24869539509904345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0.29544191342066151</v>
      </c>
      <c r="H211" t="s">
        <v>21</v>
      </c>
      <c r="I211">
        <f>VLOOKUP(Table4[[#This Row],[Visitor]],'NHL Model'!$A$6:$B$38,2,FALSE)</f>
        <v>-6.5206076050157921E-2</v>
      </c>
      <c r="J211">
        <f>($B$1+Table4[[#This Row],[Home Differential]])-Table4[[#This Row],[Away Differential]]</f>
        <v>0.43555990604746908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0.6029773103544579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0.36358163680229622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6.6163598639307278E-2</v>
      </c>
      <c r="H212" t="s">
        <v>25</v>
      </c>
      <c r="I212">
        <f>VLOOKUP(Table4[[#This Row],[Visitor]],'NHL Model'!$A$6:$B$38,2,FALSE)</f>
        <v>0.53620748452970379</v>
      </c>
      <c r="J212">
        <f>($B$1+Table4[[#This Row],[Home Differential]])-Table4[[#This Row],[Away Differential]]</f>
        <v>-0.39513196931374689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0.56181981589109231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0.19200187374571623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0.21230765705109297</v>
      </c>
      <c r="H213" t="s">
        <v>26</v>
      </c>
      <c r="I213">
        <f>VLOOKUP(Table4[[#This Row],[Visitor]],'NHL Model'!$A$6:$B$38,2,FALSE)</f>
        <v>-8.2026557704658234E-2</v>
      </c>
      <c r="J213">
        <f>($B$1+Table4[[#This Row],[Home Differential]])-Table4[[#This Row],[Away Differential]]</f>
        <v>0.36924613133240086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0.54792303406818677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0.20437358312611381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-0.31573427760518757</v>
      </c>
      <c r="H214" t="s">
        <v>28</v>
      </c>
      <c r="I214">
        <f>VLOOKUP(Table4[[#This Row],[Visitor]],'NHL Model'!$A$6:$B$38,2,FALSE)</f>
        <v>-0.15682239438733669</v>
      </c>
      <c r="J214">
        <f>($B$1+Table4[[#This Row],[Home Differential]])-Table4[[#This Row],[Away Differential]]</f>
        <v>-8.399996664120124E-2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0.43890290160748824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0.1926357570394725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-0.34471182133334621</v>
      </c>
      <c r="H215" t="s">
        <v>33</v>
      </c>
      <c r="I215">
        <f>VLOOKUP(Table4[[#This Row],[Visitor]],'NHL Model'!$A$6:$B$38,2,FALSE)</f>
        <v>-0.21695959508717547</v>
      </c>
      <c r="J215">
        <f>($B$1+Table4[[#This Row],[Home Differential]])-Table4[[#This Row],[Away Differential]]</f>
        <v>-5.2840309669521107E-2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0.47322942614574437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0.27748723747874177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-1.7306849519822837E-2</v>
      </c>
      <c r="H216" t="s">
        <v>55</v>
      </c>
      <c r="I216">
        <f>VLOOKUP(Table4[[#This Row],[Visitor]],'NHL Model'!$A$6:$B$38,2,FALSE)</f>
        <v>0.18592042582238802</v>
      </c>
      <c r="J216">
        <f>($B$1+Table4[[#This Row],[Home Differential]])-Table4[[#This Row],[Away Differential]]</f>
        <v>-0.12831535876556122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0.46310907950827174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0.21447001952299877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-0.46815423657711264</v>
      </c>
      <c r="H217" t="s">
        <v>10</v>
      </c>
      <c r="I217">
        <f>VLOOKUP(Table4[[#This Row],[Visitor]],'NHL Model'!$A$6:$B$38,2,FALSE)</f>
        <v>-0.45160327336373768</v>
      </c>
      <c r="J217">
        <f>($B$1+Table4[[#This Row],[Home Differential]])-Table4[[#This Row],[Away Differential]]</f>
        <v>5.8360953363274681E-2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0.54656027448265454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0.29872813364255468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0.44972876941152479</v>
      </c>
      <c r="H218" t="s">
        <v>35</v>
      </c>
      <c r="I218">
        <f>VLOOKUP(Table4[[#This Row],[Visitor]],'NHL Model'!$A$6:$B$38,2,FALSE)</f>
        <v>-0.90940046726085955</v>
      </c>
      <c r="J218">
        <f>($B$1+Table4[[#This Row],[Home Differential]])-Table4[[#This Row],[Away Differential]]</f>
        <v>1.434041153249034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0.70575304872719802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8.6581268333338707E-2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-6.5206076050157921E-2</v>
      </c>
      <c r="H219" t="s">
        <v>36</v>
      </c>
      <c r="I219">
        <f>VLOOKUP(Table4[[#This Row],[Visitor]],'NHL Model'!$A$6:$B$38,2,FALSE)</f>
        <v>6.3057484159014243E-2</v>
      </c>
      <c r="J219">
        <f>($B$1+Table4[[#This Row],[Home Differential]])-Table4[[#This Row],[Away Differential]]</f>
        <v>-5.3351643632522525E-2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0.47266385153360141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0.22341111654657839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8.8679045351754957E-2</v>
      </c>
      <c r="H220" t="s">
        <v>35</v>
      </c>
      <c r="I220">
        <f>VLOOKUP(Table4[[#This Row],[Visitor]],'NHL Model'!$A$6:$B$38,2,FALSE)</f>
        <v>-0.90940046726085955</v>
      </c>
      <c r="J220">
        <f>($B$1+Table4[[#This Row],[Home Differential]])-Table4[[#This Row],[Away Differential]]</f>
        <v>1.0729914291892642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0.69920558305700087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0.48888844737808052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0.53620748452970379</v>
      </c>
      <c r="H221" t="s">
        <v>34</v>
      </c>
      <c r="I221">
        <f>VLOOKUP(Table4[[#This Row],[Visitor]],'NHL Model'!$A$6:$B$38,2,FALSE)</f>
        <v>0.6527374602185485</v>
      </c>
      <c r="J221">
        <f>($B$1+Table4[[#This Row],[Home Differential]])-Table4[[#This Row],[Away Differential]]</f>
        <v>-4.1618059112195072E-2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0.48925972656980099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0.23937508004315644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0.92535559469880035</v>
      </c>
      <c r="H222" t="s">
        <v>31</v>
      </c>
      <c r="I222">
        <f>VLOOKUP(Table4[[#This Row],[Visitor]],'NHL Model'!$A$6:$B$38,2,FALSE)</f>
        <v>-5.9622828283354432E-4</v>
      </c>
      <c r="J222">
        <f>($B$1+Table4[[#This Row],[Home Differential]])-Table4[[#This Row],[Away Differential]]</f>
        <v>1.0008637395582836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0.69109780868886128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0.47761618117454591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4.5005056179018996E-2</v>
      </c>
      <c r="H223" t="s">
        <v>11</v>
      </c>
      <c r="I223">
        <f>VLOOKUP(Table4[[#This Row],[Visitor]],'NHL Model'!$A$6:$B$38,2,FALSE)</f>
        <v>0.20922229284068078</v>
      </c>
      <c r="J223">
        <f>($B$1+Table4[[#This Row],[Home Differential]])-Table4[[#This Row],[Away Differential]]</f>
        <v>-8.9305320085012144E-2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0.50693309811476217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0.24311496973470675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-7.602164965773138E-2</v>
      </c>
      <c r="H224" t="s">
        <v>18</v>
      </c>
      <c r="I224">
        <f>VLOOKUP(Table4[[#This Row],[Visitor]],'NHL Model'!$A$6:$B$38,2,FALSE)</f>
        <v>4.5205299343610755E-2</v>
      </c>
      <c r="J224">
        <f>($B$1+Table4[[#This Row],[Home Differential]])-Table4[[#This Row],[Away Differential]]</f>
        <v>-4.6315032424692495E-2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0.52260978386939194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0.27312098619601255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-0.29605365356197477</v>
      </c>
      <c r="H225" t="s">
        <v>27</v>
      </c>
      <c r="I225">
        <f>VLOOKUP(Table4[[#This Row],[Visitor]],'NHL Model'!$A$6:$B$38,2,FALSE)</f>
        <v>0.3028174375616956</v>
      </c>
      <c r="J225">
        <f>($B$1+Table4[[#This Row],[Home Differential]])-Table4[[#This Row],[Away Differential]]</f>
        <v>-0.52395917454702068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0.53966676078964615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0.21190669112189686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3.3446447213402619E-2</v>
      </c>
      <c r="H226" t="s">
        <v>22</v>
      </c>
      <c r="I226">
        <f>VLOOKUP(Table4[[#This Row],[Visitor]],'NHL Model'!$A$6:$B$38,2,FALSE)</f>
        <v>0.44972876941152479</v>
      </c>
      <c r="J226">
        <f>($B$1+Table4[[#This Row],[Home Differential]])-Table4[[#This Row],[Away Differential]]</f>
        <v>-0.34137040562147253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0.50566269731198543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0.2556947634528326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0.21230765705109297</v>
      </c>
      <c r="H227" t="s">
        <v>37</v>
      </c>
      <c r="I227">
        <f>VLOOKUP(Table4[[#This Row],[Visitor]],'NHL Model'!$A$6:$B$38,2,FALSE)</f>
        <v>0.77279348157483052</v>
      </c>
      <c r="J227">
        <f>($B$1+Table4[[#This Row],[Home Differential]])-Table4[[#This Row],[Away Differential]]</f>
        <v>-0.48557390794708788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0.58547072589507776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0.17183451908995376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-0.31573427760518757</v>
      </c>
      <c r="H228" t="s">
        <v>10</v>
      </c>
      <c r="I228">
        <f>VLOOKUP(Table4[[#This Row],[Visitor]],'NHL Model'!$A$6:$B$38,2,FALSE)</f>
        <v>-0.45160327336373768</v>
      </c>
      <c r="J228">
        <f>($B$1+Table4[[#This Row],[Home Differential]])-Table4[[#This Row],[Away Differential]]</f>
        <v>0.21078091233519974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0.59423301147957042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0.35311287193207924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-8.2026557704658234E-2</v>
      </c>
      <c r="H229" t="s">
        <v>15</v>
      </c>
      <c r="I229">
        <f>VLOOKUP(Table4[[#This Row],[Visitor]],'NHL Model'!$A$6:$B$38,2,FALSE)</f>
        <v>6.6163598639307278E-2</v>
      </c>
      <c r="J229">
        <f>($B$1+Table4[[#This Row],[Home Differential]])-Table4[[#This Row],[Away Differential]]</f>
        <v>-7.3278239767315873E-2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0.50402125452417401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0.24599491596377418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0.29544191342066151</v>
      </c>
      <c r="H230" t="s">
        <v>34</v>
      </c>
      <c r="I230">
        <f>VLOOKUP(Table4[[#This Row],[Visitor]],'NHL Model'!$A$6:$B$38,2,FALSE)</f>
        <v>0.6527374602185485</v>
      </c>
      <c r="J230">
        <f>($B$1+Table4[[#This Row],[Home Differential]])-Table4[[#This Row],[Away Differential]]</f>
        <v>-0.28238363022123736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0.54852087889884016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0.20383339679027576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-0.21695959508717547</v>
      </c>
      <c r="H231" t="s">
        <v>40</v>
      </c>
      <c r="I231">
        <f>VLOOKUP(Table4[[#This Row],[Visitor]],'NHL Model'!$A$6:$B$38,2,FALSE)</f>
        <v>-5.6782013784997053E-2</v>
      </c>
      <c r="J231">
        <f>($B$1+Table4[[#This Row],[Home Differential]])-Table4[[#This Row],[Away Differential]]</f>
        <v>-8.5265664725528767E-2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0.46958459607511244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0.22050969287102651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0.53620748452970379</v>
      </c>
      <c r="H232" t="s">
        <v>23</v>
      </c>
      <c r="I232">
        <f>VLOOKUP(Table4[[#This Row],[Visitor]],'NHL Model'!$A$6:$B$38,2,FALSE)</f>
        <v>8.8679045351754957E-2</v>
      </c>
      <c r="J232">
        <f>($B$1+Table4[[#This Row],[Home Differential]])-Table4[[#This Row],[Away Differential]]</f>
        <v>0.52244035575459846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0.64431238727492524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0.12651367784606277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0.17499330177061237</v>
      </c>
      <c r="H233" t="s">
        <v>12</v>
      </c>
      <c r="I233">
        <f>VLOOKUP(Table4[[#This Row],[Visitor]],'NHL Model'!$A$6:$B$38,2,FALSE)</f>
        <v>1.8116689824371455</v>
      </c>
      <c r="J233">
        <f>($B$1+Table4[[#This Row],[Home Differential]])-Table4[[#This Row],[Away Differential]]</f>
        <v>-1.5617637640898834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0.68535963783183429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9.8998557505314486E-2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4.5205299343610755E-2</v>
      </c>
      <c r="H234" t="s">
        <v>55</v>
      </c>
      <c r="I234">
        <f>VLOOKUP(Table4[[#This Row],[Visitor]],'NHL Model'!$A$6:$B$38,2,FALSE)</f>
        <v>0.18592042582238802</v>
      </c>
      <c r="J234">
        <f>($B$1+Table4[[#This Row],[Home Differential]])-Table4[[#This Row],[Away Differential]]</f>
        <v>-6.5803209902127624E-2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0.46739684830216188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0.21845981380279414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-7.602164965773138E-2</v>
      </c>
      <c r="H235" t="s">
        <v>14</v>
      </c>
      <c r="I235">
        <f>VLOOKUP(Table4[[#This Row],[Visitor]],'NHL Model'!$A$6:$B$38,2,FALSE)</f>
        <v>3.3446447213402619E-2</v>
      </c>
      <c r="J235">
        <f>($B$1+Table4[[#This Row],[Home Differential]])-Table4[[#This Row],[Away Differential]]</f>
        <v>-3.4556180294484359E-2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0.47117413231546762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0.2220050629632338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-0.29605365356197477</v>
      </c>
      <c r="H236" t="s">
        <v>39</v>
      </c>
      <c r="I236">
        <f>VLOOKUP(Table4[[#This Row],[Visitor]],'NHL Model'!$A$6:$B$38,2,FALSE)</f>
        <v>0.92535559469880035</v>
      </c>
      <c r="J236">
        <f>($B$1+Table4[[#This Row],[Home Differential]])-Table4[[#This Row],[Away Differential]]</f>
        <v>-1.1464973316841256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0.67509467525743827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0.1055634700460695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6.6163598639307278E-2</v>
      </c>
      <c r="H237" t="s">
        <v>30</v>
      </c>
      <c r="I237">
        <f>VLOOKUP(Table4[[#This Row],[Visitor]],'NHL Model'!$A$6:$B$38,2,FALSE)</f>
        <v>0.29544191342066151</v>
      </c>
      <c r="J237">
        <f>($B$1+Table4[[#This Row],[Home Differential]])-Table4[[#This Row],[Away Differential]]</f>
        <v>-0.1543663982047046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0.51093553006353032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0.23918405575424007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0.3028174375616956</v>
      </c>
      <c r="H238" t="s">
        <v>36</v>
      </c>
      <c r="I238">
        <f>VLOOKUP(Table4[[#This Row],[Visitor]],'NHL Model'!$A$6:$B$38,2,FALSE)</f>
        <v>6.3057484159014243E-2</v>
      </c>
      <c r="J238">
        <f>($B$1+Table4[[#This Row],[Home Differential]])-Table4[[#This Row],[Away Differential]]</f>
        <v>0.314671869979331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0.55918135583195305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0.31268378871006131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-0.21695959508717547</v>
      </c>
      <c r="H239" t="s">
        <v>11</v>
      </c>
      <c r="I239">
        <f>VLOOKUP(Table4[[#This Row],[Visitor]],'NHL Model'!$A$6:$B$38,2,FALSE)</f>
        <v>0.20922229284068078</v>
      </c>
      <c r="J239">
        <f>($B$1+Table4[[#This Row],[Home Differential]])-Table4[[#This Row],[Away Differential]]</f>
        <v>-0.35126997135120663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0.53638018418893441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0.28770370199055517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-0.90940046726085955</v>
      </c>
      <c r="H240" t="s">
        <v>32</v>
      </c>
      <c r="I240">
        <f>VLOOKUP(Table4[[#This Row],[Visitor]],'NHL Model'!$A$6:$B$38,2,FALSE)</f>
        <v>-0.34471182133334621</v>
      </c>
      <c r="J240">
        <f>($B$1+Table4[[#This Row],[Home Differential]])-Table4[[#This Row],[Away Differential]]</f>
        <v>-0.48977672935086369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0.51505512837938605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0.23517152851113374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0.77279348157483052</v>
      </c>
      <c r="H241" t="s">
        <v>22</v>
      </c>
      <c r="I241">
        <f>VLOOKUP(Table4[[#This Row],[Visitor]],'NHL Model'!$A$6:$B$38,2,FALSE)</f>
        <v>0.44972876941152479</v>
      </c>
      <c r="J241">
        <f>($B$1+Table4[[#This Row],[Home Differential]])-Table4[[#This Row],[Away Differential]]</f>
        <v>0.39797662873995537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0.5820110696229216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0.17471474591777411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-1.7306849519822837E-2</v>
      </c>
      <c r="H242" t="s">
        <v>21</v>
      </c>
      <c r="I242">
        <f>VLOOKUP(Table4[[#This Row],[Visitor]],'NHL Model'!$A$6:$B$38,2,FALSE)</f>
        <v>-6.5206076050157921E-2</v>
      </c>
      <c r="J242">
        <f>($B$1+Table4[[#This Row],[Home Differential]])-Table4[[#This Row],[Away Differential]]</f>
        <v>0.12281114310698472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0.56511970510218423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0.31936028109477965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-0.46815423657711264</v>
      </c>
      <c r="H243" t="s">
        <v>28</v>
      </c>
      <c r="I243">
        <f>VLOOKUP(Table4[[#This Row],[Visitor]],'NHL Model'!$A$6:$B$38,2,FALSE)</f>
        <v>-0.15682239438733669</v>
      </c>
      <c r="J243">
        <f>($B$1+Table4[[#This Row],[Home Differential]])-Table4[[#This Row],[Away Differential]]</f>
        <v>-0.2364199256131263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0.48657563860440406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0.23675585208328362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0.21230765705109297</v>
      </c>
      <c r="H244" t="s">
        <v>31</v>
      </c>
      <c r="I244">
        <f>VLOOKUP(Table4[[#This Row],[Visitor]],'NHL Model'!$A$6:$B$38,2,FALSE)</f>
        <v>-5.9622828283354432E-4</v>
      </c>
      <c r="J244">
        <f>($B$1+Table4[[#This Row],[Home Differential]])-Table4[[#This Row],[Away Differential]]</f>
        <v>0.28781580191057621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0.57235297835567689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0.32758793183261392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-5.9622828283354432E-4</v>
      </c>
      <c r="H245" t="s">
        <v>40</v>
      </c>
      <c r="I245">
        <f>VLOOKUP(Table4[[#This Row],[Visitor]],'NHL Model'!$A$6:$B$38,2,FALSE)</f>
        <v>-5.6782013784997053E-2</v>
      </c>
      <c r="J245">
        <f>($B$1+Table4[[#This Row],[Home Differential]])-Table4[[#This Row],[Away Differential]]</f>
        <v>0.13109770207881316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0.5933286049193649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0.16538162357683001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0.92535559469880035</v>
      </c>
      <c r="H246" t="s">
        <v>32</v>
      </c>
      <c r="I246">
        <f>VLOOKUP(Table4[[#This Row],[Visitor]],'NHL Model'!$A$6:$B$38,2,FALSE)</f>
        <v>-0.34471182133334621</v>
      </c>
      <c r="J246">
        <f>($B$1+Table4[[#This Row],[Home Differential]])-Table4[[#This Row],[Away Differential]]</f>
        <v>1.3449793326087962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0.7297793691171286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7.301918935473703E-2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-8.2026557704658234E-2</v>
      </c>
      <c r="H247" t="s">
        <v>10</v>
      </c>
      <c r="I247">
        <f>VLOOKUP(Table4[[#This Row],[Visitor]],'NHL Model'!$A$6:$B$38,2,FALSE)</f>
        <v>-0.45160327336373768</v>
      </c>
      <c r="J247">
        <f>($B$1+Table4[[#This Row],[Home Differential]])-Table4[[#This Row],[Away Differential]]</f>
        <v>0.4444886322357291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0.62366250219744168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0.38895491664717396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0.6527374602185485</v>
      </c>
      <c r="H248" t="s">
        <v>16</v>
      </c>
      <c r="I248">
        <f>VLOOKUP(Table4[[#This Row],[Visitor]],'NHL Model'!$A$6:$B$38,2,FALSE)</f>
        <v>-0.31573427760518757</v>
      </c>
      <c r="J248">
        <f>($B$1+Table4[[#This Row],[Home Differential]])-Table4[[#This Row],[Away Differential]]</f>
        <v>1.0433836544003858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0.67956905827274283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0.10267598841621688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6.3057484159014243E-2</v>
      </c>
      <c r="H249" t="s">
        <v>55</v>
      </c>
      <c r="I249">
        <f>VLOOKUP(Table4[[#This Row],[Visitor]],'NHL Model'!$A$6:$B$38,2,FALSE)</f>
        <v>0.18592042582238802</v>
      </c>
      <c r="J249">
        <f>($B$1+Table4[[#This Row],[Home Differential]])-Table4[[#This Row],[Away Differential]]</f>
        <v>-4.7951025086724136E-2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0.46539010876562403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0.21658795333687936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3.3446447213402619E-2</v>
      </c>
      <c r="H250" t="s">
        <v>13</v>
      </c>
      <c r="I250">
        <f>VLOOKUP(Table4[[#This Row],[Visitor]],'NHL Model'!$A$6:$B$38,2,FALSE)</f>
        <v>4.5005056179018996E-2</v>
      </c>
      <c r="J250">
        <f>($B$1+Table4[[#This Row],[Home Differential]])-Table4[[#This Row],[Away Differential]]</f>
        <v>6.3353307611033263E-2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0.5147311269114514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0.26494813301153269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-1.7306849519822837E-2</v>
      </c>
      <c r="H251" t="s">
        <v>25</v>
      </c>
      <c r="I251">
        <f>VLOOKUP(Table4[[#This Row],[Visitor]],'NHL Model'!$A$6:$B$38,2,FALSE)</f>
        <v>0.53620748452970379</v>
      </c>
      <c r="J251">
        <f>($B$1+Table4[[#This Row],[Home Differential]])-Table4[[#This Row],[Away Differential]]</f>
        <v>-0.47860241747287702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0.55979903935325126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0.19377688575432042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-0.46815423657711264</v>
      </c>
      <c r="H252" t="s">
        <v>12</v>
      </c>
      <c r="I252">
        <f>VLOOKUP(Table4[[#This Row],[Visitor]],'NHL Model'!$A$6:$B$38,2,FALSE)</f>
        <v>1.8116689824371455</v>
      </c>
      <c r="J252">
        <f>($B$1+Table4[[#This Row],[Home Differential]])-Table4[[#This Row],[Away Differential]]</f>
        <v>-2.2049113024376084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0.79406953369058519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4.2407356954413028E-2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0.17499330177061237</v>
      </c>
      <c r="H253" t="s">
        <v>28</v>
      </c>
      <c r="I253">
        <f>VLOOKUP(Table4[[#This Row],[Visitor]],'NHL Model'!$A$6:$B$38,2,FALSE)</f>
        <v>-0.15682239438733669</v>
      </c>
      <c r="J253">
        <f>($B$1+Table4[[#This Row],[Home Differential]])-Table4[[#This Row],[Away Differential]]</f>
        <v>0.40672761273459868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0.6217565577874633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0.14306810157678859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-7.602164965773138E-2</v>
      </c>
      <c r="H254" t="s">
        <v>30</v>
      </c>
      <c r="I254">
        <f>VLOOKUP(Table4[[#This Row],[Visitor]],'NHL Model'!$A$6:$B$38,2,FALSE)</f>
        <v>0.29544191342066151</v>
      </c>
      <c r="J254">
        <f>($B$1+Table4[[#This Row],[Home Differential]])-Table4[[#This Row],[Away Differential]]</f>
        <v>-0.29655164650174326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0.52691837822584164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0.22380622086046781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6.6163598639307278E-2</v>
      </c>
      <c r="H255" t="s">
        <v>29</v>
      </c>
      <c r="I255">
        <f>VLOOKUP(Table4[[#This Row],[Visitor]],'NHL Model'!$A$6:$B$38,2,FALSE)</f>
        <v>-0.29605365356197477</v>
      </c>
      <c r="J255">
        <f>($B$1+Table4[[#This Row],[Home Differential]])-Table4[[#This Row],[Away Differential]]</f>
        <v>0.43712916877793168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0.58913708852059998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0.16880833202932929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0.21230765705109297</v>
      </c>
      <c r="H256" t="s">
        <v>11</v>
      </c>
      <c r="I256">
        <f>VLOOKUP(Table4[[#This Row],[Visitor]],'NHL Model'!$A$6:$B$38,2,FALSE)</f>
        <v>0.20922229284068078</v>
      </c>
      <c r="J256">
        <f>($B$1+Table4[[#This Row],[Home Differential]])-Table4[[#This Row],[Away Differential]]</f>
        <v>7.7997280787061862E-2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0.51187315709753645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0.26201412895699921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-6.5206076050157921E-2</v>
      </c>
      <c r="H257" t="s">
        <v>19</v>
      </c>
      <c r="I257">
        <f>VLOOKUP(Table4[[#This Row],[Visitor]],'NHL Model'!$A$6:$B$38,2,FALSE)</f>
        <v>-1.7306849519822837E-2</v>
      </c>
      <c r="J257">
        <f>($B$1+Table4[[#This Row],[Home Differential]])-Table4[[#This Row],[Away Differential]]</f>
        <v>2.7012690046314555E-2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0.55705307982640606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0.19620197409127221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0.53620748452970379</v>
      </c>
      <c r="H258" t="s">
        <v>22</v>
      </c>
      <c r="I258">
        <f>VLOOKUP(Table4[[#This Row],[Visitor]],'NHL Model'!$A$6:$B$38,2,FALSE)</f>
        <v>0.44972876941152479</v>
      </c>
      <c r="J258">
        <f>($B$1+Table4[[#This Row],[Home Differential]])-Table4[[#This Row],[Away Differential]]</f>
        <v>0.16139063169482865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0.59659603144264539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0.35592682473311393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1.8116689824371455</v>
      </c>
      <c r="H259" t="s">
        <v>31</v>
      </c>
      <c r="I259">
        <f>VLOOKUP(Table4[[#This Row],[Visitor]],'NHL Model'!$A$6:$B$38,2,FALSE)</f>
        <v>-5.9622828283354432E-4</v>
      </c>
      <c r="J259">
        <f>($B$1+Table4[[#This Row],[Home Differential]])-Table4[[#This Row],[Away Differential]]</f>
        <v>1.8871771272966287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0.87111356795871819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1.6611712364331954E-2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0.6527374602185485</v>
      </c>
      <c r="H260" t="s">
        <v>33</v>
      </c>
      <c r="I260">
        <f>VLOOKUP(Table4[[#This Row],[Visitor]],'NHL Model'!$A$6:$B$38,2,FALSE)</f>
        <v>-0.21695959508717547</v>
      </c>
      <c r="J260">
        <f>($B$1+Table4[[#This Row],[Home Differential]])-Table4[[#This Row],[Away Differential]]</f>
        <v>0.94460897188237358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0.66123837484247128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0.43723618836431255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4.5205299343610755E-2</v>
      </c>
      <c r="H261" t="s">
        <v>13</v>
      </c>
      <c r="I261">
        <f>VLOOKUP(Table4[[#This Row],[Visitor]],'NHL Model'!$A$6:$B$38,2,FALSE)</f>
        <v>4.5005056179018996E-2</v>
      </c>
      <c r="J261">
        <f>($B$1+Table4[[#This Row],[Home Differential]])-Table4[[#This Row],[Away Differential]]</f>
        <v>7.5112159741241399E-2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0.51605292330320907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0.26631061964978781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6.3057484159014243E-2</v>
      </c>
      <c r="H262" t="s">
        <v>39</v>
      </c>
      <c r="I262">
        <f>VLOOKUP(Table4[[#This Row],[Visitor]],'NHL Model'!$A$6:$B$38,2,FALSE)</f>
        <v>0.92535559469880035</v>
      </c>
      <c r="J262">
        <f>($B$1+Table4[[#This Row],[Home Differential]])-Table4[[#This Row],[Away Differential]]</f>
        <v>-0.78738619396313647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0.63472748628155484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0.1334240092781917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-0.34471182133334621</v>
      </c>
      <c r="H263" t="s">
        <v>28</v>
      </c>
      <c r="I263">
        <f>VLOOKUP(Table4[[#This Row],[Visitor]],'NHL Model'!$A$6:$B$38,2,FALSE)</f>
        <v>-0.15682239438733669</v>
      </c>
      <c r="J263">
        <f>($B$1+Table4[[#This Row],[Home Differential]])-Table4[[#This Row],[Away Differential]]</f>
        <v>-0.11297751036935988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0.47269964652181889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0.27804566277821469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-0.90940046726085955</v>
      </c>
      <c r="H264" t="s">
        <v>16</v>
      </c>
      <c r="I264">
        <f>VLOOKUP(Table4[[#This Row],[Visitor]],'NHL Model'!$A$6:$B$38,2,FALSE)</f>
        <v>-0.31573427760518757</v>
      </c>
      <c r="J264">
        <f>($B$1+Table4[[#This Row],[Home Differential]])-Table4[[#This Row],[Away Differential]]</f>
        <v>-0.51875427307902233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0.51831245420657979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0.26864780018564788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-0.46815423657711264</v>
      </c>
      <c r="H265" t="s">
        <v>40</v>
      </c>
      <c r="I265">
        <f>VLOOKUP(Table4[[#This Row],[Visitor]],'NHL Model'!$A$6:$B$38,2,FALSE)</f>
        <v>-5.6782013784997053E-2</v>
      </c>
      <c r="J265">
        <f>($B$1+Table4[[#This Row],[Home Differential]])-Table4[[#This Row],[Away Differential]]</f>
        <v>-0.33646030621546597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0.49782104016622231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0.25218370769973492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-0.45160327336373768</v>
      </c>
      <c r="H266" t="s">
        <v>24</v>
      </c>
      <c r="I266">
        <f>VLOOKUP(Table4[[#This Row],[Visitor]],'NHL Model'!$A$6:$B$38,2,FALSE)</f>
        <v>-7.602164965773138E-2</v>
      </c>
      <c r="J266">
        <f>($B$1+Table4[[#This Row],[Home Differential]])-Table4[[#This Row],[Away Differential]]</f>
        <v>-0.30066970712935664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0.5145670989279294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0.23564510144324669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0.3028174375616956</v>
      </c>
      <c r="H267" t="s">
        <v>17</v>
      </c>
      <c r="I267">
        <f>VLOOKUP(Table4[[#This Row],[Visitor]],'NHL Model'!$A$6:$B$38,2,FALSE)</f>
        <v>0.17499330177061237</v>
      </c>
      <c r="J267">
        <f>($B$1+Table4[[#This Row],[Home Differential]])-Table4[[#This Row],[Away Differential]]</f>
        <v>0.20273605236773287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0.5673437361960384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0.32187891500088001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0.77279348157483052</v>
      </c>
      <c r="H268" t="s">
        <v>15</v>
      </c>
      <c r="I268">
        <f>VLOOKUP(Table4[[#This Row],[Visitor]],'NHL Model'!$A$6:$B$38,2,FALSE)</f>
        <v>6.6163598639307278E-2</v>
      </c>
      <c r="J268">
        <f>($B$1+Table4[[#This Row],[Home Differential]])-Table4[[#This Row],[Away Differential]]</f>
        <v>0.78154179951217284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0.56252370833989285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0.31643292244446486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0.18592042582238802</v>
      </c>
      <c r="H269" t="s">
        <v>23</v>
      </c>
      <c r="I269">
        <f>VLOOKUP(Table4[[#This Row],[Visitor]],'NHL Model'!$A$6:$B$38,2,FALSE)</f>
        <v>8.8679045351754957E-2</v>
      </c>
      <c r="J269">
        <f>($B$1+Table4[[#This Row],[Home Differential]])-Table4[[#This Row],[Away Differential]]</f>
        <v>0.17215329704728266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0.55935151529643823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0.19417108707154512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-0.15682239438733669</v>
      </c>
      <c r="H270" t="s">
        <v>17</v>
      </c>
      <c r="I270">
        <f>VLOOKUP(Table4[[#This Row],[Visitor]],'NHL Model'!$A$6:$B$38,2,FALSE)</f>
        <v>0.17499330177061237</v>
      </c>
      <c r="J270">
        <f>($B$1+Table4[[#This Row],[Home Differential]])-Table4[[#This Row],[Away Differential]]</f>
        <v>-0.2569037795812994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0.48887820045011904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0.23900189487534676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-0.31573427760518757</v>
      </c>
      <c r="H271" t="s">
        <v>33</v>
      </c>
      <c r="I271">
        <f>VLOOKUP(Table4[[#This Row],[Visitor]],'NHL Model'!$A$6:$B$38,2,FALSE)</f>
        <v>-0.21695959508717547</v>
      </c>
      <c r="J271">
        <f>($B$1+Table4[[#This Row],[Home Differential]])-Table4[[#This Row],[Away Differential]]</f>
        <v>-2.3862765941362468E-2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0.43934006263308323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0.19301969063444149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1.8116689824371455</v>
      </c>
      <c r="H272" t="s">
        <v>23</v>
      </c>
      <c r="I272">
        <f>VLOOKUP(Table4[[#This Row],[Visitor]],'NHL Model'!$A$6:$B$38,2,FALSE)</f>
        <v>8.8679045351754957E-2</v>
      </c>
      <c r="J272">
        <f>($B$1+Table4[[#This Row],[Home Differential]])-Table4[[#This Row],[Away Differential]]</f>
        <v>1.7979018536620401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0.8610782572620026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1.9299250605362334E-2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-8.2026557704658234E-2</v>
      </c>
      <c r="H273" t="s">
        <v>31</v>
      </c>
      <c r="I273">
        <f>VLOOKUP(Table4[[#This Row],[Visitor]],'NHL Model'!$A$6:$B$38,2,FALSE)</f>
        <v>-5.9622828283354432E-4</v>
      </c>
      <c r="J273">
        <f>($B$1+Table4[[#This Row],[Home Differential]])-Table4[[#This Row],[Away Differential]]</f>
        <v>-6.5184128451750501E-3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0.42703457930711669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0.18235853192400614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0.20922229284068078</v>
      </c>
      <c r="H274" t="s">
        <v>22</v>
      </c>
      <c r="I274">
        <f>VLOOKUP(Table4[[#This Row],[Visitor]],'NHL Model'!$A$6:$B$38,2,FALSE)</f>
        <v>0.44972876941152479</v>
      </c>
      <c r="J274">
        <f>($B$1+Table4[[#This Row],[Home Differential]])-Table4[[#This Row],[Away Differential]]</f>
        <v>-0.16559455999419437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0.48513693487264714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0.23535784557762707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4.5205299343610755E-2</v>
      </c>
      <c r="H275" t="s">
        <v>39</v>
      </c>
      <c r="I275">
        <f>VLOOKUP(Table4[[#This Row],[Visitor]],'NHL Model'!$A$6:$B$38,2,FALSE)</f>
        <v>0.92535559469880035</v>
      </c>
      <c r="J275">
        <f>($B$1+Table4[[#This Row],[Home Differential]])-Table4[[#This Row],[Away Differential]]</f>
        <v>-0.80523837877853999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0.63673422581809269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0.13196202269198049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6.3057484159014243E-2</v>
      </c>
      <c r="H276" t="s">
        <v>21</v>
      </c>
      <c r="I276">
        <f>VLOOKUP(Table4[[#This Row],[Visitor]],'NHL Model'!$A$6:$B$38,2,FALSE)</f>
        <v>-6.5206076050157921E-2</v>
      </c>
      <c r="J276">
        <f>($B$1+Table4[[#This Row],[Home Differential]])-Table4[[#This Row],[Away Differential]]</f>
        <v>0.20317547678582182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0.56283867584483205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0.19111002333709984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-0.34471182133334621</v>
      </c>
      <c r="H277" t="s">
        <v>40</v>
      </c>
      <c r="I277">
        <f>VLOOKUP(Table4[[#This Row],[Visitor]],'NHL Model'!$A$6:$B$38,2,FALSE)</f>
        <v>-5.6782013784997053E-2</v>
      </c>
      <c r="J277">
        <f>($B$1+Table4[[#This Row],[Home Differential]])-Table4[[#This Row],[Away Differential]]</f>
        <v>-0.21301789097169951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0.48394504808363714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0.23420280956467388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-1.7306849519822837E-2</v>
      </c>
      <c r="H278" t="s">
        <v>13</v>
      </c>
      <c r="I278">
        <f>VLOOKUP(Table4[[#This Row],[Visitor]],'NHL Model'!$A$6:$B$38,2,FALSE)</f>
        <v>4.5005056179018996E-2</v>
      </c>
      <c r="J278">
        <f>($B$1+Table4[[#This Row],[Home Differential]])-Table4[[#This Row],[Away Differential]]</f>
        <v>1.2600010877807807E-2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0.52042775673353214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0.27084504997869652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0.21230765705109297</v>
      </c>
      <c r="H279" t="s">
        <v>30</v>
      </c>
      <c r="I279">
        <f>VLOOKUP(Table4[[#This Row],[Visitor]],'NHL Model'!$A$6:$B$38,2,FALSE)</f>
        <v>0.29544191342066151</v>
      </c>
      <c r="J279">
        <f>($B$1+Table4[[#This Row],[Home Differential]])-Table4[[#This Row],[Away Differential]]</f>
        <v>-8.2223397929188646E-3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0.49450767750220243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0.25552248810421746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0.53620748452970379</v>
      </c>
      <c r="H280" t="s">
        <v>38</v>
      </c>
      <c r="I280">
        <f>VLOOKUP(Table4[[#This Row],[Visitor]],'NHL Model'!$A$6:$B$38,2,FALSE)</f>
        <v>-0.46815423657711264</v>
      </c>
      <c r="J280">
        <f>($B$1+Table4[[#This Row],[Home Differential]])-Table4[[#This Row],[Away Differential]]</f>
        <v>1.0792736376834662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0.66504590063835256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0.11219424867917238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-0.29605365356197477</v>
      </c>
      <c r="H281" t="s">
        <v>14</v>
      </c>
      <c r="I281">
        <f>VLOOKUP(Table4[[#This Row],[Visitor]],'NHL Model'!$A$6:$B$38,2,FALSE)</f>
        <v>3.3446447213402619E-2</v>
      </c>
      <c r="J281">
        <f>($B$1+Table4[[#This Row],[Home Differential]])-Table4[[#This Row],[Away Differential]]</f>
        <v>-0.25458818419872775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0.49590762718480752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0.24592437470006603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-0.90940046726085955</v>
      </c>
      <c r="H282" t="s">
        <v>27</v>
      </c>
      <c r="I282">
        <f>VLOOKUP(Table4[[#This Row],[Visitor]],'NHL Model'!$A$6:$B$38,2,FALSE)</f>
        <v>0.3028174375616956</v>
      </c>
      <c r="J282">
        <f>($B$1+Table4[[#This Row],[Home Differential]])-Table4[[#This Row],[Away Differential]]</f>
        <v>-1.1373059882459056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0.60861223235999706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0.15318438465822493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0.18592042582238802</v>
      </c>
      <c r="H283" t="s">
        <v>30</v>
      </c>
      <c r="I283">
        <f>VLOOKUP(Table4[[#This Row],[Visitor]],'NHL Model'!$A$6:$B$38,2,FALSE)</f>
        <v>0.29544191342066151</v>
      </c>
      <c r="J283">
        <f>($B$1+Table4[[#This Row],[Home Differential]])-Table4[[#This Row],[Away Differential]]</f>
        <v>-3.4609571021623875E-2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0.49747382986472555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0.25253255167082683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0.53620748452970379</v>
      </c>
      <c r="H284" t="s">
        <v>17</v>
      </c>
      <c r="I284">
        <f>VLOOKUP(Table4[[#This Row],[Visitor]],'NHL Model'!$A$6:$B$38,2,FALSE)</f>
        <v>0.17499330177061237</v>
      </c>
      <c r="J284">
        <f>($B$1+Table4[[#This Row],[Home Differential]])-Table4[[#This Row],[Away Differential]]</f>
        <v>0.43612609933574109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0.63460992045007281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0.40272975113364773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-0.15682239438733669</v>
      </c>
      <c r="H285" t="s">
        <v>15</v>
      </c>
      <c r="I285">
        <f>VLOOKUP(Table4[[#This Row],[Visitor]],'NHL Model'!$A$6:$B$38,2,FALSE)</f>
        <v>6.6163598639307278E-2</v>
      </c>
      <c r="J285">
        <f>($B$1+Table4[[#This Row],[Home Differential]])-Table4[[#This Row],[Away Differential]]</f>
        <v>-0.14807407644999432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0.54654639293872065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0.20562017375688513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-0.31573427760518757</v>
      </c>
      <c r="H286" t="s">
        <v>40</v>
      </c>
      <c r="I286">
        <f>VLOOKUP(Table4[[#This Row],[Visitor]],'NHL Model'!$A$6:$B$38,2,FALSE)</f>
        <v>-5.6782013784997053E-2</v>
      </c>
      <c r="J286">
        <f>($B$1+Table4[[#This Row],[Home Differential]])-Table4[[#This Row],[Away Differential]]</f>
        <v>-0.18404034724354087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0.45014830316930649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0.30233688850759283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-0.45160327336373768</v>
      </c>
      <c r="H287" t="s">
        <v>19</v>
      </c>
      <c r="I287">
        <f>VLOOKUP(Table4[[#This Row],[Visitor]],'NHL Model'!$A$6:$B$38,2,FALSE)</f>
        <v>-1.7306849519822837E-2</v>
      </c>
      <c r="J287">
        <f>($B$1+Table4[[#This Row],[Home Differential]])-Table4[[#This Row],[Away Differential]]</f>
        <v>-0.35938450726726523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0.50039791807051637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0.25039807640930722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0.92535559469880035</v>
      </c>
      <c r="H288" t="s">
        <v>27</v>
      </c>
      <c r="I288">
        <f>VLOOKUP(Table4[[#This Row],[Visitor]],'NHL Model'!$A$6:$B$38,2,FALSE)</f>
        <v>0.3028174375616956</v>
      </c>
      <c r="J288">
        <f>($B$1+Table4[[#This Row],[Home Differential]])-Table4[[#This Row],[Away Differential]]</f>
        <v>0.69745007371375434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0.6365389382147344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0.13210394343407267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-8.2026557704658234E-2</v>
      </c>
      <c r="H289" t="s">
        <v>23</v>
      </c>
      <c r="I289">
        <f>VLOOKUP(Table4[[#This Row],[Visitor]],'NHL Model'!$A$6:$B$38,2,FALSE)</f>
        <v>8.8679045351754957E-2</v>
      </c>
      <c r="J289">
        <f>($B$1+Table4[[#This Row],[Home Differential]])-Table4[[#This Row],[Away Differential]]</f>
        <v>-9.5793686479763551E-2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0.43706989000383223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0.31689030874029755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0.20922229284068078</v>
      </c>
      <c r="H290" t="s">
        <v>37</v>
      </c>
      <c r="I290">
        <f>VLOOKUP(Table4[[#This Row],[Visitor]],'NHL Model'!$A$6:$B$38,2,FALSE)</f>
        <v>0.77279348157483052</v>
      </c>
      <c r="J290">
        <f>($B$1+Table4[[#This Row],[Home Differential]])-Table4[[#This Row],[Away Differential]]</f>
        <v>-0.4886592721575001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0.58504999848123362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0.17218350376042421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0.6527374602185485</v>
      </c>
      <c r="H291" t="s">
        <v>31</v>
      </c>
      <c r="I291">
        <f>VLOOKUP(Table4[[#This Row],[Visitor]],'NHL Model'!$A$6:$B$38,2,FALSE)</f>
        <v>-5.9622828283354432E-4</v>
      </c>
      <c r="J291">
        <f>($B$1+Table4[[#This Row],[Home Differential]])-Table4[[#This Row],[Away Differential]]</f>
        <v>0.72824560507803171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0.64414482367166925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0.12663290651966735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4.5205299343610755E-2</v>
      </c>
      <c r="H292" t="s">
        <v>21</v>
      </c>
      <c r="I292">
        <f>VLOOKUP(Table4[[#This Row],[Visitor]],'NHL Model'!$A$6:$B$38,2,FALSE)</f>
        <v>-6.5206076050157921E-2</v>
      </c>
      <c r="J292">
        <f>($B$1+Table4[[#This Row],[Home Differential]])-Table4[[#This Row],[Away Differential]]</f>
        <v>0.1853232919704183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0.5608319363082942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0.31453246078331054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6.3057484159014243E-2</v>
      </c>
      <c r="H293" t="s">
        <v>13</v>
      </c>
      <c r="I293">
        <f>VLOOKUP(Table4[[#This Row],[Visitor]],'NHL Model'!$A$6:$B$38,2,FALSE)</f>
        <v>4.5005056179018996E-2</v>
      </c>
      <c r="J293">
        <f>($B$1+Table4[[#This Row],[Home Differential]])-Table4[[#This Row],[Away Differential]]</f>
        <v>9.2964344556644887E-2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0.51805966283974691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0.26838581426163227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-0.34471182133334621</v>
      </c>
      <c r="H294" t="s">
        <v>33</v>
      </c>
      <c r="I294">
        <f>VLOOKUP(Table4[[#This Row],[Visitor]],'NHL Model'!$A$6:$B$38,2,FALSE)</f>
        <v>-0.21695959508717547</v>
      </c>
      <c r="J294">
        <f>($B$1+Table4[[#This Row],[Home Differential]])-Table4[[#This Row],[Away Differential]]</f>
        <v>-5.2840309669521107E-2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0.47322942614574437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0.22394608977023053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-0.90940046726085955</v>
      </c>
      <c r="H295" t="s">
        <v>20</v>
      </c>
      <c r="I295">
        <f>VLOOKUP(Table4[[#This Row],[Visitor]],'NHL Model'!$A$6:$B$38,2,FALSE)</f>
        <v>0.21230765705109297</v>
      </c>
      <c r="J295">
        <f>($B$1+Table4[[#This Row],[Home Differential]])-Table4[[#This Row],[Away Differential]]</f>
        <v>-1.0467962077353028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0.5984381524436122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0.16125191741289963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0.44972876941152479</v>
      </c>
      <c r="H296" t="s">
        <v>24</v>
      </c>
      <c r="I296">
        <f>VLOOKUP(Table4[[#This Row],[Visitor]],'NHL Model'!$A$6:$B$38,2,FALSE)</f>
        <v>-7.602164965773138E-2</v>
      </c>
      <c r="J296">
        <f>($B$1+Table4[[#This Row],[Home Differential]])-Table4[[#This Row],[Away Differential]]</f>
        <v>0.60066233564590588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0.59132915065148639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0.34967016441020826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1.8116689824371455</v>
      </c>
      <c r="H297" t="s">
        <v>30</v>
      </c>
      <c r="I297">
        <f>VLOOKUP(Table4[[#This Row],[Visitor]],'NHL Model'!$A$6:$B$38,2,FALSE)</f>
        <v>0.29544191342066151</v>
      </c>
      <c r="J297">
        <f>($B$1+Table4[[#This Row],[Home Differential]])-Table4[[#This Row],[Away Differential]]</f>
        <v>1.5911389855931337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0.80695691805574765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3.7265631486535326E-2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0.6527374602185485</v>
      </c>
      <c r="H298" t="s">
        <v>20</v>
      </c>
      <c r="I298">
        <f>VLOOKUP(Table4[[#This Row],[Visitor]],'NHL Model'!$A$6:$B$38,2,FALSE)</f>
        <v>0.21230765705109297</v>
      </c>
      <c r="J298">
        <f>($B$1+Table4[[#This Row],[Home Differential]])-Table4[[#This Row],[Away Differential]]</f>
        <v>0.51534171974410514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0.5995955204473864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0.16032374724579937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6.6163598639307278E-2</v>
      </c>
      <c r="H299" t="s">
        <v>26</v>
      </c>
      <c r="I299">
        <f>VLOOKUP(Table4[[#This Row],[Visitor]],'NHL Model'!$A$6:$B$38,2,FALSE)</f>
        <v>-8.2026557704658234E-2</v>
      </c>
      <c r="J299">
        <f>($B$1+Table4[[#This Row],[Home Differential]])-Table4[[#This Row],[Away Differential]]</f>
        <v>0.22310207292061512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0.53149518150685904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0.28248712796500902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3.3446447213402619E-2</v>
      </c>
      <c r="H300" t="s">
        <v>29</v>
      </c>
      <c r="I300">
        <f>VLOOKUP(Table4[[#This Row],[Visitor]],'NHL Model'!$A$6:$B$38,2,FALSE)</f>
        <v>-0.29605365356197477</v>
      </c>
      <c r="J300">
        <f>($B$1+Table4[[#This Row],[Home Differential]])-Table4[[#This Row],[Away Differential]]</f>
        <v>0.40441201735202703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0.58545939853653661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0.17184391026168999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0.77279348157483052</v>
      </c>
      <c r="H301" t="s">
        <v>38</v>
      </c>
      <c r="I301">
        <f>VLOOKUP(Table4[[#This Row],[Visitor]],'NHL Model'!$A$6:$B$38,2,FALSE)</f>
        <v>-0.46815423657711264</v>
      </c>
      <c r="J301">
        <f>($B$1+Table4[[#This Row],[Home Differential]])-Table4[[#This Row],[Away Differential]]</f>
        <v>1.3158596347285929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0.6499886601592052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0.42248525833555872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-5.9622828283354432E-4</v>
      </c>
      <c r="H302" t="s">
        <v>55</v>
      </c>
      <c r="I302">
        <f>VLOOKUP(Table4[[#This Row],[Visitor]],'NHL Model'!$A$6:$B$38,2,FALSE)</f>
        <v>0.18592042582238802</v>
      </c>
      <c r="J302">
        <f>($B$1+Table4[[#This Row],[Home Differential]])-Table4[[#This Row],[Away Differential]]</f>
        <v>-0.11160473752857192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0.43395324244052175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0.18831541662464224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-6.5206076050157921E-2</v>
      </c>
      <c r="H303" t="s">
        <v>25</v>
      </c>
      <c r="I303">
        <f>VLOOKUP(Table4[[#This Row],[Visitor]],'NHL Model'!$A$6:$B$38,2,FALSE)</f>
        <v>0.53620748452970379</v>
      </c>
      <c r="J303">
        <f>($B$1+Table4[[#This Row],[Home Differential]])-Table4[[#This Row],[Away Differential]]</f>
        <v>-0.52650164400321209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0.56245129937061789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0.19144886542246065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8.8679045351754957E-2</v>
      </c>
      <c r="H304" t="s">
        <v>17</v>
      </c>
      <c r="I304">
        <f>VLOOKUP(Table4[[#This Row],[Visitor]],'NHL Model'!$A$6:$B$38,2,FALSE)</f>
        <v>0.17499330177061237</v>
      </c>
      <c r="J304">
        <f>($B$1+Table4[[#This Row],[Home Differential]])-Table4[[#This Row],[Away Differential]]</f>
        <v>-1.1402339842207759E-2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0.42268962876116895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0.17866652226225482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-0.15682239438733669</v>
      </c>
      <c r="H305" t="s">
        <v>18</v>
      </c>
      <c r="I305">
        <f>VLOOKUP(Table4[[#This Row],[Visitor]],'NHL Model'!$A$6:$B$38,2,FALSE)</f>
        <v>4.5205299343610755E-2</v>
      </c>
      <c r="J305">
        <f>($B$1+Table4[[#This Row],[Home Differential]])-Table4[[#This Row],[Away Differential]]</f>
        <v>-0.12711577715429781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0.53169248442998063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0.28269689799932518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0.20922229284068078</v>
      </c>
      <c r="H306" t="s">
        <v>38</v>
      </c>
      <c r="I306">
        <f>VLOOKUP(Table4[[#This Row],[Visitor]],'NHL Model'!$A$6:$B$38,2,FALSE)</f>
        <v>-0.46815423657711264</v>
      </c>
      <c r="J306">
        <f>($B$1+Table4[[#This Row],[Home Differential]])-Table4[[#This Row],[Away Differential]]</f>
        <v>0.752288445994443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0.58282154904130778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0.17403785994429397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0.44972876941152479</v>
      </c>
      <c r="H307" t="s">
        <v>13</v>
      </c>
      <c r="I307">
        <f>VLOOKUP(Table4[[#This Row],[Visitor]],'NHL Model'!$A$6:$B$38,2,FALSE)</f>
        <v>4.5005056179018996E-2</v>
      </c>
      <c r="J307">
        <f>($B$1+Table4[[#This Row],[Home Differential]])-Table4[[#This Row],[Away Differential]]</f>
        <v>0.47963562980915547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0.56611030328184131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0.18826026891817574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-0.45160327336373768</v>
      </c>
      <c r="H308" t="s">
        <v>16</v>
      </c>
      <c r="I308">
        <f>VLOOKUP(Table4[[#This Row],[Visitor]],'NHL Model'!$A$6:$B$38,2,FALSE)</f>
        <v>-0.31573427760518757</v>
      </c>
      <c r="J308">
        <f>($B$1+Table4[[#This Row],[Home Differential]])-Table4[[#This Row],[Away Differential]]</f>
        <v>-6.0957079181900464E-2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0.46685210141453615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0.21795088459516834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0.92535559469880035</v>
      </c>
      <c r="H309" t="s">
        <v>30</v>
      </c>
      <c r="I309">
        <f>VLOOKUP(Table4[[#This Row],[Visitor]],'NHL Model'!$A$6:$B$38,2,FALSE)</f>
        <v>0.29544191342066151</v>
      </c>
      <c r="J309">
        <f>($B$1+Table4[[#This Row],[Home Differential]])-Table4[[#This Row],[Away Differential]]</f>
        <v>0.70482559785478849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0.62468302130802855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0.39022887711052684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-8.2026557704658234E-2</v>
      </c>
      <c r="H310" t="s">
        <v>32</v>
      </c>
      <c r="I310">
        <f>VLOOKUP(Table4[[#This Row],[Visitor]],'NHL Model'!$A$6:$B$38,2,FALSE)</f>
        <v>-0.34471182133334621</v>
      </c>
      <c r="J310">
        <f>($B$1+Table4[[#This Row],[Home Differential]])-Table4[[#This Row],[Away Differential]]</f>
        <v>0.33759718020533763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0.61164698112115068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0.15081806727231589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-0.21695959508717547</v>
      </c>
      <c r="H311" t="s">
        <v>55</v>
      </c>
      <c r="I311">
        <f>VLOOKUP(Table4[[#This Row],[Visitor]],'NHL Model'!$A$6:$B$38,2,FALSE)</f>
        <v>0.18592042582238802</v>
      </c>
      <c r="J311">
        <f>($B$1+Table4[[#This Row],[Home Differential]])-Table4[[#This Row],[Away Differential]]</f>
        <v>-0.32796810433291385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0.49686644343499903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0.24687626261174508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0.77279348157483052</v>
      </c>
      <c r="H312" t="s">
        <v>24</v>
      </c>
      <c r="I312">
        <f>VLOOKUP(Table4[[#This Row],[Visitor]],'NHL Model'!$A$6:$B$38,2,FALSE)</f>
        <v>-7.602164965773138E-2</v>
      </c>
      <c r="J312">
        <f>($B$1+Table4[[#This Row],[Home Differential]])-Table4[[#This Row],[Away Differential]]</f>
        <v>0.92372704780921155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0.62764441051810715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0.13864868501840791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-1.7306849519822837E-2</v>
      </c>
      <c r="H313" t="s">
        <v>35</v>
      </c>
      <c r="I313">
        <f>VLOOKUP(Table4[[#This Row],[Visitor]],'NHL Model'!$A$6:$B$38,2,FALSE)</f>
        <v>-0.90940046726085955</v>
      </c>
      <c r="J313">
        <f>($B$1+Table4[[#This Row],[Home Differential]])-Table4[[#This Row],[Away Differential]]</f>
        <v>0.96700553431768632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0.66001443529253523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0.11559018420945372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0.21230765705109297</v>
      </c>
      <c r="H314" t="s">
        <v>15</v>
      </c>
      <c r="I314">
        <f>VLOOKUP(Table4[[#This Row],[Visitor]],'NHL Model'!$A$6:$B$38,2,FALSE)</f>
        <v>6.6163598639307278E-2</v>
      </c>
      <c r="J314">
        <f>($B$1+Table4[[#This Row],[Home Differential]])-Table4[[#This Row],[Away Differential]]</f>
        <v>0.22105597498843538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0.49494700834550731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0.25507852437915307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-5.6782013784997053E-2</v>
      </c>
      <c r="H315" t="s">
        <v>28</v>
      </c>
      <c r="I315">
        <f>VLOOKUP(Table4[[#This Row],[Visitor]],'NHL Model'!$A$6:$B$38,2,FALSE)</f>
        <v>-0.15682239438733669</v>
      </c>
      <c r="J315">
        <f>($B$1+Table4[[#This Row],[Home Differential]])-Table4[[#This Row],[Away Differential]]</f>
        <v>0.17495229717898927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0.55966614705076689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0.19389390205311685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-5.9622828283354432E-4</v>
      </c>
      <c r="H316" t="s">
        <v>21</v>
      </c>
      <c r="I316">
        <f>VLOOKUP(Table4[[#This Row],[Visitor]],'NHL Model'!$A$6:$B$38,2,FALSE)</f>
        <v>-6.5206076050157921E-2</v>
      </c>
      <c r="J316">
        <f>($B$1+Table4[[#This Row],[Home Differential]])-Table4[[#This Row],[Away Differential]]</f>
        <v>0.13952176434397401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0.59427554216993428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0.16461233568150077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8.8679045351754957E-2</v>
      </c>
      <c r="H317" t="s">
        <v>16</v>
      </c>
      <c r="I317">
        <f>VLOOKUP(Table4[[#This Row],[Visitor]],'NHL Model'!$A$6:$B$38,2,FALSE)</f>
        <v>-0.31573427760518757</v>
      </c>
      <c r="J317">
        <f>($B$1+Table4[[#This Row],[Home Differential]])-Table4[[#This Row],[Away Differential]]</f>
        <v>0.47932523953359218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0.63247238336147249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0.40002131571494143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0.6527374602185485</v>
      </c>
      <c r="H318" t="s">
        <v>25</v>
      </c>
      <c r="I318">
        <f>VLOOKUP(Table4[[#This Row],[Visitor]],'NHL Model'!$A$6:$B$38,2,FALSE)</f>
        <v>0.53620748452970379</v>
      </c>
      <c r="J318">
        <f>($B$1+Table4[[#This Row],[Home Differential]])-Table4[[#This Row],[Away Differential]]</f>
        <v>0.19144189226549435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0.52663219418796925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0.22407707957929646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0.44972876941152479</v>
      </c>
      <c r="H319" t="s">
        <v>17</v>
      </c>
      <c r="I319">
        <f>VLOOKUP(Table4[[#This Row],[Visitor]],'NHL Model'!$A$6:$B$38,2,FALSE)</f>
        <v>0.17499330177061237</v>
      </c>
      <c r="J319">
        <f>($B$1+Table4[[#This Row],[Home Differential]])-Table4[[#This Row],[Away Differential]]</f>
        <v>0.34964738421756214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0.58385783690902826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0.17317429990203292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-5.9622828283354432E-4</v>
      </c>
      <c r="H320" t="s">
        <v>36</v>
      </c>
      <c r="I320">
        <f>VLOOKUP(Table4[[#This Row],[Visitor]],'NHL Model'!$A$6:$B$38,2,FALSE)</f>
        <v>6.3057484159014243E-2</v>
      </c>
      <c r="J320">
        <f>($B$1+Table4[[#This Row],[Home Differential]])-Table4[[#This Row],[Away Differential]]</f>
        <v>1.1258204134801858E-2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0.55940505412303709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0.31293401457839803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-0.45160327336373768</v>
      </c>
      <c r="H321" t="s">
        <v>32</v>
      </c>
      <c r="I321">
        <f>VLOOKUP(Table4[[#This Row],[Visitor]],'NHL Model'!$A$6:$B$38,2,FALSE)</f>
        <v>-0.34471182133334621</v>
      </c>
      <c r="J321">
        <f>($B$1+Table4[[#This Row],[Home Differential]])-Table4[[#This Row],[Away Differential]]</f>
        <v>-3.1979535453741825E-2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0.46359477558734241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0.28773056477719355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1.8116689824371455</v>
      </c>
      <c r="H322" t="s">
        <v>15</v>
      </c>
      <c r="I322">
        <f>VLOOKUP(Table4[[#This Row],[Visitor]],'NHL Model'!$A$6:$B$38,2,FALSE)</f>
        <v>6.6163598639307278E-2</v>
      </c>
      <c r="J322">
        <f>($B$1+Table4[[#This Row],[Home Differential]])-Table4[[#This Row],[Away Differential]]</f>
        <v>1.8204173003744879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0.7981789915540457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4.0731719450141958E-2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-8.2026557704658234E-2</v>
      </c>
      <c r="H323" t="s">
        <v>30</v>
      </c>
      <c r="I323">
        <f>VLOOKUP(Table4[[#This Row],[Visitor]],'NHL Model'!$A$6:$B$38,2,FALSE)</f>
        <v>0.29544191342066151</v>
      </c>
      <c r="J323">
        <f>($B$1+Table4[[#This Row],[Home Differential]])-Table4[[#This Row],[Away Differential]]</f>
        <v>-0.30255655454867009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0.49352856564380376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0.25651331381882281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0.20922229284068078</v>
      </c>
      <c r="H324" t="s">
        <v>24</v>
      </c>
      <c r="I324">
        <f>VLOOKUP(Table4[[#This Row],[Visitor]],'NHL Model'!$A$6:$B$38,2,FALSE)</f>
        <v>-7.602164965773138E-2</v>
      </c>
      <c r="J324">
        <f>($B$1+Table4[[#This Row],[Home Differential]])-Table4[[#This Row],[Away Differential]]</f>
        <v>0.36015585907506181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0.56048462466611193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0.19317376515488852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4.5205299343610755E-2</v>
      </c>
      <c r="H325" t="s">
        <v>22</v>
      </c>
      <c r="I325">
        <f>VLOOKUP(Table4[[#This Row],[Visitor]],'NHL Model'!$A$6:$B$38,2,FALSE)</f>
        <v>0.44972876941152479</v>
      </c>
      <c r="J325">
        <f>($B$1+Table4[[#This Row],[Home Differential]])-Table4[[#This Row],[Away Differential]]</f>
        <v>-0.32961155349126436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0.50434090092022787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0.24567794250057137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0.3028174375616956</v>
      </c>
      <c r="H326" t="s">
        <v>35</v>
      </c>
      <c r="I326">
        <f>VLOOKUP(Table4[[#This Row],[Visitor]],'NHL Model'!$A$6:$B$38,2,FALSE)</f>
        <v>-0.90940046726085955</v>
      </c>
      <c r="J326">
        <f>($B$1+Table4[[#This Row],[Home Differential]])-Table4[[#This Row],[Away Differential]]</f>
        <v>1.2871298213992048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0.68923894801420826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9.6572431431315955E-2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-0.21695959508717547</v>
      </c>
      <c r="H327" t="s">
        <v>13</v>
      </c>
      <c r="I327">
        <f>VLOOKUP(Table4[[#This Row],[Visitor]],'NHL Model'!$A$6:$B$38,2,FALSE)</f>
        <v>4.5005056179018996E-2</v>
      </c>
      <c r="J327">
        <f>($B$1+Table4[[#This Row],[Home Differential]])-Table4[[#This Row],[Away Differential]]</f>
        <v>-0.18705273468954481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0.51341667182962825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0.26359667891261218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0.77279348157483052</v>
      </c>
      <c r="H328" t="s">
        <v>17</v>
      </c>
      <c r="I328">
        <f>VLOOKUP(Table4[[#This Row],[Visitor]],'NHL Model'!$A$6:$B$38,2,FALSE)</f>
        <v>0.17499330177061237</v>
      </c>
      <c r="J328">
        <f>($B$1+Table4[[#This Row],[Home Differential]])-Table4[[#This Row],[Away Differential]]</f>
        <v>0.67271209638086782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0.62017309677564902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0.14426847641300047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-1.7306849519822837E-2</v>
      </c>
      <c r="H329" t="s">
        <v>28</v>
      </c>
      <c r="I329">
        <f>VLOOKUP(Table4[[#This Row],[Visitor]],'NHL Model'!$A$6:$B$38,2,FALSE)</f>
        <v>-0.15682239438733669</v>
      </c>
      <c r="J329">
        <f>($B$1+Table4[[#This Row],[Home Differential]])-Table4[[#This Row],[Away Differential]]</f>
        <v>0.2144274614441635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0.57541816941343304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0.33110606969110634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0.18592042582238802</v>
      </c>
      <c r="H330" t="s">
        <v>20</v>
      </c>
      <c r="I330">
        <f>VLOOKUP(Table4[[#This Row],[Visitor]],'NHL Model'!$A$6:$B$38,2,FALSE)</f>
        <v>0.21230765705109297</v>
      </c>
      <c r="J330">
        <f>($B$1+Table4[[#This Row],[Home Differential]])-Table4[[#This Row],[Away Differential]]</f>
        <v>4.8524685347944657E-2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0.52468536235719476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0.27529472947190076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-0.46815423657711264</v>
      </c>
      <c r="H331" t="s">
        <v>39</v>
      </c>
      <c r="I331">
        <f>VLOOKUP(Table4[[#This Row],[Visitor]],'NHL Model'!$A$6:$B$38,2,FALSE)</f>
        <v>0.92535559469880035</v>
      </c>
      <c r="J331">
        <f>($B$1+Table4[[#This Row],[Home Differential]])-Table4[[#This Row],[Away Differential]]</f>
        <v>-1.3185979146992635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0.69444026504203982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9.3366751627578876E-2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8.8679045351754957E-2</v>
      </c>
      <c r="H332" t="s">
        <v>10</v>
      </c>
      <c r="I332">
        <f>VLOOKUP(Table4[[#This Row],[Visitor]],'NHL Model'!$A$6:$B$38,2,FALSE)</f>
        <v>-0.45160327336373768</v>
      </c>
      <c r="J332">
        <f>($B$1+Table4[[#This Row],[Home Differential]])-Table4[[#This Row],[Away Differential]]</f>
        <v>0.61519423529214223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0.64774523026495723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0.124083422801088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4.5005056179018996E-2</v>
      </c>
      <c r="H333" t="s">
        <v>21</v>
      </c>
      <c r="I333">
        <f>VLOOKUP(Table4[[#This Row],[Visitor]],'NHL Model'!$A$6:$B$38,2,FALSE)</f>
        <v>-6.5206076050157921E-2</v>
      </c>
      <c r="J333">
        <f>($B$1+Table4[[#This Row],[Home Differential]])-Table4[[#This Row],[Away Differential]]</f>
        <v>0.18512304880582656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0.56080942724962923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0.3145072136920572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3.3446447213402619E-2</v>
      </c>
      <c r="H334" t="s">
        <v>34</v>
      </c>
      <c r="I334">
        <f>VLOOKUP(Table4[[#This Row],[Visitor]],'NHL Model'!$A$6:$B$38,2,FALSE)</f>
        <v>0.6527374602185485</v>
      </c>
      <c r="J334">
        <f>($B$1+Table4[[#This Row],[Home Differential]])-Table4[[#This Row],[Away Differential]]</f>
        <v>-0.54437909642849625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0.59208093623624447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0.16639796258189885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-5.6782013784997053E-2</v>
      </c>
      <c r="H335" t="s">
        <v>25</v>
      </c>
      <c r="I335">
        <f>VLOOKUP(Table4[[#This Row],[Visitor]],'NHL Model'!$A$6:$B$38,2,FALSE)</f>
        <v>0.53620748452970379</v>
      </c>
      <c r="J335">
        <f>($B$1+Table4[[#This Row],[Home Differential]])-Table4[[#This Row],[Away Differential]]</f>
        <v>-0.51807758173805118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0.57563996305217424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0.18008144095836004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-5.9622828283354432E-4</v>
      </c>
      <c r="H336" t="s">
        <v>20</v>
      </c>
      <c r="I336">
        <f>VLOOKUP(Table4[[#This Row],[Visitor]],'NHL Model'!$A$6:$B$38,2,FALSE)</f>
        <v>0.21230765705109297</v>
      </c>
      <c r="J336">
        <f>($B$1+Table4[[#This Row],[Home Differential]])-Table4[[#This Row],[Away Differential]]</f>
        <v>-0.13799196875727687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0.45737195249405871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0.20918910292822748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-0.31573427760518757</v>
      </c>
      <c r="H337" t="s">
        <v>39</v>
      </c>
      <c r="I337">
        <f>VLOOKUP(Table4[[#This Row],[Visitor]],'NHL Model'!$A$6:$B$38,2,FALSE)</f>
        <v>0.92535559469880035</v>
      </c>
      <c r="J337">
        <f>($B$1+Table4[[#This Row],[Home Differential]])-Table4[[#This Row],[Away Differential]]</f>
        <v>-1.1661779557273384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0.64650696193994595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0.41797125183681871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-8.2026557704658234E-2</v>
      </c>
      <c r="H338" t="s">
        <v>28</v>
      </c>
      <c r="I338">
        <f>VLOOKUP(Table4[[#This Row],[Visitor]],'NHL Model'!$A$6:$B$38,2,FALSE)</f>
        <v>-0.15682239438733669</v>
      </c>
      <c r="J338">
        <f>($B$1+Table4[[#This Row],[Home Differential]])-Table4[[#This Row],[Away Differential]]</f>
        <v>0.14970775325932811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0.59052658911038314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0.16766847422557701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0.20922229284068078</v>
      </c>
      <c r="H339" t="s">
        <v>17</v>
      </c>
      <c r="I339">
        <f>VLOOKUP(Table4[[#This Row],[Visitor]],'NHL Model'!$A$6:$B$38,2,FALSE)</f>
        <v>0.17499330177061237</v>
      </c>
      <c r="J339">
        <f>($B$1+Table4[[#This Row],[Home Differential]])-Table4[[#This Row],[Away Differential]]</f>
        <v>0.10914090764671805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0.55303377030260803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0.30584635109511782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4.5205299343610755E-2</v>
      </c>
      <c r="H340" t="s">
        <v>19</v>
      </c>
      <c r="I340">
        <f>VLOOKUP(Table4[[#This Row],[Visitor]],'NHL Model'!$A$6:$B$38,2,FALSE)</f>
        <v>-1.7306849519822837E-2</v>
      </c>
      <c r="J340">
        <f>($B$1+Table4[[#This Row],[Home Differential]])-Table4[[#This Row],[Away Differential]]</f>
        <v>0.13742406544008323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0.5554476501471366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0.19762679175970266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-0.29605365356197477</v>
      </c>
      <c r="H341" t="s">
        <v>12</v>
      </c>
      <c r="I341">
        <f>VLOOKUP(Table4[[#This Row],[Visitor]],'NHL Model'!$A$6:$B$38,2,FALSE)</f>
        <v>1.8116689824371455</v>
      </c>
      <c r="J341">
        <f>($B$1+Table4[[#This Row],[Home Differential]])-Table4[[#This Row],[Away Differential]]</f>
        <v>-2.0328107194224705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0.77472394390598365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5.0749301449274399E-2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0.29544191342066151</v>
      </c>
      <c r="H342" t="s">
        <v>35</v>
      </c>
      <c r="I342">
        <f>VLOOKUP(Table4[[#This Row],[Visitor]],'NHL Model'!$A$6:$B$38,2,FALSE)</f>
        <v>-0.90940046726085955</v>
      </c>
      <c r="J342">
        <f>($B$1+Table4[[#This Row],[Home Differential]])-Table4[[#This Row],[Away Differential]]</f>
        <v>1.2797542972581706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0.69787204054480889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0.48702538497417541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0.3028174375616956</v>
      </c>
      <c r="H343" t="s">
        <v>24</v>
      </c>
      <c r="I343">
        <f>VLOOKUP(Table4[[#This Row],[Visitor]],'NHL Model'!$A$6:$B$38,2,FALSE)</f>
        <v>-7.602164965773138E-2</v>
      </c>
      <c r="J343">
        <f>($B$1+Table4[[#This Row],[Home Differential]])-Table4[[#This Row],[Away Differential]]</f>
        <v>0.45375100379607664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0.57481504993849653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0.1807822417588032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3.3446447213402619E-2</v>
      </c>
      <c r="H344" t="s">
        <v>32</v>
      </c>
      <c r="I344">
        <f>VLOOKUP(Table4[[#This Row],[Visitor]],'NHL Model'!$A$6:$B$38,2,FALSE)</f>
        <v>-0.34471182133334621</v>
      </c>
      <c r="J344">
        <f>($B$1+Table4[[#This Row],[Home Differential]])-Table4[[#This Row],[Away Differential]]</f>
        <v>0.45307018512339847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0.59092899623855299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0.34919707859550381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-0.21695959508717547</v>
      </c>
      <c r="H345" t="s">
        <v>36</v>
      </c>
      <c r="I345">
        <f>VLOOKUP(Table4[[#This Row],[Visitor]],'NHL Model'!$A$6:$B$38,2,FALSE)</f>
        <v>6.3057484159014243E-2</v>
      </c>
      <c r="J345">
        <f>($B$1+Table4[[#This Row],[Home Differential]])-Table4[[#This Row],[Away Differential]]</f>
        <v>-0.20510516266954007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0.50382481994965711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0.2461898092979902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0.18592042582238802</v>
      </c>
      <c r="H346" t="s">
        <v>15</v>
      </c>
      <c r="I346">
        <f>VLOOKUP(Table4[[#This Row],[Visitor]],'NHL Model'!$A$6:$B$38,2,FALSE)</f>
        <v>6.6163598639307278E-2</v>
      </c>
      <c r="J346">
        <f>($B$1+Table4[[#This Row],[Home Differential]])-Table4[[#This Row],[Away Differential]]</f>
        <v>0.19466874375973037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0.49198085598298424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0.25808345068778138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0.44972876941152479</v>
      </c>
      <c r="H347" t="s">
        <v>37</v>
      </c>
      <c r="I347">
        <f>VLOOKUP(Table4[[#This Row],[Visitor]],'NHL Model'!$A$6:$B$38,2,FALSE)</f>
        <v>0.77279348157483052</v>
      </c>
      <c r="J347">
        <f>($B$1+Table4[[#This Row],[Home Differential]])-Table4[[#This Row],[Away Differential]]</f>
        <v>-0.24815279558665604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0.55421030385135628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0.19872845319230009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8.8679045351754957E-2</v>
      </c>
      <c r="H348" t="s">
        <v>25</v>
      </c>
      <c r="I348">
        <f>VLOOKUP(Table4[[#This Row],[Visitor]],'NHL Model'!$A$6:$B$38,2,FALSE)</f>
        <v>0.53620748452970379</v>
      </c>
      <c r="J348">
        <f>($B$1+Table4[[#This Row],[Home Differential]])-Table4[[#This Row],[Away Differential]]</f>
        <v>-0.37261652260129918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0.52014618027665971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0.27055204885639939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-0.45160327336373768</v>
      </c>
      <c r="H349" t="s">
        <v>12</v>
      </c>
      <c r="I349">
        <f>VLOOKUP(Table4[[#This Row],[Visitor]],'NHL Model'!$A$6:$B$38,2,FALSE)</f>
        <v>1.8116689824371455</v>
      </c>
      <c r="J349">
        <f>($B$1+Table4[[#This Row],[Home Differential]])-Table4[[#This Row],[Away Differential]]</f>
        <v>-2.1883603392242335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0.79220906268429103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4.3177073630540894E-2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0.29544191342066151</v>
      </c>
      <c r="H350" t="s">
        <v>32</v>
      </c>
      <c r="I350">
        <f>VLOOKUP(Table4[[#This Row],[Visitor]],'NHL Model'!$A$6:$B$38,2,FALSE)</f>
        <v>-0.34471182133334621</v>
      </c>
      <c r="J350">
        <f>($B$1+Table4[[#This Row],[Home Differential]])-Table4[[#This Row],[Away Differential]]</f>
        <v>0.71506565133065736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0.63439616667647425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0.1336661629408564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-0.21695959508717547</v>
      </c>
      <c r="H351" t="s">
        <v>21</v>
      </c>
      <c r="I351">
        <f>VLOOKUP(Table4[[#This Row],[Visitor]],'NHL Model'!$A$6:$B$38,2,FALSE)</f>
        <v>-6.5206076050157921E-2</v>
      </c>
      <c r="J351">
        <f>($B$1+Table4[[#This Row],[Home Differential]])-Table4[[#This Row],[Away Differential]]</f>
        <v>-7.6841602460367905E-2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0.468637658824543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0.21962125526854875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-0.46815423657711264</v>
      </c>
      <c r="H352" t="s">
        <v>16</v>
      </c>
      <c r="I352">
        <f>VLOOKUP(Table4[[#This Row],[Visitor]],'NHL Model'!$A$6:$B$38,2,FALSE)</f>
        <v>-0.31573427760518757</v>
      </c>
      <c r="J352">
        <f>($B$1+Table4[[#This Row],[Home Differential]])-Table4[[#This Row],[Away Differential]]</f>
        <v>-7.7508042395275423E-2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0.46871257242083031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0.2822663307036915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-5.6782013784997053E-2</v>
      </c>
      <c r="H353" t="s">
        <v>34</v>
      </c>
      <c r="I353">
        <f>VLOOKUP(Table4[[#This Row],[Visitor]],'NHL Model'!$A$6:$B$38,2,FALSE)</f>
        <v>0.6527374602185485</v>
      </c>
      <c r="J353">
        <f>($B$1+Table4[[#This Row],[Home Differential]])-Table4[[#This Row],[Away Differential]]</f>
        <v>-0.6346075574268959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0.60222339341326303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0.15822622874765971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4.5005056179018996E-2</v>
      </c>
      <c r="H354" t="s">
        <v>36</v>
      </c>
      <c r="I354">
        <f>VLOOKUP(Table4[[#This Row],[Visitor]],'NHL Model'!$A$6:$B$38,2,FALSE)</f>
        <v>6.3057484159014243E-2</v>
      </c>
      <c r="J354">
        <f>($B$1+Table4[[#This Row],[Home Differential]])-Table4[[#This Row],[Away Differential]]</f>
        <v>5.6859488596654392E-2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0.52562226612451513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0.22503423439684034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-7.602164965773138E-2</v>
      </c>
      <c r="H355" t="s">
        <v>26</v>
      </c>
      <c r="I355">
        <f>VLOOKUP(Table4[[#This Row],[Visitor]],'NHL Model'!$A$6:$B$38,2,FALSE)</f>
        <v>-8.2026557704658234E-2</v>
      </c>
      <c r="J355">
        <f>($B$1+Table4[[#This Row],[Home Differential]])-Table4[[#This Row],[Away Differential]]</f>
        <v>8.0916824623576494E-2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0.5155123333445476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0.23472829914124477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-0.29605365356197477</v>
      </c>
      <c r="H356" t="s">
        <v>11</v>
      </c>
      <c r="I356">
        <f>VLOOKUP(Table4[[#This Row],[Visitor]],'NHL Model'!$A$6:$B$38,2,FALSE)</f>
        <v>0.20922229284068078</v>
      </c>
      <c r="J356">
        <f>($B$1+Table4[[#This Row],[Home Differential]])-Table4[[#This Row],[Away Differential]]</f>
        <v>-0.43036402982600591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0.54527103849544278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0.20677842843101307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6.6163598639307278E-2</v>
      </c>
      <c r="H357" t="s">
        <v>35</v>
      </c>
      <c r="I357">
        <f>VLOOKUP(Table4[[#This Row],[Visitor]],'NHL Model'!$A$6:$B$38,2,FALSE)</f>
        <v>-0.90940046726085955</v>
      </c>
      <c r="J357">
        <f>($B$1+Table4[[#This Row],[Home Differential]])-Table4[[#This Row],[Away Differential]]</f>
        <v>1.0504759824768164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0.65808256009095101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0.11690753571395812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0.77279348157483052</v>
      </c>
      <c r="H358" t="s">
        <v>27</v>
      </c>
      <c r="I358">
        <f>VLOOKUP(Table4[[#This Row],[Visitor]],'NHL Model'!$A$6:$B$38,2,FALSE)</f>
        <v>0.3028174375616956</v>
      </c>
      <c r="J358">
        <f>($B$1+Table4[[#This Row],[Home Differential]])-Table4[[#This Row],[Away Differential]]</f>
        <v>0.5448879605897845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0.58505962987808302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0.17217551075691345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0.18592042582238802</v>
      </c>
      <c r="H359" t="s">
        <v>20</v>
      </c>
      <c r="I359">
        <f>VLOOKUP(Table4[[#This Row],[Visitor]],'NHL Model'!$A$6:$B$38,2,FALSE)</f>
        <v>0.21230765705109297</v>
      </c>
      <c r="J359">
        <f>($B$1+Table4[[#This Row],[Home Differential]])-Table4[[#This Row],[Away Differential]]</f>
        <v>4.8524685347944657E-2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0.52468536235719476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0.22592400475751126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0.44972876941152479</v>
      </c>
      <c r="H360" t="s">
        <v>28</v>
      </c>
      <c r="I360">
        <f>VLOOKUP(Table4[[#This Row],[Visitor]],'NHL Model'!$A$6:$B$38,2,FALSE)</f>
        <v>-0.15682239438733669</v>
      </c>
      <c r="J360">
        <f>($B$1+Table4[[#This Row],[Home Differential]])-Table4[[#This Row],[Away Differential]]</f>
        <v>0.68146308037551118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0.62115678284809595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0.14352218318200474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0.17499330177061237</v>
      </c>
      <c r="H361" t="s">
        <v>39</v>
      </c>
      <c r="I361">
        <f>VLOOKUP(Table4[[#This Row],[Visitor]],'NHL Model'!$A$6:$B$38,2,FALSE)</f>
        <v>0.92535559469880035</v>
      </c>
      <c r="J361">
        <f>($B$1+Table4[[#This Row],[Home Differential]])-Table4[[#This Row],[Away Differential]]</f>
        <v>-0.67545037635153837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0.58573036918328891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0.1716193270170141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-5.9622828283354432E-4</v>
      </c>
      <c r="H362" t="s">
        <v>38</v>
      </c>
      <c r="I362">
        <f>VLOOKUP(Table4[[#This Row],[Visitor]],'NHL Model'!$A$6:$B$38,2,FALSE)</f>
        <v>-0.46815423657711264</v>
      </c>
      <c r="J362">
        <f>($B$1+Table4[[#This Row],[Home Differential]])-Table4[[#This Row],[Away Differential]]</f>
        <v>0.54246992487092871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0.5975636638534596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0.35708233235797049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0.53620748452970379</v>
      </c>
      <c r="H363" t="s">
        <v>15</v>
      </c>
      <c r="I363">
        <f>VLOOKUP(Table4[[#This Row],[Visitor]],'NHL Model'!$A$6:$B$38,2,FALSE)</f>
        <v>6.6163598639307278E-2</v>
      </c>
      <c r="J363">
        <f>($B$1+Table4[[#This Row],[Home Differential]])-Table4[[#This Row],[Away Differential]]</f>
        <v>0.54495580246704611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0.57766533138980847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0.33369723508969723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-0.15682239438733669</v>
      </c>
      <c r="H364" t="s">
        <v>19</v>
      </c>
      <c r="I364">
        <f>VLOOKUP(Table4[[#This Row],[Visitor]],'NHL Model'!$A$6:$B$38,2,FALSE)</f>
        <v>-1.7306849519822837E-2</v>
      </c>
      <c r="J364">
        <f>($B$1+Table4[[#This Row],[Home Differential]])-Table4[[#This Row],[Away Differential]]</f>
        <v>-6.4603628290864218E-2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0.46726200498345788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0.28380977133424518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-0.45160327336373768</v>
      </c>
      <c r="H365" t="s">
        <v>34</v>
      </c>
      <c r="I365">
        <f>VLOOKUP(Table4[[#This Row],[Visitor]],'NHL Model'!$A$6:$B$38,2,FALSE)</f>
        <v>0.6527374602185485</v>
      </c>
      <c r="J365">
        <f>($B$1+Table4[[#This Row],[Home Differential]])-Table4[[#This Row],[Away Differential]]</f>
        <v>-1.0294288170056365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0.64660470806213977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0.12488823236384547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1.8116689824371455</v>
      </c>
      <c r="H366" t="s">
        <v>33</v>
      </c>
      <c r="I366">
        <f>VLOOKUP(Table4[[#This Row],[Visitor]],'NHL Model'!$A$6:$B$38,2,FALSE)</f>
        <v>-0.21695959508717547</v>
      </c>
      <c r="J366">
        <f>($B$1+Table4[[#This Row],[Home Differential]])-Table4[[#This Row],[Away Differential]]</f>
        <v>2.1035404941009705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0.88881660820387376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1.2361746611290912E-2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-8.2026557704658234E-2</v>
      </c>
      <c r="H367" t="s">
        <v>29</v>
      </c>
      <c r="I367">
        <f>VLOOKUP(Table4[[#This Row],[Visitor]],'NHL Model'!$A$6:$B$38,2,FALSE)</f>
        <v>-0.29605365356197477</v>
      </c>
      <c r="J367">
        <f>($B$1+Table4[[#This Row],[Home Differential]])-Table4[[#This Row],[Away Differential]]</f>
        <v>0.28893901243396619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0.6061773834191343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0.36745102016886816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0.20922229284068078</v>
      </c>
      <c r="H368" t="s">
        <v>27</v>
      </c>
      <c r="I368">
        <f>VLOOKUP(Table4[[#This Row],[Visitor]],'NHL Model'!$A$6:$B$38,2,FALSE)</f>
        <v>0.3028174375616956</v>
      </c>
      <c r="J368">
        <f>($B$1+Table4[[#This Row],[Home Differential]])-Table4[[#This Row],[Away Differential]]</f>
        <v>-1.8683228144365183E-2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0.48210015597391226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0.26822024844224607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-7.602164965773138E-2</v>
      </c>
      <c r="H369" t="s">
        <v>35</v>
      </c>
      <c r="I369">
        <f>VLOOKUP(Table4[[#This Row],[Visitor]],'NHL Model'!$A$6:$B$38,2,FALSE)</f>
        <v>-0.90940046726085955</v>
      </c>
      <c r="J369">
        <f>($B$1+Table4[[#This Row],[Home Differential]])-Table4[[#This Row],[Away Differential]]</f>
        <v>0.90829073417977779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0.64209971192863957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0.12809261620156279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0.29544191342066151</v>
      </c>
      <c r="H370" t="s">
        <v>21</v>
      </c>
      <c r="I370">
        <f>VLOOKUP(Table4[[#This Row],[Visitor]],'NHL Model'!$A$6:$B$38,2,FALSE)</f>
        <v>-6.5206076050157921E-2</v>
      </c>
      <c r="J370">
        <f>($B$1+Table4[[#This Row],[Home Differential]])-Table4[[#This Row],[Away Differential]]</f>
        <v>0.43555990604746908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0.6029773103544579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0.36358163680229622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3.3446447213402619E-2</v>
      </c>
      <c r="H371" t="s">
        <v>23</v>
      </c>
      <c r="I371">
        <f>VLOOKUP(Table4[[#This Row],[Visitor]],'NHL Model'!$A$6:$B$38,2,FALSE)</f>
        <v>8.8679045351754957E-2</v>
      </c>
      <c r="J371">
        <f>($B$1+Table4[[#This Row],[Home Differential]])-Table4[[#This Row],[Away Differential]]</f>
        <v>1.9679318438297302E-2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0.5422121251135702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0.2095697383930335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-0.34471182133334621</v>
      </c>
      <c r="H372" t="s">
        <v>39</v>
      </c>
      <c r="I372">
        <f>VLOOKUP(Table4[[#This Row],[Visitor]],'NHL Model'!$A$6:$B$38,2,FALSE)</f>
        <v>0.92535559469880035</v>
      </c>
      <c r="J372">
        <f>($B$1+Table4[[#This Row],[Home Differential]])-Table4[[#This Row],[Away Differential]]</f>
        <v>-1.1951554994554969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0.68056427295945454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0.10203918370992186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0.77279348157483052</v>
      </c>
      <c r="H373" t="s">
        <v>16</v>
      </c>
      <c r="I373">
        <f>VLOOKUP(Table4[[#This Row],[Visitor]],'NHL Model'!$A$6:$B$38,2,FALSE)</f>
        <v>-0.31573427760518757</v>
      </c>
      <c r="J373">
        <f>($B$1+Table4[[#This Row],[Home Differential]])-Table4[[#This Row],[Away Differential]]</f>
        <v>1.1634396757566678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0.6753351088982904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0.10540729151408496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0.18592042582238802</v>
      </c>
      <c r="H374" t="s">
        <v>18</v>
      </c>
      <c r="I374">
        <f>VLOOKUP(Table4[[#This Row],[Visitor]],'NHL Model'!$A$6:$B$38,2,FALSE)</f>
        <v>4.5205299343610755E-2</v>
      </c>
      <c r="J374">
        <f>($B$1+Table4[[#This Row],[Home Differential]])-Table4[[#This Row],[Away Differential]]</f>
        <v>0.21562704305542688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0.50683476449172427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0.25688147849738158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0.21230765705109297</v>
      </c>
      <c r="H375" t="s">
        <v>36</v>
      </c>
      <c r="I375">
        <f>VLOOKUP(Table4[[#This Row],[Visitor]],'NHL Model'!$A$6:$B$38,2,FALSE)</f>
        <v>6.3057484159014243E-2</v>
      </c>
      <c r="J375">
        <f>($B$1+Table4[[#This Row],[Home Differential]])-Table4[[#This Row],[Away Differential]]</f>
        <v>0.2241620894687284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0.54442852133681363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0.29640241484498936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0.44972876941152479</v>
      </c>
      <c r="H376" t="s">
        <v>40</v>
      </c>
      <c r="I376">
        <f>VLOOKUP(Table4[[#This Row],[Visitor]],'NHL Model'!$A$6:$B$38,2,FALSE)</f>
        <v>-5.6782013784997053E-2</v>
      </c>
      <c r="J376">
        <f>($B$1+Table4[[#This Row],[Home Differential]])-Table4[[#This Row],[Away Differential]]</f>
        <v>0.58142269977317151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0.60991138128627764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0.15216913044997987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-5.9622828283354432E-4</v>
      </c>
      <c r="H377" t="s">
        <v>13</v>
      </c>
      <c r="I377">
        <f>VLOOKUP(Table4[[#This Row],[Visitor]],'NHL Model'!$A$6:$B$38,2,FALSE)</f>
        <v>4.5005056179018996E-2</v>
      </c>
      <c r="J377">
        <f>($B$1+Table4[[#This Row],[Home Differential]])-Table4[[#This Row],[Away Differential]]</f>
        <v>2.9310632114797106E-2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0.54993251186922598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0.20256074387234441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-6.5206076050157921E-2</v>
      </c>
      <c r="H378" t="s">
        <v>15</v>
      </c>
      <c r="I378">
        <f>VLOOKUP(Table4[[#This Row],[Visitor]],'NHL Model'!$A$6:$B$38,2,FALSE)</f>
        <v>6.6163598639307278E-2</v>
      </c>
      <c r="J378">
        <f>($B$1+Table4[[#This Row],[Home Differential]])-Table4[[#This Row],[Away Differential]]</f>
        <v>-5.6457758112815559E-2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0.52213581260691322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0.22835418159285517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8.8679045351754957E-2</v>
      </c>
      <c r="H379" t="s">
        <v>24</v>
      </c>
      <c r="I379">
        <f>VLOOKUP(Table4[[#This Row],[Visitor]],'NHL Model'!$A$6:$B$38,2,FALSE)</f>
        <v>-7.602164965773138E-2</v>
      </c>
      <c r="J379">
        <f>($B$1+Table4[[#This Row],[Home Differential]])-Table4[[#This Row],[Away Differential]]</f>
        <v>0.239612611586136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0.58507405892629605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0.34231165442849093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0.53620748452970379</v>
      </c>
      <c r="H380" t="s">
        <v>40</v>
      </c>
      <c r="I380">
        <f>VLOOKUP(Table4[[#This Row],[Visitor]],'NHL Model'!$A$6:$B$38,2,FALSE)</f>
        <v>-5.6782013784997053E-2</v>
      </c>
      <c r="J380">
        <f>($B$1+Table4[[#This Row],[Home Differential]])-Table4[[#This Row],[Away Differential]]</f>
        <v>0.66790141489135046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0.66066346482732219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0.115149284102998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-0.15682239438733669</v>
      </c>
      <c r="H381" t="s">
        <v>14</v>
      </c>
      <c r="I381">
        <f>VLOOKUP(Table4[[#This Row],[Visitor]],'NHL Model'!$A$6:$B$38,2,FALSE)</f>
        <v>3.3446447213402619E-2</v>
      </c>
      <c r="J381">
        <f>($B$1+Table4[[#This Row],[Home Differential]])-Table4[[#This Row],[Away Differential]]</f>
        <v>-0.11535692502408967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0.48025683287605636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0.27013295977202761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-0.45160327336373768</v>
      </c>
      <c r="H382" t="s">
        <v>29</v>
      </c>
      <c r="I382">
        <f>VLOOKUP(Table4[[#This Row],[Visitor]],'NHL Model'!$A$6:$B$38,2,FALSE)</f>
        <v>-0.29605365356197477</v>
      </c>
      <c r="J382">
        <f>($B$1+Table4[[#This Row],[Home Differential]])-Table4[[#This Row],[Away Differential]]</f>
        <v>-8.0637703225113266E-2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0.46906437328935874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0.28189263971062145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0.92535559469880035</v>
      </c>
      <c r="H383" t="s">
        <v>55</v>
      </c>
      <c r="I383">
        <f>VLOOKUP(Table4[[#This Row],[Visitor]],'NHL Model'!$A$6:$B$38,2,FALSE)</f>
        <v>0.18592042582238802</v>
      </c>
      <c r="J383">
        <f>($B$1+Table4[[#This Row],[Home Differential]])-Table4[[#This Row],[Away Differential]]</f>
        <v>0.814347085453062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0.67013172818465616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0.10881307675044156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-8.2026557704658234E-2</v>
      </c>
      <c r="H384" t="s">
        <v>37</v>
      </c>
      <c r="I384">
        <f>VLOOKUP(Table4[[#This Row],[Visitor]],'NHL Model'!$A$6:$B$38,2,FALSE)</f>
        <v>0.77279348157483052</v>
      </c>
      <c r="J384">
        <f>($B$1+Table4[[#This Row],[Home Differential]])-Table4[[#This Row],[Away Differential]]</f>
        <v>-0.77990812270283916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0.58444259273190791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0.17268795873537895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0.20922229284068078</v>
      </c>
      <c r="H385" t="s">
        <v>16</v>
      </c>
      <c r="I385">
        <f>VLOOKUP(Table4[[#This Row],[Visitor]],'NHL Model'!$A$6:$B$38,2,FALSE)</f>
        <v>-0.31573427760518757</v>
      </c>
      <c r="J385">
        <f>($B$1+Table4[[#This Row],[Home Differential]])-Table4[[#This Row],[Away Differential]]</f>
        <v>0.59986848702251794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0.60819578242524941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0.36990210975986132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0.6527374602185485</v>
      </c>
      <c r="H386" t="s">
        <v>12</v>
      </c>
      <c r="I386">
        <f>VLOOKUP(Table4[[#This Row],[Visitor]],'NHL Model'!$A$6:$B$38,2,FALSE)</f>
        <v>1.8116689824371455</v>
      </c>
      <c r="J386">
        <f>($B$1+Table4[[#This Row],[Home Differential]])-Table4[[#This Row],[Away Differential]]</f>
        <v>-1.0840196056419473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0.64566267643579933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0.41688029174223973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0.29544191342066151</v>
      </c>
      <c r="H387" t="s">
        <v>27</v>
      </c>
      <c r="I387">
        <f>VLOOKUP(Table4[[#This Row],[Visitor]],'NHL Model'!$A$6:$B$38,2,FALSE)</f>
        <v>0.3028174375616956</v>
      </c>
      <c r="J387">
        <f>($B$1+Table4[[#This Row],[Home Differential]])-Table4[[#This Row],[Away Differential]]</f>
        <v>6.7536392435615544E-2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0.54092500629981222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0.29259986244045189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-0.21695959508717547</v>
      </c>
      <c r="H388" t="s">
        <v>38</v>
      </c>
      <c r="I388">
        <f>VLOOKUP(Table4[[#This Row],[Visitor]],'NHL Model'!$A$6:$B$38,2,FALSE)</f>
        <v>-0.46815423657711264</v>
      </c>
      <c r="J388">
        <f>($B$1+Table4[[#This Row],[Home Differential]])-Table4[[#This Row],[Away Differential]]</f>
        <v>0.32610655806658684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0.53414462676598828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0.21702122877100036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-0.90940046726085955</v>
      </c>
      <c r="H389" t="s">
        <v>36</v>
      </c>
      <c r="I389">
        <f>VLOOKUP(Table4[[#This Row],[Visitor]],'NHL Model'!$A$6:$B$38,2,FALSE)</f>
        <v>6.3057484159014243E-2</v>
      </c>
      <c r="J389">
        <f>($B$1+Table4[[#This Row],[Home Differential]])-Table4[[#This Row],[Away Differential]]</f>
        <v>-0.89754603484322415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0.58166114582651651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0.33832968856421608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0.21230765705109297</v>
      </c>
      <c r="H390" t="s">
        <v>18</v>
      </c>
      <c r="I390">
        <f>VLOOKUP(Table4[[#This Row],[Visitor]],'NHL Model'!$A$6:$B$38,2,FALSE)</f>
        <v>4.5205299343610755E-2</v>
      </c>
      <c r="J390">
        <f>($B$1+Table4[[#This Row],[Home Differential]])-Table4[[#This Row],[Away Differential]]</f>
        <v>0.24201427428413189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0.50980091685424733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0.25989697482543123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0.44972876941152479</v>
      </c>
      <c r="H391" t="s">
        <v>19</v>
      </c>
      <c r="I391">
        <f>VLOOKUP(Table4[[#This Row],[Visitor]],'NHL Model'!$A$6:$B$38,2,FALSE)</f>
        <v>-1.7306849519822837E-2</v>
      </c>
      <c r="J391">
        <f>($B$1+Table4[[#This Row],[Home Differential]])-Table4[[#This Row],[Away Differential]]</f>
        <v>0.54194753550799735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0.60547403237568942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0.15565073912989857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-6.5206076050157921E-2</v>
      </c>
      <c r="H392" t="s">
        <v>26</v>
      </c>
      <c r="I392">
        <f>VLOOKUP(Table4[[#This Row],[Visitor]],'NHL Model'!$A$6:$B$38,2,FALSE)</f>
        <v>-8.2026557704658234E-2</v>
      </c>
      <c r="J392">
        <f>($B$1+Table4[[#This Row],[Home Differential]])-Table4[[#This Row],[Away Differential]]</f>
        <v>9.1732398231149953E-2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0.53085945789792299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0.22009284824383069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1.8116689824371455</v>
      </c>
      <c r="H393" t="s">
        <v>18</v>
      </c>
      <c r="I393">
        <f>VLOOKUP(Table4[[#This Row],[Visitor]],'NHL Model'!$A$6:$B$38,2,FALSE)</f>
        <v>4.5205299343610755E-2</v>
      </c>
      <c r="J393">
        <f>($B$1+Table4[[#This Row],[Home Differential]])-Table4[[#This Row],[Away Differential]]</f>
        <v>1.8413755996701844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0.81256418729260527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3.5132183885281554E-2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4.5005056179018996E-2</v>
      </c>
      <c r="H394" t="s">
        <v>38</v>
      </c>
      <c r="I394">
        <f>VLOOKUP(Table4[[#This Row],[Visitor]],'NHL Model'!$A$6:$B$38,2,FALSE)</f>
        <v>-0.46815423657711264</v>
      </c>
      <c r="J394">
        <f>($B$1+Table4[[#This Row],[Home Differential]])-Table4[[#This Row],[Away Differential]]</f>
        <v>0.58807120933278123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0.56359171284016041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0.19045219310178502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0.6527374602185485</v>
      </c>
      <c r="H395" t="s">
        <v>23</v>
      </c>
      <c r="I395">
        <f>VLOOKUP(Table4[[#This Row],[Visitor]],'NHL Model'!$A$6:$B$38,2,FALSE)</f>
        <v>8.8679045351754957E-2</v>
      </c>
      <c r="J395">
        <f>($B$1+Table4[[#This Row],[Home Differential]])-Table4[[#This Row],[Away Differential]]</f>
        <v>0.63897033144344317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0.63410951297495377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0.40209487444533304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-7.602164965773138E-2</v>
      </c>
      <c r="H396" t="s">
        <v>27</v>
      </c>
      <c r="I396">
        <f>VLOOKUP(Table4[[#This Row],[Visitor]],'NHL Model'!$A$6:$B$38,2,FALSE)</f>
        <v>0.3028174375616956</v>
      </c>
      <c r="J396">
        <f>($B$1+Table4[[#This Row],[Home Differential]])-Table4[[#This Row],[Away Differential]]</f>
        <v>-0.30392717064277736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0.51493326592030619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0.23528973651074039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-0.29605365356197477</v>
      </c>
      <c r="H397" t="s">
        <v>40</v>
      </c>
      <c r="I397">
        <f>VLOOKUP(Table4[[#This Row],[Visitor]],'NHL Model'!$A$6:$B$38,2,FALSE)</f>
        <v>-5.6782013784997053E-2</v>
      </c>
      <c r="J397">
        <f>($B$1+Table4[[#This Row],[Home Differential]])-Table4[[#This Row],[Away Differential]]</f>
        <v>-0.16435972320032807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0.47847545038162081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0.27198785585465318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6.6163598639307278E-2</v>
      </c>
      <c r="H398" t="s">
        <v>37</v>
      </c>
      <c r="I398">
        <f>VLOOKUP(Table4[[#This Row],[Visitor]],'NHL Model'!$A$6:$B$38,2,FALSE)</f>
        <v>0.77279348157483052</v>
      </c>
      <c r="J398">
        <f>($B$1+Table4[[#This Row],[Home Differential]])-Table4[[#This Row],[Away Differential]]</f>
        <v>-0.63171796635887367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0.6018985784564056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0.15848474183503064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3.3446447213402619E-2</v>
      </c>
      <c r="H399" t="s">
        <v>19</v>
      </c>
      <c r="I399">
        <f>VLOOKUP(Table4[[#This Row],[Visitor]],'NHL Model'!$A$6:$B$38,2,FALSE)</f>
        <v>-1.7306849519822837E-2</v>
      </c>
      <c r="J399">
        <f>($B$1+Table4[[#This Row],[Home Differential]])-Table4[[#This Row],[Away Differential]]</f>
        <v>0.1256652133098751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0.55412585375537893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0.3070554618001276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-0.34471182133334621</v>
      </c>
      <c r="H400" t="s">
        <v>17</v>
      </c>
      <c r="I400">
        <f>VLOOKUP(Table4[[#This Row],[Visitor]],'NHL Model'!$A$6:$B$38,2,FALSE)</f>
        <v>0.17499330177061237</v>
      </c>
      <c r="J400">
        <f>($B$1+Table4[[#This Row],[Home Differential]])-Table4[[#This Row],[Away Differential]]</f>
        <v>-0.44479320652730892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0.50999859246088652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0.24010137939031237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-0.90940046726085955</v>
      </c>
      <c r="H401" t="s">
        <v>55</v>
      </c>
      <c r="I401">
        <f>VLOOKUP(Table4[[#This Row],[Visitor]],'NHL Model'!$A$6:$B$38,2,FALSE)</f>
        <v>0.18592042582238802</v>
      </c>
      <c r="J401">
        <f>($B$1+Table4[[#This Row],[Home Differential]])-Table4[[#This Row],[Away Differential]]</f>
        <v>-1.020408976506598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0.57470276931185849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0.33028327305471922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0.21230765705109297</v>
      </c>
      <c r="H402" t="s">
        <v>33</v>
      </c>
      <c r="I402">
        <f>VLOOKUP(Table4[[#This Row],[Visitor]],'NHL Model'!$A$6:$B$38,2,FALSE)</f>
        <v>-0.21695959508717547</v>
      </c>
      <c r="J402">
        <f>($B$1+Table4[[#This Row],[Home Differential]])-Table4[[#This Row],[Away Differential]]</f>
        <v>0.50417916871491808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0.58938436714925124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0.1686051979414209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0.53620748452970379</v>
      </c>
      <c r="H403" t="s">
        <v>16</v>
      </c>
      <c r="I403">
        <f>VLOOKUP(Table4[[#This Row],[Visitor]],'NHL Model'!$A$6:$B$38,2,FALSE)</f>
        <v>-0.31573427760518757</v>
      </c>
      <c r="J403">
        <f>($B$1+Table4[[#This Row],[Home Differential]])-Table4[[#This Row],[Away Differential]]</f>
        <v>0.92685367871154101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0.6897719325727143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9.6241453819668518E-2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-0.45160327336373768</v>
      </c>
      <c r="H404" t="s">
        <v>31</v>
      </c>
      <c r="I404">
        <f>VLOOKUP(Table4[[#This Row],[Visitor]],'NHL Model'!$A$6:$B$38,2,FALSE)</f>
        <v>-5.9622828283354432E-4</v>
      </c>
      <c r="J404">
        <f>($B$1+Table4[[#This Row],[Home Differential]])-Table4[[#This Row],[Away Differential]]</f>
        <v>-0.37609512850425447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0.50227633601560961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0.25228151772126556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0.92535559469880035</v>
      </c>
      <c r="H405" t="s">
        <v>36</v>
      </c>
      <c r="I405">
        <f>VLOOKUP(Table4[[#This Row],[Visitor]],'NHL Model'!$A$6:$B$38,2,FALSE)</f>
        <v>6.3057484159014243E-2</v>
      </c>
      <c r="J405">
        <f>($B$1+Table4[[#This Row],[Home Differential]])-Table4[[#This Row],[Away Differential]]</f>
        <v>0.93721002711643575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0.66349002474821495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0.11323896344395699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0.29544191342066151</v>
      </c>
      <c r="H406" t="s">
        <v>22</v>
      </c>
      <c r="I406">
        <f>VLOOKUP(Table4[[#This Row],[Visitor]],'NHL Model'!$A$6:$B$38,2,FALSE)</f>
        <v>0.44972876941152479</v>
      </c>
      <c r="J406">
        <f>($B$1+Table4[[#This Row],[Home Differential]])-Table4[[#This Row],[Away Differential]]</f>
        <v>-7.9374939414213641E-2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0.46215983781845338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0.28927204005547236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8.8679045351754957E-2</v>
      </c>
      <c r="H407" t="s">
        <v>40</v>
      </c>
      <c r="I407">
        <f>VLOOKUP(Table4[[#This Row],[Visitor]],'NHL Model'!$A$6:$B$38,2,FALSE)</f>
        <v>-5.6782013784997053E-2</v>
      </c>
      <c r="J407">
        <f>($B$1+Table4[[#This Row],[Home Differential]])-Table4[[#This Row],[Away Differential]]</f>
        <v>0.22037297571340167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0.60336391561608038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0.1573201834354078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-7.602164965773138E-2</v>
      </c>
      <c r="H408" t="s">
        <v>28</v>
      </c>
      <c r="I408">
        <f>VLOOKUP(Table4[[#This Row],[Visitor]],'NHL Model'!$A$6:$B$38,2,FALSE)</f>
        <v>-0.15682239438733669</v>
      </c>
      <c r="J408">
        <f>($B$1+Table4[[#This Row],[Home Differential]])-Table4[[#This Row],[Away Differential]]</f>
        <v>0.15571266130625494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0.55750344604953739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0.31081009235710944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0.3028174375616956</v>
      </c>
      <c r="H409" t="s">
        <v>14</v>
      </c>
      <c r="I409">
        <f>VLOOKUP(Table4[[#This Row],[Visitor]],'NHL Model'!$A$6:$B$38,2,FALSE)</f>
        <v>3.3446447213402619E-2</v>
      </c>
      <c r="J409">
        <f>($B$1+Table4[[#This Row],[Home Differential]])-Table4[[#This Row],[Away Differential]]</f>
        <v>0.34428290692494262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0.57597543221807701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0.33174769851880065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-0.21695959508717547</v>
      </c>
      <c r="H410" t="s">
        <v>55</v>
      </c>
      <c r="I410">
        <f>VLOOKUP(Table4[[#This Row],[Visitor]],'NHL Model'!$A$6:$B$38,2,FALSE)</f>
        <v>0.18592042582238802</v>
      </c>
      <c r="J410">
        <f>($B$1+Table4[[#This Row],[Home Differential]])-Table4[[#This Row],[Away Differential]]</f>
        <v>-0.32796810433291385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0.49686644343499903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0.24687626261174508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-0.90940046726085955</v>
      </c>
      <c r="H411" t="s">
        <v>31</v>
      </c>
      <c r="I411">
        <f>VLOOKUP(Table4[[#This Row],[Visitor]],'NHL Model'!$A$6:$B$38,2,FALSE)</f>
        <v>-5.9622828283354432E-4</v>
      </c>
      <c r="J411">
        <f>($B$1+Table4[[#This Row],[Home Differential]])-Table4[[#This Row],[Away Differential]]</f>
        <v>-0.83389232240137634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0.55373668880765325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0.19915094291635732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1.8116689824371455</v>
      </c>
      <c r="H412" t="s">
        <v>38</v>
      </c>
      <c r="I412">
        <f>VLOOKUP(Table4[[#This Row],[Visitor]],'NHL Model'!$A$6:$B$38,2,FALSE)</f>
        <v>-0.46815423657711264</v>
      </c>
      <c r="J412">
        <f>($B$1+Table4[[#This Row],[Home Differential]])-Table4[[#This Row],[Away Differential]]</f>
        <v>2.3547351355909076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0.88441084713267926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1.3360852260584843E-2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-8.2026557704658234E-2</v>
      </c>
      <c r="H413" t="s">
        <v>21</v>
      </c>
      <c r="I413">
        <f>VLOOKUP(Table4[[#This Row],[Visitor]],'NHL Model'!$A$6:$B$38,2,FALSE)</f>
        <v>-6.5206076050157921E-2</v>
      </c>
      <c r="J413">
        <f>($B$1+Table4[[#This Row],[Home Differential]])-Table4[[#This Row],[Away Differential]]</f>
        <v>5.8091434922149326E-2</v>
      </c>
      <c r="K413" t="str">
        <f>IF(Table4[[#This Row],[HomeIce Differential]]&gt;0,Table4[[#This Row],[Home]],Table4[[#This Row],[Visitor]])</f>
        <v>Detroit Red Wings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0.58022812479913433</v>
      </c>
      <c r="M413" t="str">
        <f>IF(OR((NHL2025_26Results[[#This Row],[Winning Team]]="")),"-",IF(Table4[[#This Row],[Predicted Winner]]=NHL2025_26Results[[#This Row],[Winning Team]],"YES","NO"))</f>
        <v>YES</v>
      </c>
      <c r="N413">
        <f>IF(Table4[[#This Row],[Adjusted Correct]]="-", "",IF(Table4[[#This Row],[Adjusted Correct]]="YES",(Table4[[#This Row],[Strength of Win]]-1)^2,(Table4[[#This Row],[Strength of Win]]-0)^2))</f>
        <v>0.17620842720965116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0.17499330177061237</v>
      </c>
      <c r="H414" t="s">
        <v>34</v>
      </c>
      <c r="I414">
        <f>VLOOKUP(Table4[[#This Row],[Visitor]],'NHL Model'!$A$6:$B$38,2,FALSE)</f>
        <v>0.6527374602185485</v>
      </c>
      <c r="J414">
        <f>($B$1+Table4[[#This Row],[Home Differential]])-Table4[[#This Row],[Away Differential]]</f>
        <v>-0.40283224187128652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0.53966384061989281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0.21190937963282744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0.20922229284068078</v>
      </c>
      <c r="H415" t="s">
        <v>19</v>
      </c>
      <c r="I415">
        <f>VLOOKUP(Table4[[#This Row],[Visitor]],'NHL Model'!$A$6:$B$38,2,FALSE)</f>
        <v>-1.7306849519822837E-2</v>
      </c>
      <c r="J415">
        <f>($B$1+Table4[[#This Row],[Home Differential]])-Table4[[#This Row],[Away Differential]]</f>
        <v>0.30144105893715323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0.57464996576926919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0.33022258315862224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4.5005056179018996E-2</v>
      </c>
      <c r="H416" t="s">
        <v>22</v>
      </c>
      <c r="I416">
        <f>VLOOKUP(Table4[[#This Row],[Visitor]],'NHL Model'!$A$6:$B$38,2,FALSE)</f>
        <v>0.44972876941152479</v>
      </c>
      <c r="J416">
        <f>($B$1+Table4[[#This Row],[Home Differential]])-Table4[[#This Row],[Away Differential]]</f>
        <v>-0.32981179665585614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0.50436340997889284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0.24565562936775107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4.5205299343610755E-2</v>
      </c>
      <c r="H417" t="s">
        <v>36</v>
      </c>
      <c r="I417">
        <f>VLOOKUP(Table4[[#This Row],[Visitor]],'NHL Model'!$A$6:$B$38,2,FALSE)</f>
        <v>6.3057484159014243E-2</v>
      </c>
      <c r="J417">
        <f>($B$1+Table4[[#This Row],[Home Differential]])-Table4[[#This Row],[Away Differential]]</f>
        <v>5.7059731761246152E-2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0.52564477518318009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0.27630242967737595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-0.29605365356197477</v>
      </c>
      <c r="H418" t="s">
        <v>16</v>
      </c>
      <c r="I418">
        <f>VLOOKUP(Table4[[#This Row],[Visitor]],'NHL Model'!$A$6:$B$38,2,FALSE)</f>
        <v>-0.31573427760518757</v>
      </c>
      <c r="J418">
        <f>($B$1+Table4[[#This Row],[Home Differential]])-Table4[[#This Row],[Away Differential]]</f>
        <v>9.4592540619862442E-2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0.55063301736377124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0.20193068508358872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0.29544191342066151</v>
      </c>
      <c r="H419" t="s">
        <v>37</v>
      </c>
      <c r="I419">
        <f>VLOOKUP(Table4[[#This Row],[Visitor]],'NHL Model'!$A$6:$B$38,2,FALSE)</f>
        <v>0.77279348157483052</v>
      </c>
      <c r="J419">
        <f>($B$1+Table4[[#This Row],[Home Differential]])-Table4[[#This Row],[Away Differential]]</f>
        <v>-0.40243965157751938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0.56201621110306454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0.31586222154264443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6.6163598639307278E-2</v>
      </c>
      <c r="H420" t="s">
        <v>39</v>
      </c>
      <c r="I420">
        <f>VLOOKUP(Table4[[#This Row],[Visitor]],'NHL Model'!$A$6:$B$38,2,FALSE)</f>
        <v>0.92535559469880035</v>
      </c>
      <c r="J420">
        <f>($B$1+Table4[[#This Row],[Home Differential]])-Table4[[#This Row],[Away Differential]]</f>
        <v>-0.78428007948284351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0.63437833222578688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0.40243586839757084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0.21230765705109297</v>
      </c>
      <c r="H421" t="s">
        <v>10</v>
      </c>
      <c r="I421">
        <f>VLOOKUP(Table4[[#This Row],[Visitor]],'NHL Model'!$A$6:$B$38,2,FALSE)</f>
        <v>-0.45160327336373768</v>
      </c>
      <c r="J421">
        <f>($B$1+Table4[[#This Row],[Home Differential]])-Table4[[#This Row],[Away Differential]]</f>
        <v>0.73882284699148038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0.62305005986023521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0.14209125737137226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-5.9622828283354432E-4</v>
      </c>
      <c r="H422" t="s">
        <v>55</v>
      </c>
      <c r="I422">
        <f>VLOOKUP(Table4[[#This Row],[Visitor]],'NHL Model'!$A$6:$B$38,2,FALSE)</f>
        <v>0.18592042582238802</v>
      </c>
      <c r="J422">
        <f>($B$1+Table4[[#This Row],[Home Differential]])-Table4[[#This Row],[Away Differential]]</f>
        <v>-0.11160473752857192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0.43395324244052175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0.3204089317435988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4.5205299343610755E-2</v>
      </c>
      <c r="H423" t="s">
        <v>40</v>
      </c>
      <c r="I423">
        <f>VLOOKUP(Table4[[#This Row],[Visitor]],'NHL Model'!$A$6:$B$38,2,FALSE)</f>
        <v>-5.6782013784997053E-2</v>
      </c>
      <c r="J423">
        <f>($B$1+Table4[[#This Row],[Home Differential]])-Table4[[#This Row],[Away Differential]]</f>
        <v>0.17689922970525745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0.55988499905772482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0.1937012140544189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-7.602164965773138E-2</v>
      </c>
      <c r="H424" t="s">
        <v>39</v>
      </c>
      <c r="I424">
        <f>VLOOKUP(Table4[[#This Row],[Visitor]],'NHL Model'!$A$6:$B$38,2,FALSE)</f>
        <v>0.92535559469880035</v>
      </c>
      <c r="J424">
        <f>($B$1+Table4[[#This Row],[Home Differential]])-Table4[[#This Row],[Away Differential]]</f>
        <v>-0.92646532777988211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0.65036118038809831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0.12224730417960393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0.3028174375616956</v>
      </c>
      <c r="H425" t="s">
        <v>23</v>
      </c>
      <c r="I425">
        <f>VLOOKUP(Table4[[#This Row],[Visitor]],'NHL Model'!$A$6:$B$38,2,FALSE)</f>
        <v>8.8679045351754957E-2</v>
      </c>
      <c r="J425">
        <f>($B$1+Table4[[#This Row],[Home Differential]])-Table4[[#This Row],[Away Differential]]</f>
        <v>0.28905030878659027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0.57704620302089071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0.17888991437904558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-0.21695959508717547</v>
      </c>
      <c r="H426" t="s">
        <v>22</v>
      </c>
      <c r="I426">
        <f>VLOOKUP(Table4[[#This Row],[Visitor]],'NHL Model'!$A$6:$B$38,2,FALSE)</f>
        <v>0.44972876941152479</v>
      </c>
      <c r="J426">
        <f>($B$1+Table4[[#This Row],[Home Differential]])-Table4[[#This Row],[Away Differential]]</f>
        <v>-0.59177644792205064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0.53381049605306496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0.21733265359028936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-6.5206076050157921E-2</v>
      </c>
      <c r="H427" t="s">
        <v>35</v>
      </c>
      <c r="I427">
        <f>VLOOKUP(Table4[[#This Row],[Visitor]],'NHL Model'!$A$6:$B$38,2,FALSE)</f>
        <v>-0.90940046726085955</v>
      </c>
      <c r="J427">
        <f>($B$1+Table4[[#This Row],[Home Differential]])-Table4[[#This Row],[Away Differential]]</f>
        <v>0.91910630778735125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0.65733209617791466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0.11742129230982193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0.53620748452970379</v>
      </c>
      <c r="H428" t="s">
        <v>19</v>
      </c>
      <c r="I428">
        <f>VLOOKUP(Table4[[#This Row],[Visitor]],'NHL Model'!$A$6:$B$38,2,FALSE)</f>
        <v>-1.7306849519822837E-2</v>
      </c>
      <c r="J428">
        <f>($B$1+Table4[[#This Row],[Home Differential]])-Table4[[#This Row],[Away Differential]]</f>
        <v>0.6284262506261763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0.65622611591673397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0.43063271521116275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-0.15682239438733669</v>
      </c>
      <c r="H429" t="s">
        <v>26</v>
      </c>
      <c r="I429">
        <f>VLOOKUP(Table4[[#This Row],[Visitor]],'NHL Model'!$A$6:$B$38,2,FALSE)</f>
        <v>-8.2026557704658234E-2</v>
      </c>
      <c r="J429">
        <f>($B$1+Table4[[#This Row],[Home Differential]])-Table4[[#This Row],[Away Differential]]</f>
        <v>1.160798939711799E-4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0.50642963278395881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0.24361170739377774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-0.31573427760518757</v>
      </c>
      <c r="H430" t="s">
        <v>34</v>
      </c>
      <c r="I430">
        <f>VLOOKUP(Table4[[#This Row],[Visitor]],'NHL Model'!$A$6:$B$38,2,FALSE)</f>
        <v>0.6527374602185485</v>
      </c>
      <c r="J430">
        <f>($B$1+Table4[[#This Row],[Home Differential]])-Table4[[#This Row],[Away Differential]]</f>
        <v>-0.89355982124708644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0.60044383027062409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0.36053279331005805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0.17499330177061237</v>
      </c>
      <c r="H431" t="s">
        <v>32</v>
      </c>
      <c r="I431">
        <f>VLOOKUP(Table4[[#This Row],[Visitor]],'NHL Model'!$A$6:$B$38,2,FALSE)</f>
        <v>-0.34471182133334621</v>
      </c>
      <c r="J431">
        <f>($B$1+Table4[[#This Row],[Home Differential]])-Table4[[#This Row],[Away Differential]]</f>
        <v>0.59461703968060819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0.64287694979823085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0.12753687298541533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0.20922229284068078</v>
      </c>
      <c r="H432" t="s">
        <v>29</v>
      </c>
      <c r="I432">
        <f>VLOOKUP(Table4[[#This Row],[Visitor]],'NHL Model'!$A$6:$B$38,2,FALSE)</f>
        <v>-0.29605365356197477</v>
      </c>
      <c r="J432">
        <f>($B$1+Table4[[#This Row],[Home Differential]])-Table4[[#This Row],[Away Differential]]</f>
        <v>0.58018786297930514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0.60598351055042687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0.3672160150590193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4.5005056179018996E-2</v>
      </c>
      <c r="H433" t="s">
        <v>10</v>
      </c>
      <c r="I433">
        <f>VLOOKUP(Table4[[#This Row],[Visitor]],'NHL Model'!$A$6:$B$38,2,FALSE)</f>
        <v>-0.45160327336373768</v>
      </c>
      <c r="J433">
        <f>($B$1+Table4[[#This Row],[Home Differential]])-Table4[[#This Row],[Away Differential]]</f>
        <v>0.57152024611940633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0.60424380464793659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0.36511057545541376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0.29544191342066151</v>
      </c>
      <c r="H434" t="s">
        <v>12</v>
      </c>
      <c r="I434">
        <f>VLOOKUP(Table4[[#This Row],[Visitor]],'NHL Model'!$A$6:$B$38,2,FALSE)</f>
        <v>1.8116689824371455</v>
      </c>
      <c r="J434">
        <f>($B$1+Table4[[#This Row],[Home Differential]])-Table4[[#This Row],[Away Differential]]</f>
        <v>-1.4413151524398344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0.69417999621418991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0.48188586714393272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6.3057484159014243E-2</v>
      </c>
      <c r="H435" t="s">
        <v>15</v>
      </c>
      <c r="I435">
        <f>VLOOKUP(Table4[[#This Row],[Visitor]],'NHL Model'!$A$6:$B$38,2,FALSE)</f>
        <v>6.6163598639307278E-2</v>
      </c>
      <c r="J435">
        <f>($B$1+Table4[[#This Row],[Home Differential]])-Table4[[#This Row],[Away Differential]]</f>
        <v>7.1805802096356605E-2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0.47817000172841156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0.22864655055294911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0.77279348157483052</v>
      </c>
      <c r="H436" t="s">
        <v>14</v>
      </c>
      <c r="I436">
        <f>VLOOKUP(Table4[[#This Row],[Visitor]],'NHL Model'!$A$6:$B$38,2,FALSE)</f>
        <v>3.3446447213402619E-2</v>
      </c>
      <c r="J436">
        <f>($B$1+Table4[[#This Row],[Home Differential]])-Table4[[#This Row],[Away Differential]]</f>
        <v>0.81425895093807754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0.62880479279768753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0.39539546744534276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-5.9622828283354432E-4</v>
      </c>
      <c r="H437" t="s">
        <v>22</v>
      </c>
      <c r="I437">
        <f>VLOOKUP(Table4[[#This Row],[Visitor]],'NHL Model'!$A$6:$B$38,2,FALSE)</f>
        <v>0.44972876941152479</v>
      </c>
      <c r="J437">
        <f>($B$1+Table4[[#This Row],[Home Differential]])-Table4[[#This Row],[Away Differential]]</f>
        <v>-0.37541308111770866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0.4707710965785829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0.22162542537380142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0.92535559469880035</v>
      </c>
      <c r="H438" t="s">
        <v>33</v>
      </c>
      <c r="I438">
        <f>VLOOKUP(Table4[[#This Row],[Visitor]],'NHL Model'!$A$6:$B$38,2,FALSE)</f>
        <v>-0.21695959508717547</v>
      </c>
      <c r="J438">
        <f>($B$1+Table4[[#This Row],[Home Differential]])-Table4[[#This Row],[Away Differential]]</f>
        <v>1.2172271063626254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0.70825539596244058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8.5114913985032334E-2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-7.602164965773138E-2</v>
      </c>
      <c r="H439" t="s">
        <v>20</v>
      </c>
      <c r="I439">
        <f>VLOOKUP(Table4[[#This Row],[Visitor]],'NHL Model'!$A$6:$B$38,2,FALSE)</f>
        <v>0.21230765705109297</v>
      </c>
      <c r="J439">
        <f>($B$1+Table4[[#This Row],[Home Differential]])-Table4[[#This Row],[Away Differential]]</f>
        <v>-0.2134173901321747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0.50475918600392133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0.24526346384749859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-0.46815423657711264</v>
      </c>
      <c r="H440" t="s">
        <v>55</v>
      </c>
      <c r="I440">
        <f>VLOOKUP(Table4[[#This Row],[Visitor]],'NHL Model'!$A$6:$B$38,2,FALSE)</f>
        <v>0.18592042582238802</v>
      </c>
      <c r="J440">
        <f>($B$1+Table4[[#This Row],[Home Differential]])-Table4[[#This Row],[Away Differential]]</f>
        <v>-0.57916274582285099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0.52510288752610901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0.22552726743603946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-5.6782013784997053E-2</v>
      </c>
      <c r="H441" t="s">
        <v>23</v>
      </c>
      <c r="I441">
        <f>VLOOKUP(Table4[[#This Row],[Visitor]],'NHL Model'!$A$6:$B$38,2,FALSE)</f>
        <v>8.8679045351754957E-2</v>
      </c>
      <c r="J441">
        <f>($B$1+Table4[[#This Row],[Home Differential]])-Table4[[#This Row],[Away Differential]]</f>
        <v>-7.0549142560102363E-2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0.46793033206344842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0.21895879566500911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-6.5206076050157921E-2</v>
      </c>
      <c r="H442" t="s">
        <v>24</v>
      </c>
      <c r="I442">
        <f>VLOOKUP(Table4[[#This Row],[Visitor]],'NHL Model'!$A$6:$B$38,2,FALSE)</f>
        <v>-7.602164965773138E-2</v>
      </c>
      <c r="J442">
        <f>($B$1+Table4[[#This Row],[Home Differential]])-Table4[[#This Row],[Away Differential]]</f>
        <v>8.5727490184223099E-2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0.54296984257294212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0.20887656479780131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0.53620748452970379</v>
      </c>
      <c r="H443" t="s">
        <v>29</v>
      </c>
      <c r="I443">
        <f>VLOOKUP(Table4[[#This Row],[Visitor]],'NHL Model'!$A$6:$B$38,2,FALSE)</f>
        <v>-0.29605365356197477</v>
      </c>
      <c r="J443">
        <f>($B$1+Table4[[#This Row],[Home Differential]])-Table4[[#This Row],[Away Differential]]</f>
        <v>0.9071730546683282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0.68755966069789165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9.7618965623216591E-2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-0.31573427760518757</v>
      </c>
      <c r="H444" t="s">
        <v>55</v>
      </c>
      <c r="I444">
        <f>VLOOKUP(Table4[[#This Row],[Visitor]],'NHL Model'!$A$6:$B$38,2,FALSE)</f>
        <v>0.18592042582238802</v>
      </c>
      <c r="J444">
        <f>($B$1+Table4[[#This Row],[Home Differential]])-Table4[[#This Row],[Away Differential]]</f>
        <v>-0.42674278685092593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0.47743015052919313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0.227939548634328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0.17499330177061237</v>
      </c>
      <c r="H445" t="s">
        <v>40</v>
      </c>
      <c r="I445">
        <f>VLOOKUP(Table4[[#This Row],[Visitor]],'NHL Model'!$A$6:$B$38,2,FALSE)</f>
        <v>-5.6782013784997053E-2</v>
      </c>
      <c r="J445">
        <f>($B$1+Table4[[#This Row],[Home Differential]])-Table4[[#This Row],[Away Differential]]</f>
        <v>0.30668723213225907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0.61051115622564511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0.15170155942468383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0.20922229284068078</v>
      </c>
      <c r="H446" t="s">
        <v>28</v>
      </c>
      <c r="I446">
        <f>VLOOKUP(Table4[[#This Row],[Visitor]],'NHL Model'!$A$6:$B$38,2,FALSE)</f>
        <v>-0.15682239438733669</v>
      </c>
      <c r="J446">
        <f>($B$1+Table4[[#This Row],[Home Differential]])-Table4[[#This Row],[Away Differential]]</f>
        <v>0.44095660380466711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0.5903327162416756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0.16782728338192349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4.5005056179018996E-2</v>
      </c>
      <c r="H447" t="s">
        <v>10</v>
      </c>
      <c r="I447">
        <f>VLOOKUP(Table4[[#This Row],[Visitor]],'NHL Model'!$A$6:$B$38,2,FALSE)</f>
        <v>-0.45160327336373768</v>
      </c>
      <c r="J447">
        <f>($B$1+Table4[[#This Row],[Home Differential]])-Table4[[#This Row],[Away Differential]]</f>
        <v>0.57152024611940633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0.60424380464793659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0.15662296615954058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6.6163598639307278E-2</v>
      </c>
      <c r="H448" t="s">
        <v>12</v>
      </c>
      <c r="I448">
        <f>VLOOKUP(Table4[[#This Row],[Visitor]],'NHL Model'!$A$6:$B$38,2,FALSE)</f>
        <v>1.8116689824371455</v>
      </c>
      <c r="J448">
        <f>($B$1+Table4[[#This Row],[Home Differential]])-Table4[[#This Row],[Away Differential]]</f>
        <v>-1.6705934672211886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0.73400760087433237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7.0751956392628476E-2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6.3057484159014243E-2</v>
      </c>
      <c r="H449" t="s">
        <v>35</v>
      </c>
      <c r="I449">
        <f>VLOOKUP(Table4[[#This Row],[Visitor]],'NHL Model'!$A$6:$B$38,2,FALSE)</f>
        <v>-0.90940046726085955</v>
      </c>
      <c r="J449">
        <f>($B$1+Table4[[#This Row],[Home Differential]])-Table4[[#This Row],[Away Differential]]</f>
        <v>1.0473698679965233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0.65773340603518304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0.43261323341464297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-0.34471182133334621</v>
      </c>
      <c r="H450" t="s">
        <v>26</v>
      </c>
      <c r="I450">
        <f>VLOOKUP(Table4[[#This Row],[Visitor]],'NHL Model'!$A$6:$B$38,2,FALSE)</f>
        <v>-8.2026557704658234E-2</v>
      </c>
      <c r="J450">
        <f>($B$1+Table4[[#This Row],[Home Differential]])-Table4[[#This Row],[Away Differential]]</f>
        <v>-0.18777334705203835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0.51469075922680885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0.23552505917985123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0.77279348157483052</v>
      </c>
      <c r="H451" t="s">
        <v>30</v>
      </c>
      <c r="I451">
        <f>VLOOKUP(Table4[[#This Row],[Visitor]],'NHL Model'!$A$6:$B$38,2,FALSE)</f>
        <v>0.29544191342066151</v>
      </c>
      <c r="J451">
        <f>($B$1+Table4[[#This Row],[Home Differential]])-Table4[[#This Row],[Away Differential]]</f>
        <v>0.55226348473081865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0.57308162357880399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0.328422547283718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-1.7306849519822837E-2</v>
      </c>
      <c r="H452" t="s">
        <v>18</v>
      </c>
      <c r="I452">
        <f>VLOOKUP(Table4[[#This Row],[Visitor]],'NHL Model'!$A$6:$B$38,2,FALSE)</f>
        <v>4.5205299343610755E-2</v>
      </c>
      <c r="J452">
        <f>($B$1+Table4[[#This Row],[Home Differential]])-Table4[[#This Row],[Away Differential]]</f>
        <v>1.2399767713216048E-2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0.49539384083076071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0.24541505753305307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-0.46815423657711264</v>
      </c>
      <c r="H453" t="s">
        <v>34</v>
      </c>
      <c r="I453">
        <f>VLOOKUP(Table4[[#This Row],[Visitor]],'NHL Model'!$A$6:$B$38,2,FALSE)</f>
        <v>0.6527374602185485</v>
      </c>
      <c r="J453">
        <f>($B$1+Table4[[#This Row],[Home Differential]])-Table4[[#This Row],[Away Differential]]</f>
        <v>-1.0459797802190116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0.64846517906843393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0.42050708846425611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-5.9622828283354432E-4</v>
      </c>
      <c r="H454" t="s">
        <v>10</v>
      </c>
      <c r="I454">
        <f>VLOOKUP(Table4[[#This Row],[Visitor]],'NHL Model'!$A$6:$B$38,2,FALSE)</f>
        <v>-0.45160327336373768</v>
      </c>
      <c r="J454">
        <f>($B$1+Table4[[#This Row],[Home Differential]])-Table4[[#This Row],[Away Differential]]</f>
        <v>0.52591896165755381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0.63770991956824163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0.13125410237924995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0.53620748452970379</v>
      </c>
      <c r="H455" t="s">
        <v>33</v>
      </c>
      <c r="I455">
        <f>VLOOKUP(Table4[[#This Row],[Visitor]],'NHL Model'!$A$6:$B$38,2,FALSE)</f>
        <v>-0.21695959508717547</v>
      </c>
      <c r="J455">
        <f>($B$1+Table4[[#This Row],[Home Differential]])-Table4[[#This Row],[Away Differential]]</f>
        <v>0.82807899619352887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0.67153755335849086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0.45096268557070796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0.92535559469880035</v>
      </c>
      <c r="H456" t="s">
        <v>14</v>
      </c>
      <c r="I456">
        <f>VLOOKUP(Table4[[#This Row],[Visitor]],'NHL Model'!$A$6:$B$38,2,FALSE)</f>
        <v>3.3446447213402619E-2</v>
      </c>
      <c r="J456">
        <f>($B$1+Table4[[#This Row],[Home Differential]])-Table4[[#This Row],[Away Differential]]</f>
        <v>0.96682106406204738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0.68010759722136105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0.10233114935549098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0.20922229284068078</v>
      </c>
      <c r="H457" t="s">
        <v>30</v>
      </c>
      <c r="I457">
        <f>VLOOKUP(Table4[[#This Row],[Visitor]],'NHL Model'!$A$6:$B$38,2,FALSE)</f>
        <v>0.29544191342066151</v>
      </c>
      <c r="J457">
        <f>($B$1+Table4[[#This Row],[Home Differential]])-Table4[[#This Row],[Away Differential]]</f>
        <v>-1.1307704003331087E-2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0.49408422513522066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0.2441192215274714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4.5205299343610755E-2</v>
      </c>
      <c r="H458" t="s">
        <v>35</v>
      </c>
      <c r="I458">
        <f>VLOOKUP(Table4[[#This Row],[Visitor]],'NHL Model'!$A$6:$B$38,2,FALSE)</f>
        <v>-0.90940046726085955</v>
      </c>
      <c r="J458">
        <f>($B$1+Table4[[#This Row],[Home Differential]])-Table4[[#This Row],[Away Differential]]</f>
        <v>1.0295176831811199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0.65572666649864519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0.42997746115742547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6.6163598639307278E-2</v>
      </c>
      <c r="H459" t="s">
        <v>20</v>
      </c>
      <c r="I459">
        <f>VLOOKUP(Table4[[#This Row],[Visitor]],'NHL Model'!$A$6:$B$38,2,FALSE)</f>
        <v>0.21230765705109297</v>
      </c>
      <c r="J459">
        <f>($B$1+Table4[[#This Row],[Home Differential]])-Table4[[#This Row],[Away Differential]]</f>
        <v>-7.123214183513607E-2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0.4887763378416099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0.26134963275063577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0.3028174375616956</v>
      </c>
      <c r="H460" t="s">
        <v>12</v>
      </c>
      <c r="I460">
        <f>VLOOKUP(Table4[[#This Row],[Visitor]],'NHL Model'!$A$6:$B$38,2,FALSE)</f>
        <v>1.8116689824371455</v>
      </c>
      <c r="J460">
        <f>($B$1+Table4[[#This Row],[Home Differential]])-Table4[[#This Row],[Away Differential]]</f>
        <v>-1.4339396282988002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0.70285384766832826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8.8295835845517062E-2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0.44972876941152479</v>
      </c>
      <c r="H461" t="s">
        <v>28</v>
      </c>
      <c r="I461">
        <f>VLOOKUP(Table4[[#This Row],[Visitor]],'NHL Model'!$A$6:$B$38,2,FALSE)</f>
        <v>-0.15682239438733669</v>
      </c>
      <c r="J461">
        <f>($B$1+Table4[[#This Row],[Home Differential]])-Table4[[#This Row],[Away Differential]]</f>
        <v>0.68146308037551118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0.62115678284809595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0.14352218318200474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-0.31573427760518757</v>
      </c>
      <c r="H462" t="s">
        <v>23</v>
      </c>
      <c r="I462">
        <f>VLOOKUP(Table4[[#This Row],[Visitor]],'NHL Model'!$A$6:$B$38,2,FALSE)</f>
        <v>8.8679045351754957E-2</v>
      </c>
      <c r="J462">
        <f>($B$1+Table4[[#This Row],[Home Differential]])-Table4[[#This Row],[Away Differential]]</f>
        <v>-0.3295014063802929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0.46649938072170355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0.21762167221373291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-0.34471182133334621</v>
      </c>
      <c r="H463" t="s">
        <v>34</v>
      </c>
      <c r="I463">
        <f>VLOOKUP(Table4[[#This Row],[Visitor]],'NHL Model'!$A$6:$B$38,2,FALSE)</f>
        <v>0.6527374602185485</v>
      </c>
      <c r="J463">
        <f>($B$1+Table4[[#This Row],[Home Differential]])-Table4[[#This Row],[Away Differential]]</f>
        <v>-0.92253736497524508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0.63458918698584876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0.133525062267663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-1.7306849519822837E-2</v>
      </c>
      <c r="H464" t="s">
        <v>37</v>
      </c>
      <c r="I464">
        <f>VLOOKUP(Table4[[#This Row],[Visitor]],'NHL Model'!$A$6:$B$38,2,FALSE)</f>
        <v>0.77279348157483052</v>
      </c>
      <c r="J464">
        <f>($B$1+Table4[[#This Row],[Home Differential]])-Table4[[#This Row],[Away Differential]]</f>
        <v>-0.71518841451800375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0.59990053267718457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0.3598806491063698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0.18592042582238802</v>
      </c>
      <c r="H465" t="s">
        <v>13</v>
      </c>
      <c r="I465">
        <f>VLOOKUP(Table4[[#This Row],[Visitor]],'NHL Model'!$A$6:$B$38,2,FALSE)</f>
        <v>4.5005056179018996E-2</v>
      </c>
      <c r="J465">
        <f>($B$1+Table4[[#This Row],[Home Differential]])-Table4[[#This Row],[Away Differential]]</f>
        <v>0.21582728622001862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0.53187051709431954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0.28288624695417885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-0.46815423657711264</v>
      </c>
      <c r="H466" t="s">
        <v>26</v>
      </c>
      <c r="I466">
        <f>VLOOKUP(Table4[[#This Row],[Visitor]],'NHL Model'!$A$6:$B$38,2,FALSE)</f>
        <v>-8.2026557704658234E-2</v>
      </c>
      <c r="J466">
        <f>($B$1+Table4[[#This Row],[Home Differential]])-Table4[[#This Row],[Away Differential]]</f>
        <v>-0.31121576229580478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0.5285667513093939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0.22224930797097886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0.53620748452970379</v>
      </c>
      <c r="H467" t="s">
        <v>28</v>
      </c>
      <c r="I467">
        <f>VLOOKUP(Table4[[#This Row],[Visitor]],'NHL Model'!$A$6:$B$38,2,FALSE)</f>
        <v>-0.15682239438733669</v>
      </c>
      <c r="J467">
        <f>($B$1+Table4[[#This Row],[Home Differential]])-Table4[[#This Row],[Away Differential]]</f>
        <v>0.76794179549369013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0.67190886638914049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0.10764379195405886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0.17499330177061237</v>
      </c>
      <c r="H468" t="s">
        <v>23</v>
      </c>
      <c r="I468">
        <f>VLOOKUP(Table4[[#This Row],[Visitor]],'NHL Model'!$A$6:$B$38,2,FALSE)</f>
        <v>8.8679045351754957E-2</v>
      </c>
      <c r="J468">
        <f>($B$1+Table4[[#This Row],[Home Differential]])-Table4[[#This Row],[Away Differential]]</f>
        <v>0.16122617299550707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0.59416007867324805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0.35302619908900029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4.5205299343610755E-2</v>
      </c>
      <c r="H469" t="s">
        <v>37</v>
      </c>
      <c r="I469">
        <f>VLOOKUP(Table4[[#This Row],[Visitor]],'NHL Model'!$A$6:$B$38,2,FALSE)</f>
        <v>0.77279348157483052</v>
      </c>
      <c r="J469">
        <f>($B$1+Table4[[#This Row],[Home Differential]])-Table4[[#This Row],[Away Differential]]</f>
        <v>-0.65267626565457015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0.6042544720487113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0.15661452289344421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-0.29605365356197477</v>
      </c>
      <c r="H470" t="s">
        <v>12</v>
      </c>
      <c r="I470">
        <f>VLOOKUP(Table4[[#This Row],[Visitor]],'NHL Model'!$A$6:$B$38,2,FALSE)</f>
        <v>1.8116689824371455</v>
      </c>
      <c r="J470">
        <f>($B$1+Table4[[#This Row],[Home Differential]])-Table4[[#This Row],[Away Differential]]</f>
        <v>-2.0328107194224705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0.77472394390598365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0.60019718926124166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0.29544191342066151</v>
      </c>
      <c r="H471" t="s">
        <v>20</v>
      </c>
      <c r="I471">
        <f>VLOOKUP(Table4[[#This Row],[Visitor]],'NHL Model'!$A$6:$B$38,2,FALSE)</f>
        <v>0.21230765705109297</v>
      </c>
      <c r="J471">
        <f>($B$1+Table4[[#This Row],[Home Differential]])-Table4[[#This Row],[Away Differential]]</f>
        <v>0.15804617294621817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0.55109908621619708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0.20151203039593327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6.3057484159014243E-2</v>
      </c>
      <c r="H472" t="s">
        <v>24</v>
      </c>
      <c r="I472">
        <f>VLOOKUP(Table4[[#This Row],[Visitor]],'NHL Model'!$A$6:$B$38,2,FALSE)</f>
        <v>-7.602164965773138E-2</v>
      </c>
      <c r="J472">
        <f>($B$1+Table4[[#This Row],[Home Differential]])-Table4[[#This Row],[Away Differential]]</f>
        <v>0.21399105039339528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0.54328520882626141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0.29515881812939448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0.3028174375616956</v>
      </c>
      <c r="H473" t="s">
        <v>33</v>
      </c>
      <c r="I473">
        <f>VLOOKUP(Table4[[#This Row],[Visitor]],'NHL Model'!$A$6:$B$38,2,FALSE)</f>
        <v>-0.21695959508717547</v>
      </c>
      <c r="J473">
        <f>($B$1+Table4[[#This Row],[Home Differential]])-Table4[[#This Row],[Away Differential]]</f>
        <v>0.59468894922552074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0.60412323095915643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0.15671841626621741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3.3446447213402619E-2</v>
      </c>
      <c r="H474" t="s">
        <v>31</v>
      </c>
      <c r="I474">
        <f>VLOOKUP(Table4[[#This Row],[Visitor]],'NHL Model'!$A$6:$B$38,2,FALSE)</f>
        <v>-5.9622828283354432E-4</v>
      </c>
      <c r="J474">
        <f>($B$1+Table4[[#This Row],[Home Differential]])-Table4[[#This Row],[Away Differential]]</f>
        <v>0.1089545920728858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0.55224743581028568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0.30497723035903562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-0.90940046726085955</v>
      </c>
      <c r="H475" t="s">
        <v>21</v>
      </c>
      <c r="I475">
        <f>VLOOKUP(Table4[[#This Row],[Visitor]],'NHL Model'!$A$6:$B$38,2,FALSE)</f>
        <v>-6.5206076050157921E-2</v>
      </c>
      <c r="J475">
        <f>($B$1+Table4[[#This Row],[Home Differential]])-Table4[[#This Row],[Away Differential]]</f>
        <v>-0.76928247463405197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0.5464739847014024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0.20568584655262379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-5.6782013784997053E-2</v>
      </c>
      <c r="H476" t="s">
        <v>39</v>
      </c>
      <c r="I476">
        <f>VLOOKUP(Table4[[#This Row],[Visitor]],'NHL Model'!$A$6:$B$38,2,FALSE)</f>
        <v>0.92535559469880035</v>
      </c>
      <c r="J476">
        <f>($B$1+Table4[[#This Row],[Home Differential]])-Table4[[#This Row],[Away Differential]]</f>
        <v>-0.90722569190714775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0.64819847938686881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0.12376430990571137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-0.31573427760518757</v>
      </c>
      <c r="H477" t="s">
        <v>26</v>
      </c>
      <c r="I477">
        <f>VLOOKUP(Table4[[#This Row],[Visitor]],'NHL Model'!$A$6:$B$38,2,FALSE)</f>
        <v>-8.2026557704658234E-2</v>
      </c>
      <c r="J477">
        <f>($B$1+Table4[[#This Row],[Home Differential]])-Table4[[#This Row],[Away Differential]]</f>
        <v>-0.15879580332387971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0.48057495353502694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0.26980237889513936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-0.45160327336373768</v>
      </c>
      <c r="H478" t="s">
        <v>15</v>
      </c>
      <c r="I478">
        <f>VLOOKUP(Table4[[#This Row],[Visitor]],'NHL Model'!$A$6:$B$38,2,FALSE)</f>
        <v>6.6163598639307278E-2</v>
      </c>
      <c r="J478">
        <f>($B$1+Table4[[#This Row],[Home Differential]])-Table4[[#This Row],[Away Differential]]</f>
        <v>-0.4428549554263953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0.57968230602577919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0.33603157591936511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-0.34471182133334621</v>
      </c>
      <c r="H479" t="s">
        <v>13</v>
      </c>
      <c r="I479">
        <f>VLOOKUP(Table4[[#This Row],[Visitor]],'NHL Model'!$A$6:$B$38,2,FALSE)</f>
        <v>4.5005056179018996E-2</v>
      </c>
      <c r="J479">
        <f>($B$1+Table4[[#This Row],[Home Differential]])-Table4[[#This Row],[Away Differential]]</f>
        <v>-0.31480496093571558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0.52777712383815301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0.27854869244687308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0.18592042582238802</v>
      </c>
      <c r="H480" t="s">
        <v>11</v>
      </c>
      <c r="I480">
        <f>VLOOKUP(Table4[[#This Row],[Visitor]],'NHL Model'!$A$6:$B$38,2,FALSE)</f>
        <v>0.20922229284068078</v>
      </c>
      <c r="J480">
        <f>($B$1+Table4[[#This Row],[Home Differential]])-Table4[[#This Row],[Away Differential]]</f>
        <v>5.1610049558356852E-2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0.50890700473501338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0.25898633946836291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-0.15682239438733669</v>
      </c>
      <c r="H481" t="s">
        <v>36</v>
      </c>
      <c r="I481">
        <f>VLOOKUP(Table4[[#This Row],[Visitor]],'NHL Model'!$A$6:$B$38,2,FALSE)</f>
        <v>6.3057484159014243E-2</v>
      </c>
      <c r="J481">
        <f>($B$1+Table4[[#This Row],[Home Differential]])-Table4[[#This Row],[Away Differential]]</f>
        <v>-0.1449679619697013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0.49706487994741433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0.25294373498230877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1.8116689824371455</v>
      </c>
      <c r="H482" t="s">
        <v>11</v>
      </c>
      <c r="I482">
        <f>VLOOKUP(Table4[[#This Row],[Visitor]],'NHL Model'!$A$6:$B$38,2,FALSE)</f>
        <v>0.20922229284068078</v>
      </c>
      <c r="J482">
        <f>($B$1+Table4[[#This Row],[Home Differential]])-Table4[[#This Row],[Away Differential]]</f>
        <v>1.6773586061731143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0.81354957344241974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3.476376156350363E-2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0.17499330177061237</v>
      </c>
      <c r="H483" t="s">
        <v>26</v>
      </c>
      <c r="I483">
        <f>VLOOKUP(Table4[[#This Row],[Visitor]],'NHL Model'!$A$6:$B$38,2,FALSE)</f>
        <v>-8.2026557704658234E-2</v>
      </c>
      <c r="J483">
        <f>($B$1+Table4[[#This Row],[Home Differential]])-Table4[[#This Row],[Away Differential]]</f>
        <v>0.33193177605192026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0.58016913717740526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0.17625795337836436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0.6527374602185485</v>
      </c>
      <c r="H484" t="s">
        <v>39</v>
      </c>
      <c r="I484">
        <f>VLOOKUP(Table4[[#This Row],[Visitor]],'NHL Model'!$A$6:$B$38,2,FALSE)</f>
        <v>0.92535559469880035</v>
      </c>
      <c r="J484">
        <f>($B$1+Table4[[#This Row],[Home Differential]])-Table4[[#This Row],[Away Differential]]</f>
        <v>-0.19770621790360221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0.54603340778725384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0.29815248241976144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-7.602164965773138E-2</v>
      </c>
      <c r="H485" t="s">
        <v>37</v>
      </c>
      <c r="I485">
        <f>VLOOKUP(Table4[[#This Row],[Visitor]],'NHL Model'!$A$6:$B$38,2,FALSE)</f>
        <v>0.77279348157483052</v>
      </c>
      <c r="J485">
        <f>($B$1+Table4[[#This Row],[Home Differential]])-Table4[[#This Row],[Away Differential]]</f>
        <v>-0.77390321465591227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0.61788142661871692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0.14601460412294703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-0.29605365356197477</v>
      </c>
      <c r="H486" t="s">
        <v>35</v>
      </c>
      <c r="I486">
        <f>VLOOKUP(Table4[[#This Row],[Visitor]],'NHL Model'!$A$6:$B$38,2,FALSE)</f>
        <v>-0.90940046726085955</v>
      </c>
      <c r="J486">
        <f>($B$1+Table4[[#This Row],[Home Differential]])-Table4[[#This Row],[Away Differential]]</f>
        <v>0.68825873027553441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0.61736621705929962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0.14640861184751103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0.29544191342066151</v>
      </c>
      <c r="H487" t="s">
        <v>31</v>
      </c>
      <c r="I487">
        <f>VLOOKUP(Table4[[#This Row],[Visitor]],'NHL Model'!$A$6:$B$38,2,FALSE)</f>
        <v>-5.9622828283354432E-4</v>
      </c>
      <c r="J487">
        <f>($B$1+Table4[[#This Row],[Home Differential]])-Table4[[#This Row],[Away Differential]]</f>
        <v>0.37095005828014471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0.59571460624820705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0.16344667960104228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0.3028174375616956</v>
      </c>
      <c r="H488" t="s">
        <v>20</v>
      </c>
      <c r="I488">
        <f>VLOOKUP(Table4[[#This Row],[Visitor]],'NHL Model'!$A$6:$B$38,2,FALSE)</f>
        <v>0.21230765705109297</v>
      </c>
      <c r="J488">
        <f>($B$1+Table4[[#This Row],[Home Differential]])-Table4[[#This Row],[Away Differential]]</f>
        <v>0.16542169708725227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0.54240434921485736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0.29420247804719296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3.3446447213402619E-2</v>
      </c>
      <c r="H489" t="s">
        <v>18</v>
      </c>
      <c r="I489">
        <f>VLOOKUP(Table4[[#This Row],[Visitor]],'NHL Model'!$A$6:$B$38,2,FALSE)</f>
        <v>4.5205299343610755E-2</v>
      </c>
      <c r="J489">
        <f>($B$1+Table4[[#This Row],[Home Differential]])-Table4[[#This Row],[Away Differential]]</f>
        <v>6.3153064446441504E-2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0.48969537430885612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0.23980155961949071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-1.7306849519822837E-2</v>
      </c>
      <c r="H490" t="s">
        <v>33</v>
      </c>
      <c r="I490">
        <f>VLOOKUP(Table4[[#This Row],[Visitor]],'NHL Model'!$A$6:$B$38,2,FALSE)</f>
        <v>-0.21695959508717547</v>
      </c>
      <c r="J490">
        <f>($B$1+Table4[[#This Row],[Home Differential]])-Table4[[#This Row],[Away Differential]]</f>
        <v>0.27456466214400227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0.57491629939972122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0.33052875131546988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-0.46815423657711264</v>
      </c>
      <c r="H491" t="s">
        <v>23</v>
      </c>
      <c r="I491">
        <f>VLOOKUP(Table4[[#This Row],[Visitor]],'NHL Model'!$A$6:$B$38,2,FALSE)</f>
        <v>8.8679045351754957E-2</v>
      </c>
      <c r="J491">
        <f>($B$1+Table4[[#This Row],[Home Differential]])-Table4[[#This Row],[Away Differential]]</f>
        <v>-0.48192136535221797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0.51417211771861937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0.23602873120201104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-5.6782013784997053E-2</v>
      </c>
      <c r="H492" t="s">
        <v>21</v>
      </c>
      <c r="I492">
        <f>VLOOKUP(Table4[[#This Row],[Visitor]],'NHL Model'!$A$6:$B$38,2,FALSE)</f>
        <v>-6.5206076050157921E-2</v>
      </c>
      <c r="J492">
        <f>($B$1+Table4[[#This Row],[Home Differential]])-Table4[[#This Row],[Away Differential]]</f>
        <v>8.3335978841810515E-2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0.54936768273951808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0.30180485083858777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0.44972876941152479</v>
      </c>
      <c r="H493" t="s">
        <v>25</v>
      </c>
      <c r="I493">
        <f>VLOOKUP(Table4[[#This Row],[Visitor]],'NHL Model'!$A$6:$B$38,2,FALSE)</f>
        <v>0.53620748452970379</v>
      </c>
      <c r="J493">
        <f>($B$1+Table4[[#This Row],[Home Differential]])-Table4[[#This Row],[Away Differential]]</f>
        <v>-1.1566798541529311E-2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0.51412072073256776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0.23607867402143942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-0.90940046726085955</v>
      </c>
      <c r="H494" t="s">
        <v>10</v>
      </c>
      <c r="I494">
        <f>VLOOKUP(Table4[[#This Row],[Visitor]],'NHL Model'!$A$6:$B$38,2,FALSE)</f>
        <v>-0.45160327336373768</v>
      </c>
      <c r="J494">
        <f>($B$1+Table4[[#This Row],[Home Differential]])-Table4[[#This Row],[Away Differential]]</f>
        <v>-0.38288527732047223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0.50303960730309505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0.25304884651565207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0.18592042582238802</v>
      </c>
      <c r="H495" t="s">
        <v>32</v>
      </c>
      <c r="I495">
        <f>VLOOKUP(Table4[[#This Row],[Visitor]],'NHL Model'!$A$6:$B$38,2,FALSE)</f>
        <v>-0.34471182133334621</v>
      </c>
      <c r="J495">
        <f>($B$1+Table4[[#This Row],[Home Differential]])-Table4[[#This Row],[Away Differential]]</f>
        <v>0.60554416373238384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0.60806838642142103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0.15361038972230856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-0.15682239438733669</v>
      </c>
      <c r="H496" t="s">
        <v>20</v>
      </c>
      <c r="I496">
        <f>VLOOKUP(Table4[[#This Row],[Visitor]],'NHL Model'!$A$6:$B$38,2,FALSE)</f>
        <v>0.21230765705109297</v>
      </c>
      <c r="J496">
        <f>($B$1+Table4[[#This Row],[Home Differential]])-Table4[[#This Row],[Away Differential]]</f>
        <v>-0.29421813486178006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0.51384188656451002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0.23634971125915474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-0.45160327336373768</v>
      </c>
      <c r="H497" t="s">
        <v>26</v>
      </c>
      <c r="I497">
        <f>VLOOKUP(Table4[[#This Row],[Visitor]],'NHL Model'!$A$6:$B$38,2,FALSE)</f>
        <v>-8.2026557704658234E-2</v>
      </c>
      <c r="J497">
        <f>($B$1+Table4[[#This Row],[Home Differential]])-Table4[[#This Row],[Away Differential]]</f>
        <v>-0.29466479908242982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0.52670628030309985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0.2240069451045279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1.8116689824371455</v>
      </c>
      <c r="H498" t="s">
        <v>29</v>
      </c>
      <c r="I498">
        <f>VLOOKUP(Table4[[#This Row],[Visitor]],'NHL Model'!$A$6:$B$38,2,FALSE)</f>
        <v>-0.29605365356197477</v>
      </c>
      <c r="J498">
        <f>($B$1+Table4[[#This Row],[Home Differential]])-Table4[[#This Row],[Away Differential]]</f>
        <v>2.1826345525757698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0.90432553068496913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9.1536040787127838E-3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0.92535559469880035</v>
      </c>
      <c r="H499" t="s">
        <v>11</v>
      </c>
      <c r="I499">
        <f>VLOOKUP(Table4[[#This Row],[Visitor]],'NHL Model'!$A$6:$B$38,2,FALSE)</f>
        <v>0.20922229284068078</v>
      </c>
      <c r="J499">
        <f>($B$1+Table4[[#This Row],[Home Differential]])-Table4[[#This Row],[Away Differential]]</f>
        <v>0.79104521843476916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0.6310889794926694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0.39827330003709888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4.5005056179018996E-2</v>
      </c>
      <c r="H500" t="s">
        <v>16</v>
      </c>
      <c r="I500">
        <f>VLOOKUP(Table4[[#This Row],[Visitor]],'NHL Model'!$A$6:$B$38,2,FALSE)</f>
        <v>-0.31573427760518757</v>
      </c>
      <c r="J500">
        <f>($B$1+Table4[[#This Row],[Home Differential]])-Table4[[#This Row],[Away Differential]]</f>
        <v>0.43565125036085622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0.58897095774445185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0.3468867890664169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0.6527374602185485</v>
      </c>
      <c r="H501" t="s">
        <v>36</v>
      </c>
      <c r="I501">
        <f>VLOOKUP(Table4[[#This Row],[Visitor]],'NHL Model'!$A$6:$B$38,2,FALSE)</f>
        <v>6.3057484159014243E-2</v>
      </c>
      <c r="J501">
        <f>($B$1+Table4[[#This Row],[Home Differential]])-Table4[[#This Row],[Away Differential]]</f>
        <v>0.6645918926361839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0.61637252706448209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0.14717003799089154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-7.602164965773138E-2</v>
      </c>
      <c r="H502" t="s">
        <v>31</v>
      </c>
      <c r="I502">
        <f>VLOOKUP(Table4[[#This Row],[Visitor]],'NHL Model'!$A$6:$B$38,2,FALSE)</f>
        <v>-5.9622828283354432E-4</v>
      </c>
      <c r="J502">
        <f>($B$1+Table4[[#This Row],[Home Differential]])-Table4[[#This Row],[Away Differential]]</f>
        <v>-5.1350479824819586E-4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0.46005772236796239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0.21165310791039715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0.29544191342066151</v>
      </c>
      <c r="H503" t="s">
        <v>37</v>
      </c>
      <c r="I503">
        <f>VLOOKUP(Table4[[#This Row],[Visitor]],'NHL Model'!$A$6:$B$38,2,FALSE)</f>
        <v>0.77279348157483052</v>
      </c>
      <c r="J503">
        <f>($B$1+Table4[[#This Row],[Home Differential]])-Table4[[#This Row],[Away Differential]]</f>
        <v>-0.40243965157751938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0.56201621110306454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0.31586222154264443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6.6163598639307278E-2</v>
      </c>
      <c r="H504" t="s">
        <v>18</v>
      </c>
      <c r="I504">
        <f>VLOOKUP(Table4[[#This Row],[Visitor]],'NHL Model'!$A$6:$B$38,2,FALSE)</f>
        <v>4.5205299343610755E-2</v>
      </c>
      <c r="J504">
        <f>($B$1+Table4[[#This Row],[Home Differential]])-Table4[[#This Row],[Away Differential]]</f>
        <v>9.5870215872346148E-2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0.49337306429291949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0.25667085198394629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0.3028174375616956</v>
      </c>
      <c r="H505" t="s">
        <v>25</v>
      </c>
      <c r="I505">
        <f>VLOOKUP(Table4[[#This Row],[Visitor]],'NHL Model'!$A$6:$B$38,2,FALSE)</f>
        <v>0.53620748452970379</v>
      </c>
      <c r="J505">
        <f>($B$1+Table4[[#This Row],[Home Differential]])-Table4[[#This Row],[Away Differential]]</f>
        <v>-0.15847813039135855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0.53063482144555763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0.22030367083944358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3.3446447213402619E-2</v>
      </c>
      <c r="H506" t="s">
        <v>33</v>
      </c>
      <c r="I506">
        <f>VLOOKUP(Table4[[#This Row],[Visitor]],'NHL Model'!$A$6:$B$38,2,FALSE)</f>
        <v>-0.21695959508717547</v>
      </c>
      <c r="J506">
        <f>($B$1+Table4[[#This Row],[Home Differential]])-Table4[[#This Row],[Away Differential]]</f>
        <v>0.3253179588772277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0.56927882460386003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0.32407838014235246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-1.7306849519822837E-2</v>
      </c>
      <c r="H507" t="s">
        <v>17</v>
      </c>
      <c r="I507">
        <f>VLOOKUP(Table4[[#This Row],[Visitor]],'NHL Model'!$A$6:$B$38,2,FALSE)</f>
        <v>0.17499330177061237</v>
      </c>
      <c r="J507">
        <f>($B$1+Table4[[#This Row],[Home Differential]])-Table4[[#This Row],[Away Differential]]</f>
        <v>-0.11738823471378557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0.46188077652563447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0.2895722986726541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-5.6782013784997053E-2</v>
      </c>
      <c r="H508" t="s">
        <v>22</v>
      </c>
      <c r="I508">
        <f>VLOOKUP(Table4[[#This Row],[Visitor]],'NHL Model'!$A$6:$B$38,2,FALSE)</f>
        <v>0.44972876941152479</v>
      </c>
      <c r="J508">
        <f>($B$1+Table4[[#This Row],[Home Differential]])-Table4[[#This Row],[Away Differential]]</f>
        <v>-0.43159886661987218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0.51580515448900399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0.2660549573974253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0.53620748452970379</v>
      </c>
      <c r="H509" t="s">
        <v>27</v>
      </c>
      <c r="I509">
        <f>VLOOKUP(Table4[[#This Row],[Visitor]],'NHL Model'!$A$6:$B$38,2,FALSE)</f>
        <v>0.3028174375616956</v>
      </c>
      <c r="J509">
        <f>($B$1+Table4[[#This Row],[Home Differential]])-Table4[[#This Row],[Away Differential]]</f>
        <v>0.30830196354465783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0.59987319090728997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0.16010146335471401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0.6527374602185485</v>
      </c>
      <c r="H510" t="s">
        <v>21</v>
      </c>
      <c r="I510">
        <f>VLOOKUP(Table4[[#This Row],[Visitor]],'NHL Model'!$A$6:$B$38,2,FALSE)</f>
        <v>-6.5206076050157921E-2</v>
      </c>
      <c r="J510">
        <f>($B$1+Table4[[#This Row],[Home Differential]])-Table4[[#This Row],[Away Differential]]</f>
        <v>0.79285545284535608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0.6514075277779201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0.12151671168990154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4.5205299343610755E-2</v>
      </c>
      <c r="H511" t="s">
        <v>17</v>
      </c>
      <c r="I511">
        <f>VLOOKUP(Table4[[#This Row],[Visitor]],'NHL Model'!$A$6:$B$38,2,FALSE)</f>
        <v>0.17499330177061237</v>
      </c>
      <c r="J511">
        <f>($B$1+Table4[[#This Row],[Home Differential]])-Table4[[#This Row],[Away Differential]]</f>
        <v>-5.4876085850351974E-2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0.46616854531952462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0.21731311264532169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-7.602164965773138E-2</v>
      </c>
      <c r="H512" t="s">
        <v>38</v>
      </c>
      <c r="I512">
        <f>VLOOKUP(Table4[[#This Row],[Visitor]],'NHL Model'!$A$6:$B$38,2,FALSE)</f>
        <v>-0.46815423657711264</v>
      </c>
      <c r="J512">
        <f>($B$1+Table4[[#This Row],[Home Differential]])-Table4[[#This Row],[Away Differential]]</f>
        <v>0.46704450349603088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0.54998726732881975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0.30248599422382266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3.3446447213402619E-2</v>
      </c>
      <c r="H513" t="s">
        <v>55</v>
      </c>
      <c r="I513">
        <f>VLOOKUP(Table4[[#This Row],[Visitor]],'NHL Model'!$A$6:$B$38,2,FALSE)</f>
        <v>0.18592042582238802</v>
      </c>
      <c r="J513">
        <f>($B$1+Table4[[#This Row],[Home Differential]])-Table4[[#This Row],[Away Differential]]</f>
        <v>-7.756206203233576E-2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0.4687186446939195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0.2822598784958657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-0.34471182133334621</v>
      </c>
      <c r="H514" t="s">
        <v>23</v>
      </c>
      <c r="I514">
        <f>VLOOKUP(Table4[[#This Row],[Visitor]],'NHL Model'!$A$6:$B$38,2,FALSE)</f>
        <v>8.8679045351754957E-2</v>
      </c>
      <c r="J514">
        <f>($B$1+Table4[[#This Row],[Home Differential]])-Table4[[#This Row],[Away Differential]]</f>
        <v>-0.35847895010845154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0.50029612563603421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0.2497039620543581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0.92535559469880035</v>
      </c>
      <c r="H515" t="s">
        <v>13</v>
      </c>
      <c r="I515">
        <f>VLOOKUP(Table4[[#This Row],[Visitor]],'NHL Model'!$A$6:$B$38,2,FALSE)</f>
        <v>4.5005056179018996E-2</v>
      </c>
      <c r="J515">
        <f>($B$1+Table4[[#This Row],[Home Differential]])-Table4[[#This Row],[Away Differential]]</f>
        <v>0.95526245509643104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0.65401748249440395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0.11970390241951008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6.6163598639307278E-2</v>
      </c>
      <c r="H516" t="s">
        <v>31</v>
      </c>
      <c r="I516">
        <f>VLOOKUP(Table4[[#This Row],[Visitor]],'NHL Model'!$A$6:$B$38,2,FALSE)</f>
        <v>-5.9622828283354432E-4</v>
      </c>
      <c r="J516">
        <f>($B$1+Table4[[#This Row],[Home Differential]])-Table4[[#This Row],[Away Differential]]</f>
        <v>0.14167174349879044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0.55592512579434905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0.30905274548946282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-0.90940046726085955</v>
      </c>
      <c r="H517" t="s">
        <v>29</v>
      </c>
      <c r="I517">
        <f>VLOOKUP(Table4[[#This Row],[Visitor]],'NHL Model'!$A$6:$B$38,2,FALSE)</f>
        <v>-0.29605365356197477</v>
      </c>
      <c r="J517">
        <f>($B$1+Table4[[#This Row],[Home Differential]])-Table4[[#This Row],[Away Differential]]</f>
        <v>-0.53843489712223513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0.52052472608140232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0.22989653829931428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0.77279348157483052</v>
      </c>
      <c r="H518" t="s">
        <v>11</v>
      </c>
      <c r="I518">
        <f>VLOOKUP(Table4[[#This Row],[Visitor]],'NHL Model'!$A$6:$B$38,2,FALSE)</f>
        <v>0.20922229284068078</v>
      </c>
      <c r="J518">
        <f>($B$1+Table4[[#This Row],[Home Differential]])-Table4[[#This Row],[Away Differential]]</f>
        <v>0.63848310531079933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0.57946331522372763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0.33577773369007313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-5.6782013784997053E-2</v>
      </c>
      <c r="H519" t="s">
        <v>36</v>
      </c>
      <c r="I519">
        <f>VLOOKUP(Table4[[#This Row],[Visitor]],'NHL Model'!$A$6:$B$38,2,FALSE)</f>
        <v>6.3057484159014243E-2</v>
      </c>
      <c r="J519">
        <f>($B$1+Table4[[#This Row],[Home Differential]])-Table4[[#This Row],[Away Differential]]</f>
        <v>-4.4927581367361656E-2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0.48581947838559608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0.26438160880766054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-6.5206076050157921E-2</v>
      </c>
      <c r="H520" t="s">
        <v>55</v>
      </c>
      <c r="I520">
        <f>VLOOKUP(Table4[[#This Row],[Visitor]],'NHL Model'!$A$6:$B$38,2,FALSE)</f>
        <v>0.18592042582238802</v>
      </c>
      <c r="J520">
        <f>($B$1+Table4[[#This Row],[Home Differential]])-Table4[[#This Row],[Away Differential]]</f>
        <v>-0.17621458529589629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0.46579141862289247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0.21696164566272666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-0.15682239438733669</v>
      </c>
      <c r="H521" t="s">
        <v>31</v>
      </c>
      <c r="I521">
        <f>VLOOKUP(Table4[[#This Row],[Visitor]],'NHL Model'!$A$6:$B$38,2,FALSE)</f>
        <v>-5.9622828283354432E-4</v>
      </c>
      <c r="J521">
        <f>($B$1+Table4[[#This Row],[Home Differential]])-Table4[[#This Row],[Away Differential]]</f>
        <v>-8.1314249527853516E-2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0.46914042292855113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0.22009273642557983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-8.2026557704658234E-2</v>
      </c>
      <c r="H522" t="s">
        <v>30</v>
      </c>
      <c r="I522">
        <f>VLOOKUP(Table4[[#This Row],[Visitor]],'NHL Model'!$A$6:$B$38,2,FALSE)</f>
        <v>0.29544191342066151</v>
      </c>
      <c r="J522">
        <f>($B$1+Table4[[#This Row],[Home Differential]])-Table4[[#This Row],[Away Differential]]</f>
        <v>-0.30255655454867009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0.49352856564380376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0.24357044510643033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0.6527374602185485</v>
      </c>
      <c r="H523" t="s">
        <v>22</v>
      </c>
      <c r="I523">
        <f>VLOOKUP(Table4[[#This Row],[Visitor]],'NHL Model'!$A$6:$B$38,2,FALSE)</f>
        <v>0.44972876941152479</v>
      </c>
      <c r="J523">
        <f>($B$1+Table4[[#This Row],[Home Differential]])-Table4[[#This Row],[Away Differential]]</f>
        <v>0.27792060738367336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0.58629685292662581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0.17115029389841388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4.5205299343610755E-2</v>
      </c>
      <c r="H524" t="s">
        <v>27</v>
      </c>
      <c r="I524">
        <f>VLOOKUP(Table4[[#This Row],[Visitor]],'NHL Model'!$A$6:$B$38,2,FALSE)</f>
        <v>0.3028174375616956</v>
      </c>
      <c r="J524">
        <f>($B$1+Table4[[#This Row],[Home Differential]])-Table4[[#This Row],[Away Differential]]</f>
        <v>-0.18270022164143521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0.50130631135030046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0.24869539509904345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6.6163598639307278E-2</v>
      </c>
      <c r="H525" t="s">
        <v>38</v>
      </c>
      <c r="I525">
        <f>VLOOKUP(Table4[[#This Row],[Visitor]],'NHL Model'!$A$6:$B$38,2,FALSE)</f>
        <v>-0.46815423657711264</v>
      </c>
      <c r="J525">
        <f>($B$1+Table4[[#This Row],[Home Differential]])-Table4[[#This Row],[Away Differential]]</f>
        <v>0.6092297517930696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0.56597011549113119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0.32032217162904436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3.3446447213402619E-2</v>
      </c>
      <c r="H526" t="s">
        <v>17</v>
      </c>
      <c r="I526">
        <f>VLOOKUP(Table4[[#This Row],[Visitor]],'NHL Model'!$A$6:$B$38,2,FALSE)</f>
        <v>0.17499330177061237</v>
      </c>
      <c r="J526">
        <f>($B$1+Table4[[#This Row],[Home Differential]])-Table4[[#This Row],[Away Differential]]</f>
        <v>-6.6634937980560111E-2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0.46749034171128223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0.28356653617076699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-0.34471182133334621</v>
      </c>
      <c r="H527" t="s">
        <v>12</v>
      </c>
      <c r="I527">
        <f>VLOOKUP(Table4[[#This Row],[Visitor]],'NHL Model'!$A$6:$B$38,2,FALSE)</f>
        <v>1.8116689824371455</v>
      </c>
      <c r="J527">
        <f>($B$1+Table4[[#This Row],[Home Differential]])-Table4[[#This Row],[Away Differential]]</f>
        <v>-2.081468887193842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0.78019354160800003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4.8314879150834017E-2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-0.21695959508717547</v>
      </c>
      <c r="H528" t="s">
        <v>16</v>
      </c>
      <c r="I528">
        <f>VLOOKUP(Table4[[#This Row],[Visitor]],'NHL Model'!$A$6:$B$38,2,FALSE)</f>
        <v>-0.31573427760518757</v>
      </c>
      <c r="J528">
        <f>($B$1+Table4[[#This Row],[Home Differential]])-Table4[[#This Row],[Away Differential]]</f>
        <v>0.17368659909466175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0.55952387167027973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0.19401921962834021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-1.7306849519822837E-2</v>
      </c>
      <c r="H529" t="s">
        <v>10</v>
      </c>
      <c r="I529">
        <f>VLOOKUP(Table4[[#This Row],[Visitor]],'NHL Model'!$A$6:$B$38,2,FALSE)</f>
        <v>-0.45160327336373768</v>
      </c>
      <c r="J529">
        <f>($B$1+Table4[[#This Row],[Home Differential]])-Table4[[#This Row],[Away Differential]]</f>
        <v>0.50920834042056451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0.60855408250049159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0.15322990632703196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-8.2026557704658234E-2</v>
      </c>
      <c r="H530" t="s">
        <v>55</v>
      </c>
      <c r="I530">
        <f>VLOOKUP(Table4[[#This Row],[Visitor]],'NHL Model'!$A$6:$B$38,2,FALSE)</f>
        <v>0.18592042582238802</v>
      </c>
      <c r="J530">
        <f>($B$1+Table4[[#This Row],[Home Differential]])-Table4[[#This Row],[Away Differential]]</f>
        <v>-0.19303506695039663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0.44800065981132187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0.304703271568736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0.20922229284068078</v>
      </c>
      <c r="H531" t="s">
        <v>13</v>
      </c>
      <c r="I531">
        <f>VLOOKUP(Table4[[#This Row],[Visitor]],'NHL Model'!$A$6:$B$38,2,FALSE)</f>
        <v>4.5005056179018996E-2</v>
      </c>
      <c r="J531">
        <f>($B$1+Table4[[#This Row],[Home Differential]])-Table4[[#This Row],[Away Differential]]</f>
        <v>0.23912915323831141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0.53526006742292764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0.21598320493174175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-0.29605365356197477</v>
      </c>
      <c r="H532" t="s">
        <v>25</v>
      </c>
      <c r="I532">
        <f>VLOOKUP(Table4[[#This Row],[Visitor]],'NHL Model'!$A$6:$B$38,2,FALSE)</f>
        <v>0.53620748452970379</v>
      </c>
      <c r="J532">
        <f>($B$1+Table4[[#This Row],[Home Differential]])-Table4[[#This Row],[Away Differential]]</f>
        <v>-0.75734922151502893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0.6025361589227437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0.15797750496388646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-0.90940046726085955</v>
      </c>
      <c r="H533" t="s">
        <v>40</v>
      </c>
      <c r="I533">
        <f>VLOOKUP(Table4[[#This Row],[Visitor]],'NHL Model'!$A$6:$B$38,2,FALSE)</f>
        <v>-5.6782013784997053E-2</v>
      </c>
      <c r="J533">
        <f>($B$1+Table4[[#This Row],[Home Differential]])-Table4[[#This Row],[Away Differential]]</f>
        <v>-0.77770653689921287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0.54742092195197178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0.29966966579074678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0.21230765705109297</v>
      </c>
      <c r="H534" t="s">
        <v>24</v>
      </c>
      <c r="I534">
        <f>VLOOKUP(Table4[[#This Row],[Visitor]],'NHL Model'!$A$6:$B$38,2,FALSE)</f>
        <v>-7.602164965773138E-2</v>
      </c>
      <c r="J534">
        <f>($B$1+Table4[[#This Row],[Home Differential]])-Table4[[#This Row],[Away Differential]]</f>
        <v>0.36324122328547404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0.5600622154433571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0.31366968516732135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-6.5206076050157921E-2</v>
      </c>
      <c r="H535" t="s">
        <v>17</v>
      </c>
      <c r="I535">
        <f>VLOOKUP(Table4[[#This Row],[Visitor]],'NHL Model'!$A$6:$B$38,2,FALSE)</f>
        <v>0.17499330177061237</v>
      </c>
      <c r="J535">
        <f>($B$1+Table4[[#This Row],[Home Differential]])-Table4[[#This Row],[Away Differential]]</f>
        <v>-0.16528746124412064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0.46456311564025521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0.28669265713287073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8.8679045351754957E-2</v>
      </c>
      <c r="H536" t="s">
        <v>27</v>
      </c>
      <c r="I536">
        <f>VLOOKUP(Table4[[#This Row],[Visitor]],'NHL Model'!$A$6:$B$38,2,FALSE)</f>
        <v>0.3028174375616956</v>
      </c>
      <c r="J536">
        <f>($B$1+Table4[[#This Row],[Home Differential]])-Table4[[#This Row],[Away Differential]]</f>
        <v>-0.13922647563329099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0.45751072171372797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0.20931606048301624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-0.15682239438733669</v>
      </c>
      <c r="H537" t="s">
        <v>34</v>
      </c>
      <c r="I537">
        <f>VLOOKUP(Table4[[#This Row],[Visitor]],'NHL Model'!$A$6:$B$38,2,FALSE)</f>
        <v>0.6527374602185485</v>
      </c>
      <c r="J537">
        <f>($B$1+Table4[[#This Row],[Home Differential]])-Table4[[#This Row],[Away Differential]]</f>
        <v>-0.73464793802923556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0.61346879497508133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0.14940637245801572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-0.31573427760518757</v>
      </c>
      <c r="H538" t="s">
        <v>32</v>
      </c>
      <c r="I538">
        <f>VLOOKUP(Table4[[#This Row],[Visitor]],'NHL Model'!$A$6:$B$38,2,FALSE)</f>
        <v>-0.34471182133334621</v>
      </c>
      <c r="J538">
        <f>($B$1+Table4[[#This Row],[Home Differential]])-Table4[[#This Row],[Away Differential]]</f>
        <v>0.10388946030480828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0.58221749040327941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0.17454222532493394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4.5205299343610755E-2</v>
      </c>
      <c r="H539" t="s">
        <v>10</v>
      </c>
      <c r="I539">
        <f>VLOOKUP(Table4[[#This Row],[Visitor]],'NHL Model'!$A$6:$B$38,2,FALSE)</f>
        <v>-0.45160327336373768</v>
      </c>
      <c r="J539">
        <f>($B$1+Table4[[#This Row],[Home Differential]])-Table4[[#This Row],[Away Differential]]</f>
        <v>0.5717204892839981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0.60426631370660155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0.1566051504673619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6.3057484159014243E-2</v>
      </c>
      <c r="H540" t="s">
        <v>14</v>
      </c>
      <c r="I540">
        <f>VLOOKUP(Table4[[#This Row],[Visitor]],'NHL Model'!$A$6:$B$38,2,FALSE)</f>
        <v>3.3446447213402619E-2</v>
      </c>
      <c r="J540">
        <f>($B$1+Table4[[#This Row],[Home Differential]])-Table4[[#This Row],[Away Differential]]</f>
        <v>0.10452295352226126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0.54445956179107591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0.20751709084357858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-0.21695959508717547</v>
      </c>
      <c r="H541" t="s">
        <v>39</v>
      </c>
      <c r="I541">
        <f>VLOOKUP(Table4[[#This Row],[Visitor]],'NHL Model'!$A$6:$B$38,2,FALSE)</f>
        <v>0.92535559469880035</v>
      </c>
      <c r="J541">
        <f>($B$1+Table4[[#This Row],[Home Differential]])-Table4[[#This Row],[Away Differential]]</f>
        <v>-1.0674032732093262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0.66620382095092978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0.11141988914775894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-0.90940046726085955</v>
      </c>
      <c r="H542" t="s">
        <v>15</v>
      </c>
      <c r="I542">
        <f>VLOOKUP(Table4[[#This Row],[Visitor]],'NHL Model'!$A$6:$B$38,2,FALSE)</f>
        <v>6.6163598639307278E-2</v>
      </c>
      <c r="J542">
        <f>($B$1+Table4[[#This Row],[Home Differential]])-Table4[[#This Row],[Away Differential]]</f>
        <v>-0.90065214932351723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0.63114265881782283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0.13605573814398506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0.77279348157483052</v>
      </c>
      <c r="H543" t="s">
        <v>13</v>
      </c>
      <c r="I543">
        <f>VLOOKUP(Table4[[#This Row],[Visitor]],'NHL Model'!$A$6:$B$38,2,FALSE)</f>
        <v>4.5005056179018996E-2</v>
      </c>
      <c r="J543">
        <f>($B$1+Table4[[#This Row],[Home Differential]])-Table4[[#This Row],[Away Differential]]</f>
        <v>0.80270034197246121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0.60242556314846196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0.36291655913474152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0.44972876941152479</v>
      </c>
      <c r="H544" t="s">
        <v>19</v>
      </c>
      <c r="I544">
        <f>VLOOKUP(Table4[[#This Row],[Visitor]],'NHL Model'!$A$6:$B$38,2,FALSE)</f>
        <v>-1.7306849519822837E-2</v>
      </c>
      <c r="J544">
        <f>($B$1+Table4[[#This Row],[Home Differential]])-Table4[[#This Row],[Away Differential]]</f>
        <v>0.54194753550799735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0.60547403237568942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0.15565073912989857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-5.9622828283354432E-4</v>
      </c>
      <c r="H545" t="s">
        <v>39</v>
      </c>
      <c r="I545">
        <f>VLOOKUP(Table4[[#This Row],[Visitor]],'NHL Model'!$A$6:$B$38,2,FALSE)</f>
        <v>0.92535559469880035</v>
      </c>
      <c r="J545">
        <f>($B$1+Table4[[#This Row],[Home Differential]])-Table4[[#This Row],[Away Differential]]</f>
        <v>-0.85103990640498428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0.60285108345245109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0.15772726191489198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1.8116689824371455</v>
      </c>
      <c r="H546" t="s">
        <v>40</v>
      </c>
      <c r="I546">
        <f>VLOOKUP(Table4[[#This Row],[Visitor]],'NHL Model'!$A$6:$B$38,2,FALSE)</f>
        <v>-5.6782013784997053E-2</v>
      </c>
      <c r="J546">
        <f>($B$1+Table4[[#This Row],[Home Differential]])-Table4[[#This Row],[Away Differential]]</f>
        <v>1.9433629127987921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0.87742933481439966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1.5023567964040538E-2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0.20922229284068078</v>
      </c>
      <c r="H547" t="s">
        <v>25</v>
      </c>
      <c r="I547">
        <f>VLOOKUP(Table4[[#This Row],[Visitor]],'NHL Model'!$A$6:$B$38,2,FALSE)</f>
        <v>0.53620748452970379</v>
      </c>
      <c r="J547">
        <f>($B$1+Table4[[#This Row],[Home Differential]])-Table4[[#This Row],[Away Differential]]</f>
        <v>-0.25207327511237337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0.54496926096853193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0.29699149540058783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0.29544191342066151</v>
      </c>
      <c r="H548" t="s">
        <v>38</v>
      </c>
      <c r="I548">
        <f>VLOOKUP(Table4[[#This Row],[Visitor]],'NHL Model'!$A$6:$B$38,2,FALSE)</f>
        <v>-0.46815423657711264</v>
      </c>
      <c r="J548">
        <f>($B$1+Table4[[#This Row],[Home Differential]])-Table4[[#This Row],[Away Differential]]</f>
        <v>0.83850806657442378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0.60588344523718862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0.36709474921248536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0.18592042582238802</v>
      </c>
      <c r="H549" t="s">
        <v>24</v>
      </c>
      <c r="I549">
        <f>VLOOKUP(Table4[[#This Row],[Visitor]],'NHL Model'!$A$6:$B$38,2,FALSE)</f>
        <v>-7.602164965773138E-2</v>
      </c>
      <c r="J549">
        <f>($B$1+Table4[[#This Row],[Home Differential]])-Table4[[#This Row],[Away Differential]]</f>
        <v>0.33685399205676902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0.55709606308083404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0.31035602350016461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-5.9622828283354432E-4</v>
      </c>
      <c r="H550" t="s">
        <v>28</v>
      </c>
      <c r="I550">
        <f>VLOOKUP(Table4[[#This Row],[Visitor]],'NHL Model'!$A$6:$B$38,2,FALSE)</f>
        <v>-0.15682239438733669</v>
      </c>
      <c r="J550">
        <f>($B$1+Table4[[#This Row],[Home Differential]])-Table4[[#This Row],[Away Differential]]</f>
        <v>0.2311380826811528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0.60457400648118309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0.15636171635034343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-6.5206076050157921E-2</v>
      </c>
      <c r="H551" t="s">
        <v>38</v>
      </c>
      <c r="I551">
        <f>VLOOKUP(Table4[[#This Row],[Visitor]],'NHL Model'!$A$6:$B$38,2,FALSE)</f>
        <v>-0.46815423657711264</v>
      </c>
      <c r="J551">
        <f>($B$1+Table4[[#This Row],[Home Differential]])-Table4[[#This Row],[Away Differential]]</f>
        <v>0.47786007710360434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0.56534350087029439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0.31961327397628053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8.8679045351754957E-2</v>
      </c>
      <c r="H552" t="s">
        <v>30</v>
      </c>
      <c r="I552">
        <f>VLOOKUP(Table4[[#This Row],[Visitor]],'NHL Model'!$A$6:$B$38,2,FALSE)</f>
        <v>0.29544191342066151</v>
      </c>
      <c r="J552">
        <f>($B$1+Table4[[#This Row],[Home Differential]])-Table4[[#This Row],[Away Differential]]</f>
        <v>-0.1318509514922569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0.46936663862043365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0.22030504144984475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-0.31573427760518757</v>
      </c>
      <c r="H553" t="s">
        <v>20</v>
      </c>
      <c r="I553">
        <f>VLOOKUP(Table4[[#This Row],[Visitor]],'NHL Model'!$A$6:$B$38,2,FALSE)</f>
        <v>0.21230765705109297</v>
      </c>
      <c r="J553">
        <f>($B$1+Table4[[#This Row],[Home Differential]])-Table4[[#This Row],[Away Differential]]</f>
        <v>-0.45313001807963094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0.50093572197885305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0.25093659755447478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0.20922229284068078</v>
      </c>
      <c r="H554" t="s">
        <v>35</v>
      </c>
      <c r="I554">
        <f>VLOOKUP(Table4[[#This Row],[Visitor]],'NHL Model'!$A$6:$B$38,2,FALSE)</f>
        <v>-0.90940046726085955</v>
      </c>
      <c r="J554">
        <f>($B$1+Table4[[#This Row],[Home Differential]])-Table4[[#This Row],[Away Differential]]</f>
        <v>1.19353467667819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0.67492898212077779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0.4555291309065892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0.6527374602185485</v>
      </c>
      <c r="H555" t="s">
        <v>17</v>
      </c>
      <c r="I555">
        <f>VLOOKUP(Table4[[#This Row],[Visitor]],'NHL Model'!$A$6:$B$38,2,FALSE)</f>
        <v>0.17499330177061237</v>
      </c>
      <c r="J555">
        <f>($B$1+Table4[[#This Row],[Home Differential]])-Table4[[#This Row],[Away Differential]]</f>
        <v>0.5526560750245858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0.62440704615010134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0.14107006698169211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4.5205299343610755E-2</v>
      </c>
      <c r="H556" t="s">
        <v>14</v>
      </c>
      <c r="I556">
        <f>VLOOKUP(Table4[[#This Row],[Visitor]],'NHL Model'!$A$6:$B$38,2,FALSE)</f>
        <v>3.3446447213402619E-2</v>
      </c>
      <c r="J556">
        <f>($B$1+Table4[[#This Row],[Home Differential]])-Table4[[#This Row],[Away Differential]]</f>
        <v>8.6670768706857776E-2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0.54245282225453806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0.20934941986283734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-0.29605365356197477</v>
      </c>
      <c r="H557" t="s">
        <v>19</v>
      </c>
      <c r="I557">
        <f>VLOOKUP(Table4[[#This Row],[Visitor]],'NHL Model'!$A$6:$B$38,2,FALSE)</f>
        <v>-1.7306849519822837E-2</v>
      </c>
      <c r="J557">
        <f>($B$1+Table4[[#This Row],[Home Differential]])-Table4[[#This Row],[Away Differential]]</f>
        <v>-0.2038348874655023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0.48291279929220904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0.23320477172023737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6.6163598639307278E-2</v>
      </c>
      <c r="H558" t="s">
        <v>27</v>
      </c>
      <c r="I558">
        <f>VLOOKUP(Table4[[#This Row],[Visitor]],'NHL Model'!$A$6:$B$38,2,FALSE)</f>
        <v>0.3028174375616956</v>
      </c>
      <c r="J558">
        <f>($B$1+Table4[[#This Row],[Home Differential]])-Table4[[#This Row],[Away Differential]]</f>
        <v>-0.1617419223457387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0.49895041775799476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0.24895151938087748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6.3057484159014243E-2</v>
      </c>
      <c r="H559" t="s">
        <v>10</v>
      </c>
      <c r="I559">
        <f>VLOOKUP(Table4[[#This Row],[Visitor]],'NHL Model'!$A$6:$B$38,2,FALSE)</f>
        <v>-0.45160327336373768</v>
      </c>
      <c r="J559">
        <f>($B$1+Table4[[#This Row],[Home Differential]])-Table4[[#This Row],[Away Differential]]</f>
        <v>0.58957267409940162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0.6062730532431394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0.15502090860247975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-0.21695959508717547</v>
      </c>
      <c r="H560" t="s">
        <v>32</v>
      </c>
      <c r="I560">
        <f>VLOOKUP(Table4[[#This Row],[Visitor]],'NHL Model'!$A$6:$B$38,2,FALSE)</f>
        <v>-0.34471182133334621</v>
      </c>
      <c r="J560">
        <f>($B$1+Table4[[#This Row],[Home Differential]])-Table4[[#This Row],[Away Differential]]</f>
        <v>0.20266414282282039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0.56278119749747346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0.31672267625669021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0.77279348157483052</v>
      </c>
      <c r="H561" t="s">
        <v>25</v>
      </c>
      <c r="I561">
        <f>VLOOKUP(Table4[[#This Row],[Visitor]],'NHL Model'!$A$6:$B$38,2,FALSE)</f>
        <v>0.53620748452970379</v>
      </c>
      <c r="J561">
        <f>($B$1+Table4[[#This Row],[Home Differential]])-Table4[[#This Row],[Away Differential]]</f>
        <v>0.31149791362177637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0.522194539134053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0.22829805843332002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0.44972876941152479</v>
      </c>
      <c r="H562" t="s">
        <v>26</v>
      </c>
      <c r="I562">
        <f>VLOOKUP(Table4[[#This Row],[Visitor]],'NHL Model'!$A$6:$B$38,2,FALSE)</f>
        <v>-8.2026557704658234E-2</v>
      </c>
      <c r="J562">
        <f>($B$1+Table4[[#This Row],[Home Differential]])-Table4[[#This Row],[Away Differential]]</f>
        <v>0.60666724369283276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0.57919707528257236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0.33546925201588579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-6.5206076050157921E-2</v>
      </c>
      <c r="H563" t="s">
        <v>36</v>
      </c>
      <c r="I563">
        <f>VLOOKUP(Table4[[#This Row],[Visitor]],'NHL Model'!$A$6:$B$38,2,FALSE)</f>
        <v>6.3057484159014243E-2</v>
      </c>
      <c r="J563">
        <f>($B$1+Table4[[#This Row],[Home Differential]])-Table4[[#This Row],[Away Differential]]</f>
        <v>-5.3351643632522525E-2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0.47266385153360141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0.27808341347937554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0.92535559469880035</v>
      </c>
      <c r="H564" t="s">
        <v>19</v>
      </c>
      <c r="I564">
        <f>VLOOKUP(Table4[[#This Row],[Visitor]],'NHL Model'!$A$6:$B$38,2,FALSE)</f>
        <v>-1.7306849519822837E-2</v>
      </c>
      <c r="J564">
        <f>($B$1+Table4[[#This Row],[Home Differential]])-Table4[[#This Row],[Away Differential]]</f>
        <v>1.0175743607952727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0.69297622663395453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9.4263597411924846E-2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-8.2026557704658234E-2</v>
      </c>
      <c r="H565" t="s">
        <v>22</v>
      </c>
      <c r="I565">
        <f>VLOOKUP(Table4[[#This Row],[Visitor]],'NHL Model'!$A$6:$B$38,2,FALSE)</f>
        <v>0.44972876941152479</v>
      </c>
      <c r="J565">
        <f>($B$1+Table4[[#This Row],[Home Differential]])-Table4[[#This Row],[Away Differential]]</f>
        <v>-0.45684341053953337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0.48483937784901016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0.23506922231301525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0.17499330177061237</v>
      </c>
      <c r="H566" t="s">
        <v>20</v>
      </c>
      <c r="I566">
        <f>VLOOKUP(Table4[[#This Row],[Visitor]],'NHL Model'!$A$6:$B$38,2,FALSE)</f>
        <v>0.21230765705109297</v>
      </c>
      <c r="J566">
        <f>($B$1+Table4[[#This Row],[Home Differential]])-Table4[[#This Row],[Away Differential]]</f>
        <v>3.7597561296169035E-2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0.55978184569934386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0.19379202337587631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0.6527374602185485</v>
      </c>
      <c r="H567" t="s">
        <v>12</v>
      </c>
      <c r="I567">
        <f>VLOOKUP(Table4[[#This Row],[Visitor]],'NHL Model'!$A$6:$B$38,2,FALSE)</f>
        <v>1.8116689824371455</v>
      </c>
      <c r="J567">
        <f>($B$1+Table4[[#This Row],[Home Differential]])-Table4[[#This Row],[Away Differential]]</f>
        <v>-1.0840196056419473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0.64566267643579933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0.12555493887064104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-7.602164965773138E-2</v>
      </c>
      <c r="H568" t="s">
        <v>23</v>
      </c>
      <c r="I568">
        <f>VLOOKUP(Table4[[#This Row],[Visitor]],'NHL Model'!$A$6:$B$38,2,FALSE)</f>
        <v>8.8679045351754957E-2</v>
      </c>
      <c r="J568">
        <f>($B$1+Table4[[#This Row],[Home Differential]])-Table4[[#This Row],[Away Differential]]</f>
        <v>-8.9788778432836697E-2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0.47009303306467792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0.28080139360659245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-0.29605365356197477</v>
      </c>
      <c r="H569" t="s">
        <v>15</v>
      </c>
      <c r="I569">
        <f>VLOOKUP(Table4[[#This Row],[Visitor]],'NHL Model'!$A$6:$B$38,2,FALSE)</f>
        <v>6.6163598639307278E-2</v>
      </c>
      <c r="J569">
        <f>($B$1+Table4[[#This Row],[Home Differential]])-Table4[[#This Row],[Away Differential]]</f>
        <v>-0.2873053356246324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0.56219718724747181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0.3160656773489689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3.3446447213402619E-2</v>
      </c>
      <c r="H570" t="s">
        <v>18</v>
      </c>
      <c r="I570">
        <f>VLOOKUP(Table4[[#This Row],[Visitor]],'NHL Model'!$A$6:$B$38,2,FALSE)</f>
        <v>4.5205299343610755E-2</v>
      </c>
      <c r="J570">
        <f>($B$1+Table4[[#This Row],[Home Differential]])-Table4[[#This Row],[Away Differential]]</f>
        <v>6.3153064446441504E-2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0.48969537430885612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0.26041081100177849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0.18592042582238802</v>
      </c>
      <c r="H571" t="s">
        <v>40</v>
      </c>
      <c r="I571">
        <f>VLOOKUP(Table4[[#This Row],[Visitor]],'NHL Model'!$A$6:$B$38,2,FALSE)</f>
        <v>-5.6782013784997053E-2</v>
      </c>
      <c r="J571">
        <f>($B$1+Table4[[#This Row],[Home Differential]])-Table4[[#This Row],[Away Differential]]</f>
        <v>0.31761435618403466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0.57570259284883529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0.18002828971520124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-5.9622828283354432E-4</v>
      </c>
      <c r="H572" t="s">
        <v>32</v>
      </c>
      <c r="I572">
        <f>VLOOKUP(Table4[[#This Row],[Visitor]],'NHL Model'!$A$6:$B$38,2,FALSE)</f>
        <v>-0.34471182133334621</v>
      </c>
      <c r="J572">
        <f>($B$1+Table4[[#This Row],[Home Differential]])-Table4[[#This Row],[Away Differential]]</f>
        <v>0.41902750962716229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0.62569439849195063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0.39149348030420389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4.5005056179018996E-2</v>
      </c>
      <c r="H573" t="s">
        <v>28</v>
      </c>
      <c r="I573">
        <f>VLOOKUP(Table4[[#This Row],[Visitor]],'NHL Model'!$A$6:$B$38,2,FALSE)</f>
        <v>-0.15682239438733669</v>
      </c>
      <c r="J573">
        <f>($B$1+Table4[[#This Row],[Home Differential]])-Table4[[#This Row],[Away Differential]]</f>
        <v>0.27673936714300534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0.57110789156087816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0.32616422380311177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0.3028174375616956</v>
      </c>
      <c r="H574" t="s">
        <v>38</v>
      </c>
      <c r="I574">
        <f>VLOOKUP(Table4[[#This Row],[Visitor]],'NHL Model'!$A$6:$B$38,2,FALSE)</f>
        <v>-0.46815423657711264</v>
      </c>
      <c r="J574">
        <f>($B$1+Table4[[#This Row],[Home Differential]])-Table4[[#This Row],[Away Differential]]</f>
        <v>0.84588359071545782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0.59715929957959457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0.16228062991520284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0.77279348157483052</v>
      </c>
      <c r="H575" t="s">
        <v>35</v>
      </c>
      <c r="I575">
        <f>VLOOKUP(Table4[[#This Row],[Visitor]],'NHL Model'!$A$6:$B$38,2,FALSE)</f>
        <v>-0.90940046726085955</v>
      </c>
      <c r="J575">
        <f>($B$1+Table4[[#This Row],[Home Differential]])-Table4[[#This Row],[Away Differential]]</f>
        <v>1.7571058654123397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0.74206830859381878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6.6528757431653499E-2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-6.5206076050157921E-2</v>
      </c>
      <c r="H576" t="s">
        <v>18</v>
      </c>
      <c r="I576">
        <f>VLOOKUP(Table4[[#This Row],[Visitor]],'NHL Model'!$A$6:$B$38,2,FALSE)</f>
        <v>4.5205299343610755E-2</v>
      </c>
      <c r="J576">
        <f>($B$1+Table4[[#This Row],[Home Differential]])-Table4[[#This Row],[Away Differential]]</f>
        <v>-3.5499458817119037E-2</v>
      </c>
      <c r="K576" t="str">
        <f>IF(Table4[[#This Row],[HomeIce Differential]]&gt;0,Table4[[#This Row],[Home]],Table4[[#This Row],[Visitor]])</f>
        <v>Montreal Canadiens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0.50725841918660608</v>
      </c>
      <c r="M576" t="str">
        <f>IF(OR((NHL2025_26Results[[#This Row],[Winning Team]]="")),"-",IF(Table4[[#This Row],[Predicted Winner]]=NHL2025_26Results[[#This Row],[Winning Team]],"YES","NO"))</f>
        <v>YES</v>
      </c>
      <c r="N576">
        <f>IF(Table4[[#This Row],[Adjusted Correct]]="-", "",IF(Table4[[#This Row],[Adjusted Correct]]="YES",(Table4[[#This Row],[Strength of Win]]-1)^2,(Table4[[#This Row],[Strength of Win]]-0)^2))</f>
        <v>0.24279426546248242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0.53620748452970379</v>
      </c>
      <c r="H577" t="s">
        <v>11</v>
      </c>
      <c r="I577">
        <f>VLOOKUP(Table4[[#This Row],[Visitor]],'NHL Model'!$A$6:$B$38,2,FALSE)</f>
        <v>0.20922229284068078</v>
      </c>
      <c r="J577">
        <f>($B$1+Table4[[#This Row],[Home Differential]])-Table4[[#This Row],[Away Differential]]</f>
        <v>0.40189710826567265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0.59447247571369022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0.35339752438116401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-0.45160327336373768</v>
      </c>
      <c r="H578" t="s">
        <v>27</v>
      </c>
      <c r="I578">
        <f>VLOOKUP(Table4[[#This Row],[Visitor]],'NHL Model'!$A$6:$B$38,2,FALSE)</f>
        <v>0.3028174375616956</v>
      </c>
      <c r="J578">
        <f>($B$1+Table4[[#This Row],[Home Differential]])-Table4[[#This Row],[Away Differential]]</f>
        <v>-0.67950879434878364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0.55715187956795342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0.19611445777019643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1.8116689824371455</v>
      </c>
      <c r="H579" t="s">
        <v>55</v>
      </c>
      <c r="I579">
        <f>VLOOKUP(Table4[[#This Row],[Visitor]],'NHL Model'!$A$6:$B$38,2,FALSE)</f>
        <v>0.18592042582238802</v>
      </c>
      <c r="J579">
        <f>($B$1+Table4[[#This Row],[Home Differential]])-Table4[[#This Row],[Away Differential]]</f>
        <v>1.700660473191407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0.85014748745451296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2.2455775516195351E-2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-8.2026557704658234E-2</v>
      </c>
      <c r="H580" t="s">
        <v>39</v>
      </c>
      <c r="I580">
        <f>VLOOKUP(Table4[[#This Row],[Visitor]],'NHL Model'!$A$6:$B$38,2,FALSE)</f>
        <v>0.92535559469880035</v>
      </c>
      <c r="J580">
        <f>($B$1+Table4[[#This Row],[Home Differential]])-Table4[[#This Row],[Away Differential]]</f>
        <v>-0.93247023582680899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0.61701281839719457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0.3807048180664494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0.17499330177061237</v>
      </c>
      <c r="H581" t="s">
        <v>16</v>
      </c>
      <c r="I581">
        <f>VLOOKUP(Table4[[#This Row],[Visitor]],'NHL Model'!$A$6:$B$38,2,FALSE)</f>
        <v>-0.31573427760518757</v>
      </c>
      <c r="J581">
        <f>($B$1+Table4[[#This Row],[Home Differential]])-Table4[[#This Row],[Away Differential]]</f>
        <v>0.56563949595244956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0.63961962397103711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0.12987401542677668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4.5005056179018996E-2</v>
      </c>
      <c r="H582" t="s">
        <v>32</v>
      </c>
      <c r="I582">
        <f>VLOOKUP(Table4[[#This Row],[Visitor]],'NHL Model'!$A$6:$B$38,2,FALSE)</f>
        <v>-0.34471182133334621</v>
      </c>
      <c r="J582">
        <f>($B$1+Table4[[#This Row],[Home Differential]])-Table4[[#This Row],[Away Differential]]</f>
        <v>0.46462879408901486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0.59222828357164559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0.35073433986221747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0.6527374602185485</v>
      </c>
      <c r="H583" t="s">
        <v>29</v>
      </c>
      <c r="I583">
        <f>VLOOKUP(Table4[[#This Row],[Visitor]],'NHL Model'!$A$6:$B$38,2,FALSE)</f>
        <v>-0.29605365356197477</v>
      </c>
      <c r="J583">
        <f>($B$1+Table4[[#This Row],[Home Differential]])-Table4[[#This Row],[Away Differential]]</f>
        <v>1.023703030357173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0.67735678639792019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0.45881221607931766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0.29544191342066151</v>
      </c>
      <c r="H584" t="s">
        <v>24</v>
      </c>
      <c r="I584">
        <f>VLOOKUP(Table4[[#This Row],[Visitor]],'NHL Model'!$A$6:$B$38,2,FALSE)</f>
        <v>-7.602164965773138E-2</v>
      </c>
      <c r="J584">
        <f>($B$1+Table4[[#This Row],[Home Differential]])-Table4[[#This Row],[Away Differential]]</f>
        <v>0.44637547965504254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0.58350978693983635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0.1734640975749005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6.3057484159014243E-2</v>
      </c>
      <c r="H585" t="s">
        <v>23</v>
      </c>
      <c r="I585">
        <f>VLOOKUP(Table4[[#This Row],[Visitor]],'NHL Model'!$A$6:$B$38,2,FALSE)</f>
        <v>8.8679045351754957E-2</v>
      </c>
      <c r="J585">
        <f>($B$1+Table4[[#This Row],[Home Differential]])-Table4[[#This Row],[Away Differential]]</f>
        <v>4.9290355383908926E-2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0.5455406610418656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0.29761461284999569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-1.7306849519822837E-2</v>
      </c>
      <c r="H586" t="s">
        <v>14</v>
      </c>
      <c r="I586">
        <f>VLOOKUP(Table4[[#This Row],[Visitor]],'NHL Model'!$A$6:$B$38,2,FALSE)</f>
        <v>3.3446447213402619E-2</v>
      </c>
      <c r="J586">
        <f>($B$1+Table4[[#This Row],[Home Differential]])-Table4[[#This Row],[Away Differential]]</f>
        <v>2.4158619843424184E-2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0.54676850065864169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0.20541879199521568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0.21230765705109297</v>
      </c>
      <c r="H587" t="s">
        <v>33</v>
      </c>
      <c r="I587">
        <f>VLOOKUP(Table4[[#This Row],[Visitor]],'NHL Model'!$A$6:$B$38,2,FALSE)</f>
        <v>-0.21695959508717547</v>
      </c>
      <c r="J587">
        <f>($B$1+Table4[[#This Row],[Home Differential]])-Table4[[#This Row],[Away Differential]]</f>
        <v>0.50417916871491808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0.58938436714925124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0.1686051979414209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0.44972876941152479</v>
      </c>
      <c r="H588" t="s">
        <v>15</v>
      </c>
      <c r="I588">
        <f>VLOOKUP(Table4[[#This Row],[Visitor]],'NHL Model'!$A$6:$B$38,2,FALSE)</f>
        <v>6.6163598639307278E-2</v>
      </c>
      <c r="J588">
        <f>($B$1+Table4[[#This Row],[Home Differential]])-Table4[[#This Row],[Away Differential]]</f>
        <v>0.45847708734886722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0.52620844847327219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0.27689533124464838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8.8679045351754957E-2</v>
      </c>
      <c r="H589" t="s">
        <v>21</v>
      </c>
      <c r="I589">
        <f>VLOOKUP(Table4[[#This Row],[Visitor]],'NHL Model'!$A$6:$B$38,2,FALSE)</f>
        <v>-6.5206076050157921E-2</v>
      </c>
      <c r="J589">
        <f>($B$1+Table4[[#This Row],[Home Differential]])-Table4[[#This Row],[Away Differential]]</f>
        <v>0.22879703797856255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0.60431085286664976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0.15656990115911809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0.53620748452970379</v>
      </c>
      <c r="H590" t="s">
        <v>26</v>
      </c>
      <c r="I590">
        <f>VLOOKUP(Table4[[#This Row],[Visitor]],'NHL Model'!$A$6:$B$38,2,FALSE)</f>
        <v>-8.2026557704658234E-2</v>
      </c>
      <c r="J590">
        <f>($B$1+Table4[[#This Row],[Home Differential]])-Table4[[#This Row],[Away Differential]]</f>
        <v>0.69314595881101171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0.63048829063092393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0.13653890336085653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-0.31573427760518757</v>
      </c>
      <c r="H591" t="s">
        <v>17</v>
      </c>
      <c r="I591">
        <f>VLOOKUP(Table4[[#This Row],[Visitor]],'NHL Model'!$A$6:$B$38,2,FALSE)</f>
        <v>0.17499330177061237</v>
      </c>
      <c r="J591">
        <f>($B$1+Table4[[#This Row],[Home Differential]])-Table4[[#This Row],[Away Differential]]</f>
        <v>-0.41581566279915028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0.47620184754655587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0.22676819960675323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0.92535559469880035</v>
      </c>
      <c r="H592" t="s">
        <v>10</v>
      </c>
      <c r="I592">
        <f>VLOOKUP(Table4[[#This Row],[Visitor]],'NHL Model'!$A$6:$B$38,2,FALSE)</f>
        <v>-0.45160327336373768</v>
      </c>
      <c r="J592">
        <f>($B$1+Table4[[#This Row],[Home Differential]])-Table4[[#This Row],[Away Differential]]</f>
        <v>1.4518707846391876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0.7417948901934196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0.55025965911706742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0.20922229284068078</v>
      </c>
      <c r="H593" t="s">
        <v>37</v>
      </c>
      <c r="I593">
        <f>VLOOKUP(Table4[[#This Row],[Visitor]],'NHL Model'!$A$6:$B$38,2,FALSE)</f>
        <v>0.77279348157483052</v>
      </c>
      <c r="J593">
        <f>($B$1+Table4[[#This Row],[Home Differential]])-Table4[[#This Row],[Away Differential]]</f>
        <v>-0.4886592721575001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0.58504999848123362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0.17218350376042421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4.5005056179018996E-2</v>
      </c>
      <c r="H594" t="s">
        <v>31</v>
      </c>
      <c r="I594">
        <f>VLOOKUP(Table4[[#This Row],[Visitor]],'NHL Model'!$A$6:$B$38,2,FALSE)</f>
        <v>-5.9622828283354432E-4</v>
      </c>
      <c r="J594">
        <f>($B$1+Table4[[#This Row],[Home Differential]])-Table4[[#This Row],[Away Differential]]</f>
        <v>0.12051320103850217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0.55354672314337838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0.19932052841601522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-7.602164965773138E-2</v>
      </c>
      <c r="H595" t="s">
        <v>22</v>
      </c>
      <c r="I595">
        <f>VLOOKUP(Table4[[#This Row],[Visitor]],'NHL Model'!$A$6:$B$38,2,FALSE)</f>
        <v>0.44972876941152479</v>
      </c>
      <c r="J595">
        <f>($B$1+Table4[[#This Row],[Home Differential]])-Table4[[#This Row],[Away Differential]]</f>
        <v>-0.45083850249260654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0.5179678554902335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0.23235498834068441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0.29544191342066151</v>
      </c>
      <c r="H596" t="s">
        <v>15</v>
      </c>
      <c r="I596">
        <f>VLOOKUP(Table4[[#This Row],[Visitor]],'NHL Model'!$A$6:$B$38,2,FALSE)</f>
        <v>6.6163598639307278E-2</v>
      </c>
      <c r="J596">
        <f>($B$1+Table4[[#This Row],[Home Differential]])-Table4[[#This Row],[Away Differential]]</f>
        <v>0.30419023135800388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0.51840413175998101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0.23193458030585773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-0.90940046726085955</v>
      </c>
      <c r="H597" t="s">
        <v>29</v>
      </c>
      <c r="I597">
        <f>VLOOKUP(Table4[[#This Row],[Visitor]],'NHL Model'!$A$6:$B$38,2,FALSE)</f>
        <v>-0.29605365356197477</v>
      </c>
      <c r="J597">
        <f>($B$1+Table4[[#This Row],[Home Differential]])-Table4[[#This Row],[Away Differential]]</f>
        <v>-0.53843489712223513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0.52052472608140232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0.27094599046211892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-1.7306849519822837E-2</v>
      </c>
      <c r="H598" t="s">
        <v>36</v>
      </c>
      <c r="I598">
        <f>VLOOKUP(Table4[[#This Row],[Visitor]],'NHL Model'!$A$6:$B$38,2,FALSE)</f>
        <v>6.3057484159014243E-2</v>
      </c>
      <c r="J598">
        <f>($B$1+Table4[[#This Row],[Home Differential]])-Table4[[#This Row],[Away Differential]]</f>
        <v>-5.4524171021874401E-3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0.47000065380781803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0.22090061457977642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-0.46815423657711264</v>
      </c>
      <c r="H599" t="s">
        <v>33</v>
      </c>
      <c r="I599">
        <f>VLOOKUP(Table4[[#This Row],[Visitor]],'NHL Model'!$A$6:$B$38,2,FALSE)</f>
        <v>-0.21695959508717547</v>
      </c>
      <c r="J599">
        <f>($B$1+Table4[[#This Row],[Home Differential]])-Table4[[#This Row],[Away Differential]]</f>
        <v>-0.17628272491328753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0.48710541822832948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0.26306085201073687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0.21230765705109297</v>
      </c>
      <c r="H600" t="s">
        <v>12</v>
      </c>
      <c r="I600">
        <f>VLOOKUP(Table4[[#This Row],[Visitor]],'NHL Model'!$A$6:$B$38,2,FALSE)</f>
        <v>1.8116689824371455</v>
      </c>
      <c r="J600">
        <f>($B$1+Table4[[#This Row],[Home Differential]])-Table4[[#This Row],[Away Differential]]</f>
        <v>-1.5244494088094029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0.71757974831300453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7.9761198562945862E-2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-5.6782013784997053E-2</v>
      </c>
      <c r="H601" t="s">
        <v>34</v>
      </c>
      <c r="I601">
        <f>VLOOKUP(Table4[[#This Row],[Visitor]],'NHL Model'!$A$6:$B$38,2,FALSE)</f>
        <v>0.6527374602185485</v>
      </c>
      <c r="J601">
        <f>($B$1+Table4[[#This Row],[Home Differential]])-Table4[[#This Row],[Away Differential]]</f>
        <v>-0.6346075574268959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0.60222339341326303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0.15822622874765971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-0.15682239438733669</v>
      </c>
      <c r="H602" t="s">
        <v>30</v>
      </c>
      <c r="I602">
        <f>VLOOKUP(Table4[[#This Row],[Visitor]],'NHL Model'!$A$6:$B$38,2,FALSE)</f>
        <v>0.29544191342066151</v>
      </c>
      <c r="J602">
        <f>($B$1+Table4[[#This Row],[Home Differential]])-Table4[[#This Row],[Away Differential]]</f>
        <v>-0.37735239123134856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0.53600107878643044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0.2872971564602172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-0.45160327336373768</v>
      </c>
      <c r="H603" t="s">
        <v>14</v>
      </c>
      <c r="I603">
        <f>VLOOKUP(Table4[[#This Row],[Visitor]],'NHL Model'!$A$6:$B$38,2,FALSE)</f>
        <v>3.3446447213402619E-2</v>
      </c>
      <c r="J603">
        <f>($B$1+Table4[[#This Row],[Home Differential]])-Table4[[#This Row],[Away Differential]]</f>
        <v>-0.41013780400049066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0.5133927459631149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0.23678661968131762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-8.2026557704658234E-2</v>
      </c>
      <c r="H604" t="s">
        <v>19</v>
      </c>
      <c r="I604">
        <f>VLOOKUP(Table4[[#This Row],[Visitor]],'NHL Model'!$A$6:$B$38,2,FALSE)</f>
        <v>-1.7306849519822837E-2</v>
      </c>
      <c r="J604">
        <f>($B$1+Table4[[#This Row],[Home Differential]])-Table4[[#This Row],[Away Differential]]</f>
        <v>1.0192208391814242E-2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0.57484383863797661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0.18075776154409087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-0.34471182133334621</v>
      </c>
      <c r="H605" t="s">
        <v>27</v>
      </c>
      <c r="I605">
        <f>VLOOKUP(Table4[[#This Row],[Visitor]],'NHL Model'!$A$6:$B$38,2,FALSE)</f>
        <v>0.3028174375616956</v>
      </c>
      <c r="J605">
        <f>($B$1+Table4[[#This Row],[Home Differential]])-Table4[[#This Row],[Away Differential]]</f>
        <v>-0.57261734231839223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0.54513635849166242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0.29717364934955026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0.77279348157483052</v>
      </c>
      <c r="H606" t="s">
        <v>18</v>
      </c>
      <c r="I606">
        <f>VLOOKUP(Table4[[#This Row],[Visitor]],'NHL Model'!$A$6:$B$38,2,FALSE)</f>
        <v>4.5205299343610755E-2</v>
      </c>
      <c r="J606">
        <f>($B$1+Table4[[#This Row],[Home Differential]])-Table4[[#This Row],[Away Differential]]</f>
        <v>0.80250009880786943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0.57738741931806481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0.17860139335064518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-5.9622828283354432E-4</v>
      </c>
      <c r="H607" t="s">
        <v>33</v>
      </c>
      <c r="I607">
        <f>VLOOKUP(Table4[[#This Row],[Visitor]],'NHL Model'!$A$6:$B$38,2,FALSE)</f>
        <v>-0.21695959508717547</v>
      </c>
      <c r="J607">
        <f>($B$1+Table4[[#This Row],[Home Differential]])-Table4[[#This Row],[Away Differential]]</f>
        <v>0.29127528338099157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0.60417042533726262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0.36502190285220881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0.53620748452970379</v>
      </c>
      <c r="H608" t="s">
        <v>15</v>
      </c>
      <c r="I608">
        <f>VLOOKUP(Table4[[#This Row],[Visitor]],'NHL Model'!$A$6:$B$38,2,FALSE)</f>
        <v>6.6163598639307278E-2</v>
      </c>
      <c r="J608">
        <f>($B$1+Table4[[#This Row],[Home Differential]])-Table4[[#This Row],[Away Differential]]</f>
        <v>0.54495580246704611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0.57766533138980847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0.1783665723100803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-0.31573427760518757</v>
      </c>
      <c r="H609" t="s">
        <v>21</v>
      </c>
      <c r="I609">
        <f>VLOOKUP(Table4[[#This Row],[Visitor]],'NHL Model'!$A$6:$B$38,2,FALSE)</f>
        <v>-6.5206076050157921E-2</v>
      </c>
      <c r="J609">
        <f>($B$1+Table4[[#This Row],[Home Differential]])-Table4[[#This Row],[Away Differential]]</f>
        <v>-0.17561628497838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0.44920136591873711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0.20178186714325916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1.8116689824371455</v>
      </c>
      <c r="H610" t="s">
        <v>13</v>
      </c>
      <c r="I610">
        <f>VLOOKUP(Table4[[#This Row],[Visitor]],'NHL Model'!$A$6:$B$38,2,FALSE)</f>
        <v>4.5005056179018996E-2</v>
      </c>
      <c r="J610">
        <f>($B$1+Table4[[#This Row],[Home Differential]])-Table4[[#This Row],[Away Differential]]</f>
        <v>1.8415758428347762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0.83622249025430972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2.6823072698499675E-2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0.20922229284068078</v>
      </c>
      <c r="H611" t="s">
        <v>22</v>
      </c>
      <c r="I611">
        <f>VLOOKUP(Table4[[#This Row],[Visitor]],'NHL Model'!$A$6:$B$38,2,FALSE)</f>
        <v>0.44972876941152479</v>
      </c>
      <c r="J611">
        <f>($B$1+Table4[[#This Row],[Home Differential]])-Table4[[#This Row],[Away Differential]]</f>
        <v>-0.16559455999419437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0.48513693487264714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0.23535784557762707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6.3057484159014243E-2</v>
      </c>
      <c r="H612" t="s">
        <v>28</v>
      </c>
      <c r="I612">
        <f>VLOOKUP(Table4[[#This Row],[Visitor]],'NHL Model'!$A$6:$B$38,2,FALSE)</f>
        <v>-0.15682239438733669</v>
      </c>
      <c r="J612">
        <f>($B$1+Table4[[#This Row],[Home Differential]])-Table4[[#This Row],[Away Differential]]</f>
        <v>0.29479179512300058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0.57313714015608086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0.3284861814262911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-0.34471182133334621</v>
      </c>
      <c r="H613" t="s">
        <v>38</v>
      </c>
      <c r="I613">
        <f>VLOOKUP(Table4[[#This Row],[Visitor]],'NHL Model'!$A$6:$B$38,2,FALSE)</f>
        <v>-0.46815423657711264</v>
      </c>
      <c r="J613">
        <f>($B$1+Table4[[#This Row],[Home Differential]])-Table4[[#This Row],[Away Differential]]</f>
        <v>0.19835433182041606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0.51978417475746352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0.27017558832829736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-0.90940046726085955</v>
      </c>
      <c r="H614" t="s">
        <v>23</v>
      </c>
      <c r="I614">
        <f>VLOOKUP(Table4[[#This Row],[Visitor]],'NHL Model'!$A$6:$B$38,2,FALSE)</f>
        <v>8.8679045351754957E-2</v>
      </c>
      <c r="J614">
        <f>($B$1+Table4[[#This Row],[Home Differential]])-Table4[[#This Row],[Away Differential]]</f>
        <v>-0.92316759603596488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0.56377199950436885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0.19029486841641638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0.18592042582238802</v>
      </c>
      <c r="H615" t="s">
        <v>29</v>
      </c>
      <c r="I615">
        <f>VLOOKUP(Table4[[#This Row],[Visitor]],'NHL Model'!$A$6:$B$38,2,FALSE)</f>
        <v>-0.29605365356197477</v>
      </c>
      <c r="J615">
        <f>($B$1+Table4[[#This Row],[Home Differential]])-Table4[[#This Row],[Away Differential]]</f>
        <v>0.5568859959610124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0.60259878871940475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0.36312530016609379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0.21230765705109297</v>
      </c>
      <c r="H616" t="s">
        <v>34</v>
      </c>
      <c r="I616">
        <f>VLOOKUP(Table4[[#This Row],[Visitor]],'NHL Model'!$A$6:$B$38,2,FALSE)</f>
        <v>0.6527374602185485</v>
      </c>
      <c r="J616">
        <f>($B$1+Table4[[#This Row],[Home Differential]])-Table4[[#This Row],[Away Differential]]</f>
        <v>-0.36551788659080586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0.57197539369085326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0.18320506360610006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-5.6782013784997053E-2</v>
      </c>
      <c r="H617" t="s">
        <v>17</v>
      </c>
      <c r="I617">
        <f>VLOOKUP(Table4[[#This Row],[Visitor]],'NHL Model'!$A$6:$B$38,2,FALSE)</f>
        <v>0.17499330177061237</v>
      </c>
      <c r="J617">
        <f>($B$1+Table4[[#This Row],[Home Differential]])-Table4[[#This Row],[Away Differential]]</f>
        <v>-0.15686339897895979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0.47763279888830074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0.27286749279727052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-0.45160327336373768</v>
      </c>
      <c r="H618" t="s">
        <v>30</v>
      </c>
      <c r="I618">
        <f>VLOOKUP(Table4[[#This Row],[Visitor]],'NHL Model'!$A$6:$B$38,2,FALSE)</f>
        <v>0.29544191342066151</v>
      </c>
      <c r="J618">
        <f>($B$1+Table4[[#This Row],[Home Differential]])-Table4[[#This Row],[Away Differential]]</f>
        <v>-0.6721332702077496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0.56913699187348898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0.18564293177182589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0.20922229284068078</v>
      </c>
      <c r="H619" t="s">
        <v>18</v>
      </c>
      <c r="I619">
        <f>VLOOKUP(Table4[[#This Row],[Visitor]],'NHL Model'!$A$6:$B$38,2,FALSE)</f>
        <v>4.5205299343610755E-2</v>
      </c>
      <c r="J619">
        <f>($B$1+Table4[[#This Row],[Home Differential]])-Table4[[#This Row],[Away Differential]]</f>
        <v>0.23892891007371966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0.5102236192154801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0.26032814160534323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3.3446447213402619E-2</v>
      </c>
      <c r="H620" t="s">
        <v>25</v>
      </c>
      <c r="I620">
        <f>VLOOKUP(Table4[[#This Row],[Visitor]],'NHL Model'!$A$6:$B$38,2,FALSE)</f>
        <v>0.53620748452970379</v>
      </c>
      <c r="J620">
        <f>($B$1+Table4[[#This Row],[Home Differential]])-Table4[[#This Row],[Away Differential]]</f>
        <v>-0.42784912073965153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0.56549750587515568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0.31978742915102171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-1.7306849519822837E-2</v>
      </c>
      <c r="H621" t="s">
        <v>24</v>
      </c>
      <c r="I621">
        <f>VLOOKUP(Table4[[#This Row],[Visitor]],'NHL Model'!$A$6:$B$38,2,FALSE)</f>
        <v>-7.602164965773138E-2</v>
      </c>
      <c r="J621">
        <f>($B$1+Table4[[#This Row],[Home Differential]])-Table4[[#This Row],[Away Differential]]</f>
        <v>0.13362671671455817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0.54563304029872561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0.2064493340681795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-0.46815423657711264</v>
      </c>
      <c r="H622" t="s">
        <v>27</v>
      </c>
      <c r="I622">
        <f>VLOOKUP(Table4[[#This Row],[Visitor]],'NHL Model'!$A$6:$B$38,2,FALSE)</f>
        <v>0.3028174375616956</v>
      </c>
      <c r="J622">
        <f>($B$1+Table4[[#This Row],[Home Differential]])-Table4[[#This Row],[Away Differential]]</f>
        <v>-0.69605975756215854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0.55901235057424759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0.19447010694605033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-5.9622828283354432E-4</v>
      </c>
      <c r="H623" t="s">
        <v>37</v>
      </c>
      <c r="I623">
        <f>VLOOKUP(Table4[[#This Row],[Visitor]],'NHL Model'!$A$6:$B$38,2,FALSE)</f>
        <v>0.77279348157483052</v>
      </c>
      <c r="J623">
        <f>($B$1+Table4[[#This Row],[Home Differential]])-Table4[[#This Row],[Away Differential]]</f>
        <v>-0.69847779328101445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0.570279633756128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O623">
        <v>-0.69847779328101445</v>
      </c>
      <c r="P623" s="11">
        <v>0.570279633756128</v>
      </c>
      <c r="Q623" t="s">
        <v>37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-0.15682239438733669</v>
      </c>
      <c r="H624" t="s">
        <v>24</v>
      </c>
      <c r="I624">
        <f>VLOOKUP(Table4[[#This Row],[Visitor]],'NHL Model'!$A$6:$B$38,2,FALSE)</f>
        <v>-7.602164965773138E-2</v>
      </c>
      <c r="J624">
        <f>($B$1+Table4[[#This Row],[Home Differential]])-Table4[[#This Row],[Away Differential]]</f>
        <v>-5.8888281529556746E-3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0.48143118584087086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O624">
        <v>-5.8888281529556746E-3</v>
      </c>
      <c r="P624" s="11">
        <v>0.48143118584087086</v>
      </c>
      <c r="Q624" t="s">
        <v>24</v>
      </c>
    </row>
    <row r="625" spans="4:17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-0.31573427760518757</v>
      </c>
      <c r="H625" t="s">
        <v>27</v>
      </c>
      <c r="I625">
        <f>VLOOKUP(Table4[[#This Row],[Visitor]],'NHL Model'!$A$6:$B$38,2,FALSE)</f>
        <v>0.3028174375616956</v>
      </c>
      <c r="J625">
        <f>($B$1+Table4[[#This Row],[Home Differential]])-Table4[[#This Row],[Away Differential]]</f>
        <v>-0.54363979859023348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0.51110980189523791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O625">
        <v>-0.54363979859023348</v>
      </c>
      <c r="P625" s="11">
        <v>0.51110980189523791</v>
      </c>
      <c r="Q625" t="s">
        <v>27</v>
      </c>
    </row>
    <row r="626" spans="4:17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1.8116689824371455</v>
      </c>
      <c r="H626" t="s">
        <v>35</v>
      </c>
      <c r="I626">
        <f>VLOOKUP(Table4[[#This Row],[Visitor]],'NHL Model'!$A$6:$B$38,2,FALSE)</f>
        <v>-0.90940046726085955</v>
      </c>
      <c r="J626">
        <f>($B$1+Table4[[#This Row],[Home Differential]])-Table4[[#This Row],[Away Differential]]</f>
        <v>2.7959813662746544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0.97327100225532004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O626">
        <v>2.7959813662746544</v>
      </c>
      <c r="P626" s="11">
        <v>0.97327100225532004</v>
      </c>
      <c r="Q626" t="s">
        <v>12</v>
      </c>
    </row>
    <row r="627" spans="4:17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0.92535559469880035</v>
      </c>
      <c r="H627" t="s">
        <v>23</v>
      </c>
      <c r="I627">
        <f>VLOOKUP(Table4[[#This Row],[Visitor]],'NHL Model'!$A$6:$B$38,2,FALSE)</f>
        <v>8.8679045351754957E-2</v>
      </c>
      <c r="J627">
        <f>($B$1+Table4[[#This Row],[Home Differential]])-Table4[[#This Row],[Away Differential]]</f>
        <v>0.91158846592369502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0.6810624979921458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O627">
        <v>0.91158846592369502</v>
      </c>
      <c r="P627" s="11">
        <v>0.6810624979921458</v>
      </c>
      <c r="Q627" t="s">
        <v>39</v>
      </c>
    </row>
    <row r="628" spans="4:17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-8.2026557704658234E-2</v>
      </c>
      <c r="H628" t="s">
        <v>40</v>
      </c>
      <c r="I628">
        <f>VLOOKUP(Table4[[#This Row],[Visitor]],'NHL Model'!$A$6:$B$38,2,FALSE)</f>
        <v>-5.6782013784997053E-2</v>
      </c>
      <c r="J628">
        <f>($B$1+Table4[[#This Row],[Home Differential]])-Table4[[#This Row],[Away Differential]]</f>
        <v>4.9667372656988458E-2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0.57928118754856484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O628">
        <v>4.9667372656988458E-2</v>
      </c>
      <c r="P628" s="11">
        <v>0.57928118754856484</v>
      </c>
      <c r="Q628" t="s">
        <v>26</v>
      </c>
    </row>
    <row r="629" spans="4:17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0.17499330177061237</v>
      </c>
      <c r="H629" t="s">
        <v>21</v>
      </c>
      <c r="I629">
        <f>VLOOKUP(Table4[[#This Row],[Visitor]],'NHL Model'!$A$6:$B$38,2,FALSE)</f>
        <v>-6.5206076050157921E-2</v>
      </c>
      <c r="J629">
        <f>($B$1+Table4[[#This Row],[Home Differential]])-Table4[[#This Row],[Away Differential]]</f>
        <v>0.31511129439741992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0.61145809347621449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O629">
        <v>0.31511129439741992</v>
      </c>
      <c r="P629" s="11">
        <v>0.61145809347621449</v>
      </c>
      <c r="Q629" t="s">
        <v>17</v>
      </c>
    </row>
    <row r="630" spans="4:17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-0.21695959508717547</v>
      </c>
      <c r="H630" t="s">
        <v>34</v>
      </c>
      <c r="I630">
        <f>VLOOKUP(Table4[[#This Row],[Visitor]],'NHL Model'!$A$6:$B$38,2,FALSE)</f>
        <v>0.6527374602185485</v>
      </c>
      <c r="J630">
        <f>($B$1+Table4[[#This Row],[Home Differential]])-Table4[[#This Row],[Away Differential]]</f>
        <v>-0.7947851387290743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0.620228734977324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O630">
        <v>-0.7947851387290743</v>
      </c>
      <c r="P630" s="11">
        <v>0.620228734977324</v>
      </c>
      <c r="Q630" t="s">
        <v>34</v>
      </c>
    </row>
    <row r="631" spans="4:17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0.21230765705109297</v>
      </c>
      <c r="H631" t="s">
        <v>29</v>
      </c>
      <c r="I631">
        <f>VLOOKUP(Table4[[#This Row],[Visitor]],'NHL Model'!$A$6:$B$38,2,FALSE)</f>
        <v>-0.29605365356197477</v>
      </c>
      <c r="J631">
        <f>($B$1+Table4[[#This Row],[Home Differential]])-Table4[[#This Row],[Away Differential]]</f>
        <v>0.58327322718971741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0.60556494108192782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O631">
        <v>0.58327322718971741</v>
      </c>
      <c r="P631" s="11">
        <v>0.60556494108192782</v>
      </c>
      <c r="Q631" t="s">
        <v>20</v>
      </c>
    </row>
    <row r="632" spans="4:17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0.44972876941152479</v>
      </c>
      <c r="H632" t="s">
        <v>15</v>
      </c>
      <c r="I632">
        <f>VLOOKUP(Table4[[#This Row],[Visitor]],'NHL Model'!$A$6:$B$38,2,FALSE)</f>
        <v>6.6163598639307278E-2</v>
      </c>
      <c r="J632">
        <f>($B$1+Table4[[#This Row],[Home Differential]])-Table4[[#This Row],[Away Differential]]</f>
        <v>0.45847708734886722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0.52620844847327219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O632">
        <v>0.45847708734886722</v>
      </c>
      <c r="P632" s="11">
        <v>0.52620844847327219</v>
      </c>
      <c r="Q632" t="s">
        <v>22</v>
      </c>
    </row>
    <row r="633" spans="4:17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0.53620748452970379</v>
      </c>
      <c r="H633" t="s">
        <v>18</v>
      </c>
      <c r="I633">
        <f>VLOOKUP(Table4[[#This Row],[Visitor]],'NHL Model'!$A$6:$B$38,2,FALSE)</f>
        <v>4.5205299343610755E-2</v>
      </c>
      <c r="J633">
        <f>($B$1+Table4[[#This Row],[Home Differential]])-Table4[[#This Row],[Away Differential]]</f>
        <v>0.56591410176274271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0.59252154858516604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7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-0.45160327336373768</v>
      </c>
      <c r="H634" t="s">
        <v>39</v>
      </c>
      <c r="I634">
        <f>VLOOKUP(Table4[[#This Row],[Visitor]],'NHL Model'!$A$6:$B$38,2,FALSE)</f>
        <v>0.92535559469880035</v>
      </c>
      <c r="J634">
        <f>($B$1+Table4[[#This Row],[Home Differential]])-Table4[[#This Row],[Away Differential]]</f>
        <v>-1.3020469514858883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0.69257979403574566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7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4.5005056179018996E-2</v>
      </c>
      <c r="H635" t="s">
        <v>37</v>
      </c>
      <c r="I635">
        <f>VLOOKUP(Table4[[#This Row],[Visitor]],'NHL Model'!$A$6:$B$38,2,FALSE)</f>
        <v>0.77279348157483052</v>
      </c>
      <c r="J635">
        <f>($B$1+Table4[[#This Row],[Home Differential]])-Table4[[#This Row],[Away Differential]]</f>
        <v>-0.65287650881916193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0.60427698110737627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7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0.29544191342066151</v>
      </c>
      <c r="H636" t="s">
        <v>55</v>
      </c>
      <c r="I636">
        <f>VLOOKUP(Table4[[#This Row],[Visitor]],'NHL Model'!$A$6:$B$38,2,FALSE)</f>
        <v>0.18592042582238802</v>
      </c>
      <c r="J636">
        <f>($B$1+Table4[[#This Row],[Home Differential]])-Table4[[#This Row],[Away Differential]]</f>
        <v>0.18443340417492313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0.57474852574400181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7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6.3057484159014243E-2</v>
      </c>
      <c r="H637" t="s">
        <v>22</v>
      </c>
      <c r="I637">
        <f>VLOOKUP(Table4[[#This Row],[Visitor]],'NHL Model'!$A$6:$B$38,2,FALSE)</f>
        <v>0.44972876941152479</v>
      </c>
      <c r="J637">
        <f>($B$1+Table4[[#This Row],[Home Differential]])-Table4[[#This Row],[Away Differential]]</f>
        <v>-0.3117593686758609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0.50233416138369003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7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3.3446447213402619E-2</v>
      </c>
      <c r="H638" t="s">
        <v>26</v>
      </c>
      <c r="I638">
        <f>VLOOKUP(Table4[[#This Row],[Visitor]],'NHL Model'!$A$6:$B$38,2,FALSE)</f>
        <v>-8.2026557704658234E-2</v>
      </c>
      <c r="J638">
        <f>($B$1+Table4[[#This Row],[Home Differential]])-Table4[[#This Row],[Away Differential]]</f>
        <v>0.19038492149471048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0.52781749152279556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7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-0.34471182133334621</v>
      </c>
      <c r="H639" t="s">
        <v>29</v>
      </c>
      <c r="I639">
        <f>VLOOKUP(Table4[[#This Row],[Visitor]],'NHL Model'!$A$6:$B$38,2,FALSE)</f>
        <v>-0.29605365356197477</v>
      </c>
      <c r="J639">
        <f>($B$1+Table4[[#This Row],[Home Differential]])-Table4[[#This Row],[Away Differential]]</f>
        <v>2.6253748805278199E-2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0.54295114778693232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7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-1.7306849519822837E-2</v>
      </c>
      <c r="H640" t="s">
        <v>40</v>
      </c>
      <c r="I640">
        <f>VLOOKUP(Table4[[#This Row],[Visitor]],'NHL Model'!$A$6:$B$38,2,FALSE)</f>
        <v>-5.6782013784997053E-2</v>
      </c>
      <c r="J640">
        <f>($B$1+Table4[[#This Row],[Home Differential]])-Table4[[#This Row],[Away Differential]]</f>
        <v>0.11438708084182386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0.56417276785161485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-5.9622828283354432E-4</v>
      </c>
      <c r="H641" t="s">
        <v>34</v>
      </c>
      <c r="I641">
        <f>VLOOKUP(Table4[[#This Row],[Visitor]],'NHL Model'!$A$6:$B$38,2,FALSE)</f>
        <v>0.6527374602185485</v>
      </c>
      <c r="J641">
        <f>($B$1+Table4[[#This Row],[Home Differential]])-Table4[[#This Row],[Away Differential]]</f>
        <v>-0.57842177192473243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0.55678430155190362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0.20922229284068078</v>
      </c>
      <c r="H642" t="s">
        <v>15</v>
      </c>
      <c r="I642">
        <f>VLOOKUP(Table4[[#This Row],[Visitor]],'NHL Model'!$A$6:$B$38,2,FALSE)</f>
        <v>6.6163598639307278E-2</v>
      </c>
      <c r="J642">
        <f>($B$1+Table4[[#This Row],[Home Differential]])-Table4[[#This Row],[Away Differential]]</f>
        <v>0.21797061077802315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0.49536791823608395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-0.90940046726085955</v>
      </c>
      <c r="H643" t="s">
        <v>20</v>
      </c>
      <c r="I643">
        <f>VLOOKUP(Table4[[#This Row],[Visitor]],'NHL Model'!$A$6:$B$38,2,FALSE)</f>
        <v>0.21230765705109297</v>
      </c>
      <c r="J643">
        <f>($B$1+Table4[[#This Row],[Home Differential]])-Table4[[#This Row],[Away Differential]]</f>
        <v>-1.0467962077353028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0.5984381524436122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-0.46815423657711264</v>
      </c>
      <c r="H644" t="s">
        <v>32</v>
      </c>
      <c r="I644">
        <f>VLOOKUP(Table4[[#This Row],[Visitor]],'NHL Model'!$A$6:$B$38,2,FALSE)</f>
        <v>-0.34471182133334621</v>
      </c>
      <c r="J644">
        <f>($B$1+Table4[[#This Row],[Home Differential]])-Table4[[#This Row],[Away Differential]]</f>
        <v>-4.8530498667116784E-2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0.46545524659363652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0.53620748452970379</v>
      </c>
      <c r="H645" t="s">
        <v>12</v>
      </c>
      <c r="I645">
        <f>VLOOKUP(Table4[[#This Row],[Visitor]],'NHL Model'!$A$6:$B$38,2,FALSE)</f>
        <v>1.8116689824371455</v>
      </c>
      <c r="J645">
        <f>($B$1+Table4[[#This Row],[Home Differential]])-Table4[[#This Row],[Away Differential]]</f>
        <v>-1.200549581330792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0.63495212688766822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-0.15682239438733669</v>
      </c>
      <c r="H646" t="s">
        <v>23</v>
      </c>
      <c r="I646">
        <f>VLOOKUP(Table4[[#This Row],[Visitor]],'NHL Model'!$A$6:$B$38,2,FALSE)</f>
        <v>8.8679045351754957E-2</v>
      </c>
      <c r="J646">
        <f>($B$1+Table4[[#This Row],[Home Differential]])-Table4[[#This Row],[Away Differential]]</f>
        <v>-0.17058952316244202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0.47917573362526666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-0.31573427760518757</v>
      </c>
      <c r="H647" t="s">
        <v>29</v>
      </c>
      <c r="I647">
        <f>VLOOKUP(Table4[[#This Row],[Visitor]],'NHL Model'!$A$6:$B$38,2,FALSE)</f>
        <v>-0.29605365356197477</v>
      </c>
      <c r="J647">
        <f>($B$1+Table4[[#This Row],[Home Differential]])-Table4[[#This Row],[Away Differential]]</f>
        <v>5.5231292533436838E-2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0.57674789270126303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-8.2026557704658234E-2</v>
      </c>
      <c r="H648" t="s">
        <v>14</v>
      </c>
      <c r="I648">
        <f>VLOOKUP(Table4[[#This Row],[Visitor]],'NHL Model'!$A$6:$B$38,2,FALSE)</f>
        <v>3.3446447213402619E-2</v>
      </c>
      <c r="J648">
        <f>($B$1+Table4[[#This Row],[Home Differential]])-Table4[[#This Row],[Away Differential]]</f>
        <v>-4.0561088341411214E-2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0.43804565467424428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0.17499330177061237</v>
      </c>
      <c r="H649" t="s">
        <v>27</v>
      </c>
      <c r="I649">
        <f>VLOOKUP(Table4[[#This Row],[Visitor]],'NHL Model'!$A$6:$B$38,2,FALSE)</f>
        <v>0.3028174375616956</v>
      </c>
      <c r="J649">
        <f>($B$1+Table4[[#This Row],[Home Differential]])-Table4[[#This Row],[Away Differential]]</f>
        <v>-5.2912219214433592E-2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0.450392234217041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4.5005056179018996E-2</v>
      </c>
      <c r="H650" t="s">
        <v>34</v>
      </c>
      <c r="I650">
        <f>VLOOKUP(Table4[[#This Row],[Visitor]],'NHL Model'!$A$6:$B$38,2,FALSE)</f>
        <v>0.6527374602185485</v>
      </c>
      <c r="J650">
        <f>($B$1+Table4[[#This Row],[Home Differential]])-Table4[[#This Row],[Away Differential]]</f>
        <v>-0.53282048746287991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0.59078164890315188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-7.602164965773138E-2</v>
      </c>
      <c r="H651" t="s">
        <v>55</v>
      </c>
      <c r="I651">
        <f>VLOOKUP(Table4[[#This Row],[Visitor]],'NHL Model'!$A$6:$B$38,2,FALSE)</f>
        <v>0.18592042582238802</v>
      </c>
      <c r="J651">
        <f>($B$1+Table4[[#This Row],[Home Differential]])-Table4[[#This Row],[Away Differential]]</f>
        <v>-0.18703015890346975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0.48102380287216751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0.29544191342066151</v>
      </c>
      <c r="H652" t="s">
        <v>19</v>
      </c>
      <c r="I652">
        <f>VLOOKUP(Table4[[#This Row],[Visitor]],'NHL Model'!$A$6:$B$38,2,FALSE)</f>
        <v>-1.7306849519822837E-2</v>
      </c>
      <c r="J652">
        <f>($B$1+Table4[[#This Row],[Home Differential]])-Table4[[#This Row],[Away Differential]]</f>
        <v>0.38766067951713401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0.59759302419330029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6.3057484159014243E-2</v>
      </c>
      <c r="H653" t="s">
        <v>40</v>
      </c>
      <c r="I653">
        <f>VLOOKUP(Table4[[#This Row],[Visitor]],'NHL Model'!$A$6:$B$38,2,FALSE)</f>
        <v>-5.6782013784997053E-2</v>
      </c>
      <c r="J653">
        <f>($B$1+Table4[[#This Row],[Home Differential]])-Table4[[#This Row],[Away Differential]]</f>
        <v>0.19475141452066094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0.56189173859426267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-0.21695959508717547</v>
      </c>
      <c r="H654" t="s">
        <v>37</v>
      </c>
      <c r="I654">
        <f>VLOOKUP(Table4[[#This Row],[Visitor]],'NHL Model'!$A$6:$B$38,2,FALSE)</f>
        <v>0.77279348157483052</v>
      </c>
      <c r="J654">
        <f>($B$1+Table4[[#This Row],[Home Differential]])-Table4[[#This Row],[Away Differential]]</f>
        <v>-0.91484116008535632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0.6337240671815485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-0.90940046726085955</v>
      </c>
      <c r="H655" t="s">
        <v>18</v>
      </c>
      <c r="I655">
        <f>VLOOKUP(Table4[[#This Row],[Visitor]],'NHL Model'!$A$6:$B$38,2,FALSE)</f>
        <v>4.5205299343610755E-2</v>
      </c>
      <c r="J655">
        <f>($B$1+Table4[[#This Row],[Home Differential]])-Table4[[#This Row],[Away Differential]]</f>
        <v>-0.87969385002782063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0.61628875030908281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-0.46815423657711264</v>
      </c>
      <c r="H656" t="s">
        <v>21</v>
      </c>
      <c r="I656">
        <f>VLOOKUP(Table4[[#This Row],[Visitor]],'NHL Model'!$A$6:$B$38,2,FALSE)</f>
        <v>-6.5206076050157921E-2</v>
      </c>
      <c r="J656">
        <f>($B$1+Table4[[#This Row],[Home Differential]])-Table4[[#This Row],[Away Differential]]</f>
        <v>-0.32803624395030506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0.49687410291565293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0.44972876941152479</v>
      </c>
      <c r="H657" t="s">
        <v>10</v>
      </c>
      <c r="I657">
        <f>VLOOKUP(Table4[[#This Row],[Visitor]],'NHL Model'!$A$6:$B$38,2,FALSE)</f>
        <v>-0.45160327336373768</v>
      </c>
      <c r="J657">
        <f>($B$1+Table4[[#This Row],[Home Differential]])-Table4[[#This Row],[Away Differential]]</f>
        <v>0.97624395935191211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0.65429269593515438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-0.15682239438733669</v>
      </c>
      <c r="H658" t="s">
        <v>14</v>
      </c>
      <c r="I658">
        <f>VLOOKUP(Table4[[#This Row],[Visitor]],'NHL Model'!$A$6:$B$38,2,FALSE)</f>
        <v>3.3446447213402619E-2</v>
      </c>
      <c r="J658">
        <f>($B$1+Table4[[#This Row],[Home Differential]])-Table4[[#This Row],[Away Differential]]</f>
        <v>-0.11535692502408967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0.48025683287605636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-0.45160327336373768</v>
      </c>
      <c r="H659" t="s">
        <v>20</v>
      </c>
      <c r="I659">
        <f>VLOOKUP(Table4[[#This Row],[Visitor]],'NHL Model'!$A$6:$B$38,2,FALSE)</f>
        <v>0.21230765705109297</v>
      </c>
      <c r="J659">
        <f>($B$1+Table4[[#This Row],[Home Differential]])-Table4[[#This Row],[Away Differential]]</f>
        <v>-0.58899901383818098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0.54697779965156856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0.92535559469880035</v>
      </c>
      <c r="H660" t="s">
        <v>18</v>
      </c>
      <c r="I660">
        <f>VLOOKUP(Table4[[#This Row],[Visitor]],'NHL Model'!$A$6:$B$38,2,FALSE)</f>
        <v>4.5205299343610755E-2</v>
      </c>
      <c r="J660">
        <f>($B$1+Table4[[#This Row],[Home Differential]])-Table4[[#This Row],[Away Differential]]</f>
        <v>0.95506221193183927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0.62909635983581447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0.20922229284068078</v>
      </c>
      <c r="H661" t="s">
        <v>12</v>
      </c>
      <c r="I661">
        <f>VLOOKUP(Table4[[#This Row],[Visitor]],'NHL Model'!$A$6:$B$38,2,FALSE)</f>
        <v>1.8116689824371455</v>
      </c>
      <c r="J661">
        <f>($B$1+Table4[[#This Row],[Home Differential]])-Table4[[#This Row],[Away Differential]]</f>
        <v>-1.527534773019815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0.71716262791906793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-7.602164965773138E-2</v>
      </c>
      <c r="H662" t="s">
        <v>25</v>
      </c>
      <c r="I662">
        <f>VLOOKUP(Table4[[#This Row],[Visitor]],'NHL Model'!$A$6:$B$38,2,FALSE)</f>
        <v>0.53620748452970379</v>
      </c>
      <c r="J662">
        <f>($B$1+Table4[[#This Row],[Home Differential]])-Table4[[#This Row],[Away Differential]]</f>
        <v>-0.53731721761078555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0.57780266405340375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-0.31573427760518757</v>
      </c>
      <c r="H663" t="s">
        <v>32</v>
      </c>
      <c r="I663">
        <f>VLOOKUP(Table4[[#This Row],[Visitor]],'NHL Model'!$A$6:$B$38,2,FALSE)</f>
        <v>-0.34471182133334621</v>
      </c>
      <c r="J663">
        <f>($B$1+Table4[[#This Row],[Home Differential]])-Table4[[#This Row],[Away Differential]]</f>
        <v>0.10388946030480828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0.58221749040327941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4.5005056179018996E-2</v>
      </c>
      <c r="H664" t="s">
        <v>34</v>
      </c>
      <c r="I664">
        <f>VLOOKUP(Table4[[#This Row],[Visitor]],'NHL Model'!$A$6:$B$38,2,FALSE)</f>
        <v>0.6527374602185485</v>
      </c>
      <c r="J664">
        <f>($B$1+Table4[[#This Row],[Home Differential]])-Table4[[#This Row],[Away Differential]]</f>
        <v>-0.53282048746287991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0.59078164890315188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6.6163598639307278E-2</v>
      </c>
      <c r="H665" t="s">
        <v>55</v>
      </c>
      <c r="I665">
        <f>VLOOKUP(Table4[[#This Row],[Visitor]],'NHL Model'!$A$6:$B$38,2,FALSE)</f>
        <v>0.18592042582238802</v>
      </c>
      <c r="J665">
        <f>($B$1+Table4[[#This Row],[Home Differential]])-Table4[[#This Row],[Away Differential]]</f>
        <v>-4.4844910606431115E-2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0.46504095470985612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6.3057484159014243E-2</v>
      </c>
      <c r="H666" t="s">
        <v>26</v>
      </c>
      <c r="I666">
        <f>VLOOKUP(Table4[[#This Row],[Visitor]],'NHL Model'!$A$6:$B$38,2,FALSE)</f>
        <v>-8.2026557704658234E-2</v>
      </c>
      <c r="J666">
        <f>($B$1+Table4[[#This Row],[Home Differential]])-Table4[[#This Row],[Away Differential]]</f>
        <v>0.2199959584403221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0.53114602745109107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0.44972876941152479</v>
      </c>
      <c r="H667" t="s">
        <v>31</v>
      </c>
      <c r="I667">
        <f>VLOOKUP(Table4[[#This Row],[Visitor]],'NHL Model'!$A$6:$B$38,2,FALSE)</f>
        <v>-5.9622828283354432E-4</v>
      </c>
      <c r="J667">
        <f>($B$1+Table4[[#This Row],[Home Differential]])-Table4[[#This Row],[Away Differential]]</f>
        <v>0.52523691427100805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0.60359561443059617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8.8679045351754957E-2</v>
      </c>
      <c r="H668" t="s">
        <v>38</v>
      </c>
      <c r="I668">
        <f>VLOOKUP(Table4[[#This Row],[Visitor]],'NHL Model'!$A$6:$B$38,2,FALSE)</f>
        <v>-0.46815423657711264</v>
      </c>
      <c r="J668">
        <f>($B$1+Table4[[#This Row],[Home Differential]])-Table4[[#This Row],[Away Differential]]</f>
        <v>0.63174519850551725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0.6075989745501752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0.53620748452970379</v>
      </c>
      <c r="H669" t="s">
        <v>39</v>
      </c>
      <c r="I669">
        <f>VLOOKUP(Table4[[#This Row],[Visitor]],'NHL Model'!$A$6:$B$38,2,FALSE)</f>
        <v>0.92535559469880035</v>
      </c>
      <c r="J669">
        <f>($B$1+Table4[[#This Row],[Home Differential]])-Table4[[#This Row],[Away Differential]]</f>
        <v>-0.31423619359244692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0.53532285823912273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0.17499330177061237</v>
      </c>
      <c r="H670" t="s">
        <v>29</v>
      </c>
      <c r="I670">
        <f>VLOOKUP(Table4[[#This Row],[Visitor]],'NHL Model'!$A$6:$B$38,2,FALSE)</f>
        <v>-0.29605365356197477</v>
      </c>
      <c r="J670">
        <f>($B$1+Table4[[#This Row],[Home Differential]])-Table4[[#This Row],[Away Differential]]</f>
        <v>0.54595887190923675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0.63740735209621446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0.29544191342066151</v>
      </c>
      <c r="H671" t="s">
        <v>24</v>
      </c>
      <c r="I671">
        <f>VLOOKUP(Table4[[#This Row],[Visitor]],'NHL Model'!$A$6:$B$38,2,FALSE)</f>
        <v>-7.602164965773138E-2</v>
      </c>
      <c r="J671">
        <f>($B$1+Table4[[#This Row],[Home Differential]])-Table4[[#This Row],[Away Differential]]</f>
        <v>0.44637547965504254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0.58350978693983635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0.3028174375616956</v>
      </c>
      <c r="H672" t="s">
        <v>31</v>
      </c>
      <c r="I672">
        <f>VLOOKUP(Table4[[#This Row],[Visitor]],'NHL Model'!$A$6:$B$38,2,FALSE)</f>
        <v>-5.9622828283354432E-4</v>
      </c>
      <c r="J672">
        <f>($B$1+Table4[[#This Row],[Home Differential]])-Table4[[#This Row],[Away Differential]]</f>
        <v>0.37832558242117881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0.58708151371760631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-0.34471182133334621</v>
      </c>
      <c r="H673" t="s">
        <v>21</v>
      </c>
      <c r="I673">
        <f>VLOOKUP(Table4[[#This Row],[Visitor]],'NHL Model'!$A$6:$B$38,2,FALSE)</f>
        <v>-6.5206076050157921E-2</v>
      </c>
      <c r="J673">
        <f>($B$1+Table4[[#This Row],[Home Differential]])-Table4[[#This Row],[Away Differential]]</f>
        <v>-0.20459382870653864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0.48299811083306776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-0.21695959508717547</v>
      </c>
      <c r="H674" t="s">
        <v>28</v>
      </c>
      <c r="I674">
        <f>VLOOKUP(Table4[[#This Row],[Visitor]],'NHL Model'!$A$6:$B$38,2,FALSE)</f>
        <v>-0.15682239438733669</v>
      </c>
      <c r="J674">
        <f>($B$1+Table4[[#This Row],[Home Differential]])-Table4[[#This Row],[Away Differential]]</f>
        <v>1.4774715876810868E-2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0.54166080548670592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0.77279348157483052</v>
      </c>
      <c r="H675" t="s">
        <v>12</v>
      </c>
      <c r="I675">
        <f>VLOOKUP(Table4[[#This Row],[Visitor]],'NHL Model'!$A$6:$B$38,2,FALSE)</f>
        <v>1.8116689824371455</v>
      </c>
      <c r="J675">
        <f>($B$1+Table4[[#This Row],[Home Differential]])-Table4[[#This Row],[Away Differential]]</f>
        <v>-0.96396358428566531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0.65002448708871774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-1.7306849519822837E-2</v>
      </c>
      <c r="H676" t="s">
        <v>11</v>
      </c>
      <c r="I676">
        <f>VLOOKUP(Table4[[#This Row],[Visitor]],'NHL Model'!$A$6:$B$38,2,FALSE)</f>
        <v>0.20922229284068078</v>
      </c>
      <c r="J676">
        <f>($B$1+Table4[[#This Row],[Home Differential]])-Table4[[#This Row],[Away Differential]]</f>
        <v>-0.15161722578385398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0.50253121042547344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-5.6782013784997053E-2</v>
      </c>
      <c r="H677" t="s">
        <v>20</v>
      </c>
      <c r="I677">
        <f>VLOOKUP(Table4[[#This Row],[Visitor]],'NHL Model'!$A$6:$B$38,2,FALSE)</f>
        <v>0.21230765705109297</v>
      </c>
      <c r="J677">
        <f>($B$1+Table4[[#This Row],[Home Differential]])-Table4[[#This Row],[Away Differential]]</f>
        <v>-0.19417775425944039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0.50259648500269183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-0.45160327336373768</v>
      </c>
      <c r="H678" t="s">
        <v>35</v>
      </c>
      <c r="I678">
        <f>VLOOKUP(Table4[[#This Row],[Visitor]],'NHL Model'!$A$6:$B$38,2,FALSE)</f>
        <v>-0.90940046726085955</v>
      </c>
      <c r="J678">
        <f>($B$1+Table4[[#This Row],[Home Differential]])-Table4[[#This Row],[Away Differential]]</f>
        <v>0.53270911047377156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0.59988109828099234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4.5005056179018996E-2</v>
      </c>
      <c r="H679" t="s">
        <v>33</v>
      </c>
      <c r="I679">
        <f>VLOOKUP(Table4[[#This Row],[Visitor]],'NHL Model'!$A$6:$B$38,2,FALSE)</f>
        <v>-0.21695959508717547</v>
      </c>
      <c r="J679">
        <f>($B$1+Table4[[#This Row],[Home Differential]])-Table4[[#This Row],[Away Differential]]</f>
        <v>0.33687656784284409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0.57057811193695263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4.5205299343610755E-2</v>
      </c>
      <c r="H680" t="s">
        <v>16</v>
      </c>
      <c r="I680">
        <f>VLOOKUP(Table4[[#This Row],[Visitor]],'NHL Model'!$A$6:$B$38,2,FALSE)</f>
        <v>-0.31573427760518757</v>
      </c>
      <c r="J680">
        <f>($B$1+Table4[[#This Row],[Home Differential]])-Table4[[#This Row],[Away Differential]]</f>
        <v>0.43585149352544794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0.58899346680311682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0.18592042582238802</v>
      </c>
      <c r="H681" t="s">
        <v>36</v>
      </c>
      <c r="I681">
        <f>VLOOKUP(Table4[[#This Row],[Visitor]],'NHL Model'!$A$6:$B$38,2,FALSE)</f>
        <v>6.3057484159014243E-2</v>
      </c>
      <c r="J681">
        <f>($B$1+Table4[[#This Row],[Home Differential]])-Table4[[#This Row],[Away Differential]]</f>
        <v>0.19777485824002339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0.54146236897429056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0.44972876941152479</v>
      </c>
      <c r="H682" t="s">
        <v>39</v>
      </c>
      <c r="I682">
        <f>VLOOKUP(Table4[[#This Row],[Visitor]],'NHL Model'!$A$6:$B$38,2,FALSE)</f>
        <v>0.92535559469880035</v>
      </c>
      <c r="J682">
        <f>($B$1+Table4[[#This Row],[Home Differential]])-Table4[[#This Row],[Away Differential]]</f>
        <v>-0.40071490871062587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0.58671047830679302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-6.5206076050157921E-2</v>
      </c>
      <c r="H683" t="s">
        <v>16</v>
      </c>
      <c r="I683">
        <f>VLOOKUP(Table4[[#This Row],[Visitor]],'NHL Model'!$A$6:$B$38,2,FALSE)</f>
        <v>-0.31573427760518757</v>
      </c>
      <c r="J683">
        <f>($B$1+Table4[[#This Row],[Home Differential]])-Table4[[#This Row],[Away Differential]]</f>
        <v>0.32544011813167928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0.59059889648238628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0.53620748452970379</v>
      </c>
      <c r="H684" t="s">
        <v>31</v>
      </c>
      <c r="I684">
        <f>VLOOKUP(Table4[[#This Row],[Visitor]],'NHL Model'!$A$6:$B$38,2,FALSE)</f>
        <v>-5.9622828283354432E-4</v>
      </c>
      <c r="J684">
        <f>($B$1+Table4[[#This Row],[Home Differential]])-Table4[[#This Row],[Away Differential]]</f>
        <v>0.611715629389187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0.65434769797164072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1.8116689824371455</v>
      </c>
      <c r="H685" t="s">
        <v>36</v>
      </c>
      <c r="I685">
        <f>VLOOKUP(Table4[[#This Row],[Visitor]],'NHL Model'!$A$6:$B$38,2,FALSE)</f>
        <v>6.3057484159014243E-2</v>
      </c>
      <c r="J685">
        <f>($B$1+Table4[[#This Row],[Home Differential]])-Table4[[#This Row],[Away Differential]]</f>
        <v>1.823523414854781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0.84497975851303952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-8.2026557704658234E-2</v>
      </c>
      <c r="H686" t="s">
        <v>38</v>
      </c>
      <c r="I686">
        <f>VLOOKUP(Table4[[#This Row],[Visitor]],'NHL Model'!$A$6:$B$38,2,FALSE)</f>
        <v>-0.46815423657711264</v>
      </c>
      <c r="J686">
        <f>($B$1+Table4[[#This Row],[Home Differential]])-Table4[[#This Row],[Away Differential]]</f>
        <v>0.46103959544910406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0.58342333970120774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4.5205299343610755E-2</v>
      </c>
      <c r="H687" t="s">
        <v>11</v>
      </c>
      <c r="I687">
        <f>VLOOKUP(Table4[[#This Row],[Visitor]],'NHL Model'!$A$6:$B$38,2,FALSE)</f>
        <v>0.20922229284068078</v>
      </c>
      <c r="J687">
        <f>($B$1+Table4[[#This Row],[Home Differential]])-Table4[[#This Row],[Away Differential]]</f>
        <v>-8.9105076920420384E-2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0.5069105890560972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-0.29605365356197477</v>
      </c>
      <c r="H688" t="s">
        <v>30</v>
      </c>
      <c r="I688">
        <f>VLOOKUP(Table4[[#This Row],[Visitor]],'NHL Model'!$A$6:$B$38,2,FALSE)</f>
        <v>0.29544191342066151</v>
      </c>
      <c r="J688">
        <f>($B$1+Table4[[#This Row],[Home Differential]])-Table4[[#This Row],[Away Differential]]</f>
        <v>-0.51658365040598664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0.5516518730951816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6.6163598639307278E-2</v>
      </c>
      <c r="H689" t="s">
        <v>23</v>
      </c>
      <c r="I689">
        <f>VLOOKUP(Table4[[#This Row],[Visitor]],'NHL Model'!$A$6:$B$38,2,FALSE)</f>
        <v>8.8679045351754957E-2</v>
      </c>
      <c r="J689">
        <f>($B$1+Table4[[#This Row],[Home Differential]])-Table4[[#This Row],[Away Differential]]</f>
        <v>5.2396469864201947E-2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0.54588981509763357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0.3028174375616956</v>
      </c>
      <c r="H690" t="s">
        <v>19</v>
      </c>
      <c r="I690">
        <f>VLOOKUP(Table4[[#This Row],[Visitor]],'NHL Model'!$A$6:$B$38,2,FALSE)</f>
        <v>-1.7306849519822837E-2</v>
      </c>
      <c r="J690">
        <f>($B$1+Table4[[#This Row],[Home Differential]])-Table4[[#This Row],[Away Differential]]</f>
        <v>0.39503620365816805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0.58895993166269955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3.3446447213402619E-2</v>
      </c>
      <c r="H691" t="s">
        <v>24</v>
      </c>
      <c r="I691">
        <f>VLOOKUP(Table4[[#This Row],[Visitor]],'NHL Model'!$A$6:$B$38,2,FALSE)</f>
        <v>-7.602164965773138E-2</v>
      </c>
      <c r="J691">
        <f>($B$1+Table4[[#This Row],[Home Differential]])-Table4[[#This Row],[Away Differential]]</f>
        <v>0.18438001344778365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0.53995667289796589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-0.34471182133334621</v>
      </c>
      <c r="H692" t="s">
        <v>34</v>
      </c>
      <c r="I692">
        <f>VLOOKUP(Table4[[#This Row],[Visitor]],'NHL Model'!$A$6:$B$38,2,FALSE)</f>
        <v>0.6527374602185485</v>
      </c>
      <c r="J692">
        <f>($B$1+Table4[[#This Row],[Home Differential]])-Table4[[#This Row],[Away Differential]]</f>
        <v>-0.92253736497524508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0.63458918698584876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0.21230765705109297</v>
      </c>
      <c r="H693" t="s">
        <v>28</v>
      </c>
      <c r="I693">
        <f>VLOOKUP(Table4[[#This Row],[Visitor]],'NHL Model'!$A$6:$B$38,2,FALSE)</f>
        <v>-0.15682239438733669</v>
      </c>
      <c r="J693">
        <f>($B$1+Table4[[#This Row],[Home Differential]])-Table4[[#This Row],[Away Differential]]</f>
        <v>0.44404196801507934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0.58991414677317666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-5.6782013784997053E-2</v>
      </c>
      <c r="H694" t="s">
        <v>17</v>
      </c>
      <c r="I694">
        <f>VLOOKUP(Table4[[#This Row],[Visitor]],'NHL Model'!$A$6:$B$38,2,FALSE)</f>
        <v>0.17499330177061237</v>
      </c>
      <c r="J694">
        <f>($B$1+Table4[[#This Row],[Home Differential]])-Table4[[#This Row],[Away Differential]]</f>
        <v>-0.15686339897895979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0.47763279888830074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-0.45160327336373768</v>
      </c>
      <c r="H695" t="s">
        <v>22</v>
      </c>
      <c r="I695">
        <f>VLOOKUP(Table4[[#This Row],[Visitor]],'NHL Model'!$A$6:$B$38,2,FALSE)</f>
        <v>0.44972876941152479</v>
      </c>
      <c r="J695">
        <f>($B$1+Table4[[#This Row],[Home Differential]])-Table4[[#This Row],[Away Differential]]</f>
        <v>-0.82642012619861283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0.56018646913788084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0.18592042582238802</v>
      </c>
      <c r="H696" t="s">
        <v>35</v>
      </c>
      <c r="I696">
        <f>VLOOKUP(Table4[[#This Row],[Visitor]],'NHL Model'!$A$6:$B$38,2,FALSE)</f>
        <v>-0.90940046726085955</v>
      </c>
      <c r="J696">
        <f>($B$1+Table4[[#This Row],[Home Differential]])-Table4[[#This Row],[Away Differential]]</f>
        <v>1.1702328096598973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0.67154426028975567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-5.6782013784997053E-2</v>
      </c>
      <c r="H697" t="s">
        <v>13</v>
      </c>
      <c r="I697">
        <f>VLOOKUP(Table4[[#This Row],[Visitor]],'NHL Model'!$A$6:$B$38,2,FALSE)</f>
        <v>4.5005056179018996E-2</v>
      </c>
      <c r="J697">
        <f>($B$1+Table4[[#This Row],[Home Differential]])-Table4[[#This Row],[Away Differential]]</f>
        <v>-2.6875153387366409E-2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0.49541133026556722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-6.5206076050157921E-2</v>
      </c>
      <c r="H698" t="s">
        <v>15</v>
      </c>
      <c r="I698">
        <f>VLOOKUP(Table4[[#This Row],[Visitor]],'NHL Model'!$A$6:$B$38,2,FALSE)</f>
        <v>6.6163598639307278E-2</v>
      </c>
      <c r="J698">
        <f>($B$1+Table4[[#This Row],[Home Differential]])-Table4[[#This Row],[Away Differential]]</f>
        <v>-5.6457758112815559E-2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0.52213581260691322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8.8679045351754957E-2</v>
      </c>
      <c r="H699" t="s">
        <v>31</v>
      </c>
      <c r="I699">
        <f>VLOOKUP(Table4[[#This Row],[Visitor]],'NHL Model'!$A$6:$B$38,2,FALSE)</f>
        <v>-5.9622828283354432E-4</v>
      </c>
      <c r="J699">
        <f>($B$1+Table4[[#This Row],[Home Differential]])-Table4[[#This Row],[Away Differential]]</f>
        <v>0.16418719021123815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0.59704814876039891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0.53620748452970379</v>
      </c>
      <c r="H700" t="s">
        <v>32</v>
      </c>
      <c r="I700">
        <f>VLOOKUP(Table4[[#This Row],[Visitor]],'NHL Model'!$A$6:$B$38,2,FALSE)</f>
        <v>-0.34471182133334621</v>
      </c>
      <c r="J700">
        <f>($B$1+Table4[[#This Row],[Home Differential]])-Table4[[#This Row],[Away Differential]]</f>
        <v>0.95583122243969965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0.69302925839990803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1.8116689824371455</v>
      </c>
      <c r="H701" t="s">
        <v>28</v>
      </c>
      <c r="I701">
        <f>VLOOKUP(Table4[[#This Row],[Visitor]],'NHL Model'!$A$6:$B$38,2,FALSE)</f>
        <v>-0.15682239438733669</v>
      </c>
      <c r="J701">
        <f>($B$1+Table4[[#This Row],[Home Differential]])-Table4[[#This Row],[Away Differential]]</f>
        <v>2.0434032934011319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0.88867473637621797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0.17499330177061237</v>
      </c>
      <c r="H702" t="s">
        <v>13</v>
      </c>
      <c r="I702">
        <f>VLOOKUP(Table4[[#This Row],[Visitor]],'NHL Model'!$A$6:$B$38,2,FALSE)</f>
        <v>4.5005056179018996E-2</v>
      </c>
      <c r="J702">
        <f>($B$1+Table4[[#This Row],[Home Differential]])-Table4[[#This Row],[Away Differential]]</f>
        <v>0.20490016216824303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0.5670739961332889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0.6527374602185485</v>
      </c>
      <c r="H703" t="s">
        <v>30</v>
      </c>
      <c r="I703">
        <f>VLOOKUP(Table4[[#This Row],[Visitor]],'NHL Model'!$A$6:$B$38,2,FALSE)</f>
        <v>0.29544191342066151</v>
      </c>
      <c r="J703">
        <f>($B$1+Table4[[#This Row],[Home Differential]])-Table4[[#This Row],[Away Differential]]</f>
        <v>0.43220746337453664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0.57749176929901003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4.5205299343610755E-2</v>
      </c>
      <c r="H704" t="s">
        <v>26</v>
      </c>
      <c r="I704">
        <f>VLOOKUP(Table4[[#This Row],[Visitor]],'NHL Model'!$A$6:$B$38,2,FALSE)</f>
        <v>-8.2026557704658234E-2</v>
      </c>
      <c r="J704">
        <f>($B$1+Table4[[#This Row],[Home Differential]])-Table4[[#This Row],[Away Differential]]</f>
        <v>0.20214377362491864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0.52913928791455322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-0.29605365356197477</v>
      </c>
      <c r="H705" t="s">
        <v>10</v>
      </c>
      <c r="I705">
        <f>VLOOKUP(Table4[[#This Row],[Visitor]],'NHL Model'!$A$6:$B$38,2,FALSE)</f>
        <v>-0.45160327336373768</v>
      </c>
      <c r="J705">
        <f>($B$1+Table4[[#This Row],[Home Differential]])-Table4[[#This Row],[Away Differential]]</f>
        <v>0.23046153637841255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0.56590586426725598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6.3057484159014243E-2</v>
      </c>
      <c r="H706" t="s">
        <v>11</v>
      </c>
      <c r="I706">
        <f>VLOOKUP(Table4[[#This Row],[Visitor]],'NHL Model'!$A$6:$B$38,2,FALSE)</f>
        <v>0.20922229284068078</v>
      </c>
      <c r="J706">
        <f>($B$1+Table4[[#This Row],[Home Differential]])-Table4[[#This Row],[Away Differential]]</f>
        <v>-7.1252892105016896E-2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0.50490384951955936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0.3028174375616956</v>
      </c>
      <c r="H707" t="s">
        <v>37</v>
      </c>
      <c r="I707">
        <f>VLOOKUP(Table4[[#This Row],[Visitor]],'NHL Model'!$A$6:$B$38,2,FALSE)</f>
        <v>0.77279348157483052</v>
      </c>
      <c r="J707">
        <f>($B$1+Table4[[#This Row],[Home Differential]])-Table4[[#This Row],[Away Differential]]</f>
        <v>-0.39506412743648528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0.57072440456434614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3.3446447213402619E-2</v>
      </c>
      <c r="H708" t="s">
        <v>16</v>
      </c>
      <c r="I708">
        <f>VLOOKUP(Table4[[#This Row],[Visitor]],'NHL Model'!$A$6:$B$38,2,FALSE)</f>
        <v>-0.31573427760518757</v>
      </c>
      <c r="J708">
        <f>($B$1+Table4[[#This Row],[Home Differential]])-Table4[[#This Row],[Away Differential]]</f>
        <v>0.42409264139523983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0.58767167041135926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-0.21695959508717547</v>
      </c>
      <c r="H709" t="s">
        <v>39</v>
      </c>
      <c r="I709">
        <f>VLOOKUP(Table4[[#This Row],[Visitor]],'NHL Model'!$A$6:$B$38,2,FALSE)</f>
        <v>0.92535559469880035</v>
      </c>
      <c r="J709">
        <f>($B$1+Table4[[#This Row],[Home Differential]])-Table4[[#This Row],[Away Differential]]</f>
        <v>-1.0674032732093262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0.66620382095092978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-1.7306849519822837E-2</v>
      </c>
      <c r="H710" t="s">
        <v>38</v>
      </c>
      <c r="I710">
        <f>VLOOKUP(Table4[[#This Row],[Visitor]],'NHL Model'!$A$6:$B$38,2,FALSE)</f>
        <v>-0.46815423657711264</v>
      </c>
      <c r="J710">
        <f>($B$1+Table4[[#This Row],[Home Differential]])-Table4[[#This Row],[Away Differential]]</f>
        <v>0.52575930363393941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0.56799667720773273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0.21230765705109297</v>
      </c>
      <c r="H711" t="s">
        <v>35</v>
      </c>
      <c r="I711">
        <f>VLOOKUP(Table4[[#This Row],[Visitor]],'NHL Model'!$A$6:$B$38,2,FALSE)</f>
        <v>-0.90940046726085955</v>
      </c>
      <c r="J711">
        <f>($B$1+Table4[[#This Row],[Home Differential]])-Table4[[#This Row],[Away Differential]]</f>
        <v>1.1966200408886021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0.67451041265227873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-6.5206076050157921E-2</v>
      </c>
      <c r="H712" t="s">
        <v>14</v>
      </c>
      <c r="I712">
        <f>VLOOKUP(Table4[[#This Row],[Visitor]],'NHL Model'!$A$6:$B$38,2,FALSE)</f>
        <v>3.3446447213402619E-2</v>
      </c>
      <c r="J712">
        <f>($B$1+Table4[[#This Row],[Home Differential]])-Table4[[#This Row],[Away Differential]]</f>
        <v>-2.3740606686910901E-2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0.45590605901058173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-0.29605365356197477</v>
      </c>
      <c r="H713" t="s">
        <v>22</v>
      </c>
      <c r="I713">
        <f>VLOOKUP(Table4[[#This Row],[Visitor]],'NHL Model'!$A$6:$B$38,2,FALSE)</f>
        <v>0.44972876941152479</v>
      </c>
      <c r="J713">
        <f>($B$1+Table4[[#This Row],[Home Differential]])-Table4[[#This Row],[Away Differential]]</f>
        <v>-0.67087050639684986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0.54270135035957345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-0.21695959508717547</v>
      </c>
      <c r="H714" t="s">
        <v>20</v>
      </c>
      <c r="I714">
        <f>VLOOKUP(Table4[[#This Row],[Visitor]],'NHL Model'!$A$6:$B$38,2,FALSE)</f>
        <v>0.21230765705109297</v>
      </c>
      <c r="J714">
        <f>($B$1+Table4[[#This Row],[Home Differential]])-Table4[[#This Row],[Away Differential]]</f>
        <v>-0.3543553355616188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0.5206018265667528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0.18592042582238802</v>
      </c>
      <c r="H715" t="s">
        <v>28</v>
      </c>
      <c r="I715">
        <f>VLOOKUP(Table4[[#This Row],[Visitor]],'NHL Model'!$A$6:$B$38,2,FALSE)</f>
        <v>-0.15682239438733669</v>
      </c>
      <c r="J715">
        <f>($B$1+Table4[[#This Row],[Home Differential]])-Table4[[#This Row],[Away Differential]]</f>
        <v>0.41765473678637433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0.5869479944106536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-5.6782013784997053E-2</v>
      </c>
      <c r="H716" t="s">
        <v>24</v>
      </c>
      <c r="I716">
        <f>VLOOKUP(Table4[[#This Row],[Visitor]],'NHL Model'!$A$6:$B$38,2,FALSE)</f>
        <v>-7.602164965773138E-2</v>
      </c>
      <c r="J716">
        <f>($B$1+Table4[[#This Row],[Home Differential]])-Table4[[#This Row],[Away Differential]]</f>
        <v>9.4151552449383974E-2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0.52981421572094745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8.8679045351754957E-2</v>
      </c>
      <c r="H717" t="s">
        <v>11</v>
      </c>
      <c r="I717">
        <f>VLOOKUP(Table4[[#This Row],[Visitor]],'NHL Model'!$A$6:$B$38,2,FALSE)</f>
        <v>0.20922229284068078</v>
      </c>
      <c r="J717">
        <f>($B$1+Table4[[#This Row],[Home Differential]])-Table4[[#This Row],[Away Differential]]</f>
        <v>-4.5631330912276169E-2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0.46296068043579286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-0.45160327336373768</v>
      </c>
      <c r="H718" t="s">
        <v>17</v>
      </c>
      <c r="I718">
        <f>VLOOKUP(Table4[[#This Row],[Visitor]],'NHL Model'!$A$6:$B$38,2,FALSE)</f>
        <v>0.17499330177061237</v>
      </c>
      <c r="J718">
        <f>($B$1+Table4[[#This Row],[Home Differential]])-Table4[[#This Row],[Away Differential]]</f>
        <v>-0.55168465855770044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0.52201411353717753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1.8116689824371455</v>
      </c>
      <c r="H719" t="s">
        <v>19</v>
      </c>
      <c r="I719">
        <f>VLOOKUP(Table4[[#This Row],[Visitor]],'NHL Model'!$A$6:$B$38,2,FALSE)</f>
        <v>-1.7306849519822837E-2</v>
      </c>
      <c r="J719">
        <f>($B$1+Table4[[#This Row],[Home Differential]])-Table4[[#This Row],[Away Differential]]</f>
        <v>1.9038877485336179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0.87299198590381144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-8.2026557704658234E-2</v>
      </c>
      <c r="H720" t="s">
        <v>25</v>
      </c>
      <c r="I720">
        <f>VLOOKUP(Table4[[#This Row],[Visitor]],'NHL Model'!$A$6:$B$38,2,FALSE)</f>
        <v>0.53620748452970379</v>
      </c>
      <c r="J720">
        <f>($B$1+Table4[[#This Row],[Home Differential]])-Table4[[#This Row],[Away Differential]]</f>
        <v>-0.54332212565771243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0.54433769104426355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4.5005056179018996E-2</v>
      </c>
      <c r="H721" t="s">
        <v>39</v>
      </c>
      <c r="I721">
        <f>VLOOKUP(Table4[[#This Row],[Visitor]],'NHL Model'!$A$6:$B$38,2,FALSE)</f>
        <v>0.92535559469880035</v>
      </c>
      <c r="J721">
        <f>($B$1+Table4[[#This Row],[Home Differential]])-Table4[[#This Row],[Away Differential]]</f>
        <v>-0.80543862194313176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0.63675673487675766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0.6527374602185485</v>
      </c>
      <c r="H722" t="s">
        <v>24</v>
      </c>
      <c r="I722">
        <f>VLOOKUP(Table4[[#This Row],[Visitor]],'NHL Model'!$A$6:$B$38,2,FALSE)</f>
        <v>-7.602164965773138E-2</v>
      </c>
      <c r="J722">
        <f>($B$1+Table4[[#This Row],[Home Differential]])-Table4[[#This Row],[Away Differential]]</f>
        <v>0.80367102645292954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0.63200622117102556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4.5205299343610755E-2</v>
      </c>
      <c r="H723" t="s">
        <v>38</v>
      </c>
      <c r="I723">
        <f>VLOOKUP(Table4[[#This Row],[Visitor]],'NHL Model'!$A$6:$B$38,2,FALSE)</f>
        <v>-0.46815423657711264</v>
      </c>
      <c r="J723">
        <f>($B$1+Table4[[#This Row],[Home Differential]])-Table4[[#This Row],[Away Differential]]</f>
        <v>0.588271452497373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0.56361422189882537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6.6163598639307278E-2</v>
      </c>
      <c r="H724" t="s">
        <v>32</v>
      </c>
      <c r="I724">
        <f>VLOOKUP(Table4[[#This Row],[Visitor]],'NHL Model'!$A$6:$B$38,2,FALSE)</f>
        <v>-0.34471182133334621</v>
      </c>
      <c r="J724">
        <f>($B$1+Table4[[#This Row],[Home Differential]])-Table4[[#This Row],[Away Differential]]</f>
        <v>0.48578733654930312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0.59460668622261637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0.3028174375616956</v>
      </c>
      <c r="H725" t="s">
        <v>37</v>
      </c>
      <c r="I725">
        <f>VLOOKUP(Table4[[#This Row],[Visitor]],'NHL Model'!$A$6:$B$38,2,FALSE)</f>
        <v>0.77279348157483052</v>
      </c>
      <c r="J725">
        <f>($B$1+Table4[[#This Row],[Home Differential]])-Table4[[#This Row],[Away Differential]]</f>
        <v>-0.39506412743648528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0.57072440456434614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-5.9622828283354432E-4</v>
      </c>
      <c r="H726" t="s">
        <v>39</v>
      </c>
      <c r="I726">
        <f>VLOOKUP(Table4[[#This Row],[Visitor]],'NHL Model'!$A$6:$B$38,2,FALSE)</f>
        <v>0.92535559469880035</v>
      </c>
      <c r="J726">
        <f>($B$1+Table4[[#This Row],[Home Differential]])-Table4[[#This Row],[Away Differential]]</f>
        <v>-0.85103990640498428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0.60285108345245109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-6.5206076050157921E-2</v>
      </c>
      <c r="H727" t="s">
        <v>26</v>
      </c>
      <c r="I727">
        <f>VLOOKUP(Table4[[#This Row],[Visitor]],'NHL Model'!$A$6:$B$38,2,FALSE)</f>
        <v>-8.2026557704658234E-2</v>
      </c>
      <c r="J727">
        <f>($B$1+Table4[[#This Row],[Home Differential]])-Table4[[#This Row],[Away Differential]]</f>
        <v>9.1732398231149953E-2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0.53085945789792299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-0.15682239438733669</v>
      </c>
      <c r="H728" t="s">
        <v>16</v>
      </c>
      <c r="I728">
        <f>VLOOKUP(Table4[[#This Row],[Visitor]],'NHL Model'!$A$6:$B$38,2,FALSE)</f>
        <v>-0.31573427760518757</v>
      </c>
      <c r="J728">
        <f>($B$1+Table4[[#This Row],[Home Differential]])-Table4[[#This Row],[Away Differential]]</f>
        <v>0.23382379979450052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0.5662838116725224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-0.29605365356197477</v>
      </c>
      <c r="H729" t="s">
        <v>17</v>
      </c>
      <c r="I729">
        <f>VLOOKUP(Table4[[#This Row],[Visitor]],'NHL Model'!$A$6:$B$38,2,FALSE)</f>
        <v>0.17499330177061237</v>
      </c>
      <c r="J729">
        <f>($B$1+Table4[[#This Row],[Home Differential]])-Table4[[#This Row],[Away Differential]]</f>
        <v>-0.39613503875593747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0.50452899475887025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6.3057484159014243E-2</v>
      </c>
      <c r="H730" t="s">
        <v>38</v>
      </c>
      <c r="I730">
        <f>VLOOKUP(Table4[[#This Row],[Visitor]],'NHL Model'!$A$6:$B$38,2,FALSE)</f>
        <v>-0.46815423657711264</v>
      </c>
      <c r="J730">
        <f>($B$1+Table4[[#This Row],[Home Differential]])-Table4[[#This Row],[Away Differential]]</f>
        <v>0.60612363731277652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0.56562096143536322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3.3446447213402619E-2</v>
      </c>
      <c r="H731" t="s">
        <v>37</v>
      </c>
      <c r="I731">
        <f>VLOOKUP(Table4[[#This Row],[Visitor]],'NHL Model'!$A$6:$B$38,2,FALSE)</f>
        <v>0.77279348157483052</v>
      </c>
      <c r="J731">
        <f>($B$1+Table4[[#This Row],[Home Differential]])-Table4[[#This Row],[Away Differential]]</f>
        <v>-0.66443511778477826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0.60557626844046897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-0.90940046726085955</v>
      </c>
      <c r="H732" t="s">
        <v>25</v>
      </c>
      <c r="I732">
        <f>VLOOKUP(Table4[[#This Row],[Visitor]],'NHL Model'!$A$6:$B$38,2,FALSE)</f>
        <v>0.53620748452970379</v>
      </c>
      <c r="J732">
        <f>($B$1+Table4[[#This Row],[Home Differential]])-Table4[[#This Row],[Away Differential]]</f>
        <v>-1.3706960352139137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0.67148163049309462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0.18592042582238802</v>
      </c>
      <c r="H733" t="s">
        <v>19</v>
      </c>
      <c r="I733">
        <f>VLOOKUP(Table4[[#This Row],[Visitor]],'NHL Model'!$A$6:$B$38,2,FALSE)</f>
        <v>-1.7306849519822837E-2</v>
      </c>
      <c r="J733">
        <f>($B$1+Table4[[#This Row],[Home Differential]])-Table4[[#This Row],[Away Differential]]</f>
        <v>0.2781391919188605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0.57126524393824707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-5.6782013784997053E-2</v>
      </c>
      <c r="H734" t="s">
        <v>30</v>
      </c>
      <c r="I734">
        <f>VLOOKUP(Table4[[#This Row],[Visitor]],'NHL Model'!$A$6:$B$38,2,FALSE)</f>
        <v>0.29544191342066151</v>
      </c>
      <c r="J734">
        <f>($B$1+Table4[[#This Row],[Home Differential]])-Table4[[#This Row],[Away Differential]]</f>
        <v>-0.2773120106290089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0.52475567722461214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0.44972876941152479</v>
      </c>
      <c r="H735" t="s">
        <v>18</v>
      </c>
      <c r="I735">
        <f>VLOOKUP(Table4[[#This Row],[Visitor]],'NHL Model'!$A$6:$B$38,2,FALSE)</f>
        <v>4.5205299343610755E-2</v>
      </c>
      <c r="J735">
        <f>($B$1+Table4[[#This Row],[Home Differential]])-Table4[[#This Row],[Away Differential]]</f>
        <v>0.47943538664456375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0.54107215945144405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8.8679045351754957E-2</v>
      </c>
      <c r="H736" t="s">
        <v>27</v>
      </c>
      <c r="I736">
        <f>VLOOKUP(Table4[[#This Row],[Visitor]],'NHL Model'!$A$6:$B$38,2,FALSE)</f>
        <v>0.3028174375616956</v>
      </c>
      <c r="J736">
        <f>($B$1+Table4[[#This Row],[Home Differential]])-Table4[[#This Row],[Away Differential]]</f>
        <v>-0.13922647563329099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0.45751072171372797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4.5005056179018996E-2</v>
      </c>
      <c r="H737" t="s">
        <v>20</v>
      </c>
      <c r="I737">
        <f>VLOOKUP(Table4[[#This Row],[Visitor]],'NHL Model'!$A$6:$B$38,2,FALSE)</f>
        <v>0.21230765705109297</v>
      </c>
      <c r="J737">
        <f>($B$1+Table4[[#This Row],[Home Differential]])-Table4[[#This Row],[Away Differential]]</f>
        <v>-9.2390684295424338E-2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0.49115474049258062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-7.602164965773138E-2</v>
      </c>
      <c r="H738" t="s">
        <v>32</v>
      </c>
      <c r="I738">
        <f>VLOOKUP(Table4[[#This Row],[Visitor]],'NHL Model'!$A$6:$B$38,2,FALSE)</f>
        <v>-0.34471182133334621</v>
      </c>
      <c r="J738">
        <f>($B$1+Table4[[#This Row],[Home Differential]])-Table4[[#This Row],[Away Differential]]</f>
        <v>0.34360208825226446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0.57862383806030493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6.6163598639307278E-2</v>
      </c>
      <c r="H739" t="s">
        <v>36</v>
      </c>
      <c r="I739">
        <f>VLOOKUP(Table4[[#This Row],[Visitor]],'NHL Model'!$A$6:$B$38,2,FALSE)</f>
        <v>6.3057484159014243E-2</v>
      </c>
      <c r="J739">
        <f>($B$1+Table4[[#This Row],[Home Differential]])-Table4[[#This Row],[Away Differential]]</f>
        <v>7.801803105694266E-2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0.52800066877548579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-6.5206076050157921E-2</v>
      </c>
      <c r="H740" t="s">
        <v>32</v>
      </c>
      <c r="I740">
        <f>VLOOKUP(Table4[[#This Row],[Visitor]],'NHL Model'!$A$6:$B$38,2,FALSE)</f>
        <v>-0.34471182133334621</v>
      </c>
      <c r="J740">
        <f>($B$1+Table4[[#This Row],[Home Differential]])-Table4[[#This Row],[Away Differential]]</f>
        <v>0.35441766185983792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0.59385622230958002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8.8679045351754957E-2</v>
      </c>
      <c r="H741" t="s">
        <v>18</v>
      </c>
      <c r="I741">
        <f>VLOOKUP(Table4[[#This Row],[Visitor]],'NHL Model'!$A$6:$B$38,2,FALSE)</f>
        <v>4.5205299343610755E-2</v>
      </c>
      <c r="J741">
        <f>($B$1+Table4[[#This Row],[Home Differential]])-Table4[[#This Row],[Away Differential]]</f>
        <v>0.11838566258479385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0.5350466999073521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-0.15682239438733669</v>
      </c>
      <c r="H742" t="s">
        <v>38</v>
      </c>
      <c r="I742">
        <f>VLOOKUP(Table4[[#This Row],[Visitor]],'NHL Model'!$A$6:$B$38,2,FALSE)</f>
        <v>-0.46815423657711264</v>
      </c>
      <c r="J742">
        <f>($B$1+Table4[[#This Row],[Home Differential]])-Table4[[#This Row],[Away Differential]]</f>
        <v>0.38624375876642558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0.54090456676823095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-0.45160327336373768</v>
      </c>
      <c r="H743" t="s">
        <v>16</v>
      </c>
      <c r="I743">
        <f>VLOOKUP(Table4[[#This Row],[Visitor]],'NHL Model'!$A$6:$B$38,2,FALSE)</f>
        <v>-0.31573427760518757</v>
      </c>
      <c r="J743">
        <f>($B$1+Table4[[#This Row],[Home Differential]])-Table4[[#This Row],[Away Differential]]</f>
        <v>-6.0957079181900464E-2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0.46685210141453615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0.17499330177061237</v>
      </c>
      <c r="H744" t="s">
        <v>30</v>
      </c>
      <c r="I744">
        <f>VLOOKUP(Table4[[#This Row],[Visitor]],'NHL Model'!$A$6:$B$38,2,FALSE)</f>
        <v>0.29544191342066151</v>
      </c>
      <c r="J744">
        <f>($B$1+Table4[[#This Row],[Home Differential]])-Table4[[#This Row],[Away Differential]]</f>
        <v>-4.5536695073399497E-2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0.46226157439298399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0.6527374602185485</v>
      </c>
      <c r="H745" t="s">
        <v>40</v>
      </c>
      <c r="I745">
        <f>VLOOKUP(Table4[[#This Row],[Visitor]],'NHL Model'!$A$6:$B$38,2,FALSE)</f>
        <v>-5.6782013784997053E-2</v>
      </c>
      <c r="J745">
        <f>($B$1+Table4[[#This Row],[Home Differential]])-Table4[[#This Row],[Away Differential]]</f>
        <v>0.78443139058019518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0.65046059052735072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3.3446447213402619E-2</v>
      </c>
      <c r="H746" t="s">
        <v>27</v>
      </c>
      <c r="I746">
        <f>VLOOKUP(Table4[[#This Row],[Visitor]],'NHL Model'!$A$6:$B$38,2,FALSE)</f>
        <v>0.3028174375616956</v>
      </c>
      <c r="J746">
        <f>($B$1+Table4[[#This Row],[Home Differential]])-Table4[[#This Row],[Away Differential]]</f>
        <v>-0.19445907377164334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0.50262810774205813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0.18592042582238802</v>
      </c>
      <c r="H747" t="s">
        <v>39</v>
      </c>
      <c r="I747">
        <f>VLOOKUP(Table4[[#This Row],[Visitor]],'NHL Model'!$A$6:$B$38,2,FALSE)</f>
        <v>0.92535559469880035</v>
      </c>
      <c r="J747">
        <f>($B$1+Table4[[#This Row],[Home Differential]])-Table4[[#This Row],[Away Differential]]</f>
        <v>-0.66452325229976272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0.62091663202698222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0.21230765705109297</v>
      </c>
      <c r="H748" t="s">
        <v>19</v>
      </c>
      <c r="I748">
        <f>VLOOKUP(Table4[[#This Row],[Visitor]],'NHL Model'!$A$6:$B$38,2,FALSE)</f>
        <v>-1.7306849519822837E-2</v>
      </c>
      <c r="J748">
        <f>($B$1+Table4[[#This Row],[Home Differential]])-Table4[[#This Row],[Away Differential]]</f>
        <v>0.30452642314756551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0.57423139630077014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0.44972876941152479</v>
      </c>
      <c r="H749" t="s">
        <v>33</v>
      </c>
      <c r="I749">
        <f>VLOOKUP(Table4[[#This Row],[Visitor]],'NHL Model'!$A$6:$B$38,2,FALSE)</f>
        <v>-0.21695959508717547</v>
      </c>
      <c r="J749">
        <f>($B$1+Table4[[#This Row],[Home Differential]])-Table4[[#This Row],[Away Differential]]</f>
        <v>0.74160028107534992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0.6206373316721463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0.53620748452970379</v>
      </c>
      <c r="H750" t="s">
        <v>11</v>
      </c>
      <c r="I750">
        <f>VLOOKUP(Table4[[#This Row],[Visitor]],'NHL Model'!$A$6:$B$38,2,FALSE)</f>
        <v>0.20922229284068078</v>
      </c>
      <c r="J750">
        <f>($B$1+Table4[[#This Row],[Home Differential]])-Table4[[#This Row],[Away Differential]]</f>
        <v>0.40189710826567265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0.59447247571369022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1.8116689824371455</v>
      </c>
      <c r="H751" t="s">
        <v>29</v>
      </c>
      <c r="I751">
        <f>VLOOKUP(Table4[[#This Row],[Visitor]],'NHL Model'!$A$6:$B$38,2,FALSE)</f>
        <v>-0.29605365356197477</v>
      </c>
      <c r="J751">
        <f>($B$1+Table4[[#This Row],[Home Differential]])-Table4[[#This Row],[Away Differential]]</f>
        <v>2.1826345525757698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0.90432553068496913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-8.2026557704658234E-2</v>
      </c>
      <c r="H752" t="s">
        <v>33</v>
      </c>
      <c r="I752">
        <f>VLOOKUP(Table4[[#This Row],[Visitor]],'NHL Model'!$A$6:$B$38,2,FALSE)</f>
        <v>-0.21695959508717547</v>
      </c>
      <c r="J752">
        <f>($B$1+Table4[[#This Row],[Home Differential]])-Table4[[#This Row],[Away Differential]]</f>
        <v>0.20984495395916686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0.59010214406683537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4.5005056179018996E-2</v>
      </c>
      <c r="H753" t="s">
        <v>31</v>
      </c>
      <c r="I753">
        <f>VLOOKUP(Table4[[#This Row],[Visitor]],'NHL Model'!$A$6:$B$38,2,FALSE)</f>
        <v>-5.9622828283354432E-4</v>
      </c>
      <c r="J753">
        <f>($B$1+Table4[[#This Row],[Home Differential]])-Table4[[#This Row],[Away Differential]]</f>
        <v>0.12051320103850217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0.55354672314337838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-0.90940046726085955</v>
      </c>
      <c r="H754" t="s">
        <v>37</v>
      </c>
      <c r="I754">
        <f>VLOOKUP(Table4[[#This Row],[Visitor]],'NHL Model'!$A$6:$B$38,2,FALSE)</f>
        <v>0.77279348157483052</v>
      </c>
      <c r="J754">
        <f>($B$1+Table4[[#This Row],[Home Differential]])-Table4[[#This Row],[Away Differential]]</f>
        <v>-1.6072820322590404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0.7115603930584079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-5.9622828283354432E-4</v>
      </c>
      <c r="H755" t="s">
        <v>13</v>
      </c>
      <c r="I755">
        <f>VLOOKUP(Table4[[#This Row],[Visitor]],'NHL Model'!$A$6:$B$38,2,FALSE)</f>
        <v>4.5005056179018996E-2</v>
      </c>
      <c r="J755">
        <f>($B$1+Table4[[#This Row],[Home Differential]])-Table4[[#This Row],[Away Differential]]</f>
        <v>2.9310632114797106E-2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0.54993251186922598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8.8679045351754957E-2</v>
      </c>
      <c r="H756" t="s">
        <v>34</v>
      </c>
      <c r="I756">
        <f>VLOOKUP(Table4[[#This Row],[Visitor]],'NHL Model'!$A$6:$B$38,2,FALSE)</f>
        <v>0.6527374602185485</v>
      </c>
      <c r="J756">
        <f>($B$1+Table4[[#This Row],[Home Differential]])-Table4[[#This Row],[Away Differential]]</f>
        <v>-0.48914649829014389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0.54674899085518802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-0.31573427760518757</v>
      </c>
      <c r="H757" t="s">
        <v>30</v>
      </c>
      <c r="I757">
        <f>VLOOKUP(Table4[[#This Row],[Visitor]],'NHL Model'!$A$6:$B$38,2,FALSE)</f>
        <v>0.29544191342066151</v>
      </c>
      <c r="J757">
        <f>($B$1+Table4[[#This Row],[Home Differential]])-Table4[[#This Row],[Away Differential]]</f>
        <v>-0.53626427444919944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0.52300566510541602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-0.45160327336373768</v>
      </c>
      <c r="H758" t="s">
        <v>21</v>
      </c>
      <c r="I758">
        <f>VLOOKUP(Table4[[#This Row],[Visitor]],'NHL Model'!$A$6:$B$38,2,FALSE)</f>
        <v>-6.5206076050157921E-2</v>
      </c>
      <c r="J758">
        <f>($B$1+Table4[[#This Row],[Home Differential]])-Table4[[#This Row],[Away Differential]]</f>
        <v>-0.3114852807369301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0.49501363190935882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-7.602164965773138E-2</v>
      </c>
      <c r="H759" t="s">
        <v>25</v>
      </c>
      <c r="I759">
        <f>VLOOKUP(Table4[[#This Row],[Visitor]],'NHL Model'!$A$6:$B$38,2,FALSE)</f>
        <v>0.53620748452970379</v>
      </c>
      <c r="J759">
        <f>($B$1+Table4[[#This Row],[Home Differential]])-Table4[[#This Row],[Away Differential]]</f>
        <v>-0.53731721761078555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0.57780266405340375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6.3057484159014243E-2</v>
      </c>
      <c r="H760" t="s">
        <v>18</v>
      </c>
      <c r="I760">
        <f>VLOOKUP(Table4[[#This Row],[Visitor]],'NHL Model'!$A$6:$B$38,2,FALSE)</f>
        <v>4.5205299343610755E-2</v>
      </c>
      <c r="J760">
        <f>($B$1+Table4[[#This Row],[Home Differential]])-Table4[[#This Row],[Away Differential]]</f>
        <v>9.2764101392053128E-2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0.49302391023715159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0.3028174375616956</v>
      </c>
      <c r="H761" t="s">
        <v>15</v>
      </c>
      <c r="I761">
        <f>VLOOKUP(Table4[[#This Row],[Visitor]],'NHL Model'!$A$6:$B$38,2,FALSE)</f>
        <v>6.6163598639307278E-2</v>
      </c>
      <c r="J761">
        <f>($B$1+Table4[[#This Row],[Home Differential]])-Table4[[#This Row],[Away Differential]]</f>
        <v>0.31156575549903798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0.50969434776028233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3.3446447213402619E-2</v>
      </c>
      <c r="H762" t="s">
        <v>28</v>
      </c>
      <c r="I762">
        <f>VLOOKUP(Table4[[#This Row],[Visitor]],'NHL Model'!$A$6:$B$38,2,FALSE)</f>
        <v>-0.15682239438733669</v>
      </c>
      <c r="J762">
        <f>($B$1+Table4[[#This Row],[Home Differential]])-Table4[[#This Row],[Away Differential]]</f>
        <v>0.26518075817738895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0.56980860422778545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0.18592042582238802</v>
      </c>
      <c r="H763" t="s">
        <v>32</v>
      </c>
      <c r="I763">
        <f>VLOOKUP(Table4[[#This Row],[Visitor]],'NHL Model'!$A$6:$B$38,2,FALSE)</f>
        <v>-0.34471182133334621</v>
      </c>
      <c r="J763">
        <f>($B$1+Table4[[#This Row],[Home Differential]])-Table4[[#This Row],[Away Differential]]</f>
        <v>0.60554416373238384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0.60806838642142103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-0.46815423657711264</v>
      </c>
      <c r="H764" t="s">
        <v>17</v>
      </c>
      <c r="I764">
        <f>VLOOKUP(Table4[[#This Row],[Visitor]],'NHL Model'!$A$6:$B$38,2,FALSE)</f>
        <v>0.17499330177061237</v>
      </c>
      <c r="J764">
        <f>($B$1+Table4[[#This Row],[Home Differential]])-Table4[[#This Row],[Away Differential]]</f>
        <v>-0.56823562177107534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0.52387458454347169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0.21230765705109297</v>
      </c>
      <c r="H765" t="s">
        <v>29</v>
      </c>
      <c r="I765">
        <f>VLOOKUP(Table4[[#This Row],[Visitor]],'NHL Model'!$A$6:$B$38,2,FALSE)</f>
        <v>-0.29605365356197477</v>
      </c>
      <c r="J765">
        <f>($B$1+Table4[[#This Row],[Home Differential]])-Table4[[#This Row],[Away Differential]]</f>
        <v>0.58327322718971741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0.60556494108192782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-5.6782013784997053E-2</v>
      </c>
      <c r="H766" t="s">
        <v>19</v>
      </c>
      <c r="I766">
        <f>VLOOKUP(Table4[[#This Row],[Visitor]],'NHL Model'!$A$6:$B$38,2,FALSE)</f>
        <v>-1.7306849519822837E-2</v>
      </c>
      <c r="J766">
        <f>($B$1+Table4[[#This Row],[Home Differential]])-Table4[[#This Row],[Away Differential]]</f>
        <v>3.5436752311475424E-2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0.54398339657836048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0.44972876941152479</v>
      </c>
      <c r="H767" t="s">
        <v>11</v>
      </c>
      <c r="I767">
        <f>VLOOKUP(Table4[[#This Row],[Visitor]],'NHL Model'!$A$6:$B$38,2,FALSE)</f>
        <v>0.20922229284068078</v>
      </c>
      <c r="J767">
        <f>($B$1+Table4[[#This Row],[Home Differential]])-Table4[[#This Row],[Away Differential]]</f>
        <v>0.3154183931474937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0.54314805535710697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0.92535559469880035</v>
      </c>
      <c r="H768" t="s">
        <v>37</v>
      </c>
      <c r="I768">
        <f>VLOOKUP(Table4[[#This Row],[Visitor]],'NHL Model'!$A$6:$B$38,2,FALSE)</f>
        <v>0.77279348157483052</v>
      </c>
      <c r="J768">
        <f>($B$1+Table4[[#This Row],[Home Differential]])-Table4[[#This Row],[Away Differential]]</f>
        <v>0.22747402970061947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0.53380533686904985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-8.2026557704658234E-2</v>
      </c>
      <c r="H769" t="s">
        <v>36</v>
      </c>
      <c r="I769">
        <f>VLOOKUP(Table4[[#This Row],[Visitor]],'NHL Model'!$A$6:$B$38,2,FALSE)</f>
        <v>6.3057484159014243E-2</v>
      </c>
      <c r="J769">
        <f>($B$1+Table4[[#This Row],[Home Differential]])-Table4[[#This Row],[Away Differential]]</f>
        <v>-7.0172125287022838E-2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0.45469646270872749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0.17499330177061237</v>
      </c>
      <c r="H770" t="s">
        <v>35</v>
      </c>
      <c r="I770">
        <f>VLOOKUP(Table4[[#This Row],[Visitor]],'NHL Model'!$A$6:$B$38,2,FALSE)</f>
        <v>-0.90940046726085955</v>
      </c>
      <c r="J770">
        <f>($B$1+Table4[[#This Row],[Home Differential]])-Table4[[#This Row],[Away Differential]]</f>
        <v>1.1593056856081216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0.70635282366656549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-5.9622828283354432E-4</v>
      </c>
      <c r="H771" t="s">
        <v>15</v>
      </c>
      <c r="I771">
        <f>VLOOKUP(Table4[[#This Row],[Visitor]],'NHL Model'!$A$6:$B$38,2,FALSE)</f>
        <v>6.6163598639307278E-2</v>
      </c>
      <c r="J771">
        <f>($B$1+Table4[[#This Row],[Home Differential]])-Table4[[#This Row],[Away Differential]]</f>
        <v>8.1520896545088234E-3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0.5101414574344707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0.53620748452970379</v>
      </c>
      <c r="H772" t="s">
        <v>23</v>
      </c>
      <c r="I772">
        <f>VLOOKUP(Table4[[#This Row],[Visitor]],'NHL Model'!$A$6:$B$38,2,FALSE)</f>
        <v>8.8679045351754957E-2</v>
      </c>
      <c r="J772">
        <f>($B$1+Table4[[#This Row],[Home Differential]])-Table4[[#This Row],[Away Differential]]</f>
        <v>0.52244035575459846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0.64431238727492524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-0.31573427760518757</v>
      </c>
      <c r="H773" t="s">
        <v>24</v>
      </c>
      <c r="I773">
        <f>VLOOKUP(Table4[[#This Row],[Visitor]],'NHL Model'!$A$6:$B$38,2,FALSE)</f>
        <v>-7.602164965773138E-2</v>
      </c>
      <c r="J773">
        <f>($B$1+Table4[[#This Row],[Home Differential]])-Table4[[#This Row],[Away Differential]]</f>
        <v>-0.16480071137080654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0.46852502125521384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-0.45160327336373768</v>
      </c>
      <c r="H774" t="s">
        <v>40</v>
      </c>
      <c r="I774">
        <f>VLOOKUP(Table4[[#This Row],[Visitor]],'NHL Model'!$A$6:$B$38,2,FALSE)</f>
        <v>-5.6782013784997053E-2</v>
      </c>
      <c r="J774">
        <f>($B$1+Table4[[#This Row],[Home Differential]])-Table4[[#This Row],[Away Differential]]</f>
        <v>-0.31990934300209101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0.4959605691599282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1.8116689824371455</v>
      </c>
      <c r="H775" t="s">
        <v>22</v>
      </c>
      <c r="I775">
        <f>VLOOKUP(Table4[[#This Row],[Visitor]],'NHL Model'!$A$6:$B$38,2,FALSE)</f>
        <v>0.44972876941152479</v>
      </c>
      <c r="J775">
        <f>($B$1+Table4[[#This Row],[Home Differential]])-Table4[[#This Row],[Away Differential]]</f>
        <v>1.4368521296022703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0.8138750862880284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0.20922229284068078</v>
      </c>
      <c r="H776" t="s">
        <v>33</v>
      </c>
      <c r="I776">
        <f>VLOOKUP(Table4[[#This Row],[Visitor]],'NHL Model'!$A$6:$B$38,2,FALSE)</f>
        <v>-0.21695959508717547</v>
      </c>
      <c r="J776">
        <f>($B$1+Table4[[#This Row],[Home Differential]])-Table4[[#This Row],[Away Differential]]</f>
        <v>0.50109380450450591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0.58980458704319816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-0.34471182133334621</v>
      </c>
      <c r="H777" t="s">
        <v>14</v>
      </c>
      <c r="I777">
        <f>VLOOKUP(Table4[[#This Row],[Visitor]],'NHL Model'!$A$6:$B$38,2,FALSE)</f>
        <v>3.3446447213402619E-2</v>
      </c>
      <c r="J777">
        <f>($B$1+Table4[[#This Row],[Home Differential]])-Table4[[#This Row],[Away Differential]]</f>
        <v>-0.30324635197009919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0.5013772248868239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-1.7306849519822837E-2</v>
      </c>
      <c r="H778" t="s">
        <v>34</v>
      </c>
      <c r="I778">
        <f>VLOOKUP(Table4[[#This Row],[Visitor]],'NHL Model'!$A$6:$B$38,2,FALSE)</f>
        <v>0.6527374602185485</v>
      </c>
      <c r="J778">
        <f>($B$1+Table4[[#This Row],[Home Differential]])-Table4[[#This Row],[Away Differential]]</f>
        <v>-0.59513239316172173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0.58640520047296019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-0.46815423657711264</v>
      </c>
      <c r="H779" t="s">
        <v>30</v>
      </c>
      <c r="I779">
        <f>VLOOKUP(Table4[[#This Row],[Visitor]],'NHL Model'!$A$6:$B$38,2,FALSE)</f>
        <v>0.29544191342066151</v>
      </c>
      <c r="J779">
        <f>($B$1+Table4[[#This Row],[Home Differential]])-Table4[[#This Row],[Away Differential]]</f>
        <v>-0.6886842334211245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0.57099746287978315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0.21230765705109297</v>
      </c>
      <c r="H780" t="s">
        <v>27</v>
      </c>
      <c r="I780">
        <f>VLOOKUP(Table4[[#This Row],[Visitor]],'NHL Model'!$A$6:$B$38,2,FALSE)</f>
        <v>0.3028174375616956</v>
      </c>
      <c r="J780">
        <f>($B$1+Table4[[#This Row],[Home Differential]])-Table4[[#This Row],[Away Differential]]</f>
        <v>-1.559786393395296E-2</v>
      </c>
      <c r="K780" t="str">
        <f>IF(Table4[[#This Row],[HomeIce Differential]]&gt;0,Table4[[#This Row],[Home]],Table4[[#This Row],[Visitor]])</f>
        <v>Philadelphia Flyers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0.48252256519666692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-0.15682239438733669</v>
      </c>
      <c r="H781" t="s">
        <v>36</v>
      </c>
      <c r="I781">
        <f>VLOOKUP(Table4[[#This Row],[Visitor]],'NHL Model'!$A$6:$B$38,2,FALSE)</f>
        <v>6.3057484159014243E-2</v>
      </c>
      <c r="J781">
        <f>($B$1+Table4[[#This Row],[Home Differential]])-Table4[[#This Row],[Away Differential]]</f>
        <v>-0.1449679619697013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0.49706487994741433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0.92535559469880035</v>
      </c>
      <c r="H782" t="s">
        <v>21</v>
      </c>
      <c r="I782">
        <f>VLOOKUP(Table4[[#This Row],[Visitor]],'NHL Model'!$A$6:$B$38,2,FALSE)</f>
        <v>-6.5206076050157921E-2</v>
      </c>
      <c r="J782">
        <f>($B$1+Table4[[#This Row],[Home Differential]])-Table4[[#This Row],[Away Differential]]</f>
        <v>1.0654735873256078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0.69836051279511213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0.17499330177061237</v>
      </c>
      <c r="H783" t="s">
        <v>24</v>
      </c>
      <c r="I783">
        <f>VLOOKUP(Table4[[#This Row],[Visitor]],'NHL Model'!$A$6:$B$38,2,FALSE)</f>
        <v>-7.602164965773138E-2</v>
      </c>
      <c r="J783">
        <f>($B$1+Table4[[#This Row],[Home Differential]])-Table4[[#This Row],[Away Differential]]</f>
        <v>0.32592686800499338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0.59219254642298313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4.5005056179018996E-2</v>
      </c>
      <c r="H784" t="s">
        <v>15</v>
      </c>
      <c r="I784">
        <f>VLOOKUP(Table4[[#This Row],[Visitor]],'NHL Model'!$A$6:$B$38,2,FALSE)</f>
        <v>6.6163598639307278E-2</v>
      </c>
      <c r="J784">
        <f>($B$1+Table4[[#This Row],[Home Differential]])-Table4[[#This Row],[Away Differential]]</f>
        <v>5.3753374116361358E-2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0.47614075313320881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4.5205299343610755E-2</v>
      </c>
      <c r="H785" t="s">
        <v>34</v>
      </c>
      <c r="I785">
        <f>VLOOKUP(Table4[[#This Row],[Visitor]],'NHL Model'!$A$6:$B$38,2,FALSE)</f>
        <v>0.6527374602185485</v>
      </c>
      <c r="J785">
        <f>($B$1+Table4[[#This Row],[Home Differential]])-Table4[[#This Row],[Away Differential]]</f>
        <v>-0.53262024429828814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0.59075913984448691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-0.29605365356197477</v>
      </c>
      <c r="H786" t="s">
        <v>23</v>
      </c>
      <c r="I786">
        <f>VLOOKUP(Table4[[#This Row],[Visitor]],'NHL Model'!$A$6:$B$38,2,FALSE)</f>
        <v>8.8679045351754957E-2</v>
      </c>
      <c r="J786">
        <f>($B$1+Table4[[#This Row],[Home Differential]])-Table4[[#This Row],[Away Differential]]</f>
        <v>-0.3098207823370801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0.49482652793401788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0.77279348157483052</v>
      </c>
      <c r="H787" t="s">
        <v>33</v>
      </c>
      <c r="I787">
        <f>VLOOKUP(Table4[[#This Row],[Visitor]],'NHL Model'!$A$6:$B$38,2,FALSE)</f>
        <v>-0.21695959508717547</v>
      </c>
      <c r="J787">
        <f>($B$1+Table4[[#This Row],[Home Differential]])-Table4[[#This Row],[Away Differential]]</f>
        <v>1.0646649932386556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0.65695259153876706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-5.6782013784997053E-2</v>
      </c>
      <c r="H788" t="s">
        <v>35</v>
      </c>
      <c r="I788">
        <f>VLOOKUP(Table4[[#This Row],[Visitor]],'NHL Model'!$A$6:$B$38,2,FALSE)</f>
        <v>-0.90940046726085955</v>
      </c>
      <c r="J788">
        <f>($B$1+Table4[[#This Row],[Home Differential]])-Table4[[#This Row],[Away Differential]]</f>
        <v>0.92753037005251215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0.64426241292986908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-0.31573427760518757</v>
      </c>
      <c r="H789" t="s">
        <v>14</v>
      </c>
      <c r="I789">
        <f>VLOOKUP(Table4[[#This Row],[Visitor]],'NHL Model'!$A$6:$B$38,2,FALSE)</f>
        <v>3.3446447213402619E-2</v>
      </c>
      <c r="J789">
        <f>($B$1+Table4[[#This Row],[Home Differential]])-Table4[[#This Row],[Away Differential]]</f>
        <v>-0.27426880824194055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0.46748786137416276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1.8116689824371455</v>
      </c>
      <c r="H790" t="s">
        <v>31</v>
      </c>
      <c r="I790">
        <f>VLOOKUP(Table4[[#This Row],[Visitor]],'NHL Model'!$A$6:$B$38,2,FALSE)</f>
        <v>-5.9622828283354432E-4</v>
      </c>
      <c r="J790">
        <f>($B$1+Table4[[#This Row],[Home Differential]])-Table4[[#This Row],[Away Differential]]</f>
        <v>1.8871771272966287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0.87111356795871819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-0.34471182133334621</v>
      </c>
      <c r="H791" t="s">
        <v>30</v>
      </c>
      <c r="I791">
        <f>VLOOKUP(Table4[[#This Row],[Visitor]],'NHL Model'!$A$6:$B$38,2,FALSE)</f>
        <v>0.29544191342066151</v>
      </c>
      <c r="J791">
        <f>($B$1+Table4[[#This Row],[Home Differential]])-Table4[[#This Row],[Away Differential]]</f>
        <v>-0.56524181817735808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0.55712147079719787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-1.7306849519822837E-2</v>
      </c>
      <c r="H792" t="s">
        <v>26</v>
      </c>
      <c r="I792">
        <f>VLOOKUP(Table4[[#This Row],[Visitor]],'NHL Model'!$A$6:$B$38,2,FALSE)</f>
        <v>-8.2026557704658234E-2</v>
      </c>
      <c r="J792">
        <f>($B$1+Table4[[#This Row],[Home Differential]])-Table4[[#This Row],[Away Differential]]</f>
        <v>0.13963162476148505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0.53351550535255299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0.18592042582238802</v>
      </c>
      <c r="H793" t="s">
        <v>27</v>
      </c>
      <c r="I793">
        <f>VLOOKUP(Table4[[#This Row],[Visitor]],'NHL Model'!$A$6:$B$38,2,FALSE)</f>
        <v>0.3028174375616956</v>
      </c>
      <c r="J793">
        <f>($B$1+Table4[[#This Row],[Home Differential]])-Table4[[#This Row],[Away Differential]]</f>
        <v>-4.198509516265797E-2</v>
      </c>
      <c r="K793" t="str">
        <f>IF(Table4[[#This Row],[HomeIce Differential]]&gt;0,Table4[[#This Row],[Home]],Table4[[#This Row],[Visitor]])</f>
        <v>Philadelphia Flyers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0.48548871755919004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-0.46815423657711264</v>
      </c>
      <c r="H794" t="s">
        <v>22</v>
      </c>
      <c r="I794">
        <f>VLOOKUP(Table4[[#This Row],[Visitor]],'NHL Model'!$A$6:$B$38,2,FALSE)</f>
        <v>0.44972876941152479</v>
      </c>
      <c r="J794">
        <f>($B$1+Table4[[#This Row],[Home Differential]])-Table4[[#This Row],[Away Differential]]</f>
        <v>-0.84297108941198773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0.56204694014417489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-6.5206076050157921E-2</v>
      </c>
      <c r="H795" t="s">
        <v>20</v>
      </c>
      <c r="I795">
        <f>VLOOKUP(Table4[[#This Row],[Visitor]],'NHL Model'!$A$6:$B$38,2,FALSE)</f>
        <v>0.21230765705109297</v>
      </c>
      <c r="J795">
        <f>($B$1+Table4[[#This Row],[Home Differential]])-Table4[[#This Row],[Away Differential]]</f>
        <v>-0.20260181652460124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0.48944085815069716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0.53620748452970379</v>
      </c>
      <c r="H796" t="s">
        <v>10</v>
      </c>
      <c r="I796">
        <f>VLOOKUP(Table4[[#This Row],[Visitor]],'NHL Model'!$A$6:$B$38,2,FALSE)</f>
        <v>-0.45160327336373768</v>
      </c>
      <c r="J796">
        <f>($B$1+Table4[[#This Row],[Home Differential]])-Table4[[#This Row],[Away Differential]]</f>
        <v>1.0627226744700911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0.70504477947619903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-0.15682239438733669</v>
      </c>
      <c r="H797" t="s">
        <v>39</v>
      </c>
      <c r="I797">
        <f>VLOOKUP(Table4[[#This Row],[Visitor]],'NHL Model'!$A$6:$B$38,2,FALSE)</f>
        <v>0.92535559469880035</v>
      </c>
      <c r="J797">
        <f>($B$1+Table4[[#This Row],[Home Differential]])-Table4[[#This Row],[Away Differential]]</f>
        <v>-1.0072660725094873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0.65944388094868711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0.17499330177061237</v>
      </c>
      <c r="H798" t="s">
        <v>14</v>
      </c>
      <c r="I798">
        <f>VLOOKUP(Table4[[#This Row],[Visitor]],'NHL Model'!$A$6:$B$38,2,FALSE)</f>
        <v>3.3446447213402619E-2</v>
      </c>
      <c r="J798">
        <f>($B$1+Table4[[#This Row],[Home Differential]])-Table4[[#This Row],[Away Differential]]</f>
        <v>0.21645877113385939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0.59319410813828133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0.6527374602185485</v>
      </c>
      <c r="H799" t="s">
        <v>26</v>
      </c>
      <c r="I799">
        <f>VLOOKUP(Table4[[#This Row],[Visitor]],'NHL Model'!$A$6:$B$38,2,FALSE)</f>
        <v>-8.2026557704658234E-2</v>
      </c>
      <c r="J799">
        <f>($B$1+Table4[[#This Row],[Home Differential]])-Table4[[#This Row],[Away Differential]]</f>
        <v>0.80967593449985642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0.61992248086939927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4.5205299343610755E-2</v>
      </c>
      <c r="H800" t="s">
        <v>23</v>
      </c>
      <c r="I800">
        <f>VLOOKUP(Table4[[#This Row],[Visitor]],'NHL Model'!$A$6:$B$38,2,FALSE)</f>
        <v>8.8679045351754957E-2</v>
      </c>
      <c r="J800">
        <f>($B$1+Table4[[#This Row],[Home Differential]])-Table4[[#This Row],[Away Differential]]</f>
        <v>3.1438170568505439E-2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0.54353392150532776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-0.29605365356197477</v>
      </c>
      <c r="H801" t="s">
        <v>36</v>
      </c>
      <c r="I801">
        <f>VLOOKUP(Table4[[#This Row],[Visitor]],'NHL Model'!$A$6:$B$38,2,FALSE)</f>
        <v>6.3057484159014243E-2</v>
      </c>
      <c r="J801">
        <f>($B$1+Table4[[#This Row],[Home Differential]])-Table4[[#This Row],[Away Differential]]</f>
        <v>-0.28419922114433938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0.51271567425616549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-5.6782013784997053E-2</v>
      </c>
      <c r="H802" t="s">
        <v>11</v>
      </c>
      <c r="I802">
        <f>VLOOKUP(Table4[[#This Row],[Visitor]],'NHL Model'!$A$6:$B$38,2,FALSE)</f>
        <v>0.20922229284068078</v>
      </c>
      <c r="J802">
        <f>($B$1+Table4[[#This Row],[Home Differential]])-Table4[[#This Row],[Away Differential]]</f>
        <v>-0.1910923900490282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0.51837484262487332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-0.31573427760518757</v>
      </c>
      <c r="H803" t="s">
        <v>22</v>
      </c>
      <c r="I803">
        <f>VLOOKUP(Table4[[#This Row],[Visitor]],'NHL Model'!$A$6:$B$38,2,FALSE)</f>
        <v>0.44972876941152479</v>
      </c>
      <c r="J803">
        <f>($B$1+Table4[[#This Row],[Home Differential]])-Table4[[#This Row],[Away Differential]]</f>
        <v>-0.69055113044006267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0.51428158454892858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-0.45160327336373768</v>
      </c>
      <c r="H804" t="s">
        <v>37</v>
      </c>
      <c r="I804">
        <f>VLOOKUP(Table4[[#This Row],[Visitor]],'NHL Model'!$A$6:$B$38,2,FALSE)</f>
        <v>0.77279348157483052</v>
      </c>
      <c r="J804">
        <f>($B$1+Table4[[#This Row],[Home Differential]])-Table4[[#This Row],[Away Differential]]</f>
        <v>-1.1494848383619185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0.66010004026636426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1.8116689824371455</v>
      </c>
      <c r="H805" t="s">
        <v>27</v>
      </c>
      <c r="I805">
        <f>VLOOKUP(Table4[[#This Row],[Visitor]],'NHL Model'!$A$6:$B$38,2,FALSE)</f>
        <v>0.3028174375616956</v>
      </c>
      <c r="J805">
        <f>($B$1+Table4[[#This Row],[Home Differential]])-Table4[[#This Row],[Away Differential]]</f>
        <v>1.5837634614520995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0.81802867197955886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0.92535559469880035</v>
      </c>
      <c r="H806" t="s">
        <v>35</v>
      </c>
      <c r="I806">
        <f>VLOOKUP(Table4[[#This Row],[Visitor]],'NHL Model'!$A$6:$B$38,2,FALSE)</f>
        <v>-0.90940046726085955</v>
      </c>
      <c r="J806">
        <f>($B$1+Table4[[#This Row],[Home Differential]])-Table4[[#This Row],[Away Differential]]</f>
        <v>1.9096679785363095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0.79325524298546324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-0.34471182133334621</v>
      </c>
      <c r="H807" t="s">
        <v>31</v>
      </c>
      <c r="I807">
        <f>VLOOKUP(Table4[[#This Row],[Visitor]],'NHL Model'!$A$6:$B$38,2,FALSE)</f>
        <v>-5.9622828283354432E-4</v>
      </c>
      <c r="J807">
        <f>($B$1+Table4[[#This Row],[Home Differential]])-Table4[[#This Row],[Away Differential]]</f>
        <v>-0.26920367647386301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0.49026081493931861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-0.21695959508717547</v>
      </c>
      <c r="H808" t="s">
        <v>15</v>
      </c>
      <c r="I808">
        <f>VLOOKUP(Table4[[#This Row],[Visitor]],'NHL Model'!$A$6:$B$38,2,FALSE)</f>
        <v>6.6163598639307278E-2</v>
      </c>
      <c r="J808">
        <f>($B$1+Table4[[#This Row],[Home Differential]])-Table4[[#This Row],[Away Differential]]</f>
        <v>-0.20821127714983312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0.55330633294096332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-1.7306849519822837E-2</v>
      </c>
      <c r="H809" t="s">
        <v>20</v>
      </c>
      <c r="I809">
        <f>VLOOKUP(Table4[[#This Row],[Visitor]],'NHL Model'!$A$6:$B$38,2,FALSE)</f>
        <v>0.21230765705109297</v>
      </c>
      <c r="J809">
        <f>($B$1+Table4[[#This Row],[Home Differential]])-Table4[[#This Row],[Away Differential]]</f>
        <v>-0.15470258999426617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0.48677766042491377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-0.46815423657711264</v>
      </c>
      <c r="H810" t="s">
        <v>24</v>
      </c>
      <c r="I810">
        <f>VLOOKUP(Table4[[#This Row],[Visitor]],'NHL Model'!$A$6:$B$38,2,FALSE)</f>
        <v>-7.602164965773138E-2</v>
      </c>
      <c r="J810">
        <f>($B$1+Table4[[#This Row],[Home Differential]])-Table4[[#This Row],[Away Differential]]</f>
        <v>-0.3172206703427316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0.51642756993422356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-6.5206076050157921E-2</v>
      </c>
      <c r="H811" t="s">
        <v>18</v>
      </c>
      <c r="I811">
        <f>VLOOKUP(Table4[[#This Row],[Visitor]],'NHL Model'!$A$6:$B$38,2,FALSE)</f>
        <v>4.5205299343610755E-2</v>
      </c>
      <c r="J811">
        <f>($B$1+Table4[[#This Row],[Home Differential]])-Table4[[#This Row],[Away Differential]]</f>
        <v>-3.5499458817119037E-2</v>
      </c>
      <c r="K811" t="str">
        <f>IF(Table4[[#This Row],[HomeIce Differential]]&gt;0,Table4[[#This Row],[Home]],Table4[[#This Row],[Visitor]])</f>
        <v>Montreal Canadiens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0.50725841918660608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-0.15682239438733669</v>
      </c>
      <c r="H812" t="s">
        <v>37</v>
      </c>
      <c r="I812">
        <f>VLOOKUP(Table4[[#This Row],[Visitor]],'NHL Model'!$A$6:$B$38,2,FALSE)</f>
        <v>0.77279348157483052</v>
      </c>
      <c r="J812">
        <f>($B$1+Table4[[#This Row],[Home Differential]])-Table4[[#This Row],[Away Differential]]</f>
        <v>-0.85470395938551758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0.62696412717930572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0.17499330177061237</v>
      </c>
      <c r="H813" t="s">
        <v>22</v>
      </c>
      <c r="I813">
        <f>VLOOKUP(Table4[[#This Row],[Visitor]],'NHL Model'!$A$6:$B$38,2,FALSE)</f>
        <v>0.44972876941152479</v>
      </c>
      <c r="J813">
        <f>($B$1+Table4[[#This Row],[Home Differential]])-Table4[[#This Row],[Away Differential]]</f>
        <v>-0.19982355106426278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0.4535996150364846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0.6527374602185485</v>
      </c>
      <c r="H814" t="s">
        <v>11</v>
      </c>
      <c r="I814">
        <f>VLOOKUP(Table4[[#This Row],[Visitor]],'NHL Model'!$A$6:$B$38,2,FALSE)</f>
        <v>0.20922229284068078</v>
      </c>
      <c r="J814">
        <f>($B$1+Table4[[#This Row],[Home Differential]])-Table4[[#This Row],[Away Differential]]</f>
        <v>0.51842708395451731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0.58388214432989105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-0.29605365356197477</v>
      </c>
      <c r="H815" t="s">
        <v>55</v>
      </c>
      <c r="I815">
        <f>VLOOKUP(Table4[[#This Row],[Visitor]],'NHL Model'!$A$6:$B$38,2,FALSE)</f>
        <v>0.18592042582238802</v>
      </c>
      <c r="J815">
        <f>($B$1+Table4[[#This Row],[Home Differential]])-Table4[[#This Row],[Away Differential]]</f>
        <v>-0.40706216280771312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0.50575729774150746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0.29544191342066151</v>
      </c>
      <c r="H816" t="s">
        <v>23</v>
      </c>
      <c r="I816">
        <f>VLOOKUP(Table4[[#This Row],[Visitor]],'NHL Model'!$A$6:$B$38,2,FALSE)</f>
        <v>8.8679045351754957E-2</v>
      </c>
      <c r="J816">
        <f>($B$1+Table4[[#This Row],[Home Differential]])-Table4[[#This Row],[Away Differential]]</f>
        <v>0.28167478464555618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0.58567929555149145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6.3057484159014243E-2</v>
      </c>
      <c r="H817" t="s">
        <v>25</v>
      </c>
      <c r="I817">
        <f>VLOOKUP(Table4[[#This Row],[Visitor]],'NHL Model'!$A$6:$B$38,2,FALSE)</f>
        <v>0.53620748452970379</v>
      </c>
      <c r="J817">
        <f>($B$1+Table4[[#This Row],[Home Differential]])-Table4[[#This Row],[Away Differential]]</f>
        <v>-0.39823808379403991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0.56216896994686028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-0.90940046726085955</v>
      </c>
      <c r="H818" t="s">
        <v>13</v>
      </c>
      <c r="I818">
        <f>VLOOKUP(Table4[[#This Row],[Visitor]],'NHL Model'!$A$6:$B$38,2,FALSE)</f>
        <v>4.5005056179018996E-2</v>
      </c>
      <c r="J818">
        <f>($B$1+Table4[[#This Row],[Home Differential]])-Table4[[#This Row],[Away Differential]]</f>
        <v>-0.87949360686322886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0.59125299770648765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-5.6782013784997053E-2</v>
      </c>
      <c r="H819" t="s">
        <v>26</v>
      </c>
      <c r="I819">
        <f>VLOOKUP(Table4[[#This Row],[Visitor]],'NHL Model'!$A$6:$B$38,2,FALSE)</f>
        <v>-8.2026557704658234E-2</v>
      </c>
      <c r="J819">
        <f>($B$1+Table4[[#This Row],[Home Differential]])-Table4[[#This Row],[Away Differential]]</f>
        <v>0.10015646049631083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0.51767503434577711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-0.31573427760518757</v>
      </c>
      <c r="H820" t="s">
        <v>31</v>
      </c>
      <c r="I820">
        <f>VLOOKUP(Table4[[#This Row],[Visitor]],'NHL Model'!$A$6:$B$38,2,FALSE)</f>
        <v>-5.9622828283354432E-4</v>
      </c>
      <c r="J820">
        <f>($B$1+Table4[[#This Row],[Home Differential]])-Table4[[#This Row],[Away Differential]]</f>
        <v>-0.2402261327457044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0.45646407002498796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-0.45160327336373768</v>
      </c>
      <c r="H821" t="s">
        <v>11</v>
      </c>
      <c r="I821">
        <f>VLOOKUP(Table4[[#This Row],[Visitor]],'NHL Model'!$A$6:$B$38,2,FALSE)</f>
        <v>0.20922229284068078</v>
      </c>
      <c r="J821">
        <f>($B$1+Table4[[#This Row],[Home Differential]])-Table4[[#This Row],[Away Differential]]</f>
        <v>-0.58591364962776882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0.56275615727375017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6.3057484159014243E-2</v>
      </c>
      <c r="H822" t="s">
        <v>20</v>
      </c>
      <c r="I822">
        <f>VLOOKUP(Table4[[#This Row],[Visitor]],'NHL Model'!$A$6:$B$38,2,FALSE)</f>
        <v>0.21230765705109297</v>
      </c>
      <c r="J822">
        <f>($B$1+Table4[[#This Row],[Home Differential]])-Table4[[#This Row],[Away Differential]]</f>
        <v>-7.4338256315429091E-2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0.48912549189737786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-0.34471182133334621</v>
      </c>
      <c r="H823" t="s">
        <v>24</v>
      </c>
      <c r="I823">
        <f>VLOOKUP(Table4[[#This Row],[Visitor]],'NHL Model'!$A$6:$B$38,2,FALSE)</f>
        <v>-7.602164965773138E-2</v>
      </c>
      <c r="J823">
        <f>($B$1+Table4[[#This Row],[Home Differential]])-Table4[[#This Row],[Away Differential]]</f>
        <v>-0.19377825509896518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0.5025515778516384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-1.7306849519822837E-2</v>
      </c>
      <c r="H824" t="s">
        <v>12</v>
      </c>
      <c r="I824">
        <f>VLOOKUP(Table4[[#This Row],[Visitor]],'NHL Model'!$A$6:$B$38,2,FALSE)</f>
        <v>1.8116689824371455</v>
      </c>
      <c r="J824">
        <f>($B$1+Table4[[#This Row],[Home Differential]])-Table4[[#This Row],[Away Differential]]</f>
        <v>-1.7540639153803186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0.73205563266010054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-0.46815423657711264</v>
      </c>
      <c r="H825" t="s">
        <v>14</v>
      </c>
      <c r="I825">
        <f>VLOOKUP(Table4[[#This Row],[Visitor]],'NHL Model'!$A$6:$B$38,2,FALSE)</f>
        <v>3.3446447213402619E-2</v>
      </c>
      <c r="J825">
        <f>($B$1+Table4[[#This Row],[Home Differential]])-Table4[[#This Row],[Away Differential]]</f>
        <v>-0.42668876721386562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0.51525321696940907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-0.15682239438733669</v>
      </c>
      <c r="H826" t="s">
        <v>13</v>
      </c>
      <c r="I826">
        <f>VLOOKUP(Table4[[#This Row],[Visitor]],'NHL Model'!$A$6:$B$38,2,FALSE)</f>
        <v>4.5005056179018996E-2</v>
      </c>
      <c r="J826">
        <f>($B$1+Table4[[#This Row],[Home Differential]])-Table4[[#This Row],[Away Differential]]</f>
        <v>-0.12691553398970606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0.50665673182738546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0.17499330177061237</v>
      </c>
      <c r="H827" t="s">
        <v>31</v>
      </c>
      <c r="I827">
        <f>VLOOKUP(Table4[[#This Row],[Visitor]],'NHL Model'!$A$6:$B$38,2,FALSE)</f>
        <v>-5.9622828283354432E-4</v>
      </c>
      <c r="J827">
        <f>($B$1+Table4[[#This Row],[Home Differential]])-Table4[[#This Row],[Away Differential]]</f>
        <v>0.25050144663009555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0.60419538936996364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6.6163598639307278E-2</v>
      </c>
      <c r="H828" t="s">
        <v>21</v>
      </c>
      <c r="I828">
        <f>VLOOKUP(Table4[[#This Row],[Visitor]],'NHL Model'!$A$6:$B$38,2,FALSE)</f>
        <v>-6.5206076050157921E-2</v>
      </c>
      <c r="J828">
        <f>($B$1+Table4[[#This Row],[Home Differential]])-Table4[[#This Row],[Away Differential]]</f>
        <v>0.20628159126611484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0.5631878299005999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0.3028174375616956</v>
      </c>
      <c r="H829" t="s">
        <v>30</v>
      </c>
      <c r="I829">
        <f>VLOOKUP(Table4[[#This Row],[Visitor]],'NHL Model'!$A$6:$B$38,2,FALSE)</f>
        <v>0.29544191342066151</v>
      </c>
      <c r="J829">
        <f>($B$1+Table4[[#This Row],[Home Differential]])-Table4[[#This Row],[Away Differential]]</f>
        <v>8.2287440717683735E-2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0.52025226299919336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0.77279348157483052</v>
      </c>
      <c r="H830" t="s">
        <v>55</v>
      </c>
      <c r="I830">
        <f>VLOOKUP(Table4[[#This Row],[Visitor]],'NHL Model'!$A$6:$B$38,2,FALSE)</f>
        <v>0.18592042582238802</v>
      </c>
      <c r="J830">
        <f>($B$1+Table4[[#This Row],[Home Differential]])-Table4[[#This Row],[Away Differential]]</f>
        <v>0.66178497232909217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0.6189447937930117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-6.5206076050157921E-2</v>
      </c>
      <c r="H831" t="s">
        <v>29</v>
      </c>
      <c r="I831">
        <f>VLOOKUP(Table4[[#This Row],[Visitor]],'NHL Model'!$A$6:$B$38,2,FALSE)</f>
        <v>-0.29605365356197477</v>
      </c>
      <c r="J831">
        <f>($B$1+Table4[[#This Row],[Home Differential]])-Table4[[#This Row],[Away Differential]]</f>
        <v>0.30575949408846648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0.58838662460756375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-8.2026557704658234E-2</v>
      </c>
      <c r="H832" t="s">
        <v>13</v>
      </c>
      <c r="I832">
        <f>VLOOKUP(Table4[[#This Row],[Visitor]],'NHL Model'!$A$6:$B$38,2,FALSE)</f>
        <v>4.5005056179018996E-2</v>
      </c>
      <c r="J832">
        <f>($B$1+Table4[[#This Row],[Home Differential]])-Table4[[#This Row],[Away Differential]]</f>
        <v>-5.211969730702759E-2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0.46419203680856019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0.20922229284068078</v>
      </c>
      <c r="H833" t="s">
        <v>55</v>
      </c>
      <c r="I833">
        <f>VLOOKUP(Table4[[#This Row],[Visitor]],'NHL Model'!$A$6:$B$38,2,FALSE)</f>
        <v>0.18592042582238802</v>
      </c>
      <c r="J833">
        <f>($B$1+Table4[[#This Row],[Home Differential]])-Table4[[#This Row],[Away Differential]]</f>
        <v>9.82137835949424E-2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0.55180546731997071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0.6527374602185485</v>
      </c>
      <c r="H834" t="s">
        <v>10</v>
      </c>
      <c r="I834">
        <f>VLOOKUP(Table4[[#This Row],[Visitor]],'NHL Model'!$A$6:$B$38,2,FALSE)</f>
        <v>-0.45160327336373768</v>
      </c>
      <c r="J834">
        <f>($B$1+Table4[[#This Row],[Home Differential]])-Table4[[#This Row],[Away Differential]]</f>
        <v>1.1792526501589358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0.69484190517622757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4.5205299343610755E-2</v>
      </c>
      <c r="H835" t="s">
        <v>20</v>
      </c>
      <c r="I835">
        <f>VLOOKUP(Table4[[#This Row],[Visitor]],'NHL Model'!$A$6:$B$38,2,FALSE)</f>
        <v>0.21230765705109297</v>
      </c>
      <c r="J835">
        <f>($B$1+Table4[[#This Row],[Home Differential]])-Table4[[#This Row],[Away Differential]]</f>
        <v>-9.2190441130832579E-2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0.49113223143391566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-7.602164965773138E-2</v>
      </c>
      <c r="H836" t="s">
        <v>40</v>
      </c>
      <c r="I836">
        <f>VLOOKUP(Table4[[#This Row],[Visitor]],'NHL Model'!$A$6:$B$38,2,FALSE)</f>
        <v>-5.6782013784997053E-2</v>
      </c>
      <c r="J836">
        <f>($B$1+Table4[[#This Row],[Home Differential]])-Table4[[#This Row],[Away Differential]]</f>
        <v>5.5672280703915313E-2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0.5462580444877192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-0.34471182133334621</v>
      </c>
      <c r="H837" t="s">
        <v>22</v>
      </c>
      <c r="I837">
        <f>VLOOKUP(Table4[[#This Row],[Visitor]],'NHL Model'!$A$6:$B$38,2,FALSE)</f>
        <v>0.44972876941152479</v>
      </c>
      <c r="J837">
        <f>($B$1+Table4[[#This Row],[Home Differential]])-Table4[[#This Row],[Away Differential]]</f>
        <v>-0.71952867416822142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0.54817094806158972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-0.90940046726085955</v>
      </c>
      <c r="H838" t="s">
        <v>39</v>
      </c>
      <c r="I838">
        <f>VLOOKUP(Table4[[#This Row],[Visitor]],'NHL Model'!$A$6:$B$38,2,FALSE)</f>
        <v>0.92535559469880035</v>
      </c>
      <c r="J838">
        <f>($B$1+Table4[[#This Row],[Home Differential]])-Table4[[#This Row],[Away Differential]]</f>
        <v>-1.7598441453830103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0.74404014682778929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-1.7306849519822837E-2</v>
      </c>
      <c r="H839" t="s">
        <v>23</v>
      </c>
      <c r="I839">
        <f>VLOOKUP(Table4[[#This Row],[Visitor]],'NHL Model'!$A$6:$B$38,2,FALSE)</f>
        <v>8.8679045351754957E-2</v>
      </c>
      <c r="J839">
        <f>($B$1+Table4[[#This Row],[Home Differential]])-Table4[[#This Row],[Away Differential]]</f>
        <v>-3.1073978294928153E-2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0.45217830970078216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-0.46815423657711264</v>
      </c>
      <c r="H840" t="s">
        <v>33</v>
      </c>
      <c r="I840">
        <f>VLOOKUP(Table4[[#This Row],[Visitor]],'NHL Model'!$A$6:$B$38,2,FALSE)</f>
        <v>-0.21695959508717547</v>
      </c>
      <c r="J840">
        <f>($B$1+Table4[[#This Row],[Home Differential]])-Table4[[#This Row],[Away Differential]]</f>
        <v>-0.17628272491328753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0.48710541822832948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-0.15682239438733669</v>
      </c>
      <c r="H841" t="s">
        <v>27</v>
      </c>
      <c r="I841">
        <f>VLOOKUP(Table4[[#This Row],[Visitor]],'NHL Model'!$A$6:$B$38,2,FALSE)</f>
        <v>0.3028174375616956</v>
      </c>
      <c r="J841">
        <f>($B$1+Table4[[#This Row],[Home Differential]])-Table4[[#This Row],[Away Differential]]</f>
        <v>-0.38472791537238266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0.52401596648089488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0.29544191342066151</v>
      </c>
      <c r="H842" t="s">
        <v>15</v>
      </c>
      <c r="I842">
        <f>VLOOKUP(Table4[[#This Row],[Visitor]],'NHL Model'!$A$6:$B$38,2,FALSE)</f>
        <v>6.6163598639307278E-2</v>
      </c>
      <c r="J842">
        <f>($B$1+Table4[[#This Row],[Home Differential]])-Table4[[#This Row],[Away Differential]]</f>
        <v>0.30419023135800388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0.51840413175998101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6.3057484159014243E-2</v>
      </c>
      <c r="H843" t="s">
        <v>12</v>
      </c>
      <c r="I843">
        <f>VLOOKUP(Table4[[#This Row],[Visitor]],'NHL Model'!$A$6:$B$38,2,FALSE)</f>
        <v>1.8116689824371455</v>
      </c>
      <c r="J843">
        <f>($B$1+Table4[[#This Row],[Home Differential]])-Table4[[#This Row],[Away Differential]]</f>
        <v>-1.6736995817014817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0.73435675493010022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-6.5206076050157921E-2</v>
      </c>
      <c r="H844" t="s">
        <v>27</v>
      </c>
      <c r="I844">
        <f>VLOOKUP(Table4[[#This Row],[Visitor]],'NHL Model'!$A$6:$B$38,2,FALSE)</f>
        <v>0.3028174375616956</v>
      </c>
      <c r="J844">
        <f>($B$1+Table4[[#This Row],[Home Differential]])-Table4[[#This Row],[Away Differential]]</f>
        <v>-0.2931115970352039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0.49961493806708196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8.8679045351754957E-2</v>
      </c>
      <c r="H845" t="s">
        <v>13</v>
      </c>
      <c r="I845">
        <f>VLOOKUP(Table4[[#This Row],[Visitor]],'NHL Model'!$A$6:$B$38,2,FALSE)</f>
        <v>4.5005056179018996E-2</v>
      </c>
      <c r="J845">
        <f>($B$1+Table4[[#This Row],[Home Differential]])-Table4[[#This Row],[Away Differential]]</f>
        <v>0.11858590574938561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0.55996782256594158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0.53620748452970379</v>
      </c>
      <c r="H846" t="s">
        <v>55</v>
      </c>
      <c r="I846">
        <f>VLOOKUP(Table4[[#This Row],[Visitor]],'NHL Model'!$A$6:$B$38,2,FALSE)</f>
        <v>0.18592042582238802</v>
      </c>
      <c r="J846">
        <f>($B$1+Table4[[#This Row],[Home Differential]])-Table4[[#This Row],[Away Differential]]</f>
        <v>0.42519897528396544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0.6333816174674356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-8.2026557704658234E-2</v>
      </c>
      <c r="H847" t="s">
        <v>22</v>
      </c>
      <c r="I847">
        <f>VLOOKUP(Table4[[#This Row],[Visitor]],'NHL Model'!$A$6:$B$38,2,FALSE)</f>
        <v>0.44972876941152479</v>
      </c>
      <c r="J847">
        <f>($B$1+Table4[[#This Row],[Home Differential]])-Table4[[#This Row],[Away Differential]]</f>
        <v>-0.45684341053953337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0.48483937784901016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0.17499330177061237</v>
      </c>
      <c r="H848" t="s">
        <v>33</v>
      </c>
      <c r="I848">
        <f>VLOOKUP(Table4[[#This Row],[Visitor]],'NHL Model'!$A$6:$B$38,2,FALSE)</f>
        <v>-0.21695959508717547</v>
      </c>
      <c r="J848">
        <f>($B$1+Table4[[#This Row],[Home Differential]])-Table4[[#This Row],[Away Differential]]</f>
        <v>0.46686481343443748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0.62134190687936086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0.6527374602185485</v>
      </c>
      <c r="H849" t="s">
        <v>16</v>
      </c>
      <c r="I849">
        <f>VLOOKUP(Table4[[#This Row],[Visitor]],'NHL Model'!$A$6:$B$38,2,FALSE)</f>
        <v>-0.31573427760518757</v>
      </c>
      <c r="J849">
        <f>($B$1+Table4[[#This Row],[Home Differential]])-Table4[[#This Row],[Away Differential]]</f>
        <v>1.0433836544003858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0.67956905827274283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4.5205299343610755E-2</v>
      </c>
      <c r="H850" t="s">
        <v>12</v>
      </c>
      <c r="I850">
        <f>VLOOKUP(Table4[[#This Row],[Visitor]],'NHL Model'!$A$6:$B$38,2,FALSE)</f>
        <v>1.8116689824371455</v>
      </c>
      <c r="J850">
        <f>($B$1+Table4[[#This Row],[Home Differential]])-Table4[[#This Row],[Away Differential]]</f>
        <v>-1.6915517665168851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0.73636349446663807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-7.602164965773138E-2</v>
      </c>
      <c r="H851" t="s">
        <v>29</v>
      </c>
      <c r="I851">
        <f>VLOOKUP(Table4[[#This Row],[Visitor]],'NHL Model'!$A$6:$B$38,2,FALSE)</f>
        <v>-0.29605365356197477</v>
      </c>
      <c r="J851">
        <f>($B$1+Table4[[#This Row],[Home Differential]])-Table4[[#This Row],[Away Differential]]</f>
        <v>0.29494392048089302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0.57315424035828866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6.6163598639307278E-2</v>
      </c>
      <c r="H852" t="s">
        <v>30</v>
      </c>
      <c r="I852">
        <f>VLOOKUP(Table4[[#This Row],[Visitor]],'NHL Model'!$A$6:$B$38,2,FALSE)</f>
        <v>0.29544191342066151</v>
      </c>
      <c r="J852">
        <f>($B$1+Table4[[#This Row],[Home Differential]])-Table4[[#This Row],[Away Differential]]</f>
        <v>-0.1543663982047046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0.51093553006353032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3.3446447213402619E-2</v>
      </c>
      <c r="H853" t="s">
        <v>10</v>
      </c>
      <c r="I853">
        <f>VLOOKUP(Table4[[#This Row],[Visitor]],'NHL Model'!$A$6:$B$38,2,FALSE)</f>
        <v>-0.45160327336373768</v>
      </c>
      <c r="J853">
        <f>($B$1+Table4[[#This Row],[Home Differential]])-Table4[[#This Row],[Away Differential]]</f>
        <v>0.55996163715378988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0.602944517314844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-0.34471182133334621</v>
      </c>
      <c r="H854" t="s">
        <v>19</v>
      </c>
      <c r="I854">
        <f>VLOOKUP(Table4[[#This Row],[Visitor]],'NHL Model'!$A$6:$B$38,2,FALSE)</f>
        <v>-1.7306849519822837E-2</v>
      </c>
      <c r="J854">
        <f>($B$1+Table4[[#This Row],[Home Differential]])-Table4[[#This Row],[Away Differential]]</f>
        <v>-0.25249305523687371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0.48838239699422537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-0.90940046726085955</v>
      </c>
      <c r="H855" t="s">
        <v>11</v>
      </c>
      <c r="I855">
        <f>VLOOKUP(Table4[[#This Row],[Visitor]],'NHL Model'!$A$6:$B$38,2,FALSE)</f>
        <v>0.20922229284068078</v>
      </c>
      <c r="J855">
        <f>($B$1+Table4[[#This Row],[Home Differential]])-Table4[[#This Row],[Away Differential]]</f>
        <v>-1.0437108435248907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0.61421651006579381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0.77279348157483052</v>
      </c>
      <c r="H856" t="s">
        <v>40</v>
      </c>
      <c r="I856">
        <f>VLOOKUP(Table4[[#This Row],[Visitor]],'NHL Model'!$A$6:$B$38,2,FALSE)</f>
        <v>-5.6782013784997053E-2</v>
      </c>
      <c r="J856">
        <f>($B$1+Table4[[#This Row],[Home Differential]])-Table4[[#This Row],[Away Differential]]</f>
        <v>0.90448741193647719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0.6462266411528983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-0.46815423657711264</v>
      </c>
      <c r="H857" t="s">
        <v>31</v>
      </c>
      <c r="I857">
        <f>VLOOKUP(Table4[[#This Row],[Visitor]],'NHL Model'!$A$6:$B$38,2,FALSE)</f>
        <v>-5.9622828283354432E-4</v>
      </c>
      <c r="J857">
        <f>($B$1+Table4[[#This Row],[Home Differential]])-Table4[[#This Row],[Away Differential]]</f>
        <v>-0.39264609171762943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0.50413680702190378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0.21230765705109297</v>
      </c>
      <c r="H858" t="s">
        <v>39</v>
      </c>
      <c r="I858">
        <f>VLOOKUP(Table4[[#This Row],[Visitor]],'NHL Model'!$A$6:$B$38,2,FALSE)</f>
        <v>0.92535559469880035</v>
      </c>
      <c r="J858">
        <f>($B$1+Table4[[#This Row],[Home Differential]])-Table4[[#This Row],[Away Differential]]</f>
        <v>-0.63813602107105771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0.61795047966445904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-0.45160327336373768</v>
      </c>
      <c r="H859" t="s">
        <v>28</v>
      </c>
      <c r="I859">
        <f>VLOOKUP(Table4[[#This Row],[Visitor]],'NHL Model'!$A$6:$B$38,2,FALSE)</f>
        <v>-0.15682239438733669</v>
      </c>
      <c r="J859">
        <f>($B$1+Table4[[#This Row],[Home Differential]])-Table4[[#This Row],[Away Differential]]</f>
        <v>-0.21986896239975134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0.4847151675981099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8.8679045351754957E-2</v>
      </c>
      <c r="H860" t="s">
        <v>18</v>
      </c>
      <c r="I860">
        <f>VLOOKUP(Table4[[#This Row],[Visitor]],'NHL Model'!$A$6:$B$38,2,FALSE)</f>
        <v>4.5205299343610755E-2</v>
      </c>
      <c r="J860">
        <f>($B$1+Table4[[#This Row],[Home Differential]])-Table4[[#This Row],[Away Differential]]</f>
        <v>0.11838566258479385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0.5350466999073521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-0.31573427760518757</v>
      </c>
      <c r="H861" t="s">
        <v>33</v>
      </c>
      <c r="I861">
        <f>VLOOKUP(Table4[[#This Row],[Visitor]],'NHL Model'!$A$6:$B$38,2,FALSE)</f>
        <v>-0.21695959508717547</v>
      </c>
      <c r="J861">
        <f>($B$1+Table4[[#This Row],[Home Differential]])-Table4[[#This Row],[Away Differential]]</f>
        <v>-2.3862765941362468E-2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0.43934006263308323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-8.2026557704658234E-2</v>
      </c>
      <c r="H862" t="s">
        <v>12</v>
      </c>
      <c r="I862">
        <f>VLOOKUP(Table4[[#This Row],[Visitor]],'NHL Model'!$A$6:$B$38,2,FALSE)</f>
        <v>1.8116689824371455</v>
      </c>
      <c r="J862">
        <f>($B$1+Table4[[#This Row],[Home Differential]])-Table4[[#This Row],[Away Differential]]</f>
        <v>-1.818783623565154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0.71664208704573995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0.17499330177061237</v>
      </c>
      <c r="H863" t="s">
        <v>34</v>
      </c>
      <c r="I863">
        <f>VLOOKUP(Table4[[#This Row],[Visitor]],'NHL Model'!$A$6:$B$38,2,FALSE)</f>
        <v>0.6527374602185485</v>
      </c>
      <c r="J863">
        <f>($B$1+Table4[[#This Row],[Home Differential]])-Table4[[#This Row],[Away Differential]]</f>
        <v>-0.40283224187128652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0.53966384061989281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0.20922229284068078</v>
      </c>
      <c r="H864" t="s">
        <v>40</v>
      </c>
      <c r="I864">
        <f>VLOOKUP(Table4[[#This Row],[Visitor]],'NHL Model'!$A$6:$B$38,2,FALSE)</f>
        <v>-5.6782013784997053E-2</v>
      </c>
      <c r="J864">
        <f>($B$1+Table4[[#This Row],[Home Differential]])-Table4[[#This Row],[Away Differential]]</f>
        <v>0.34091622320232745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0.57908731467985741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0.29544191342066151</v>
      </c>
      <c r="H865" t="s">
        <v>29</v>
      </c>
      <c r="I865">
        <f>VLOOKUP(Table4[[#This Row],[Visitor]],'NHL Model'!$A$6:$B$38,2,FALSE)</f>
        <v>-0.29605365356197477</v>
      </c>
      <c r="J865">
        <f>($B$1+Table4[[#This Row],[Home Differential]])-Table4[[#This Row],[Away Differential]]</f>
        <v>0.66640748355928592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0.62892656897445787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6.3057484159014243E-2</v>
      </c>
      <c r="H866" t="s">
        <v>24</v>
      </c>
      <c r="I866">
        <f>VLOOKUP(Table4[[#This Row],[Visitor]],'NHL Model'!$A$6:$B$38,2,FALSE)</f>
        <v>-7.602164965773138E-2</v>
      </c>
      <c r="J866">
        <f>($B$1+Table4[[#This Row],[Home Differential]])-Table4[[#This Row],[Away Differential]]</f>
        <v>0.21399105039339528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0.54328520882626141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0.3028174375616956</v>
      </c>
      <c r="H867" t="s">
        <v>13</v>
      </c>
      <c r="I867">
        <f>VLOOKUP(Table4[[#This Row],[Visitor]],'NHL Model'!$A$6:$B$38,2,FALSE)</f>
        <v>4.5005056179018996E-2</v>
      </c>
      <c r="J867">
        <f>($B$1+Table4[[#This Row],[Home Differential]])-Table4[[#This Row],[Away Differential]]</f>
        <v>0.33272429795932623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0.54959620256885144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3.3446447213402619E-2</v>
      </c>
      <c r="H868" t="s">
        <v>15</v>
      </c>
      <c r="I868">
        <f>VLOOKUP(Table4[[#This Row],[Visitor]],'NHL Model'!$A$6:$B$38,2,FALSE)</f>
        <v>6.6163598639307278E-2</v>
      </c>
      <c r="J868">
        <f>($B$1+Table4[[#This Row],[Home Differential]])-Table4[[#This Row],[Away Differential]]</f>
        <v>4.2194765150744981E-2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0.4748414658001161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-0.90940046726085955</v>
      </c>
      <c r="H869" t="s">
        <v>28</v>
      </c>
      <c r="I869">
        <f>VLOOKUP(Table4[[#This Row],[Visitor]],'NHL Model'!$A$6:$B$38,2,FALSE)</f>
        <v>-0.15682239438733669</v>
      </c>
      <c r="J869">
        <f>($B$1+Table4[[#This Row],[Home Differential]])-Table4[[#This Row],[Away Differential]]</f>
        <v>-0.67766615629687321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0.53617552039015359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0.18592042582238802</v>
      </c>
      <c r="H870" t="s">
        <v>39</v>
      </c>
      <c r="I870">
        <f>VLOOKUP(Table4[[#This Row],[Visitor]],'NHL Model'!$A$6:$B$38,2,FALSE)</f>
        <v>0.92535559469880035</v>
      </c>
      <c r="J870">
        <f>($B$1+Table4[[#This Row],[Home Differential]])-Table4[[#This Row],[Away Differential]]</f>
        <v>-0.66452325229976272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0.62091663202698222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-0.46815423657711264</v>
      </c>
      <c r="H871" t="s">
        <v>19</v>
      </c>
      <c r="I871">
        <f>VLOOKUP(Table4[[#This Row],[Visitor]],'NHL Model'!$A$6:$B$38,2,FALSE)</f>
        <v>-1.7306849519822837E-2</v>
      </c>
      <c r="J871">
        <f>($B$1+Table4[[#This Row],[Home Differential]])-Table4[[#This Row],[Away Differential]]</f>
        <v>-0.37593547048064013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0.50225838907681053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0.21230765705109297</v>
      </c>
      <c r="H872" t="s">
        <v>32</v>
      </c>
      <c r="I872">
        <f>VLOOKUP(Table4[[#This Row],[Visitor]],'NHL Model'!$A$6:$B$38,2,FALSE)</f>
        <v>-0.34471182133334621</v>
      </c>
      <c r="J872">
        <f>($B$1+Table4[[#This Row],[Home Differential]])-Table4[[#This Row],[Away Differential]]</f>
        <v>0.63193139496108885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0.6110345387839442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0.44972876941152479</v>
      </c>
      <c r="H873" t="s">
        <v>25</v>
      </c>
      <c r="I873">
        <f>VLOOKUP(Table4[[#This Row],[Visitor]],'NHL Model'!$A$6:$B$38,2,FALSE)</f>
        <v>0.53620748452970379</v>
      </c>
      <c r="J873">
        <f>($B$1+Table4[[#This Row],[Home Differential]])-Table4[[#This Row],[Away Differential]]</f>
        <v>-1.1566798541529311E-2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0.51412072073256776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-5.9622828283354432E-4</v>
      </c>
      <c r="H874" t="s">
        <v>20</v>
      </c>
      <c r="I874">
        <f>VLOOKUP(Table4[[#This Row],[Visitor]],'NHL Model'!$A$6:$B$38,2,FALSE)</f>
        <v>0.21230765705109297</v>
      </c>
      <c r="J874">
        <f>($B$1+Table4[[#This Row],[Home Differential]])-Table4[[#This Row],[Away Differential]]</f>
        <v>-0.13799196875727687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0.45737195249405871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0.53620748452970379</v>
      </c>
      <c r="H875" t="s">
        <v>13</v>
      </c>
      <c r="I875">
        <f>VLOOKUP(Table4[[#This Row],[Visitor]],'NHL Model'!$A$6:$B$38,2,FALSE)</f>
        <v>4.5005056179018996E-2</v>
      </c>
      <c r="J875">
        <f>($B$1+Table4[[#This Row],[Home Differential]])-Table4[[#This Row],[Away Differential]]</f>
        <v>0.56611434492733448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0.61738867022858279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0.77279348157483052</v>
      </c>
      <c r="H876" t="s">
        <v>21</v>
      </c>
      <c r="I876">
        <f>VLOOKUP(Table4[[#This Row],[Visitor]],'NHL Model'!$A$6:$B$38,2,FALSE)</f>
        <v>-6.5206076050157921E-2</v>
      </c>
      <c r="J876">
        <f>($B$1+Table4[[#This Row],[Home Differential]])-Table4[[#This Row],[Away Differential]]</f>
        <v>0.9129114742016381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0.64717357840346779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-0.31573427760518757</v>
      </c>
      <c r="H877" t="s">
        <v>19</v>
      </c>
      <c r="I877">
        <f>VLOOKUP(Table4[[#This Row],[Visitor]],'NHL Model'!$A$6:$B$38,2,FALSE)</f>
        <v>-1.7306849519822837E-2</v>
      </c>
      <c r="J877">
        <f>($B$1+Table4[[#This Row],[Home Differential]])-Table4[[#This Row],[Away Differential]]</f>
        <v>-0.2235155115087151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0.45458565207989471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-0.45160327336373768</v>
      </c>
      <c r="H878" t="s">
        <v>33</v>
      </c>
      <c r="I878">
        <f>VLOOKUP(Table4[[#This Row],[Visitor]],'NHL Model'!$A$6:$B$38,2,FALSE)</f>
        <v>-0.21695959508717547</v>
      </c>
      <c r="J878">
        <f>($B$1+Table4[[#This Row],[Home Differential]])-Table4[[#This Row],[Away Differential]]</f>
        <v>-0.15973176169991257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0.48524494722203537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1.8116689824371455</v>
      </c>
      <c r="H879" t="s">
        <v>26</v>
      </c>
      <c r="I879">
        <f>VLOOKUP(Table4[[#This Row],[Visitor]],'NHL Model'!$A$6:$B$38,2,FALSE)</f>
        <v>-8.2026557704658234E-2</v>
      </c>
      <c r="J879">
        <f>($B$1+Table4[[#This Row],[Home Differential]])-Table4[[#This Row],[Away Differential]]</f>
        <v>1.9686074567184533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0.84938762962613679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0.92535559469880035</v>
      </c>
      <c r="H880" t="s">
        <v>40</v>
      </c>
      <c r="I880">
        <f>VLOOKUP(Table4[[#This Row],[Visitor]],'NHL Model'!$A$6:$B$38,2,FALSE)</f>
        <v>-5.6782013784997053E-2</v>
      </c>
      <c r="J880">
        <f>($B$1+Table4[[#This Row],[Home Differential]])-Table4[[#This Row],[Away Differential]]</f>
        <v>1.057049525060447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0.69741357554454275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0.20922229284068078</v>
      </c>
      <c r="H881" t="s">
        <v>23</v>
      </c>
      <c r="I881">
        <f>VLOOKUP(Table4[[#This Row],[Visitor]],'NHL Model'!$A$6:$B$38,2,FALSE)</f>
        <v>8.8679045351754957E-2</v>
      </c>
      <c r="J881">
        <f>($B$1+Table4[[#This Row],[Home Differential]])-Table4[[#This Row],[Away Differential]]</f>
        <v>0.19545516406557545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0.56273623712746035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0.6527374602185485</v>
      </c>
      <c r="H882" t="s">
        <v>18</v>
      </c>
      <c r="I882">
        <f>VLOOKUP(Table4[[#This Row],[Visitor]],'NHL Model'!$A$6:$B$38,2,FALSE)</f>
        <v>4.5205299343610755E-2</v>
      </c>
      <c r="J882">
        <f>($B$1+Table4[[#This Row],[Home Differential]])-Table4[[#This Row],[Away Differential]]</f>
        <v>0.68244407745158742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0.58182507437198105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-0.29605365356197477</v>
      </c>
      <c r="H883" t="s">
        <v>35</v>
      </c>
      <c r="I883">
        <f>VLOOKUP(Table4[[#This Row],[Visitor]],'NHL Model'!$A$6:$B$38,2,FALSE)</f>
        <v>-0.90940046726085955</v>
      </c>
      <c r="J883">
        <f>($B$1+Table4[[#This Row],[Home Differential]])-Table4[[#This Row],[Away Differential]]</f>
        <v>0.68825873027553441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0.61736621705929962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3.3446447213402619E-2</v>
      </c>
      <c r="H884" t="s">
        <v>36</v>
      </c>
      <c r="I884">
        <f>VLOOKUP(Table4[[#This Row],[Visitor]],'NHL Model'!$A$6:$B$38,2,FALSE)</f>
        <v>6.3057484159014243E-2</v>
      </c>
      <c r="J884">
        <f>($B$1+Table4[[#This Row],[Home Differential]])-Table4[[#This Row],[Away Differential]]</f>
        <v>4.5300879631038016E-2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0.52432297879142242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0.18592042582238802</v>
      </c>
      <c r="H885" t="s">
        <v>38</v>
      </c>
      <c r="I885">
        <f>VLOOKUP(Table4[[#This Row],[Visitor]],'NHL Model'!$A$6:$B$38,2,FALSE)</f>
        <v>-0.46815423657711264</v>
      </c>
      <c r="J885">
        <f>($B$1+Table4[[#This Row],[Home Differential]])-Table4[[#This Row],[Away Differential]]</f>
        <v>0.72898657897615027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0.57943181568993585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0.44972876941152479</v>
      </c>
      <c r="H886" t="s">
        <v>30</v>
      </c>
      <c r="I886">
        <f>VLOOKUP(Table4[[#This Row],[Visitor]],'NHL Model'!$A$6:$B$38,2,FALSE)</f>
        <v>0.29544191342066151</v>
      </c>
      <c r="J886">
        <f>($B$1+Table4[[#This Row],[Home Differential]])-Table4[[#This Row],[Away Differential]]</f>
        <v>0.22919877256751298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0.53676636371218323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-5.9622828283354432E-4</v>
      </c>
      <c r="H887" t="s">
        <v>32</v>
      </c>
      <c r="I887">
        <f>VLOOKUP(Table4[[#This Row],[Visitor]],'NHL Model'!$A$6:$B$38,2,FALSE)</f>
        <v>-0.34471182133334621</v>
      </c>
      <c r="J887">
        <f>($B$1+Table4[[#This Row],[Home Differential]])-Table4[[#This Row],[Away Differential]]</f>
        <v>0.41902750962716229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0.62569439849195063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0.53620748452970379</v>
      </c>
      <c r="H888" t="s">
        <v>36</v>
      </c>
      <c r="I888">
        <f>VLOOKUP(Table4[[#This Row],[Visitor]],'NHL Model'!$A$6:$B$38,2,FALSE)</f>
        <v>6.3057484159014243E-2</v>
      </c>
      <c r="J888">
        <f>($B$1+Table4[[#This Row],[Home Differential]])-Table4[[#This Row],[Away Differential]]</f>
        <v>0.54806191694733919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0.62682427744077052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0.17499330177061237</v>
      </c>
      <c r="H889" t="s">
        <v>19</v>
      </c>
      <c r="I889">
        <f>VLOOKUP(Table4[[#This Row],[Visitor]],'NHL Model'!$A$6:$B$38,2,FALSE)</f>
        <v>-1.7306849519822837E-2</v>
      </c>
      <c r="J889">
        <f>($B$1+Table4[[#This Row],[Home Differential]])-Table4[[#This Row],[Away Differential]]</f>
        <v>0.26721206786708485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0.60607380731505689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-7.602164965773138E-2</v>
      </c>
      <c r="H890" t="s">
        <v>28</v>
      </c>
      <c r="I890">
        <f>VLOOKUP(Table4[[#This Row],[Visitor]],'NHL Model'!$A$6:$B$38,2,FALSE)</f>
        <v>-0.15682239438733669</v>
      </c>
      <c r="J890">
        <f>($B$1+Table4[[#This Row],[Home Differential]])-Table4[[#This Row],[Away Differential]]</f>
        <v>0.15571266130625494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0.55750344604953739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0.29544191342066151</v>
      </c>
      <c r="H891" t="s">
        <v>14</v>
      </c>
      <c r="I891">
        <f>VLOOKUP(Table4[[#This Row],[Visitor]],'NHL Model'!$A$6:$B$38,2,FALSE)</f>
        <v>3.3446447213402619E-2</v>
      </c>
      <c r="J891">
        <f>($B$1+Table4[[#This Row],[Home Differential]])-Table4[[#This Row],[Away Differential]]</f>
        <v>0.33690738278390853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0.58463388535631255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0.3028174375616956</v>
      </c>
      <c r="H892" t="s">
        <v>22</v>
      </c>
      <c r="I892">
        <f>VLOOKUP(Table4[[#This Row],[Visitor]],'NHL Model'!$A$6:$B$38,2,FALSE)</f>
        <v>0.44972876941152479</v>
      </c>
      <c r="J892">
        <f>($B$1+Table4[[#This Row],[Home Differential]])-Table4[[#This Row],[Away Differential]]</f>
        <v>-7.1999415273179546E-2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0.47081829095668898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0.77279348157483052</v>
      </c>
      <c r="H893" t="s">
        <v>23</v>
      </c>
      <c r="I893">
        <f>VLOOKUP(Table4[[#This Row],[Visitor]],'NHL Model'!$A$6:$B$38,2,FALSE)</f>
        <v>8.8679045351754957E-2</v>
      </c>
      <c r="J893">
        <f>($B$1+Table4[[#This Row],[Home Differential]])-Table4[[#This Row],[Away Differential]]</f>
        <v>0.75902635279972519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0.62987556360050134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-0.15682239438733669</v>
      </c>
      <c r="H894" t="s">
        <v>10</v>
      </c>
      <c r="I894">
        <f>VLOOKUP(Table4[[#This Row],[Visitor]],'NHL Model'!$A$6:$B$38,2,FALSE)</f>
        <v>-0.45160327336373768</v>
      </c>
      <c r="J894">
        <f>($B$1+Table4[[#This Row],[Home Differential]])-Table4[[#This Row],[Away Differential]]</f>
        <v>0.36969279555305062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0.58155665857600725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-0.31573427760518757</v>
      </c>
      <c r="H895" t="s">
        <v>17</v>
      </c>
      <c r="I895">
        <f>VLOOKUP(Table4[[#This Row],[Visitor]],'NHL Model'!$A$6:$B$38,2,FALSE)</f>
        <v>0.17499330177061237</v>
      </c>
      <c r="J895">
        <f>($B$1+Table4[[#This Row],[Home Differential]])-Table4[[#This Row],[Away Differential]]</f>
        <v>-0.41581566279915028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0.47620184754655587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1.8116689824371455</v>
      </c>
      <c r="H896" t="s">
        <v>33</v>
      </c>
      <c r="I896">
        <f>VLOOKUP(Table4[[#This Row],[Visitor]],'NHL Model'!$A$6:$B$38,2,FALSE)</f>
        <v>-0.21695959508717547</v>
      </c>
      <c r="J896">
        <f>($B$1+Table4[[#This Row],[Home Differential]])-Table4[[#This Row],[Away Differential]]</f>
        <v>2.1035404941009705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0.88881660820387376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0.92535559469880035</v>
      </c>
      <c r="H897" t="s">
        <v>35</v>
      </c>
      <c r="I897">
        <f>VLOOKUP(Table4[[#This Row],[Visitor]],'NHL Model'!$A$6:$B$38,2,FALSE)</f>
        <v>-0.90940046726085955</v>
      </c>
      <c r="J897">
        <f>($B$1+Table4[[#This Row],[Home Differential]])-Table4[[#This Row],[Away Differential]]</f>
        <v>1.9096679785363095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0.79325524298546324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0.20922229284068078</v>
      </c>
      <c r="H898" t="s">
        <v>21</v>
      </c>
      <c r="I898">
        <f>VLOOKUP(Table4[[#This Row],[Visitor]],'NHL Model'!$A$6:$B$38,2,FALSE)</f>
        <v>-6.5206076050157921E-2</v>
      </c>
      <c r="J898">
        <f>($B$1+Table4[[#This Row],[Home Differential]])-Table4[[#This Row],[Away Differential]]</f>
        <v>0.34934028546748835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0.58003425193042679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4.5005056179018996E-2</v>
      </c>
      <c r="H899" t="s">
        <v>32</v>
      </c>
      <c r="I899">
        <f>VLOOKUP(Table4[[#This Row],[Visitor]],'NHL Model'!$A$6:$B$38,2,FALSE)</f>
        <v>-0.34471182133334621</v>
      </c>
      <c r="J899">
        <f>($B$1+Table4[[#This Row],[Home Differential]])-Table4[[#This Row],[Away Differential]]</f>
        <v>0.46462879408901486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0.59222828357164559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-0.29605365356197477</v>
      </c>
      <c r="H900" t="s">
        <v>34</v>
      </c>
      <c r="I900">
        <f>VLOOKUP(Table4[[#This Row],[Visitor]],'NHL Model'!$A$6:$B$38,2,FALSE)</f>
        <v>0.6527374602185485</v>
      </c>
      <c r="J900">
        <f>($B$1+Table4[[#This Row],[Home Differential]])-Table4[[#This Row],[Away Differential]]</f>
        <v>-0.87387919720387364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0.62911958928383249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0.18592042582238802</v>
      </c>
      <c r="H901" t="s">
        <v>26</v>
      </c>
      <c r="I901">
        <f>VLOOKUP(Table4[[#This Row],[Visitor]],'NHL Model'!$A$6:$B$38,2,FALSE)</f>
        <v>-8.2026557704658234E-2</v>
      </c>
      <c r="J901">
        <f>($B$1+Table4[[#This Row],[Home Differential]])-Table4[[#This Row],[Away Differential]]</f>
        <v>0.34285890010369585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0.5449568817056637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0.21230765705109297</v>
      </c>
      <c r="H902" t="s">
        <v>38</v>
      </c>
      <c r="I902">
        <f>VLOOKUP(Table4[[#This Row],[Visitor]],'NHL Model'!$A$6:$B$38,2,FALSE)</f>
        <v>-0.46815423657711264</v>
      </c>
      <c r="J902">
        <f>($B$1+Table4[[#This Row],[Home Differential]])-Table4[[#This Row],[Away Differential]]</f>
        <v>0.75537381020485528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0.58239796805245903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-5.6782013784997053E-2</v>
      </c>
      <c r="H903" t="s">
        <v>18</v>
      </c>
      <c r="I903">
        <f>VLOOKUP(Table4[[#This Row],[Visitor]],'NHL Model'!$A$6:$B$38,2,FALSE)</f>
        <v>4.5205299343610755E-2</v>
      </c>
      <c r="J903">
        <f>($B$1+Table4[[#This Row],[Home Differential]])-Table4[[#This Row],[Away Differential]]</f>
        <v>-2.7075396551958168E-2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0.52044708286816233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8.8679045351754957E-2</v>
      </c>
      <c r="H904" t="s">
        <v>14</v>
      </c>
      <c r="I904">
        <f>VLOOKUP(Table4[[#This Row],[Visitor]],'NHL Model'!$A$6:$B$38,2,FALSE)</f>
        <v>3.3446447213402619E-2</v>
      </c>
      <c r="J904">
        <f>($B$1+Table4[[#This Row],[Home Differential]])-Table4[[#This Row],[Away Differential]]</f>
        <v>0.13014451471500199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0.58605793729289868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-7.602164965773138E-2</v>
      </c>
      <c r="H905" t="s">
        <v>30</v>
      </c>
      <c r="I905">
        <f>VLOOKUP(Table4[[#This Row],[Visitor]],'NHL Model'!$A$6:$B$38,2,FALSE)</f>
        <v>0.29544191342066151</v>
      </c>
      <c r="J905">
        <f>($B$1+Table4[[#This Row],[Home Differential]])-Table4[[#This Row],[Away Differential]]</f>
        <v>-0.29655164650174326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0.52691837822584164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6.6163598639307278E-2</v>
      </c>
      <c r="H906" t="s">
        <v>25</v>
      </c>
      <c r="I906">
        <f>VLOOKUP(Table4[[#This Row],[Visitor]],'NHL Model'!$A$6:$B$38,2,FALSE)</f>
        <v>0.53620748452970379</v>
      </c>
      <c r="J906">
        <f>($B$1+Table4[[#This Row],[Home Differential]])-Table4[[#This Row],[Away Differential]]</f>
        <v>-0.39513196931374689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0.56181981589109231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0.3028174375616956</v>
      </c>
      <c r="H907" t="s">
        <v>36</v>
      </c>
      <c r="I907">
        <f>VLOOKUP(Table4[[#This Row],[Visitor]],'NHL Model'!$A$6:$B$38,2,FALSE)</f>
        <v>6.3057484159014243E-2</v>
      </c>
      <c r="J907">
        <f>($B$1+Table4[[#This Row],[Home Differential]])-Table4[[#This Row],[Away Differential]]</f>
        <v>0.314671869979331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0.55918135583195305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0.77279348157483052</v>
      </c>
      <c r="H908" t="s">
        <v>11</v>
      </c>
      <c r="I908">
        <f>VLOOKUP(Table4[[#This Row],[Visitor]],'NHL Model'!$A$6:$B$38,2,FALSE)</f>
        <v>0.20922229284068078</v>
      </c>
      <c r="J908">
        <f>($B$1+Table4[[#This Row],[Home Differential]])-Table4[[#This Row],[Away Differential]]</f>
        <v>0.63848310531079933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0.57946331522372763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0.21230765705109297</v>
      </c>
      <c r="H909" t="s">
        <v>13</v>
      </c>
      <c r="I909">
        <f>VLOOKUP(Table4[[#This Row],[Visitor]],'NHL Model'!$A$6:$B$38,2,FALSE)</f>
        <v>4.5005056179018996E-2</v>
      </c>
      <c r="J909">
        <f>($B$1+Table4[[#This Row],[Home Differential]])-Table4[[#This Row],[Away Differential]]</f>
        <v>0.24221451744872363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0.53483666945684261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0.44972876941152479</v>
      </c>
      <c r="H910" t="s">
        <v>29</v>
      </c>
      <c r="I910">
        <f>VLOOKUP(Table4[[#This Row],[Visitor]],'NHL Model'!$A$6:$B$38,2,FALSE)</f>
        <v>-0.29605365356197477</v>
      </c>
      <c r="J910">
        <f>($B$1+Table4[[#This Row],[Home Differential]])-Table4[[#This Row],[Away Differential]]</f>
        <v>0.82069433955014925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0.6368075771568471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-5.9622828283354432E-4</v>
      </c>
      <c r="H911" t="s">
        <v>17</v>
      </c>
      <c r="I911">
        <f>VLOOKUP(Table4[[#This Row],[Visitor]],'NHL Model'!$A$6:$B$38,2,FALSE)</f>
        <v>0.17499330177061237</v>
      </c>
      <c r="J911">
        <f>($B$1+Table4[[#This Row],[Home Differential]])-Table4[[#This Row],[Away Differential]]</f>
        <v>-0.10067761347679627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0.43272493945788448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0.92535559469880035</v>
      </c>
      <c r="H912" t="s">
        <v>32</v>
      </c>
      <c r="I912">
        <f>VLOOKUP(Table4[[#This Row],[Visitor]],'NHL Model'!$A$6:$B$38,2,FALSE)</f>
        <v>-0.34471182133334621</v>
      </c>
      <c r="J912">
        <f>($B$1+Table4[[#This Row],[Home Differential]])-Table4[[#This Row],[Away Differential]]</f>
        <v>1.3449793326087962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0.7297793691171286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4.5005056179018996E-2</v>
      </c>
      <c r="H913" t="s">
        <v>20</v>
      </c>
      <c r="I913">
        <f>VLOOKUP(Table4[[#This Row],[Visitor]],'NHL Model'!$A$6:$B$38,2,FALSE)</f>
        <v>0.21230765705109297</v>
      </c>
      <c r="J913">
        <f>($B$1+Table4[[#This Row],[Home Differential]])-Table4[[#This Row],[Away Differential]]</f>
        <v>-9.2390684295424338E-2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0.49115474049258062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-7.602164965773138E-2</v>
      </c>
      <c r="H914" t="s">
        <v>23</v>
      </c>
      <c r="I914">
        <f>VLOOKUP(Table4[[#This Row],[Visitor]],'NHL Model'!$A$6:$B$38,2,FALSE)</f>
        <v>8.8679045351754957E-2</v>
      </c>
      <c r="J914">
        <f>($B$1+Table4[[#This Row],[Home Differential]])-Table4[[#This Row],[Away Differential]]</f>
        <v>-8.9788778432836697E-2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0.47009303306467792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0.77279348157483052</v>
      </c>
      <c r="H915" t="s">
        <v>19</v>
      </c>
      <c r="I915">
        <f>VLOOKUP(Table4[[#This Row],[Visitor]],'NHL Model'!$A$6:$B$38,2,FALSE)</f>
        <v>-1.7306849519822837E-2</v>
      </c>
      <c r="J915">
        <f>($B$1+Table4[[#This Row],[Home Differential]])-Table4[[#This Row],[Away Differential]]</f>
        <v>0.86501224767130303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0.64178929224231018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0.18592042582238802</v>
      </c>
      <c r="H916" t="s">
        <v>12</v>
      </c>
      <c r="I916">
        <f>VLOOKUP(Table4[[#This Row],[Visitor]],'NHL Model'!$A$6:$B$38,2,FALSE)</f>
        <v>1.8116689824371455</v>
      </c>
      <c r="J916">
        <f>($B$1+Table4[[#This Row],[Home Differential]])-Table4[[#This Row],[Away Differential]]</f>
        <v>-1.5508366400381077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0.7205459006755276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-0.46815423657711264</v>
      </c>
      <c r="H917" t="s">
        <v>40</v>
      </c>
      <c r="I917">
        <f>VLOOKUP(Table4[[#This Row],[Visitor]],'NHL Model'!$A$6:$B$38,2,FALSE)</f>
        <v>-5.6782013784997053E-2</v>
      </c>
      <c r="J917">
        <f>($B$1+Table4[[#This Row],[Home Differential]])-Table4[[#This Row],[Away Differential]]</f>
        <v>-0.33646030621546597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0.49782104016622231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0.44972876941152479</v>
      </c>
      <c r="H918" t="s">
        <v>27</v>
      </c>
      <c r="I918">
        <f>VLOOKUP(Table4[[#This Row],[Visitor]],'NHL Model'!$A$6:$B$38,2,FALSE)</f>
        <v>0.3028174375616956</v>
      </c>
      <c r="J918">
        <f>($B$1+Table4[[#This Row],[Home Differential]])-Table4[[#This Row],[Away Differential]]</f>
        <v>0.22182324842647888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0.54874437001146226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-6.5206076050157921E-2</v>
      </c>
      <c r="H919" t="s">
        <v>28</v>
      </c>
      <c r="I919">
        <f>VLOOKUP(Table4[[#This Row],[Visitor]],'NHL Model'!$A$6:$B$38,2,FALSE)</f>
        <v>-0.15682239438733669</v>
      </c>
      <c r="J919">
        <f>($B$1+Table4[[#This Row],[Home Differential]])-Table4[[#This Row],[Away Differential]]</f>
        <v>0.1665282349138284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0.57273583029881248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0.53620748452970379</v>
      </c>
      <c r="H920" t="s">
        <v>37</v>
      </c>
      <c r="I920">
        <f>VLOOKUP(Table4[[#This Row],[Visitor]],'NHL Model'!$A$6:$B$38,2,FALSE)</f>
        <v>0.77279348157483052</v>
      </c>
      <c r="J920">
        <f>($B$1+Table4[[#This Row],[Home Differential]])-Table4[[#This Row],[Away Differential]]</f>
        <v>-0.16167408046847709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0.50275505877402538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1.8116689824371455</v>
      </c>
      <c r="H921" t="s">
        <v>34</v>
      </c>
      <c r="I921">
        <f>VLOOKUP(Table4[[#This Row],[Visitor]],'NHL Model'!$A$6:$B$38,2,FALSE)</f>
        <v>0.6527374602185485</v>
      </c>
      <c r="J921">
        <f>($B$1+Table4[[#This Row],[Home Differential]])-Table4[[#This Row],[Away Differential]]</f>
        <v>1.2338434387952466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0.73128723619676528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0.20922229284068078</v>
      </c>
      <c r="H922" t="s">
        <v>19</v>
      </c>
      <c r="I922">
        <f>VLOOKUP(Table4[[#This Row],[Visitor]],'NHL Model'!$A$6:$B$38,2,FALSE)</f>
        <v>-1.7306849519822837E-2</v>
      </c>
      <c r="J922">
        <f>($B$1+Table4[[#This Row],[Home Differential]])-Table4[[#This Row],[Away Differential]]</f>
        <v>0.30144105893715323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0.57464996576926919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4.5005056179018996E-2</v>
      </c>
      <c r="H923" t="s">
        <v>17</v>
      </c>
      <c r="I923">
        <f>VLOOKUP(Table4[[#This Row],[Visitor]],'NHL Model'!$A$6:$B$38,2,FALSE)</f>
        <v>0.17499330177061237</v>
      </c>
      <c r="J923">
        <f>($B$1+Table4[[#This Row],[Home Differential]])-Table4[[#This Row],[Away Differential]]</f>
        <v>-5.5076329014943734E-2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0.46619105437818958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4.5205299343610755E-2</v>
      </c>
      <c r="H924" t="s">
        <v>30</v>
      </c>
      <c r="I924">
        <f>VLOOKUP(Table4[[#This Row],[Visitor]],'NHL Model'!$A$6:$B$38,2,FALSE)</f>
        <v>0.29544191342066151</v>
      </c>
      <c r="J924">
        <f>($B$1+Table4[[#This Row],[Home Differential]])-Table4[[#This Row],[Away Differential]]</f>
        <v>-0.17532469750040111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0.51329142365583602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-0.29605365356197477</v>
      </c>
      <c r="H925" t="s">
        <v>10</v>
      </c>
      <c r="I925">
        <f>VLOOKUP(Table4[[#This Row],[Visitor]],'NHL Model'!$A$6:$B$38,2,FALSE)</f>
        <v>-0.45160327336373768</v>
      </c>
      <c r="J925">
        <f>($B$1+Table4[[#This Row],[Home Differential]])-Table4[[#This Row],[Away Differential]]</f>
        <v>0.23046153637841255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0.56590586426725598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6.6163598639307278E-2</v>
      </c>
      <c r="H926" t="s">
        <v>27</v>
      </c>
      <c r="I926">
        <f>VLOOKUP(Table4[[#This Row],[Visitor]],'NHL Model'!$A$6:$B$38,2,FALSE)</f>
        <v>0.3028174375616956</v>
      </c>
      <c r="J926">
        <f>($B$1+Table4[[#This Row],[Home Differential]])-Table4[[#This Row],[Away Differential]]</f>
        <v>-0.1617419223457387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0.49895041775799476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6.3057484159014243E-2</v>
      </c>
      <c r="H927" t="s">
        <v>26</v>
      </c>
      <c r="I927">
        <f>VLOOKUP(Table4[[#This Row],[Visitor]],'NHL Model'!$A$6:$B$38,2,FALSE)</f>
        <v>-8.2026557704658234E-2</v>
      </c>
      <c r="J927">
        <f>($B$1+Table4[[#This Row],[Home Differential]])-Table4[[#This Row],[Away Differential]]</f>
        <v>0.2199959584403221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0.53114602745109107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3.3446447213402619E-2</v>
      </c>
      <c r="H928" t="s">
        <v>24</v>
      </c>
      <c r="I928">
        <f>VLOOKUP(Table4[[#This Row],[Visitor]],'NHL Model'!$A$6:$B$38,2,FALSE)</f>
        <v>-7.602164965773138E-2</v>
      </c>
      <c r="J928">
        <f>($B$1+Table4[[#This Row],[Home Differential]])-Table4[[#This Row],[Away Differential]]</f>
        <v>0.18438001344778365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0.53995667289796589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-0.21695959508717547</v>
      </c>
      <c r="H929" t="s">
        <v>16</v>
      </c>
      <c r="I929">
        <f>VLOOKUP(Table4[[#This Row],[Visitor]],'NHL Model'!$A$6:$B$38,2,FALSE)</f>
        <v>-0.31573427760518757</v>
      </c>
      <c r="J929">
        <f>($B$1+Table4[[#This Row],[Home Differential]])-Table4[[#This Row],[Away Differential]]</f>
        <v>0.17368659909466175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0.55952387167027973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-0.90940046726085955</v>
      </c>
      <c r="H930" t="s">
        <v>32</v>
      </c>
      <c r="I930">
        <f>VLOOKUP(Table4[[#This Row],[Visitor]],'NHL Model'!$A$6:$B$38,2,FALSE)</f>
        <v>-0.34471182133334621</v>
      </c>
      <c r="J930">
        <f>($B$1+Table4[[#This Row],[Home Differential]])-Table4[[#This Row],[Away Differential]]</f>
        <v>-0.48977672935086369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0.51505512837938605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-5.9622828283354432E-4</v>
      </c>
      <c r="H931" t="s">
        <v>40</v>
      </c>
      <c r="I931">
        <f>VLOOKUP(Table4[[#This Row],[Visitor]],'NHL Model'!$A$6:$B$38,2,FALSE)</f>
        <v>-5.6782013784997053E-2</v>
      </c>
      <c r="J931">
        <f>($B$1+Table4[[#This Row],[Home Differential]])-Table4[[#This Row],[Away Differential]]</f>
        <v>0.13109770207881316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0.5933286049193649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0.20922229284068078</v>
      </c>
      <c r="H932" t="s">
        <v>23</v>
      </c>
      <c r="I932">
        <f>VLOOKUP(Table4[[#This Row],[Visitor]],'NHL Model'!$A$6:$B$38,2,FALSE)</f>
        <v>8.8679045351754957E-2</v>
      </c>
      <c r="J932">
        <f>($B$1+Table4[[#This Row],[Home Differential]])-Table4[[#This Row],[Away Differential]]</f>
        <v>0.19545516406557545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0.56273623712746035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0.18592042582238802</v>
      </c>
      <c r="H933" t="s">
        <v>34</v>
      </c>
      <c r="I933">
        <f>VLOOKUP(Table4[[#This Row],[Visitor]],'NHL Model'!$A$6:$B$38,2,FALSE)</f>
        <v>0.6527374602185485</v>
      </c>
      <c r="J933">
        <f>($B$1+Table4[[#This Row],[Home Differential]])-Table4[[#This Row],[Away Differential]]</f>
        <v>-0.39190511781951087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0.57494154605337644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0.44972876941152479</v>
      </c>
      <c r="H934" t="s">
        <v>20</v>
      </c>
      <c r="I934">
        <f>VLOOKUP(Table4[[#This Row],[Visitor]],'NHL Model'!$A$6:$B$38,2,FALSE)</f>
        <v>0.21230765705109297</v>
      </c>
      <c r="J934">
        <f>($B$1+Table4[[#This Row],[Home Differential]])-Table4[[#This Row],[Away Differential]]</f>
        <v>0.31233302893708148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0.55891844992784712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0.53620748452970379</v>
      </c>
      <c r="H935" t="s">
        <v>26</v>
      </c>
      <c r="I935">
        <f>VLOOKUP(Table4[[#This Row],[Visitor]],'NHL Model'!$A$6:$B$38,2,FALSE)</f>
        <v>-8.2026557704658234E-2</v>
      </c>
      <c r="J935">
        <f>($B$1+Table4[[#This Row],[Home Differential]])-Table4[[#This Row],[Away Differential]]</f>
        <v>0.69314595881101171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0.63048829063092393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-0.15682239438733669</v>
      </c>
      <c r="H936" t="s">
        <v>30</v>
      </c>
      <c r="I936">
        <f>VLOOKUP(Table4[[#This Row],[Visitor]],'NHL Model'!$A$6:$B$38,2,FALSE)</f>
        <v>0.29544191342066151</v>
      </c>
      <c r="J936">
        <f>($B$1+Table4[[#This Row],[Home Differential]])-Table4[[#This Row],[Away Differential]]</f>
        <v>-0.37735239123134856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0.53600107878643044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1.8116689824371455</v>
      </c>
      <c r="H937" t="s">
        <v>10</v>
      </c>
      <c r="I937">
        <f>VLOOKUP(Table4[[#This Row],[Visitor]],'NHL Model'!$A$6:$B$38,2,FALSE)</f>
        <v>-0.45160327336373768</v>
      </c>
      <c r="J937">
        <f>($B$1+Table4[[#This Row],[Home Differential]])-Table4[[#This Row],[Away Differential]]</f>
        <v>2.3381841723775327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0.92181064946327651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0.92535559469880035</v>
      </c>
      <c r="H938" t="s">
        <v>29</v>
      </c>
      <c r="I938">
        <f>VLOOKUP(Table4[[#This Row],[Visitor]],'NHL Model'!$A$6:$B$38,2,FALSE)</f>
        <v>-0.29605365356197477</v>
      </c>
      <c r="J938">
        <f>($B$1+Table4[[#This Row],[Home Differential]])-Table4[[#This Row],[Away Differential]]</f>
        <v>1.2963211648374249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0.72430977141511232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4.5005056179018996E-2</v>
      </c>
      <c r="H939" t="s">
        <v>16</v>
      </c>
      <c r="I939">
        <f>VLOOKUP(Table4[[#This Row],[Visitor]],'NHL Model'!$A$6:$B$38,2,FALSE)</f>
        <v>-0.31573427760518757</v>
      </c>
      <c r="J939">
        <f>($B$1+Table4[[#This Row],[Home Differential]])-Table4[[#This Row],[Away Differential]]</f>
        <v>0.43565125036085622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0.58897095774445185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4.5205299343610755E-2</v>
      </c>
      <c r="H940" t="s">
        <v>22</v>
      </c>
      <c r="I940">
        <f>VLOOKUP(Table4[[#This Row],[Visitor]],'NHL Model'!$A$6:$B$38,2,FALSE)</f>
        <v>0.44972876941152479</v>
      </c>
      <c r="J940">
        <f>($B$1+Table4[[#This Row],[Home Differential]])-Table4[[#This Row],[Away Differential]]</f>
        <v>-0.32961155349126436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0.50434090092022787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6.6163598639307278E-2</v>
      </c>
      <c r="H941" t="s">
        <v>14</v>
      </c>
      <c r="I941">
        <f>VLOOKUP(Table4[[#This Row],[Visitor]],'NHL Model'!$A$6:$B$38,2,FALSE)</f>
        <v>3.3446447213402619E-2</v>
      </c>
      <c r="J941">
        <f>($B$1+Table4[[#This Row],[Home Differential]])-Table4[[#This Row],[Away Differential]]</f>
        <v>0.10762906800255428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0.54480871584684387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0.3028174375616956</v>
      </c>
      <c r="H942" t="s">
        <v>21</v>
      </c>
      <c r="I942">
        <f>VLOOKUP(Table4[[#This Row],[Visitor]],'NHL Model'!$A$6:$B$38,2,FALSE)</f>
        <v>-6.5206076050157921E-2</v>
      </c>
      <c r="J942">
        <f>($B$1+Table4[[#This Row],[Home Differential]])-Table4[[#This Row],[Away Differential]]</f>
        <v>0.44293543018850318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0.59434421782385716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-0.34471182133334621</v>
      </c>
      <c r="H943" t="s">
        <v>38</v>
      </c>
      <c r="I943">
        <f>VLOOKUP(Table4[[#This Row],[Visitor]],'NHL Model'!$A$6:$B$38,2,FALSE)</f>
        <v>-0.46815423657711264</v>
      </c>
      <c r="J943">
        <f>($B$1+Table4[[#This Row],[Home Differential]])-Table4[[#This Row],[Away Differential]]</f>
        <v>0.19835433182041606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0.51978417475746352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-0.21695959508717547</v>
      </c>
      <c r="H944" t="s">
        <v>17</v>
      </c>
      <c r="I944">
        <f>VLOOKUP(Table4[[#This Row],[Visitor]],'NHL Model'!$A$6:$B$38,2,FALSE)</f>
        <v>0.17499330177061237</v>
      </c>
      <c r="J944">
        <f>($B$1+Table4[[#This Row],[Home Differential]])-Table4[[#This Row],[Away Differential]]</f>
        <v>-0.3170409802811382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0.49563814045236176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-0.90940046726085955</v>
      </c>
      <c r="H945" t="s">
        <v>24</v>
      </c>
      <c r="I945">
        <f>VLOOKUP(Table4[[#This Row],[Visitor]],'NHL Model'!$A$6:$B$38,2,FALSE)</f>
        <v>-7.602164965773138E-2</v>
      </c>
      <c r="J945">
        <f>($B$1+Table4[[#This Row],[Home Differential]])-Table4[[#This Row],[Away Differential]]</f>
        <v>-0.75846690102647851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0.56602745171997304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0.77279348157483052</v>
      </c>
      <c r="H946" t="s">
        <v>23</v>
      </c>
      <c r="I946">
        <f>VLOOKUP(Table4[[#This Row],[Visitor]],'NHL Model'!$A$6:$B$38,2,FALSE)</f>
        <v>8.8679045351754957E-2</v>
      </c>
      <c r="J946">
        <f>($B$1+Table4[[#This Row],[Home Differential]])-Table4[[#This Row],[Away Differential]]</f>
        <v>0.75902635279972519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0.62987556360050134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-1.7306849519822837E-2</v>
      </c>
      <c r="H947" t="s">
        <v>36</v>
      </c>
      <c r="I947">
        <f>VLOOKUP(Table4[[#This Row],[Visitor]],'NHL Model'!$A$6:$B$38,2,FALSE)</f>
        <v>6.3057484159014243E-2</v>
      </c>
      <c r="J947">
        <f>($B$1+Table4[[#This Row],[Home Differential]])-Table4[[#This Row],[Away Differential]]</f>
        <v>-5.4524171021874401E-3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0.47000065380781803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-5.9622828283354432E-4</v>
      </c>
      <c r="H948" t="s">
        <v>16</v>
      </c>
      <c r="I948">
        <f>VLOOKUP(Table4[[#This Row],[Visitor]],'NHL Model'!$A$6:$B$38,2,FALSE)</f>
        <v>-0.31573427760518757</v>
      </c>
      <c r="J948">
        <f>($B$1+Table4[[#This Row],[Home Differential]])-Table4[[#This Row],[Away Differential]]</f>
        <v>0.39004996589900365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0.6224370726647569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0.6527374602185485</v>
      </c>
      <c r="H949" t="s">
        <v>35</v>
      </c>
      <c r="I949">
        <f>VLOOKUP(Table4[[#This Row],[Visitor]],'NHL Model'!$A$6:$B$38,2,FALSE)</f>
        <v>-0.90940046726085955</v>
      </c>
      <c r="J949">
        <f>($B$1+Table4[[#This Row],[Home Differential]])-Table4[[#This Row],[Away Differential]]</f>
        <v>1.6370498440560577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0.74630225796827121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0.29544191342066151</v>
      </c>
      <c r="H950" t="s">
        <v>11</v>
      </c>
      <c r="I950">
        <f>VLOOKUP(Table4[[#This Row],[Visitor]],'NHL Model'!$A$6:$B$38,2,FALSE)</f>
        <v>0.20922229284068078</v>
      </c>
      <c r="J950">
        <f>($B$1+Table4[[#This Row],[Home Differential]])-Table4[[#This Row],[Away Differential]]</f>
        <v>0.16113153715663037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0.53535395373968442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3.3446447213402619E-2</v>
      </c>
      <c r="H951" t="s">
        <v>20</v>
      </c>
      <c r="I951">
        <f>VLOOKUP(Table4[[#This Row],[Visitor]],'NHL Model'!$A$6:$B$38,2,FALSE)</f>
        <v>0.21230765705109297</v>
      </c>
      <c r="J951">
        <f>($B$1+Table4[[#This Row],[Home Differential]])-Table4[[#This Row],[Away Differential]]</f>
        <v>-0.10394929326104071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0.49245402782567332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-0.21695959508717547</v>
      </c>
      <c r="H952" t="s">
        <v>40</v>
      </c>
      <c r="I952">
        <f>VLOOKUP(Table4[[#This Row],[Visitor]],'NHL Model'!$A$6:$B$38,2,FALSE)</f>
        <v>-5.6782013784997053E-2</v>
      </c>
      <c r="J952">
        <f>($B$1+Table4[[#This Row],[Home Differential]])-Table4[[#This Row],[Away Differential]]</f>
        <v>-8.5265664725528767E-2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0.46958459607511244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0.18592042582238802</v>
      </c>
      <c r="H953" t="s">
        <v>10</v>
      </c>
      <c r="I953">
        <f>VLOOKUP(Table4[[#This Row],[Visitor]],'NHL Model'!$A$6:$B$38,2,FALSE)</f>
        <v>-0.45160327336373768</v>
      </c>
      <c r="J953">
        <f>($B$1+Table4[[#This Row],[Home Differential]])-Table4[[#This Row],[Away Differential]]</f>
        <v>0.71243561576277536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0.62008390749771214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4.5005056179018996E-2</v>
      </c>
      <c r="H954" t="s">
        <v>12</v>
      </c>
      <c r="I954">
        <f>VLOOKUP(Table4[[#This Row],[Visitor]],'NHL Model'!$A$6:$B$38,2,FALSE)</f>
        <v>1.8116689824371455</v>
      </c>
      <c r="J954">
        <f>($B$1+Table4[[#This Row],[Home Differential]])-Table4[[#This Row],[Away Differential]]</f>
        <v>-1.6917520096814769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0.73638600352530303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-0.29605365356197477</v>
      </c>
      <c r="H955" t="s">
        <v>26</v>
      </c>
      <c r="I955">
        <f>VLOOKUP(Table4[[#This Row],[Visitor]],'NHL Model'!$A$6:$B$38,2,FALSE)</f>
        <v>-8.2026557704658234E-2</v>
      </c>
      <c r="J955">
        <f>($B$1+Table4[[#This Row],[Home Differential]])-Table4[[#This Row],[Away Differential]]</f>
        <v>-0.13911517928066691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0.50922116152479246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6.6163598639307278E-2</v>
      </c>
      <c r="H956" t="s">
        <v>28</v>
      </c>
      <c r="I956">
        <f>VLOOKUP(Table4[[#This Row],[Visitor]],'NHL Model'!$A$6:$B$38,2,FALSE)</f>
        <v>-0.15682239438733669</v>
      </c>
      <c r="J956">
        <f>($B$1+Table4[[#This Row],[Home Differential]])-Table4[[#This Row],[Away Differential]]</f>
        <v>0.2978979096032936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0.57348629421184882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-0.34471182133334621</v>
      </c>
      <c r="H957" t="s">
        <v>25</v>
      </c>
      <c r="I957">
        <f>VLOOKUP(Table4[[#This Row],[Visitor]],'NHL Model'!$A$6:$B$38,2,FALSE)</f>
        <v>0.53620748452970379</v>
      </c>
      <c r="J957">
        <f>($B$1+Table4[[#This Row],[Home Differential]])-Table4[[#This Row],[Away Differential]]</f>
        <v>-0.80600738928640037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0.60800575662475997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-1.7306849519822837E-2</v>
      </c>
      <c r="H958" t="s">
        <v>27</v>
      </c>
      <c r="I958">
        <f>VLOOKUP(Table4[[#This Row],[Visitor]],'NHL Model'!$A$6:$B$38,2,FALSE)</f>
        <v>0.3028174375616956</v>
      </c>
      <c r="J958">
        <f>($B$1+Table4[[#This Row],[Home Differential]])-Table4[[#This Row],[Away Differential]]</f>
        <v>-0.2452123705048688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0.49695174034129858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-0.46815423657711264</v>
      </c>
      <c r="H959" t="s">
        <v>39</v>
      </c>
      <c r="I959">
        <f>VLOOKUP(Table4[[#This Row],[Visitor]],'NHL Model'!$A$6:$B$38,2,FALSE)</f>
        <v>0.92535559469880035</v>
      </c>
      <c r="J959">
        <f>($B$1+Table4[[#This Row],[Home Differential]])-Table4[[#This Row],[Away Differential]]</f>
        <v>-1.3185979146992635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0.69444026504203982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-5.9622828283354432E-4</v>
      </c>
      <c r="H960" t="s">
        <v>12</v>
      </c>
      <c r="I960">
        <f>VLOOKUP(Table4[[#This Row],[Visitor]],'NHL Model'!$A$6:$B$38,2,FALSE)</f>
        <v>1.8116689824371455</v>
      </c>
      <c r="J960">
        <f>($B$1+Table4[[#This Row],[Home Differential]])-Table4[[#This Row],[Away Differential]]</f>
        <v>-1.7373532941433294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0.70248035210099657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-6.5206076050157921E-2</v>
      </c>
      <c r="H961" t="s">
        <v>14</v>
      </c>
      <c r="I961">
        <f>VLOOKUP(Table4[[#This Row],[Visitor]],'NHL Model'!$A$6:$B$38,2,FALSE)</f>
        <v>3.3446447213402619E-2</v>
      </c>
      <c r="J961">
        <f>($B$1+Table4[[#This Row],[Home Differential]])-Table4[[#This Row],[Away Differential]]</f>
        <v>-2.3740606686910901E-2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0.45590605901058173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8.8679045351754957E-2</v>
      </c>
      <c r="H962" t="s">
        <v>20</v>
      </c>
      <c r="I962">
        <f>VLOOKUP(Table4[[#This Row],[Visitor]],'NHL Model'!$A$6:$B$38,2,FALSE)</f>
        <v>0.21230765705109297</v>
      </c>
      <c r="J962">
        <f>($B$1+Table4[[#This Row],[Home Differential]])-Table4[[#This Row],[Away Differential]]</f>
        <v>-4.8716695122688364E-2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0.44733664179734312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-0.15682239438733669</v>
      </c>
      <c r="H963" t="s">
        <v>29</v>
      </c>
      <c r="I963">
        <f>VLOOKUP(Table4[[#This Row],[Visitor]],'NHL Model'!$A$6:$B$38,2,FALSE)</f>
        <v>-0.29605365356197477</v>
      </c>
      <c r="J963">
        <f>($B$1+Table4[[#This Row],[Home Differential]])-Table4[[#This Row],[Away Differential]]</f>
        <v>0.21414317575128772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0.56407153979769986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-0.31573427760518757</v>
      </c>
      <c r="H964" t="s">
        <v>39</v>
      </c>
      <c r="I964">
        <f>VLOOKUP(Table4[[#This Row],[Visitor]],'NHL Model'!$A$6:$B$38,2,FALSE)</f>
        <v>0.92535559469880035</v>
      </c>
      <c r="J964">
        <f>($B$1+Table4[[#This Row],[Home Differential]])-Table4[[#This Row],[Away Differential]]</f>
        <v>-1.1661779557273384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0.64650696193994595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0.17499330177061237</v>
      </c>
      <c r="H965" t="s">
        <v>36</v>
      </c>
      <c r="I965">
        <f>VLOOKUP(Table4[[#This Row],[Visitor]],'NHL Model'!$A$6:$B$38,2,FALSE)</f>
        <v>6.3057484159014243E-2</v>
      </c>
      <c r="J965">
        <f>($B$1+Table4[[#This Row],[Home Differential]])-Table4[[#This Row],[Away Differential]]</f>
        <v>0.18684773418824777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0.57655885231643966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0.6527374602185485</v>
      </c>
      <c r="H966" t="s">
        <v>37</v>
      </c>
      <c r="I966">
        <f>VLOOKUP(Table4[[#This Row],[Visitor]],'NHL Model'!$A$6:$B$38,2,FALSE)</f>
        <v>0.77279348157483052</v>
      </c>
      <c r="J966">
        <f>($B$1+Table4[[#This Row],[Home Differential]])-Table4[[#This Row],[Away Differential]]</f>
        <v>-4.5144104779632377E-2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0.51347794805981373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-7.602164965773138E-2</v>
      </c>
      <c r="H967" t="s">
        <v>11</v>
      </c>
      <c r="I967">
        <f>VLOOKUP(Table4[[#This Row],[Visitor]],'NHL Model'!$A$6:$B$38,2,FALSE)</f>
        <v>0.20922229284068078</v>
      </c>
      <c r="J967">
        <f>($B$1+Table4[[#This Row],[Home Differential]])-Table4[[#This Row],[Away Differential]]</f>
        <v>-0.21033202592176253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0.52053754362610283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-0.21695959508717547</v>
      </c>
      <c r="H968" t="s">
        <v>18</v>
      </c>
      <c r="I968">
        <f>VLOOKUP(Table4[[#This Row],[Visitor]],'NHL Model'!$A$6:$B$38,2,FALSE)</f>
        <v>4.5205299343610755E-2</v>
      </c>
      <c r="J968">
        <f>($B$1+Table4[[#This Row],[Home Differential]])-Table4[[#This Row],[Away Differential]]</f>
        <v>-0.18725297785413658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0.53845242443222341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-5.6782013784997053E-2</v>
      </c>
      <c r="H969" t="s">
        <v>10</v>
      </c>
      <c r="I969">
        <f>VLOOKUP(Table4[[#This Row],[Visitor]],'NHL Model'!$A$6:$B$38,2,FALSE)</f>
        <v>-0.45160327336373768</v>
      </c>
      <c r="J969">
        <f>($B$1+Table4[[#This Row],[Home Differential]])-Table4[[#This Row],[Away Differential]]</f>
        <v>0.46973317615539029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0.59280206013782544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0.44972876941152479</v>
      </c>
      <c r="H970" t="s">
        <v>55</v>
      </c>
      <c r="I970">
        <f>VLOOKUP(Table4[[#This Row],[Visitor]],'NHL Model'!$A$6:$B$38,2,FALSE)</f>
        <v>0.18592042582238802</v>
      </c>
      <c r="J970">
        <f>($B$1+Table4[[#This Row],[Home Differential]])-Table4[[#This Row],[Away Differential]]</f>
        <v>0.33872026016578649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0.58262953392639105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-5.9622828283354432E-4</v>
      </c>
      <c r="H971" t="s">
        <v>30</v>
      </c>
      <c r="I971">
        <f>VLOOKUP(Table4[[#This Row],[Visitor]],'NHL Model'!$A$6:$B$38,2,FALSE)</f>
        <v>0.29544191342066151</v>
      </c>
      <c r="J971">
        <f>($B$1+Table4[[#This Row],[Home Differential]])-Table4[[#This Row],[Away Differential]]</f>
        <v>-0.2211262251268454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0.47940194931714919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-8.2026557704658234E-2</v>
      </c>
      <c r="H972" t="s">
        <v>20</v>
      </c>
      <c r="I972">
        <f>VLOOKUP(Table4[[#This Row],[Visitor]],'NHL Model'!$A$6:$B$38,2,FALSE)</f>
        <v>0.21230765705109297</v>
      </c>
      <c r="J972">
        <f>($B$1+Table4[[#This Row],[Home Differential]])-Table4[[#This Row],[Away Differential]]</f>
        <v>-0.21942229817910158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0.47147346932582324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-7.602164965773138E-2</v>
      </c>
      <c r="H973" t="s">
        <v>19</v>
      </c>
      <c r="I973">
        <f>VLOOKUP(Table4[[#This Row],[Visitor]],'NHL Model'!$A$6:$B$38,2,FALSE)</f>
        <v>-1.7306849519822837E-2</v>
      </c>
      <c r="J973">
        <f>($B$1+Table4[[#This Row],[Home Differential]])-Table4[[#This Row],[Away Differential]]</f>
        <v>1.6197116438741097E-2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0.54182069557713097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-0.34471182133334621</v>
      </c>
      <c r="H974" t="s">
        <v>35</v>
      </c>
      <c r="I974">
        <f>VLOOKUP(Table4[[#This Row],[Visitor]],'NHL Model'!$A$6:$B$38,2,FALSE)</f>
        <v>-0.90940046726085955</v>
      </c>
      <c r="J974">
        <f>($B$1+Table4[[#This Row],[Home Differential]])-Table4[[#This Row],[Away Differential]]</f>
        <v>0.63960056250416297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0.61189661935728334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-0.46815423657711264</v>
      </c>
      <c r="H975" t="s">
        <v>25</v>
      </c>
      <c r="I975">
        <f>VLOOKUP(Table4[[#This Row],[Visitor]],'NHL Model'!$A$6:$B$38,2,FALSE)</f>
        <v>0.53620748452970379</v>
      </c>
      <c r="J975">
        <f>($B$1+Table4[[#This Row],[Home Differential]])-Table4[[#This Row],[Away Differential]]</f>
        <v>-0.92944980453016679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0.62188174870734514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-0.15682239438733669</v>
      </c>
      <c r="H976" t="s">
        <v>11</v>
      </c>
      <c r="I976">
        <f>VLOOKUP(Table4[[#This Row],[Visitor]],'NHL Model'!$A$6:$B$38,2,FALSE)</f>
        <v>0.20922229284068078</v>
      </c>
      <c r="J976">
        <f>($B$1+Table4[[#This Row],[Home Differential]])-Table4[[#This Row],[Away Differential]]</f>
        <v>-0.29113277065136783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0.52962024418669162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-0.31573427760518757</v>
      </c>
      <c r="H977" t="s">
        <v>36</v>
      </c>
      <c r="I977">
        <f>VLOOKUP(Table4[[#This Row],[Visitor]],'NHL Model'!$A$6:$B$38,2,FALSE)</f>
        <v>6.3057484159014243E-2</v>
      </c>
      <c r="J977">
        <f>($B$1+Table4[[#This Row],[Home Differential]])-Table4[[#This Row],[Away Differential]]</f>
        <v>-0.30387984518755218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0.48415871536175731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4.5005056179018996E-2</v>
      </c>
      <c r="H978" t="s">
        <v>30</v>
      </c>
      <c r="I978">
        <f>VLOOKUP(Table4[[#This Row],[Visitor]],'NHL Model'!$A$6:$B$38,2,FALSE)</f>
        <v>0.29544191342066151</v>
      </c>
      <c r="J978">
        <f>($B$1+Table4[[#This Row],[Home Differential]])-Table4[[#This Row],[Away Differential]]</f>
        <v>-0.17552494066499286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0.51331393271450099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-0.29605365356197477</v>
      </c>
      <c r="H979" t="s">
        <v>21</v>
      </c>
      <c r="I979">
        <f>VLOOKUP(Table4[[#This Row],[Visitor]],'NHL Model'!$A$6:$B$38,2,FALSE)</f>
        <v>-6.5206076050157921E-2</v>
      </c>
      <c r="J979">
        <f>($B$1+Table4[[#This Row],[Home Differential]])-Table4[[#This Row],[Away Differential]]</f>
        <v>-0.1559356609351672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0.47752851313105144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6.6163598639307278E-2</v>
      </c>
      <c r="H980" t="s">
        <v>19</v>
      </c>
      <c r="I980">
        <f>VLOOKUP(Table4[[#This Row],[Visitor]],'NHL Model'!$A$6:$B$38,2,FALSE)</f>
        <v>-1.7306849519822837E-2</v>
      </c>
      <c r="J980">
        <f>($B$1+Table4[[#This Row],[Home Differential]])-Table4[[#This Row],[Away Differential]]</f>
        <v>0.15838236473577974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0.5578035437394423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0.3028174375616956</v>
      </c>
      <c r="H981" t="s">
        <v>55</v>
      </c>
      <c r="I981">
        <f>VLOOKUP(Table4[[#This Row],[Visitor]],'NHL Model'!$A$6:$B$38,2,FALSE)</f>
        <v>0.18592042582238802</v>
      </c>
      <c r="J981">
        <f>($B$1+Table4[[#This Row],[Home Differential]])-Table4[[#This Row],[Away Differential]]</f>
        <v>0.19180892831595722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0.56611543321340119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3.3446447213402619E-2</v>
      </c>
      <c r="H982" t="s">
        <v>23</v>
      </c>
      <c r="I982">
        <f>VLOOKUP(Table4[[#This Row],[Visitor]],'NHL Model'!$A$6:$B$38,2,FALSE)</f>
        <v>8.8679045351754957E-2</v>
      </c>
      <c r="J982">
        <f>($B$1+Table4[[#This Row],[Home Differential]])-Table4[[#This Row],[Away Differential]]</f>
        <v>1.9679318438297302E-2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0.5422121251135702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-5.6782013784997053E-2</v>
      </c>
      <c r="H983" t="s">
        <v>37</v>
      </c>
      <c r="I983">
        <f>VLOOKUP(Table4[[#This Row],[Visitor]],'NHL Model'!$A$6:$B$38,2,FALSE)</f>
        <v>0.77279348157483052</v>
      </c>
      <c r="J983">
        <f>($B$1+Table4[[#This Row],[Home Differential]])-Table4[[#This Row],[Away Differential]]</f>
        <v>-0.75466357878317791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0.61571872561748742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-5.9622828283354432E-4</v>
      </c>
      <c r="H984" t="s">
        <v>18</v>
      </c>
      <c r="I984">
        <f>VLOOKUP(Table4[[#This Row],[Visitor]],'NHL Model'!$A$6:$B$38,2,FALSE)</f>
        <v>4.5205299343610755E-2</v>
      </c>
      <c r="J984">
        <f>($B$1+Table4[[#This Row],[Home Differential]])-Table4[[#This Row],[Away Differential]]</f>
        <v>2.9110388950205346E-2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0.5250113892106365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-0.45160327336373768</v>
      </c>
      <c r="H985" t="s">
        <v>38</v>
      </c>
      <c r="I985">
        <f>VLOOKUP(Table4[[#This Row],[Visitor]],'NHL Model'!$A$6:$B$38,2,FALSE)</f>
        <v>-0.46815423657711264</v>
      </c>
      <c r="J985">
        <f>($B$1+Table4[[#This Row],[Home Differential]])-Table4[[#This Row],[Away Differential]]</f>
        <v>9.1462879790024598E-2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0.50776865368117252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0.92535559469880035</v>
      </c>
      <c r="H986" t="s">
        <v>12</v>
      </c>
      <c r="I986">
        <f>VLOOKUP(Table4[[#This Row],[Visitor]],'NHL Model'!$A$6:$B$38,2,FALSE)</f>
        <v>1.8116689824371455</v>
      </c>
      <c r="J986">
        <f>($B$1+Table4[[#This Row],[Home Differential]])-Table4[[#This Row],[Away Differential]]</f>
        <v>-0.81140147116169548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0.59839538147581861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-8.2026557704658234E-2</v>
      </c>
      <c r="H987" t="s">
        <v>11</v>
      </c>
      <c r="I987">
        <f>VLOOKUP(Table4[[#This Row],[Visitor]],'NHL Model'!$A$6:$B$38,2,FALSE)</f>
        <v>0.20922229284068078</v>
      </c>
      <c r="J987">
        <f>($B$1+Table4[[#This Row],[Home Differential]])-Table4[[#This Row],[Away Differential]]</f>
        <v>-0.21633693396868936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0.48712805449642133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0.17499330177061237</v>
      </c>
      <c r="H988" t="s">
        <v>25</v>
      </c>
      <c r="I988">
        <f>VLOOKUP(Table4[[#This Row],[Visitor]],'NHL Model'!$A$6:$B$38,2,FALSE)</f>
        <v>0.53620748452970379</v>
      </c>
      <c r="J988">
        <f>($B$1+Table4[[#This Row],[Home Differential]])-Table4[[#This Row],[Away Differential]]</f>
        <v>-0.28630226618244181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0.51305716082648067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-0.21695959508717547</v>
      </c>
      <c r="H989" t="s">
        <v>35</v>
      </c>
      <c r="I989">
        <f>VLOOKUP(Table4[[#This Row],[Visitor]],'NHL Model'!$A$6:$B$38,2,FALSE)</f>
        <v>-0.90940046726085955</v>
      </c>
      <c r="J989">
        <f>($B$1+Table4[[#This Row],[Home Differential]])-Table4[[#This Row],[Away Differential]]</f>
        <v>0.76735278875033375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0.6262570713658081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0.21230765705109297</v>
      </c>
      <c r="H990" t="s">
        <v>34</v>
      </c>
      <c r="I990">
        <f>VLOOKUP(Table4[[#This Row],[Visitor]],'NHL Model'!$A$6:$B$38,2,FALSE)</f>
        <v>0.6527374602185485</v>
      </c>
      <c r="J990">
        <f>($B$1+Table4[[#This Row],[Home Differential]])-Table4[[#This Row],[Away Differential]]</f>
        <v>-0.36551788659080586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0.57197539369085326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-6.5206076050157921E-2</v>
      </c>
      <c r="H991" t="s">
        <v>22</v>
      </c>
      <c r="I991">
        <f>VLOOKUP(Table4[[#This Row],[Visitor]],'NHL Model'!$A$6:$B$38,2,FALSE)</f>
        <v>0.44972876941152479</v>
      </c>
      <c r="J991">
        <f>($B$1+Table4[[#This Row],[Home Differential]])-Table4[[#This Row],[Away Differential]]</f>
        <v>-0.44002292888503308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0.50269978218534761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8.8679045351754957E-2</v>
      </c>
      <c r="H992" t="s">
        <v>29</v>
      </c>
      <c r="I992">
        <f>VLOOKUP(Table4[[#This Row],[Visitor]],'NHL Model'!$A$6:$B$38,2,FALSE)</f>
        <v>-0.29605365356197477</v>
      </c>
      <c r="J992">
        <f>($B$1+Table4[[#This Row],[Home Differential]])-Table4[[#This Row],[Away Differential]]</f>
        <v>0.45964461549037938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0.63026011148664984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-0.15682239438733669</v>
      </c>
      <c r="H993" t="s">
        <v>55</v>
      </c>
      <c r="I993">
        <f>VLOOKUP(Table4[[#This Row],[Visitor]],'NHL Model'!$A$6:$B$38,2,FALSE)</f>
        <v>0.18592042582238802</v>
      </c>
      <c r="J993">
        <f>($B$1+Table4[[#This Row],[Home Differential]])-Table4[[#This Row],[Away Differential]]</f>
        <v>-0.26783090363307505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0.4901065034327563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-0.31573427760518757</v>
      </c>
      <c r="H994" t="s">
        <v>25</v>
      </c>
      <c r="I994">
        <f>VLOOKUP(Table4[[#This Row],[Visitor]],'NHL Model'!$A$6:$B$38,2,FALSE)</f>
        <v>0.53620748452970379</v>
      </c>
      <c r="J994">
        <f>($B$1+Table4[[#This Row],[Home Differential]])-Table4[[#This Row],[Away Differential]]</f>
        <v>-0.77702984555824173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0.57383134249571788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4.5005056179018996E-2</v>
      </c>
      <c r="H995" t="s">
        <v>18</v>
      </c>
      <c r="I995">
        <f>VLOOKUP(Table4[[#This Row],[Visitor]],'NHL Model'!$A$6:$B$38,2,FALSE)</f>
        <v>4.5205299343610755E-2</v>
      </c>
      <c r="J995">
        <f>($B$1+Table4[[#This Row],[Home Differential]])-Table4[[#This Row],[Away Differential]]</f>
        <v>7.471167341205788E-2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0.49099466164194877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-7.602164965773138E-2</v>
      </c>
      <c r="H996" t="s">
        <v>15</v>
      </c>
      <c r="I996">
        <f>VLOOKUP(Table4[[#This Row],[Visitor]],'NHL Model'!$A$6:$B$38,2,FALSE)</f>
        <v>6.6163598639307278E-2</v>
      </c>
      <c r="J996">
        <f>($B$1+Table4[[#This Row],[Home Differential]])-Table4[[#This Row],[Away Differential]]</f>
        <v>-6.7273331720389018E-2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0.53746369237813185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3.3446447213402619E-2</v>
      </c>
      <c r="H997" t="s">
        <v>27</v>
      </c>
      <c r="I997">
        <f>VLOOKUP(Table4[[#This Row],[Visitor]],'NHL Model'!$A$6:$B$38,2,FALSE)</f>
        <v>0.3028174375616956</v>
      </c>
      <c r="J997">
        <f>($B$1+Table4[[#This Row],[Home Differential]])-Table4[[#This Row],[Away Differential]]</f>
        <v>-0.19445907377164334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0.50262810774205813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-0.34471182133334621</v>
      </c>
      <c r="H998" t="s">
        <v>36</v>
      </c>
      <c r="I998">
        <f>VLOOKUP(Table4[[#This Row],[Visitor]],'NHL Model'!$A$6:$B$38,2,FALSE)</f>
        <v>6.3057484159014243E-2</v>
      </c>
      <c r="J998">
        <f>($B$1+Table4[[#This Row],[Home Differential]])-Table4[[#This Row],[Away Differential]]</f>
        <v>-0.33285738891571082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0.51818527195818187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-0.21695959508717547</v>
      </c>
      <c r="H999" t="s">
        <v>30</v>
      </c>
      <c r="I999">
        <f>VLOOKUP(Table4[[#This Row],[Visitor]],'NHL Model'!$A$6:$B$38,2,FALSE)</f>
        <v>0.29544191342066151</v>
      </c>
      <c r="J999">
        <f>($B$1+Table4[[#This Row],[Home Differential]])-Table4[[#This Row],[Away Differential]]</f>
        <v>-0.4374895919311873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0.54276101878867322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-1.7306849519822837E-2</v>
      </c>
      <c r="H1000" t="s">
        <v>37</v>
      </c>
      <c r="I1000">
        <f>VLOOKUP(Table4[[#This Row],[Visitor]],'NHL Model'!$A$6:$B$38,2,FALSE)</f>
        <v>0.77279348157483052</v>
      </c>
      <c r="J1000">
        <f>($B$1+Table4[[#This Row],[Home Differential]])-Table4[[#This Row],[Away Differential]]</f>
        <v>-0.71518841451800375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0.59990053267718457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-5.6782013784997053E-2</v>
      </c>
      <c r="H1001" t="s">
        <v>38</v>
      </c>
      <c r="I1001">
        <f>VLOOKUP(Table4[[#This Row],[Visitor]],'NHL Model'!$A$6:$B$38,2,FALSE)</f>
        <v>-0.46815423657711264</v>
      </c>
      <c r="J1001">
        <f>($B$1+Table4[[#This Row],[Home Differential]])-Table4[[#This Row],[Away Differential]]</f>
        <v>0.48628413936876524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0.55214996833004926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-5.9622828283354432E-4</v>
      </c>
      <c r="H1002" t="s">
        <v>35</v>
      </c>
      <c r="I1002">
        <f>VLOOKUP(Table4[[#This Row],[Visitor]],'NHL Model'!$A$6:$B$38,2,FALSE)</f>
        <v>-0.90940046726085955</v>
      </c>
      <c r="J1002">
        <f>($B$1+Table4[[#This Row],[Home Differential]])-Table4[[#This Row],[Away Differential]]</f>
        <v>0.98371615555467562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0.68917027236028527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8.8679045351754957E-2</v>
      </c>
      <c r="H1003" t="s">
        <v>37</v>
      </c>
      <c r="I1003">
        <f>VLOOKUP(Table4[[#This Row],[Visitor]],'NHL Model'!$A$6:$B$38,2,FALSE)</f>
        <v>0.77279348157483052</v>
      </c>
      <c r="J1003">
        <f>($B$1+Table4[[#This Row],[Home Differential]])-Table4[[#This Row],[Away Differential]]</f>
        <v>-0.60920251964642591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0.56024432305941241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1.8116689824371455</v>
      </c>
      <c r="H1004" t="s">
        <v>34</v>
      </c>
      <c r="I1004">
        <f>VLOOKUP(Table4[[#This Row],[Visitor]],'NHL Model'!$A$6:$B$38,2,FALSE)</f>
        <v>0.6527374602185485</v>
      </c>
      <c r="J1004">
        <f>($B$1+Table4[[#This Row],[Home Differential]])-Table4[[#This Row],[Away Differential]]</f>
        <v>1.2338434387952466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0.73128723619676528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0.92535559469880035</v>
      </c>
      <c r="H1005" t="s">
        <v>10</v>
      </c>
      <c r="I1005">
        <f>VLOOKUP(Table4[[#This Row],[Visitor]],'NHL Model'!$A$6:$B$38,2,FALSE)</f>
        <v>-0.45160327336373768</v>
      </c>
      <c r="J1005">
        <f>($B$1+Table4[[#This Row],[Home Differential]])-Table4[[#This Row],[Away Differential]]</f>
        <v>1.4518707846391876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0.7417948901934196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-7.602164965773138E-2</v>
      </c>
      <c r="H1006" t="s">
        <v>26</v>
      </c>
      <c r="I1006">
        <f>VLOOKUP(Table4[[#This Row],[Visitor]],'NHL Model'!$A$6:$B$38,2,FALSE)</f>
        <v>-8.2026557704658234E-2</v>
      </c>
      <c r="J1006">
        <f>($B$1+Table4[[#This Row],[Home Differential]])-Table4[[#This Row],[Away Differential]]</f>
        <v>8.0916824623576494E-2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0.5155123333445476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3.3446447213402619E-2</v>
      </c>
      <c r="H1007" t="s">
        <v>21</v>
      </c>
      <c r="I1007">
        <f>VLOOKUP(Table4[[#This Row],[Visitor]],'NHL Model'!$A$6:$B$38,2,FALSE)</f>
        <v>-6.5206076050157921E-2</v>
      </c>
      <c r="J1007">
        <f>($B$1+Table4[[#This Row],[Home Differential]])-Table4[[#This Row],[Away Differential]]</f>
        <v>0.17356443984021019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0.55951013991653653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0.21230765705109297</v>
      </c>
      <c r="H1008" t="s">
        <v>17</v>
      </c>
      <c r="I1008">
        <f>VLOOKUP(Table4[[#This Row],[Visitor]],'NHL Model'!$A$6:$B$38,2,FALSE)</f>
        <v>0.17499330177061237</v>
      </c>
      <c r="J1008">
        <f>($B$1+Table4[[#This Row],[Home Differential]])-Table4[[#This Row],[Away Differential]]</f>
        <v>0.11222627185713027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0.55261520083410898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-0.45160327336373768</v>
      </c>
      <c r="H1009" t="s">
        <v>55</v>
      </c>
      <c r="I1009">
        <f>VLOOKUP(Table4[[#This Row],[Visitor]],'NHL Model'!$A$6:$B$38,2,FALSE)</f>
        <v>0.18592042582238802</v>
      </c>
      <c r="J1009">
        <f>($B$1+Table4[[#This Row],[Home Differential]])-Table4[[#This Row],[Away Differential]]</f>
        <v>-0.56261178260947609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0.52324241651981485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0.3028174375616956</v>
      </c>
      <c r="H1010" t="s">
        <v>15</v>
      </c>
      <c r="I1010">
        <f>VLOOKUP(Table4[[#This Row],[Visitor]],'NHL Model'!$A$6:$B$38,2,FALSE)</f>
        <v>6.6163598639307278E-2</v>
      </c>
      <c r="J1010">
        <f>($B$1+Table4[[#This Row],[Home Differential]])-Table4[[#This Row],[Away Differential]]</f>
        <v>0.31156575549903798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0.50969434776028233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-0.46815423657711264</v>
      </c>
      <c r="H1011" t="s">
        <v>36</v>
      </c>
      <c r="I1011">
        <f>VLOOKUP(Table4[[#This Row],[Visitor]],'NHL Model'!$A$6:$B$38,2,FALSE)</f>
        <v>6.3057484159014243E-2</v>
      </c>
      <c r="J1011">
        <f>($B$1+Table4[[#This Row],[Home Differential]])-Table4[[#This Row],[Away Differential]]</f>
        <v>-0.45629980415947724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0.53206126404076703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0.44972876941152479</v>
      </c>
      <c r="H1012" t="s">
        <v>16</v>
      </c>
      <c r="I1012">
        <f>VLOOKUP(Table4[[#This Row],[Visitor]],'NHL Model'!$A$6:$B$38,2,FALSE)</f>
        <v>-0.31573427760518757</v>
      </c>
      <c r="J1012">
        <f>($B$1+Table4[[#This Row],[Home Differential]])-Table4[[#This Row],[Away Differential]]</f>
        <v>0.84037496359336206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0.63901984903166964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-6.5206076050157921E-2</v>
      </c>
      <c r="H1013" t="s">
        <v>13</v>
      </c>
      <c r="I1013">
        <f>VLOOKUP(Table4[[#This Row],[Visitor]],'NHL Model'!$A$6:$B$38,2,FALSE)</f>
        <v>4.5005056179018996E-2</v>
      </c>
      <c r="J1013">
        <f>($B$1+Table4[[#This Row],[Home Differential]])-Table4[[#This Row],[Away Differential]]</f>
        <v>-3.5299215652527277E-2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0.48222880583694927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8.8679045351754957E-2</v>
      </c>
      <c r="H1014" t="s">
        <v>33</v>
      </c>
      <c r="I1014">
        <f>VLOOKUP(Table4[[#This Row],[Visitor]],'NHL Model'!$A$6:$B$38,2,FALSE)</f>
        <v>-0.21695959508717547</v>
      </c>
      <c r="J1014">
        <f>($B$1+Table4[[#This Row],[Home Differential]])-Table4[[#This Row],[Away Differential]]</f>
        <v>0.38055055701558005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0.61420573603397821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0.53620748452970379</v>
      </c>
      <c r="H1015" t="s">
        <v>14</v>
      </c>
      <c r="I1015">
        <f>VLOOKUP(Table4[[#This Row],[Visitor]],'NHL Model'!$A$6:$B$38,2,FALSE)</f>
        <v>3.3446447213402619E-2</v>
      </c>
      <c r="J1015">
        <f>($B$1+Table4[[#This Row],[Home Differential]])-Table4[[#This Row],[Away Differential]]</f>
        <v>0.57767295389295081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0.64338975461741132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1.8116689824371455</v>
      </c>
      <c r="H1016" t="s">
        <v>17</v>
      </c>
      <c r="I1016">
        <f>VLOOKUP(Table4[[#This Row],[Visitor]],'NHL Model'!$A$6:$B$38,2,FALSE)</f>
        <v>0.17499330177061237</v>
      </c>
      <c r="J1016">
        <f>($B$1+Table4[[#This Row],[Home Differential]])-Table4[[#This Row],[Away Differential]]</f>
        <v>1.7115875972431827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0.85137579043715028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0.92535559469880035</v>
      </c>
      <c r="H1017" t="s">
        <v>20</v>
      </c>
      <c r="I1017">
        <f>VLOOKUP(Table4[[#This Row],[Visitor]],'NHL Model'!$A$6:$B$38,2,FALSE)</f>
        <v>0.21230765705109297</v>
      </c>
      <c r="J1017">
        <f>($B$1+Table4[[#This Row],[Home Differential]])-Table4[[#This Row],[Away Differential]]</f>
        <v>0.78795985422435699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0.64671301813111925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0.20922229284068078</v>
      </c>
      <c r="H1018" t="s">
        <v>26</v>
      </c>
      <c r="I1018">
        <f>VLOOKUP(Table4[[#This Row],[Visitor]],'NHL Model'!$A$6:$B$38,2,FALSE)</f>
        <v>-8.2026557704658234E-2</v>
      </c>
      <c r="J1018">
        <f>($B$1+Table4[[#This Row],[Home Differential]])-Table4[[#This Row],[Away Differential]]</f>
        <v>0.36616076712198864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0.54834648643516848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0.6527374602185485</v>
      </c>
      <c r="H1019" t="s">
        <v>55</v>
      </c>
      <c r="I1019">
        <f>VLOOKUP(Table4[[#This Row],[Visitor]],'NHL Model'!$A$6:$B$38,2,FALSE)</f>
        <v>0.18592042582238802</v>
      </c>
      <c r="J1019">
        <f>($B$1+Table4[[#This Row],[Home Differential]])-Table4[[#This Row],[Away Differential]]</f>
        <v>0.54172895097281015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0.62317874316746413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4.5205299343610755E-2</v>
      </c>
      <c r="H1020" t="s">
        <v>19</v>
      </c>
      <c r="I1020">
        <f>VLOOKUP(Table4[[#This Row],[Visitor]],'NHL Model'!$A$6:$B$38,2,FALSE)</f>
        <v>-1.7306849519822837E-2</v>
      </c>
      <c r="J1020">
        <f>($B$1+Table4[[#This Row],[Home Differential]])-Table4[[#This Row],[Away Differential]]</f>
        <v>0.13742406544008323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0.5554476501471366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6.6163598639307278E-2</v>
      </c>
      <c r="H1021" t="s">
        <v>16</v>
      </c>
      <c r="I1021">
        <f>VLOOKUP(Table4[[#This Row],[Visitor]],'NHL Model'!$A$6:$B$38,2,FALSE)</f>
        <v>-0.31573427760518757</v>
      </c>
      <c r="J1021">
        <f>($B$1+Table4[[#This Row],[Home Differential]])-Table4[[#This Row],[Away Differential]]</f>
        <v>0.45680979282114448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0.59134936039542263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-0.34471182133334621</v>
      </c>
      <c r="H1022" t="s">
        <v>29</v>
      </c>
      <c r="I1022">
        <f>VLOOKUP(Table4[[#This Row],[Visitor]],'NHL Model'!$A$6:$B$38,2,FALSE)</f>
        <v>-0.29605365356197477</v>
      </c>
      <c r="J1022">
        <f>($B$1+Table4[[#This Row],[Home Differential]])-Table4[[#This Row],[Away Differential]]</f>
        <v>2.6253748805278199E-2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0.54295114778693232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-0.90940046726085955</v>
      </c>
      <c r="H1023" t="s">
        <v>30</v>
      </c>
      <c r="I1023">
        <f>VLOOKUP(Table4[[#This Row],[Visitor]],'NHL Model'!$A$6:$B$38,2,FALSE)</f>
        <v>0.29544191342066151</v>
      </c>
      <c r="J1023">
        <f>($B$1+Table4[[#This Row],[Home Differential]])-Table4[[#This Row],[Away Differential]]</f>
        <v>-1.1299304641048713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0.62059734466553262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0.77279348157483052</v>
      </c>
      <c r="H1024" t="s">
        <v>28</v>
      </c>
      <c r="I1024">
        <f>VLOOKUP(Table4[[#This Row],[Visitor]],'NHL Model'!$A$6:$B$38,2,FALSE)</f>
        <v>-0.15682239438733669</v>
      </c>
      <c r="J1024">
        <f>($B$1+Table4[[#This Row],[Home Differential]])-Table4[[#This Row],[Away Differential]]</f>
        <v>1.0045277925388167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0.6574720427147166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-5.6782013784997053E-2</v>
      </c>
      <c r="H1025" t="s">
        <v>31</v>
      </c>
      <c r="I1025">
        <f>VLOOKUP(Table4[[#This Row],[Visitor]],'NHL Model'!$A$6:$B$38,2,FALSE)</f>
        <v>-5.9622828283354432E-4</v>
      </c>
      <c r="J1025">
        <f>($B$1+Table4[[#This Row],[Home Differential]])-Table4[[#This Row],[Away Differential]]</f>
        <v>1.8726131074486133E-2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0.54210497863326723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6.3057484159014243E-2</v>
      </c>
      <c r="H1026" t="s">
        <v>18</v>
      </c>
      <c r="I1026">
        <f>VLOOKUP(Table4[[#This Row],[Visitor]],'NHL Model'!$A$6:$B$38,2,FALSE)</f>
        <v>4.5205299343610755E-2</v>
      </c>
      <c r="J1026">
        <f>($B$1+Table4[[#This Row],[Home Differential]])-Table4[[#This Row],[Away Differential]]</f>
        <v>9.2764101392053128E-2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0.49302391023715159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0.3028174375616956</v>
      </c>
      <c r="H1027" t="s">
        <v>22</v>
      </c>
      <c r="I1027">
        <f>VLOOKUP(Table4[[#This Row],[Visitor]],'NHL Model'!$A$6:$B$38,2,FALSE)</f>
        <v>0.44972876941152479</v>
      </c>
      <c r="J1027">
        <f>($B$1+Table4[[#This Row],[Home Differential]])-Table4[[#This Row],[Away Differential]]</f>
        <v>-7.1999415273179546E-2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0.47081829095668898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-6.5206076050157921E-2</v>
      </c>
      <c r="H1028" t="s">
        <v>33</v>
      </c>
      <c r="I1028">
        <f>VLOOKUP(Table4[[#This Row],[Visitor]],'NHL Model'!$A$6:$B$38,2,FALSE)</f>
        <v>-0.21695959508717547</v>
      </c>
      <c r="J1028">
        <f>($B$1+Table4[[#This Row],[Home Differential]])-Table4[[#This Row],[Away Differential]]</f>
        <v>0.2266654356136672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0.57224173973049786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8.8679045351754957E-2</v>
      </c>
      <c r="H1029" t="s">
        <v>22</v>
      </c>
      <c r="I1029">
        <f>VLOOKUP(Table4[[#This Row],[Visitor]],'NHL Model'!$A$6:$B$38,2,FALSE)</f>
        <v>0.44972876941152479</v>
      </c>
      <c r="J1029">
        <f>($B$1+Table4[[#This Row],[Home Differential]])-Table4[[#This Row],[Away Differential]]</f>
        <v>-0.28613780748312018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0.46073578588186731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0.53620748452970379</v>
      </c>
      <c r="H1030" t="s">
        <v>35</v>
      </c>
      <c r="I1030">
        <f>VLOOKUP(Table4[[#This Row],[Visitor]],'NHL Model'!$A$6:$B$38,2,FALSE)</f>
        <v>-0.90940046726085955</v>
      </c>
      <c r="J1030">
        <f>($B$1+Table4[[#This Row],[Home Differential]])-Table4[[#This Row],[Away Differential]]</f>
        <v>1.520519868367213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0.75650513226824267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0.92535559469880035</v>
      </c>
      <c r="H1031" t="s">
        <v>17</v>
      </c>
      <c r="I1031">
        <f>VLOOKUP(Table4[[#This Row],[Visitor]],'NHL Model'!$A$6:$B$38,2,FALSE)</f>
        <v>0.17499330177061237</v>
      </c>
      <c r="J1031">
        <f>($B$1+Table4[[#This Row],[Home Differential]])-Table4[[#This Row],[Away Differential]]</f>
        <v>0.82527420950483765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0.67136003116729337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0.20922229284068078</v>
      </c>
      <c r="H1032" t="s">
        <v>28</v>
      </c>
      <c r="I1032">
        <f>VLOOKUP(Table4[[#This Row],[Visitor]],'NHL Model'!$A$6:$B$38,2,FALSE)</f>
        <v>-0.15682239438733669</v>
      </c>
      <c r="J1032">
        <f>($B$1+Table4[[#This Row],[Home Differential]])-Table4[[#This Row],[Away Differential]]</f>
        <v>0.44095660380466711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0.5903327162416756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0.6527374602185485</v>
      </c>
      <c r="H1033" t="s">
        <v>27</v>
      </c>
      <c r="I1033">
        <f>VLOOKUP(Table4[[#This Row],[Visitor]],'NHL Model'!$A$6:$B$38,2,FALSE)</f>
        <v>0.3028174375616956</v>
      </c>
      <c r="J1033">
        <f>($B$1+Table4[[#This Row],[Home Differential]])-Table4[[#This Row],[Away Differential]]</f>
        <v>0.42483193923350254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0.58942144053100154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-7.602164965773138E-2</v>
      </c>
      <c r="H1034" t="s">
        <v>16</v>
      </c>
      <c r="I1034">
        <f>VLOOKUP(Table4[[#This Row],[Visitor]],'NHL Model'!$A$6:$B$38,2,FALSE)</f>
        <v>-0.31573427760518757</v>
      </c>
      <c r="J1034">
        <f>($B$1+Table4[[#This Row],[Home Differential]])-Table4[[#This Row],[Away Differential]]</f>
        <v>0.31462454452410582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0.57536651223311119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-0.34471182133334621</v>
      </c>
      <c r="H1035" t="s">
        <v>12</v>
      </c>
      <c r="I1035">
        <f>VLOOKUP(Table4[[#This Row],[Visitor]],'NHL Model'!$A$6:$B$38,2,FALSE)</f>
        <v>1.8116689824371455</v>
      </c>
      <c r="J1035">
        <f>($B$1+Table4[[#This Row],[Home Differential]])-Table4[[#This Row],[Away Differential]]</f>
        <v>-2.081468887193842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0.78019354160800003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0.77279348157483052</v>
      </c>
      <c r="H1036" t="s">
        <v>26</v>
      </c>
      <c r="I1036">
        <f>VLOOKUP(Table4[[#This Row],[Visitor]],'NHL Model'!$A$6:$B$38,2,FALSE)</f>
        <v>-8.2026557704658234E-2</v>
      </c>
      <c r="J1036">
        <f>($B$1+Table4[[#This Row],[Home Differential]])-Table4[[#This Row],[Away Differential]]</f>
        <v>0.92973195585613844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0.61551233514919312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-1.7306849519822837E-2</v>
      </c>
      <c r="H1037" t="s">
        <v>31</v>
      </c>
      <c r="I1037">
        <f>VLOOKUP(Table4[[#This Row],[Visitor]],'NHL Model'!$A$6:$B$38,2,FALSE)</f>
        <v>-5.9622828283354432E-4</v>
      </c>
      <c r="J1037">
        <f>($B$1+Table4[[#This Row],[Home Differential]])-Table4[[#This Row],[Away Differential]]</f>
        <v>5.8201295339660349E-2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0.55785700099593338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0.18592042582238802</v>
      </c>
      <c r="H1038" t="s">
        <v>10</v>
      </c>
      <c r="I1038">
        <f>VLOOKUP(Table4[[#This Row],[Visitor]],'NHL Model'!$A$6:$B$38,2,FALSE)</f>
        <v>-0.45160327336373768</v>
      </c>
      <c r="J1038">
        <f>($B$1+Table4[[#This Row],[Home Differential]])-Table4[[#This Row],[Away Differential]]</f>
        <v>0.71243561576277536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0.62008390749771214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-0.46815423657711264</v>
      </c>
      <c r="H1039" t="s">
        <v>29</v>
      </c>
      <c r="I1039">
        <f>VLOOKUP(Table4[[#This Row],[Visitor]],'NHL Model'!$A$6:$B$38,2,FALSE)</f>
        <v>-0.29605365356197477</v>
      </c>
      <c r="J1039">
        <f>($B$1+Table4[[#This Row],[Home Differential]])-Table4[[#This Row],[Away Differential]]</f>
        <v>-9.7188666438488225E-2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0.47092484429565284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0.21230765705109297</v>
      </c>
      <c r="H1040" t="s">
        <v>14</v>
      </c>
      <c r="I1040">
        <f>VLOOKUP(Table4[[#This Row],[Visitor]],'NHL Model'!$A$6:$B$38,2,FALSE)</f>
        <v>3.3446447213402619E-2</v>
      </c>
      <c r="J1040">
        <f>($B$1+Table4[[#This Row],[Home Differential]])-Table4[[#This Row],[Away Differential]]</f>
        <v>0.25377312641434002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0.56123656840817171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-5.6782013784997053E-2</v>
      </c>
      <c r="H1041" t="s">
        <v>15</v>
      </c>
      <c r="I1041">
        <f>VLOOKUP(Table4[[#This Row],[Visitor]],'NHL Model'!$A$6:$B$38,2,FALSE)</f>
        <v>6.6163598639307278E-2</v>
      </c>
      <c r="J1041">
        <f>($B$1+Table4[[#This Row],[Home Differential]])-Table4[[#This Row],[Away Differential]]</f>
        <v>-4.8033695847654691E-2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0.53530099137690235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0.29544191342066151</v>
      </c>
      <c r="H1042" t="s">
        <v>13</v>
      </c>
      <c r="I1042">
        <f>VLOOKUP(Table4[[#This Row],[Visitor]],'NHL Model'!$A$6:$B$38,2,FALSE)</f>
        <v>4.5005056179018996E-2</v>
      </c>
      <c r="J1042">
        <f>($B$1+Table4[[#This Row],[Home Differential]])-Table4[[#This Row],[Away Differential]]</f>
        <v>0.32534877381829214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0.55831113852994474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-0.90940046726085955</v>
      </c>
      <c r="H1043" t="s">
        <v>17</v>
      </c>
      <c r="I1043">
        <f>VLOOKUP(Table4[[#This Row],[Visitor]],'NHL Model'!$A$6:$B$38,2,FALSE)</f>
        <v>0.17499330177061237</v>
      </c>
      <c r="J1043">
        <f>($B$1+Table4[[#This Row],[Home Differential]])-Table4[[#This Row],[Away Differential]]</f>
        <v>-1.0094818524548224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0.57347446632922117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8.8679045351754957E-2</v>
      </c>
      <c r="H1044" t="s">
        <v>19</v>
      </c>
      <c r="I1044">
        <f>VLOOKUP(Table4[[#This Row],[Visitor]],'NHL Model'!$A$6:$B$38,2,FALSE)</f>
        <v>-1.7306849519822837E-2</v>
      </c>
      <c r="J1044">
        <f>($B$1+Table4[[#This Row],[Home Differential]])-Table4[[#This Row],[Away Differential]]</f>
        <v>0.18089781144822745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0.59892656670549216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0.92535559469880035</v>
      </c>
      <c r="H1045" t="s">
        <v>26</v>
      </c>
      <c r="I1045">
        <f>VLOOKUP(Table4[[#This Row],[Visitor]],'NHL Model'!$A$6:$B$38,2,FALSE)</f>
        <v>-8.2026557704658234E-2</v>
      </c>
      <c r="J1045">
        <f>($B$1+Table4[[#This Row],[Home Differential]])-Table4[[#This Row],[Away Differential]]</f>
        <v>1.0822940689801082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0.6671137328784178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0.6527374602185485</v>
      </c>
      <c r="H1046" t="s">
        <v>15</v>
      </c>
      <c r="I1046">
        <f>VLOOKUP(Table4[[#This Row],[Visitor]],'NHL Model'!$A$6:$B$38,2,FALSE)</f>
        <v>6.6163598639307278E-2</v>
      </c>
      <c r="J1046">
        <f>($B$1+Table4[[#This Row],[Home Differential]])-Table4[[#This Row],[Away Differential]]</f>
        <v>0.66148577815589082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0.56694319728109199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4.5205299343610755E-2</v>
      </c>
      <c r="H1047" t="s">
        <v>33</v>
      </c>
      <c r="I1047">
        <f>VLOOKUP(Table4[[#This Row],[Visitor]],'NHL Model'!$A$6:$B$38,2,FALSE)</f>
        <v>-0.21695959508717547</v>
      </c>
      <c r="J1047">
        <f>($B$1+Table4[[#This Row],[Home Differential]])-Table4[[#This Row],[Away Differential]]</f>
        <v>0.33707681100743586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0.57060062099561759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-7.602164965773138E-2</v>
      </c>
      <c r="H1048" t="s">
        <v>13</v>
      </c>
      <c r="I1048">
        <f>VLOOKUP(Table4[[#This Row],[Visitor]],'NHL Model'!$A$6:$B$38,2,FALSE)</f>
        <v>4.5005056179018996E-2</v>
      </c>
      <c r="J1048">
        <f>($B$1+Table4[[#This Row],[Home Differential]])-Table4[[#This Row],[Away Differential]]</f>
        <v>-4.6114789260100736E-2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0.49757403126679672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0.29544191342066151</v>
      </c>
      <c r="H1049" t="s">
        <v>16</v>
      </c>
      <c r="I1049">
        <f>VLOOKUP(Table4[[#This Row],[Visitor]],'NHL Model'!$A$6:$B$38,2,FALSE)</f>
        <v>-0.31573427760518757</v>
      </c>
      <c r="J1049">
        <f>($B$1+Table4[[#This Row],[Home Differential]])-Table4[[#This Row],[Away Differential]]</f>
        <v>0.68608810760249872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0.63113884084928051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6.3057484159014243E-2</v>
      </c>
      <c r="H1050" t="s">
        <v>31</v>
      </c>
      <c r="I1050">
        <f>VLOOKUP(Table4[[#This Row],[Visitor]],'NHL Model'!$A$6:$B$38,2,FALSE)</f>
        <v>-5.9622828283354432E-4</v>
      </c>
      <c r="J1050">
        <f>($B$1+Table4[[#This Row],[Home Differential]])-Table4[[#This Row],[Away Differential]]</f>
        <v>0.13856562901849742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0.5555759717385812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0.3028174375616956</v>
      </c>
      <c r="H1051" t="s">
        <v>28</v>
      </c>
      <c r="I1051">
        <f>VLOOKUP(Table4[[#This Row],[Visitor]],'NHL Model'!$A$6:$B$38,2,FALSE)</f>
        <v>-0.15682239438733669</v>
      </c>
      <c r="J1051">
        <f>($B$1+Table4[[#This Row],[Home Differential]])-Table4[[#This Row],[Away Differential]]</f>
        <v>0.53455174852568188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0.60464268213510608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0.77279348157483052</v>
      </c>
      <c r="H1052" t="s">
        <v>25</v>
      </c>
      <c r="I1052">
        <f>VLOOKUP(Table4[[#This Row],[Visitor]],'NHL Model'!$A$6:$B$38,2,FALSE)</f>
        <v>0.53620748452970379</v>
      </c>
      <c r="J1052">
        <f>($B$1+Table4[[#This Row],[Home Differential]])-Table4[[#This Row],[Away Differential]]</f>
        <v>0.31149791362177637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0.522194539134053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0.18592042582238802</v>
      </c>
      <c r="H1053" t="s">
        <v>14</v>
      </c>
      <c r="I1053">
        <f>VLOOKUP(Table4[[#This Row],[Visitor]],'NHL Model'!$A$6:$B$38,2,FALSE)</f>
        <v>3.3446447213402619E-2</v>
      </c>
      <c r="J1053">
        <f>($B$1+Table4[[#This Row],[Home Differential]])-Table4[[#This Row],[Away Differential]]</f>
        <v>0.22738589518563501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0.55827041604564853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-0.46815423657711264</v>
      </c>
      <c r="H1054" t="s">
        <v>32</v>
      </c>
      <c r="I1054">
        <f>VLOOKUP(Table4[[#This Row],[Visitor]],'NHL Model'!$A$6:$B$38,2,FALSE)</f>
        <v>-0.34471182133334621</v>
      </c>
      <c r="J1054">
        <f>($B$1+Table4[[#This Row],[Home Differential]])-Table4[[#This Row],[Away Differential]]</f>
        <v>-4.8530498667116784E-2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0.46545524659363652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0.21230765705109297</v>
      </c>
      <c r="H1055" t="s">
        <v>10</v>
      </c>
      <c r="I1055">
        <f>VLOOKUP(Table4[[#This Row],[Visitor]],'NHL Model'!$A$6:$B$38,2,FALSE)</f>
        <v>-0.45160327336373768</v>
      </c>
      <c r="J1055">
        <f>($B$1+Table4[[#This Row],[Home Differential]])-Table4[[#This Row],[Away Differential]]</f>
        <v>0.73882284699148038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0.62305005986023521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-5.6782013784997053E-2</v>
      </c>
      <c r="H1056" t="s">
        <v>12</v>
      </c>
      <c r="I1056">
        <f>VLOOKUP(Table4[[#This Row],[Visitor]],'NHL Model'!$A$6:$B$38,2,FALSE)</f>
        <v>1.8116689824371455</v>
      </c>
      <c r="J1056">
        <f>($B$1+Table4[[#This Row],[Home Differential]])-Table4[[#This Row],[Away Differential]]</f>
        <v>-1.7935390796454929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0.74782774803541419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0.44972876941152479</v>
      </c>
      <c r="H1057" t="s">
        <v>21</v>
      </c>
      <c r="I1057">
        <f>VLOOKUP(Table4[[#This Row],[Visitor]],'NHL Model'!$A$6:$B$38,2,FALSE)</f>
        <v>-6.5206076050157921E-2</v>
      </c>
      <c r="J1057">
        <f>($B$1+Table4[[#This Row],[Home Differential]])-Table4[[#This Row],[Away Differential]]</f>
        <v>0.58984676203833242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0.61085831853684702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0.17499330177061237</v>
      </c>
      <c r="H1058" t="s">
        <v>29</v>
      </c>
      <c r="I1058">
        <f>VLOOKUP(Table4[[#This Row],[Visitor]],'NHL Model'!$A$6:$B$38,2,FALSE)</f>
        <v>-0.29605365356197477</v>
      </c>
      <c r="J1058">
        <f>($B$1+Table4[[#This Row],[Home Differential]])-Table4[[#This Row],[Away Differential]]</f>
        <v>0.54595887190923675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0.63740735209621446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0.6527374602185485</v>
      </c>
      <c r="H1059" t="s">
        <v>19</v>
      </c>
      <c r="I1059">
        <f>VLOOKUP(Table4[[#This Row],[Visitor]],'NHL Model'!$A$6:$B$38,2,FALSE)</f>
        <v>-1.7306849519822837E-2</v>
      </c>
      <c r="J1059">
        <f>($B$1+Table4[[#This Row],[Home Differential]])-Table4[[#This Row],[Away Differential]]</f>
        <v>0.74495622631502101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0.6460232416167625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4.5205299343610755E-2</v>
      </c>
      <c r="H1060" t="s">
        <v>31</v>
      </c>
      <c r="I1060">
        <f>VLOOKUP(Table4[[#This Row],[Visitor]],'NHL Model'!$A$6:$B$38,2,FALSE)</f>
        <v>-5.9622828283354432E-4</v>
      </c>
      <c r="J1060">
        <f>($B$1+Table4[[#This Row],[Home Differential]])-Table4[[#This Row],[Away Differential]]</f>
        <v>0.12071344420309393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0.55356923220204335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6.3057484159014243E-2</v>
      </c>
      <c r="H1061" t="s">
        <v>33</v>
      </c>
      <c r="I1061">
        <f>VLOOKUP(Table4[[#This Row],[Visitor]],'NHL Model'!$A$6:$B$38,2,FALSE)</f>
        <v>-0.21695959508717547</v>
      </c>
      <c r="J1061">
        <f>($B$1+Table4[[#This Row],[Home Differential]])-Table4[[#This Row],[Away Differential]]</f>
        <v>0.35492899582283932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0.57260736053215544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-0.34471182133334621</v>
      </c>
      <c r="H1062" t="s">
        <v>11</v>
      </c>
      <c r="I1062">
        <f>VLOOKUP(Table4[[#This Row],[Visitor]],'NHL Model'!$A$6:$B$38,2,FALSE)</f>
        <v>0.20922229284068078</v>
      </c>
      <c r="J1062">
        <f>($B$1+Table4[[#This Row],[Home Differential]])-Table4[[#This Row],[Away Differential]]</f>
        <v>-0.47902219759737735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0.55074063619745917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-5.6782013784997053E-2</v>
      </c>
      <c r="H1063" t="s">
        <v>35</v>
      </c>
      <c r="I1063">
        <f>VLOOKUP(Table4[[#This Row],[Visitor]],'NHL Model'!$A$6:$B$38,2,FALSE)</f>
        <v>-0.90940046726085955</v>
      </c>
      <c r="J1063">
        <f>($B$1+Table4[[#This Row],[Home Differential]])-Table4[[#This Row],[Away Differential]]</f>
        <v>0.92753037005251215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0.64426241292986908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1.8116689824371455</v>
      </c>
      <c r="H1064" t="s">
        <v>14</v>
      </c>
      <c r="I1064">
        <f>VLOOKUP(Table4[[#This Row],[Visitor]],'NHL Model'!$A$6:$B$38,2,FALSE)</f>
        <v>3.3446447213402619E-2</v>
      </c>
      <c r="J1064">
        <f>($B$1+Table4[[#This Row],[Home Differential]])-Table4[[#This Row],[Away Differential]]</f>
        <v>1.8531344518003925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0.86066880946279423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0.92535559469880035</v>
      </c>
      <c r="H1065" t="s">
        <v>55</v>
      </c>
      <c r="I1065">
        <f>VLOOKUP(Table4[[#This Row],[Visitor]],'NHL Model'!$A$6:$B$38,2,FALSE)</f>
        <v>0.18592042582238802</v>
      </c>
      <c r="J1065">
        <f>($B$1+Table4[[#This Row],[Home Differential]])-Table4[[#This Row],[Away Differential]]</f>
        <v>0.814347085453062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0.67013172818465616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-8.2026557704658234E-2</v>
      </c>
      <c r="H1066" t="s">
        <v>16</v>
      </c>
      <c r="I1066">
        <f>VLOOKUP(Table4[[#This Row],[Visitor]],'NHL Model'!$A$6:$B$38,2,FALSE)</f>
        <v>-0.31573427760518757</v>
      </c>
      <c r="J1066">
        <f>($B$1+Table4[[#This Row],[Home Differential]])-Table4[[#This Row],[Away Differential]]</f>
        <v>0.30861963647717899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0.60838965529395694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-7.602164965773138E-2</v>
      </c>
      <c r="H1067" t="s">
        <v>21</v>
      </c>
      <c r="I1067">
        <f>VLOOKUP(Table4[[#This Row],[Visitor]],'NHL Model'!$A$6:$B$38,2,FALSE)</f>
        <v>-6.5206076050157921E-2</v>
      </c>
      <c r="J1067">
        <f>($B$1+Table4[[#This Row],[Home Differential]])-Table4[[#This Row],[Away Differential]]</f>
        <v>6.4096342969076181E-2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0.54720498173828858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6.6163598639307278E-2</v>
      </c>
      <c r="H1068" t="s">
        <v>13</v>
      </c>
      <c r="I1068">
        <f>VLOOKUP(Table4[[#This Row],[Visitor]],'NHL Model'!$A$6:$B$38,2,FALSE)</f>
        <v>4.5005056179018996E-2</v>
      </c>
      <c r="J1068">
        <f>($B$1+Table4[[#This Row],[Home Differential]])-Table4[[#This Row],[Away Differential]]</f>
        <v>9.6070459036937908E-2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0.51840881689551477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-0.15682239438733669</v>
      </c>
      <c r="H1069" t="s">
        <v>25</v>
      </c>
      <c r="I1069">
        <f>VLOOKUP(Table4[[#This Row],[Visitor]],'NHL Model'!$A$6:$B$38,2,FALSE)</f>
        <v>0.53620748452970379</v>
      </c>
      <c r="J1069">
        <f>($B$1+Table4[[#This Row],[Home Differential]])-Table4[[#This Row],[Away Differential]]</f>
        <v>-0.61811796234039085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0.58688536461399254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-0.45160327336373768</v>
      </c>
      <c r="H1070" t="s">
        <v>34</v>
      </c>
      <c r="I1070">
        <f>VLOOKUP(Table4[[#This Row],[Visitor]],'NHL Model'!$A$6:$B$38,2,FALSE)</f>
        <v>0.6527374602185485</v>
      </c>
      <c r="J1070">
        <f>($B$1+Table4[[#This Row],[Home Differential]])-Table4[[#This Row],[Away Differential]]</f>
        <v>-1.0294288170056365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0.64660470806213977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0.17499330177061237</v>
      </c>
      <c r="H1071" t="s">
        <v>33</v>
      </c>
      <c r="I1071">
        <f>VLOOKUP(Table4[[#This Row],[Visitor]],'NHL Model'!$A$6:$B$38,2,FALSE)</f>
        <v>-0.21695959508717547</v>
      </c>
      <c r="J1071">
        <f>($B$1+Table4[[#This Row],[Home Differential]])-Table4[[#This Row],[Away Differential]]</f>
        <v>0.46686481343443748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0.62134190687936086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4.5205299343610755E-2</v>
      </c>
      <c r="H1072" t="s">
        <v>21</v>
      </c>
      <c r="I1072">
        <f>VLOOKUP(Table4[[#This Row],[Visitor]],'NHL Model'!$A$6:$B$38,2,FALSE)</f>
        <v>-6.5206076050157921E-2</v>
      </c>
      <c r="J1072">
        <f>($B$1+Table4[[#This Row],[Home Differential]])-Table4[[#This Row],[Away Differential]]</f>
        <v>0.1853232919704183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0.5608319363082942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-0.34471182133334621</v>
      </c>
      <c r="H1073" t="s">
        <v>37</v>
      </c>
      <c r="I1073">
        <f>VLOOKUP(Table4[[#This Row],[Visitor]],'NHL Model'!$A$6:$B$38,2,FALSE)</f>
        <v>0.77279348157483052</v>
      </c>
      <c r="J1073">
        <f>($B$1+Table4[[#This Row],[Home Differential]])-Table4[[#This Row],[Away Differential]]</f>
        <v>-1.0425933863315271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0.64808451919007326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-1.7306849519822837E-2</v>
      </c>
      <c r="H1074" t="s">
        <v>30</v>
      </c>
      <c r="I1074">
        <f>VLOOKUP(Table4[[#This Row],[Visitor]],'NHL Model'!$A$6:$B$38,2,FALSE)</f>
        <v>0.29544191342066151</v>
      </c>
      <c r="J1074">
        <f>($B$1+Table4[[#This Row],[Home Differential]])-Table4[[#This Row],[Away Differential]]</f>
        <v>-0.2378368463638347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0.50891520621783626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-0.46815423657711264</v>
      </c>
      <c r="H1075" t="s">
        <v>11</v>
      </c>
      <c r="I1075">
        <f>VLOOKUP(Table4[[#This Row],[Visitor]],'NHL Model'!$A$6:$B$38,2,FALSE)</f>
        <v>0.20922229284068078</v>
      </c>
      <c r="J1075">
        <f>($B$1+Table4[[#This Row],[Home Differential]])-Table4[[#This Row],[Away Differential]]</f>
        <v>-0.60246461284114372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0.56461662828004433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0.21230765705109297</v>
      </c>
      <c r="H1076" t="s">
        <v>23</v>
      </c>
      <c r="I1076">
        <f>VLOOKUP(Table4[[#This Row],[Visitor]],'NHL Model'!$A$6:$B$38,2,FALSE)</f>
        <v>8.8679045351754957E-2</v>
      </c>
      <c r="J1076">
        <f>($B$1+Table4[[#This Row],[Home Differential]])-Table4[[#This Row],[Away Differential]]</f>
        <v>0.19854052827598767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0.56231766765896141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-5.6782013784997053E-2</v>
      </c>
      <c r="H1077" t="s">
        <v>29</v>
      </c>
      <c r="I1077">
        <f>VLOOKUP(Table4[[#This Row],[Visitor]],'NHL Model'!$A$6:$B$38,2,FALSE)</f>
        <v>-0.29605365356197477</v>
      </c>
      <c r="J1077">
        <f>($B$1+Table4[[#This Row],[Home Differential]])-Table4[[#This Row],[Away Differential]]</f>
        <v>0.31418355635362738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0.57531694135951816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-5.9622828283354432E-4</v>
      </c>
      <c r="H1078" t="s">
        <v>27</v>
      </c>
      <c r="I1078">
        <f>VLOOKUP(Table4[[#This Row],[Visitor]],'NHL Model'!$A$6:$B$38,2,FALSE)</f>
        <v>0.3028174375616956</v>
      </c>
      <c r="J1078">
        <f>($B$1+Table4[[#This Row],[Home Differential]])-Table4[[#This Row],[Away Differential]]</f>
        <v>-0.2285017492678795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0.46754603241044351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0.53620748452970379</v>
      </c>
      <c r="H1079" t="s">
        <v>14</v>
      </c>
      <c r="I1079">
        <f>VLOOKUP(Table4[[#This Row],[Visitor]],'NHL Model'!$A$6:$B$38,2,FALSE)</f>
        <v>3.3446447213402619E-2</v>
      </c>
      <c r="J1079">
        <f>($B$1+Table4[[#This Row],[Home Differential]])-Table4[[#This Row],[Away Differential]]</f>
        <v>0.57767295389295081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0.64338975461741132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-0.31573427760518757</v>
      </c>
      <c r="H1080" t="s">
        <v>35</v>
      </c>
      <c r="I1080">
        <f>VLOOKUP(Table4[[#This Row],[Visitor]],'NHL Model'!$A$6:$B$38,2,FALSE)</f>
        <v>-0.90940046726085955</v>
      </c>
      <c r="J1080">
        <f>($B$1+Table4[[#This Row],[Home Differential]])-Table4[[#This Row],[Away Differential]]</f>
        <v>0.66857810623232161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0.64569336427161406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1.8116689824371455</v>
      </c>
      <c r="H1081" t="s">
        <v>39</v>
      </c>
      <c r="I1081">
        <f>VLOOKUP(Table4[[#This Row],[Visitor]],'NHL Model'!$A$6:$B$38,2,FALSE)</f>
        <v>0.92535559469880035</v>
      </c>
      <c r="J1081">
        <f>($B$1+Table4[[#This Row],[Home Differential]])-Table4[[#This Row],[Away Differential]]</f>
        <v>0.96122530431499476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0.68566734265734963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6.6163598639307278E-2</v>
      </c>
      <c r="H1082" t="s">
        <v>24</v>
      </c>
      <c r="I1082">
        <f>VLOOKUP(Table4[[#This Row],[Visitor]],'NHL Model'!$A$6:$B$38,2,FALSE)</f>
        <v>-7.602164965773138E-2</v>
      </c>
      <c r="J1082">
        <f>($B$1+Table4[[#This Row],[Home Differential]])-Table4[[#This Row],[Away Differential]]</f>
        <v>0.2170971648736883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0.54363436288202927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0.44972876941152479</v>
      </c>
      <c r="H1083" t="s">
        <v>36</v>
      </c>
      <c r="I1083">
        <f>VLOOKUP(Table4[[#This Row],[Visitor]],'NHL Model'!$A$6:$B$38,2,FALSE)</f>
        <v>6.3057484159014243E-2</v>
      </c>
      <c r="J1083">
        <f>($B$1+Table4[[#This Row],[Home Differential]])-Table4[[#This Row],[Away Differential]]</f>
        <v>0.46158320182916024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0.57569545654494292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-6.5206076050157921E-2</v>
      </c>
      <c r="H1084" t="s">
        <v>40</v>
      </c>
      <c r="I1084">
        <f>VLOOKUP(Table4[[#This Row],[Visitor]],'NHL Model'!$A$6:$B$38,2,FALSE)</f>
        <v>-5.6782013784997053E-2</v>
      </c>
      <c r="J1084">
        <f>($B$1+Table4[[#This Row],[Home Differential]])-Table4[[#This Row],[Away Differential]]</f>
        <v>6.6487854311488764E-2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0.56149042873699428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-0.15682239438733669</v>
      </c>
      <c r="H1085" t="s">
        <v>15</v>
      </c>
      <c r="I1085">
        <f>VLOOKUP(Table4[[#This Row],[Visitor]],'NHL Model'!$A$6:$B$38,2,FALSE)</f>
        <v>6.6163598639307278E-2</v>
      </c>
      <c r="J1085">
        <f>($B$1+Table4[[#This Row],[Home Differential]])-Table4[[#This Row],[Away Differential]]</f>
        <v>-0.14807407644999432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0.54654639293872065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-8.2026557704658234E-2</v>
      </c>
      <c r="H1086" t="s">
        <v>18</v>
      </c>
      <c r="I1086">
        <f>VLOOKUP(Table4[[#This Row],[Visitor]],'NHL Model'!$A$6:$B$38,2,FALSE)</f>
        <v>4.5205299343610755E-2</v>
      </c>
      <c r="J1086">
        <f>($B$1+Table4[[#This Row],[Home Differential]])-Table4[[#This Row],[Away Differential]]</f>
        <v>-5.231994047161935E-2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0.48914481086025163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0.17499330177061237</v>
      </c>
      <c r="H1087" t="s">
        <v>11</v>
      </c>
      <c r="I1087">
        <f>VLOOKUP(Table4[[#This Row],[Visitor]],'NHL Model'!$A$6:$B$38,2,FALSE)</f>
        <v>0.20922229284068078</v>
      </c>
      <c r="J1087">
        <f>($B$1+Table4[[#This Row],[Home Differential]])-Table4[[#This Row],[Away Differential]]</f>
        <v>4.068292550658123E-2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0.5441414570140054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4.5005056179018996E-2</v>
      </c>
      <c r="H1088" t="s">
        <v>27</v>
      </c>
      <c r="I1088">
        <f>VLOOKUP(Table4[[#This Row],[Visitor]],'NHL Model'!$A$6:$B$38,2,FALSE)</f>
        <v>0.3028174375616956</v>
      </c>
      <c r="J1088">
        <f>($B$1+Table4[[#This Row],[Home Differential]])-Table4[[#This Row],[Away Differential]]</f>
        <v>-0.18290046480602695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0.50132882040896543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0.6527374602185485</v>
      </c>
      <c r="H1089" t="s">
        <v>10</v>
      </c>
      <c r="I1089">
        <f>VLOOKUP(Table4[[#This Row],[Visitor]],'NHL Model'!$A$6:$B$38,2,FALSE)</f>
        <v>-0.45160327336373768</v>
      </c>
      <c r="J1089">
        <f>($B$1+Table4[[#This Row],[Home Differential]])-Table4[[#This Row],[Away Differential]]</f>
        <v>1.1792526501589358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0.69484190517622757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-0.29605365356197477</v>
      </c>
      <c r="H1090" t="s">
        <v>32</v>
      </c>
      <c r="I1090">
        <f>VLOOKUP(Table4[[#This Row],[Visitor]],'NHL Model'!$A$6:$B$38,2,FALSE)</f>
        <v>-0.34471182133334621</v>
      </c>
      <c r="J1090">
        <f>($B$1+Table4[[#This Row],[Home Differential]])-Table4[[#This Row],[Away Differential]]</f>
        <v>0.12357008434802108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0.55389034319096497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6.3057484159014243E-2</v>
      </c>
      <c r="H1091" t="s">
        <v>30</v>
      </c>
      <c r="I1091">
        <f>VLOOKUP(Table4[[#This Row],[Visitor]],'NHL Model'!$A$6:$B$38,2,FALSE)</f>
        <v>0.29544191342066151</v>
      </c>
      <c r="J1091">
        <f>($B$1+Table4[[#This Row],[Home Differential]])-Table4[[#This Row],[Away Differential]]</f>
        <v>-0.15747251268499762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0.51128468411929817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-0.21695959508717547</v>
      </c>
      <c r="H1092" t="s">
        <v>23</v>
      </c>
      <c r="I1092">
        <f>VLOOKUP(Table4[[#This Row],[Visitor]],'NHL Model'!$A$6:$B$38,2,FALSE)</f>
        <v>8.8679045351754957E-2</v>
      </c>
      <c r="J1092">
        <f>($B$1+Table4[[#This Row],[Home Differential]])-Table4[[#This Row],[Away Differential]]</f>
        <v>-0.23072672386228077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0.48593567362750945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-0.46815423657711264</v>
      </c>
      <c r="H1093" t="s">
        <v>37</v>
      </c>
      <c r="I1093">
        <f>VLOOKUP(Table4[[#This Row],[Visitor]],'NHL Model'!$A$6:$B$38,2,FALSE)</f>
        <v>0.77279348157483052</v>
      </c>
      <c r="J1093">
        <f>($B$1+Table4[[#This Row],[Home Differential]])-Table4[[#This Row],[Away Differential]]</f>
        <v>-1.1660358015752936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0.66196051127265831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0.21230765705109297</v>
      </c>
      <c r="H1094" t="s">
        <v>55</v>
      </c>
      <c r="I1094">
        <f>VLOOKUP(Table4[[#This Row],[Visitor]],'NHL Model'!$A$6:$B$38,2,FALSE)</f>
        <v>0.18592042582238802</v>
      </c>
      <c r="J1094">
        <f>($B$1+Table4[[#This Row],[Home Differential]])-Table4[[#This Row],[Away Differential]]</f>
        <v>0.10129914780535462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0.55138689785147177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-0.31573427760518757</v>
      </c>
      <c r="H1095" t="s">
        <v>11</v>
      </c>
      <c r="I1095">
        <f>VLOOKUP(Table4[[#This Row],[Visitor]],'NHL Model'!$A$6:$B$38,2,FALSE)</f>
        <v>0.20922229284068078</v>
      </c>
      <c r="J1095">
        <f>($B$1+Table4[[#This Row],[Home Differential]])-Table4[[#This Row],[Away Differential]]</f>
        <v>-0.45004465386921871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0.51660831790810535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-0.45160327336373768</v>
      </c>
      <c r="H1096" t="s">
        <v>12</v>
      </c>
      <c r="I1096">
        <f>VLOOKUP(Table4[[#This Row],[Visitor]],'NHL Model'!$A$6:$B$38,2,FALSE)</f>
        <v>1.8116689824371455</v>
      </c>
      <c r="J1096">
        <f>($B$1+Table4[[#This Row],[Home Differential]])-Table4[[#This Row],[Away Differential]]</f>
        <v>-2.1883603392242335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0.79220906268429103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-1.7306849519822837E-2</v>
      </c>
      <c r="H1097" t="s">
        <v>25</v>
      </c>
      <c r="I1097">
        <f>VLOOKUP(Table4[[#This Row],[Visitor]],'NHL Model'!$A$6:$B$38,2,FALSE)</f>
        <v>0.53620748452970379</v>
      </c>
      <c r="J1097">
        <f>($B$1+Table4[[#This Row],[Home Differential]])-Table4[[#This Row],[Away Differential]]</f>
        <v>-0.47860241747287702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0.55979903935325126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0.18592042582238802</v>
      </c>
      <c r="H1098" t="s">
        <v>31</v>
      </c>
      <c r="I1098">
        <f>VLOOKUP(Table4[[#This Row],[Visitor]],'NHL Model'!$A$6:$B$38,2,FALSE)</f>
        <v>-5.9622828283354432E-4</v>
      </c>
      <c r="J1098">
        <f>($B$1+Table4[[#This Row],[Home Differential]])-Table4[[#This Row],[Away Differential]]</f>
        <v>0.2614285706818712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0.56938682599315382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0.44972876941152479</v>
      </c>
      <c r="H1099" t="s">
        <v>24</v>
      </c>
      <c r="I1099">
        <f>VLOOKUP(Table4[[#This Row],[Visitor]],'NHL Model'!$A$6:$B$38,2,FALSE)</f>
        <v>-7.602164965773138E-2</v>
      </c>
      <c r="J1099">
        <f>($B$1+Table4[[#This Row],[Home Differential]])-Table4[[#This Row],[Away Differential]]</f>
        <v>0.60066233564590588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0.59132915065148639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-0.15682239438733669</v>
      </c>
      <c r="H1100" t="s">
        <v>32</v>
      </c>
      <c r="I1100">
        <f>VLOOKUP(Table4[[#This Row],[Visitor]],'NHL Model'!$A$6:$B$38,2,FALSE)</f>
        <v>-0.34471182133334621</v>
      </c>
      <c r="J1100">
        <f>($B$1+Table4[[#This Row],[Home Differential]])-Table4[[#This Row],[Away Differential]]</f>
        <v>0.26280134352265916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0.56954113749971613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-8.2026557704658234E-2</v>
      </c>
      <c r="H1101" t="s">
        <v>21</v>
      </c>
      <c r="I1101">
        <f>VLOOKUP(Table4[[#This Row],[Visitor]],'NHL Model'!$A$6:$B$38,2,FALSE)</f>
        <v>-6.5206076050157921E-2</v>
      </c>
      <c r="J1101">
        <f>($B$1+Table4[[#This Row],[Home Differential]])-Table4[[#This Row],[Away Differential]]</f>
        <v>5.8091434922149326E-2</v>
      </c>
      <c r="K1101" t="str">
        <f>IF(Table4[[#This Row],[HomeIce Differential]]&gt;0,Table4[[#This Row],[Home]],Table4[[#This Row],[Visitor]])</f>
        <v>Detroit Red Wings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0.58022812479913433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0.17499330177061237</v>
      </c>
      <c r="H1102" t="s">
        <v>37</v>
      </c>
      <c r="I1102">
        <f>VLOOKUP(Table4[[#This Row],[Visitor]],'NHL Model'!$A$6:$B$38,2,FALSE)</f>
        <v>0.77279348157483052</v>
      </c>
      <c r="J1102">
        <f>($B$1+Table4[[#This Row],[Home Differential]])-Table4[[#This Row],[Away Differential]]</f>
        <v>-0.52288826322756854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0.55315917282411731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4.5005056179018996E-2</v>
      </c>
      <c r="H1103" t="s">
        <v>23</v>
      </c>
      <c r="I1103">
        <f>VLOOKUP(Table4[[#This Row],[Visitor]],'NHL Model'!$A$6:$B$38,2,FALSE)</f>
        <v>8.8679045351754957E-2</v>
      </c>
      <c r="J1103">
        <f>($B$1+Table4[[#This Row],[Home Differential]])-Table4[[#This Row],[Away Differential]]</f>
        <v>3.1237927403913679E-2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0.54351141244666279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0.6527374602185485</v>
      </c>
      <c r="H1104" t="s">
        <v>39</v>
      </c>
      <c r="I1104">
        <f>VLOOKUP(Table4[[#This Row],[Visitor]],'NHL Model'!$A$6:$B$38,2,FALSE)</f>
        <v>0.92535559469880035</v>
      </c>
      <c r="J1104">
        <f>($B$1+Table4[[#This Row],[Home Differential]])-Table4[[#This Row],[Away Differential]]</f>
        <v>-0.19770621790360221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0.54603340778725384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4.5205299343610755E-2</v>
      </c>
      <c r="H1105" t="s">
        <v>30</v>
      </c>
      <c r="I1105">
        <f>VLOOKUP(Table4[[#This Row],[Visitor]],'NHL Model'!$A$6:$B$38,2,FALSE)</f>
        <v>0.29544191342066151</v>
      </c>
      <c r="J1105">
        <f>($B$1+Table4[[#This Row],[Home Differential]])-Table4[[#This Row],[Away Differential]]</f>
        <v>-0.17532469750040111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0.51329142365583602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-0.29605365356197477</v>
      </c>
      <c r="H1106" t="s">
        <v>20</v>
      </c>
      <c r="I1106">
        <f>VLOOKUP(Table4[[#This Row],[Visitor]],'NHL Model'!$A$6:$B$38,2,FALSE)</f>
        <v>0.21230765705109297</v>
      </c>
      <c r="J1106">
        <f>($B$1+Table4[[#This Row],[Home Differential]])-Table4[[#This Row],[Away Differential]]</f>
        <v>-0.43344939403641813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0.52949268087326129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6.3057484159014243E-2</v>
      </c>
      <c r="H1107" t="s">
        <v>19</v>
      </c>
      <c r="I1107">
        <f>VLOOKUP(Table4[[#This Row],[Visitor]],'NHL Model'!$A$6:$B$38,2,FALSE)</f>
        <v>-1.7306849519822837E-2</v>
      </c>
      <c r="J1107">
        <f>($B$1+Table4[[#This Row],[Home Differential]])-Table4[[#This Row],[Away Differential]]</f>
        <v>0.15527625025548672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0.55745438968367444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3.3446447213402619E-2</v>
      </c>
      <c r="H1108" t="s">
        <v>40</v>
      </c>
      <c r="I1108">
        <f>VLOOKUP(Table4[[#This Row],[Visitor]],'NHL Model'!$A$6:$B$38,2,FALSE)</f>
        <v>-5.6782013784997053E-2</v>
      </c>
      <c r="J1108">
        <f>($B$1+Table4[[#This Row],[Home Differential]])-Table4[[#This Row],[Away Differential]]</f>
        <v>0.16514037757504932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0.55856320266596715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-0.21695959508717547</v>
      </c>
      <c r="H1109" t="s">
        <v>27</v>
      </c>
      <c r="I1109">
        <f>VLOOKUP(Table4[[#This Row],[Visitor]],'NHL Model'!$A$6:$B$38,2,FALSE)</f>
        <v>0.3028174375616956</v>
      </c>
      <c r="J1109">
        <f>($B$1+Table4[[#This Row],[Home Differential]])-Table4[[#This Row],[Away Differential]]</f>
        <v>-0.44486511607222146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0.53077590648313766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-0.46815423657711264</v>
      </c>
      <c r="H1110" t="s">
        <v>35</v>
      </c>
      <c r="I1110">
        <f>VLOOKUP(Table4[[#This Row],[Visitor]],'NHL Model'!$A$6:$B$38,2,FALSE)</f>
        <v>-0.90940046726085955</v>
      </c>
      <c r="J1110">
        <f>($B$1+Table4[[#This Row],[Home Differential]])-Table4[[#This Row],[Away Differential]]</f>
        <v>0.51615814726039655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0.59802062727469818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-5.9622828283354432E-4</v>
      </c>
      <c r="H1111" t="s">
        <v>23</v>
      </c>
      <c r="I1111">
        <f>VLOOKUP(Table4[[#This Row],[Visitor]],'NHL Model'!$A$6:$B$38,2,FALSE)</f>
        <v>8.8679045351754957E-2</v>
      </c>
      <c r="J1111">
        <f>($B$1+Table4[[#This Row],[Home Differential]])-Table4[[#This Row],[Away Differential]]</f>
        <v>-1.4363357057938855E-2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0.42302247263303216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-0.31573427760518757</v>
      </c>
      <c r="H1112" t="s">
        <v>37</v>
      </c>
      <c r="I1112">
        <f>VLOOKUP(Table4[[#This Row],[Visitor]],'NHL Model'!$A$6:$B$38,2,FALSE)</f>
        <v>0.77279348157483052</v>
      </c>
      <c r="J1112">
        <f>($B$1+Table4[[#This Row],[Home Differential]])-Table4[[#This Row],[Away Differential]]</f>
        <v>-1.0136158426033686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0.61393916247484859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-0.45160327336373768</v>
      </c>
      <c r="H1113" t="s">
        <v>29</v>
      </c>
      <c r="I1113">
        <f>VLOOKUP(Table4[[#This Row],[Visitor]],'NHL Model'!$A$6:$B$38,2,FALSE)</f>
        <v>-0.29605365356197477</v>
      </c>
      <c r="J1113">
        <f>($B$1+Table4[[#This Row],[Home Differential]])-Table4[[#This Row],[Away Differential]]</f>
        <v>-8.0637703225113266E-2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0.46906437328935874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0.92535559469880035</v>
      </c>
      <c r="H1114" t="s">
        <v>20</v>
      </c>
      <c r="I1114">
        <f>VLOOKUP(Table4[[#This Row],[Visitor]],'NHL Model'!$A$6:$B$38,2,FALSE)</f>
        <v>0.21230765705109297</v>
      </c>
      <c r="J1114">
        <f>($B$1+Table4[[#This Row],[Home Differential]])-Table4[[#This Row],[Away Differential]]</f>
        <v>0.78795985422435699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0.64671301813111925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0.29544191342066151</v>
      </c>
      <c r="H1115" t="s">
        <v>28</v>
      </c>
      <c r="I1115">
        <f>VLOOKUP(Table4[[#This Row],[Visitor]],'NHL Model'!$A$6:$B$38,2,FALSE)</f>
        <v>-0.15682239438733669</v>
      </c>
      <c r="J1115">
        <f>($B$1+Table4[[#This Row],[Home Differential]])-Table4[[#This Row],[Away Differential]]</f>
        <v>0.52717622438464784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0.61327577466570671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6.6163598639307278E-2</v>
      </c>
      <c r="H1116" t="s">
        <v>40</v>
      </c>
      <c r="I1116">
        <f>VLOOKUP(Table4[[#This Row],[Visitor]],'NHL Model'!$A$6:$B$38,2,FALSE)</f>
        <v>-5.6782013784997053E-2</v>
      </c>
      <c r="J1116">
        <f>($B$1+Table4[[#This Row],[Home Differential]])-Table4[[#This Row],[Away Differential]]</f>
        <v>0.19785752900095396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0.56224089265003052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3.3446447213402619E-2</v>
      </c>
      <c r="H1117" t="s">
        <v>25</v>
      </c>
      <c r="I1117">
        <f>VLOOKUP(Table4[[#This Row],[Visitor]],'NHL Model'!$A$6:$B$38,2,FALSE)</f>
        <v>0.53620748452970379</v>
      </c>
      <c r="J1117">
        <f>($B$1+Table4[[#This Row],[Home Differential]])-Table4[[#This Row],[Away Differential]]</f>
        <v>-0.42784912073965153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0.56549750587515568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0.18592042582238802</v>
      </c>
      <c r="H1118" t="s">
        <v>13</v>
      </c>
      <c r="I1118">
        <f>VLOOKUP(Table4[[#This Row],[Visitor]],'NHL Model'!$A$6:$B$38,2,FALSE)</f>
        <v>4.5005056179018996E-2</v>
      </c>
      <c r="J1118">
        <f>($B$1+Table4[[#This Row],[Home Differential]])-Table4[[#This Row],[Away Differential]]</f>
        <v>0.21582728622001862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0.53187051709431954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0.44972876941152479</v>
      </c>
      <c r="H1119" t="s">
        <v>12</v>
      </c>
      <c r="I1119">
        <f>VLOOKUP(Table4[[#This Row],[Visitor]],'NHL Model'!$A$6:$B$38,2,FALSE)</f>
        <v>1.8116689824371455</v>
      </c>
      <c r="J1119">
        <f>($B$1+Table4[[#This Row],[Home Differential]])-Table4[[#This Row],[Away Differential]]</f>
        <v>-1.287028296448971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0.68633974695533839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6.6163598639307278E-2</v>
      </c>
      <c r="H1120" t="s">
        <v>36</v>
      </c>
      <c r="I1120">
        <f>VLOOKUP(Table4[[#This Row],[Visitor]],'NHL Model'!$A$6:$B$38,2,FALSE)</f>
        <v>6.3057484159014243E-2</v>
      </c>
      <c r="J1120">
        <f>($B$1+Table4[[#This Row],[Home Differential]])-Table4[[#This Row],[Away Differential]]</f>
        <v>7.801803105694266E-2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0.52800066877548579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-6.5206076050157921E-2</v>
      </c>
      <c r="H1121" t="s">
        <v>19</v>
      </c>
      <c r="I1121">
        <f>VLOOKUP(Table4[[#This Row],[Visitor]],'NHL Model'!$A$6:$B$38,2,FALSE)</f>
        <v>-1.7306849519822837E-2</v>
      </c>
      <c r="J1121">
        <f>($B$1+Table4[[#This Row],[Home Differential]])-Table4[[#This Row],[Away Differential]]</f>
        <v>2.7012690046314555E-2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0.55705307982640606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-0.31573427760518757</v>
      </c>
      <c r="H1122" t="s">
        <v>13</v>
      </c>
      <c r="I1122">
        <f>VLOOKUP(Table4[[#This Row],[Visitor]],'NHL Model'!$A$6:$B$38,2,FALSE)</f>
        <v>4.5005056179018996E-2</v>
      </c>
      <c r="J1122">
        <f>($B$1+Table4[[#This Row],[Home Differential]])-Table4[[#This Row],[Away Differential]]</f>
        <v>-0.28582741720755694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0.49366792830501616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0.92535559469880035</v>
      </c>
      <c r="H1123" t="s">
        <v>24</v>
      </c>
      <c r="I1123">
        <f>VLOOKUP(Table4[[#This Row],[Visitor]],'NHL Model'!$A$6:$B$38,2,FALSE)</f>
        <v>-7.602164965773138E-2</v>
      </c>
      <c r="J1123">
        <f>($B$1+Table4[[#This Row],[Home Differential]])-Table4[[#This Row],[Away Differential]]</f>
        <v>1.0762891609331813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0.67912371885475842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-8.2026557704658234E-2</v>
      </c>
      <c r="H1124" t="s">
        <v>36</v>
      </c>
      <c r="I1124">
        <f>VLOOKUP(Table4[[#This Row],[Visitor]],'NHL Model'!$A$6:$B$38,2,FALSE)</f>
        <v>6.3057484159014243E-2</v>
      </c>
      <c r="J1124">
        <f>($B$1+Table4[[#This Row],[Home Differential]])-Table4[[#This Row],[Away Differential]]</f>
        <v>-7.0172125287022838E-2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0.45469646270872749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0.20922229284068078</v>
      </c>
      <c r="H1125" t="s">
        <v>32</v>
      </c>
      <c r="I1125">
        <f>VLOOKUP(Table4[[#This Row],[Visitor]],'NHL Model'!$A$6:$B$38,2,FALSE)</f>
        <v>-0.34471182133334621</v>
      </c>
      <c r="J1125">
        <f>($B$1+Table4[[#This Row],[Home Differential]])-Table4[[#This Row],[Away Differential]]</f>
        <v>0.62884603075067669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0.61145310825244314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4.5205299343610755E-2</v>
      </c>
      <c r="H1126" t="s">
        <v>25</v>
      </c>
      <c r="I1126">
        <f>VLOOKUP(Table4[[#This Row],[Visitor]],'NHL Model'!$A$6:$B$38,2,FALSE)</f>
        <v>0.53620748452970379</v>
      </c>
      <c r="J1126">
        <f>($B$1+Table4[[#This Row],[Home Differential]])-Table4[[#This Row],[Away Differential]]</f>
        <v>-0.41609026860944343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0.56417570948339812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-0.29605365356197477</v>
      </c>
      <c r="H1127" t="s">
        <v>33</v>
      </c>
      <c r="I1127">
        <f>VLOOKUP(Table4[[#This Row],[Visitor]],'NHL Model'!$A$6:$B$38,2,FALSE)</f>
        <v>-0.21695959508717547</v>
      </c>
      <c r="J1127">
        <f>($B$1+Table4[[#This Row],[Home Differential]])-Table4[[#This Row],[Away Differential]]</f>
        <v>-4.1821418981496661E-3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0.46775982844372804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0.29544191342066151</v>
      </c>
      <c r="H1128" t="s">
        <v>10</v>
      </c>
      <c r="I1128">
        <f>VLOOKUP(Table4[[#This Row],[Visitor]],'NHL Model'!$A$6:$B$38,2,FALSE)</f>
        <v>-0.45160327336373768</v>
      </c>
      <c r="J1128">
        <f>($B$1+Table4[[#This Row],[Home Differential]])-Table4[[#This Row],[Away Differential]]</f>
        <v>0.82195710336104888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0.64641168775276525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0.3028174375616956</v>
      </c>
      <c r="H1129" t="s">
        <v>28</v>
      </c>
      <c r="I1129">
        <f>VLOOKUP(Table4[[#This Row],[Visitor]],'NHL Model'!$A$6:$B$38,2,FALSE)</f>
        <v>-0.15682239438733669</v>
      </c>
      <c r="J1129">
        <f>($B$1+Table4[[#This Row],[Home Differential]])-Table4[[#This Row],[Away Differential]]</f>
        <v>0.53455174852568188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0.60464268213510608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3.3446447213402619E-2</v>
      </c>
      <c r="H1130" t="s">
        <v>12</v>
      </c>
      <c r="I1130">
        <f>VLOOKUP(Table4[[#This Row],[Visitor]],'NHL Model'!$A$6:$B$38,2,FALSE)</f>
        <v>1.8116689824371455</v>
      </c>
      <c r="J1130">
        <f>($B$1+Table4[[#This Row],[Home Differential]])-Table4[[#This Row],[Away Differential]]</f>
        <v>-1.7033106186470932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0.73768529085839574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-0.90940046726085955</v>
      </c>
      <c r="H1131" t="s">
        <v>22</v>
      </c>
      <c r="I1131">
        <f>VLOOKUP(Table4[[#This Row],[Visitor]],'NHL Model'!$A$6:$B$38,2,FALSE)</f>
        <v>0.44972876941152479</v>
      </c>
      <c r="J1131">
        <f>($B$1+Table4[[#This Row],[Home Differential]])-Table4[[#This Row],[Away Differential]]</f>
        <v>-1.2842173200957347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0.61164682192992448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0.77279348157483052</v>
      </c>
      <c r="H1132" t="s">
        <v>34</v>
      </c>
      <c r="I1132">
        <f>VLOOKUP(Table4[[#This Row],[Visitor]],'NHL Model'!$A$6:$B$38,2,FALSE)</f>
        <v>0.6527374602185485</v>
      </c>
      <c r="J1132">
        <f>($B$1+Table4[[#This Row],[Home Differential]])-Table4[[#This Row],[Away Differential]]</f>
        <v>0.19496793793293166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0.49560028821948882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0.18592042582238802</v>
      </c>
      <c r="H1133" t="s">
        <v>17</v>
      </c>
      <c r="I1133">
        <f>VLOOKUP(Table4[[#This Row],[Visitor]],'NHL Model'!$A$6:$B$38,2,FALSE)</f>
        <v>0.17499330177061237</v>
      </c>
      <c r="J1133">
        <f>($B$1+Table4[[#This Row],[Home Differential]])-Table4[[#This Row],[Away Differential]]</f>
        <v>8.5839040628425262E-2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0.54964904847158591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-0.46815423657711264</v>
      </c>
      <c r="H1134" t="s">
        <v>31</v>
      </c>
      <c r="I1134">
        <f>VLOOKUP(Table4[[#This Row],[Visitor]],'NHL Model'!$A$6:$B$38,2,FALSE)</f>
        <v>-5.9622828283354432E-4</v>
      </c>
      <c r="J1134">
        <f>($B$1+Table4[[#This Row],[Home Differential]])-Table4[[#This Row],[Away Differential]]</f>
        <v>-0.39264609171762943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0.50413680702190378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-5.6782013784997053E-2</v>
      </c>
      <c r="H1135" t="s">
        <v>20</v>
      </c>
      <c r="I1135">
        <f>VLOOKUP(Table4[[#This Row],[Visitor]],'NHL Model'!$A$6:$B$38,2,FALSE)</f>
        <v>0.21230765705109297</v>
      </c>
      <c r="J1135">
        <f>($B$1+Table4[[#This Row],[Home Differential]])-Table4[[#This Row],[Away Differential]]</f>
        <v>-0.19417775425944039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0.50259648500269183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8.8679045351754957E-2</v>
      </c>
      <c r="H1136" t="s">
        <v>21</v>
      </c>
      <c r="I1136">
        <f>VLOOKUP(Table4[[#This Row],[Visitor]],'NHL Model'!$A$6:$B$38,2,FALSE)</f>
        <v>-6.5206076050157921E-2</v>
      </c>
      <c r="J1136">
        <f>($B$1+Table4[[#This Row],[Home Differential]])-Table4[[#This Row],[Away Differential]]</f>
        <v>0.22879703797856255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0.60431085286664976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-1.7306849519822837E-2</v>
      </c>
      <c r="H1137" t="s">
        <v>15</v>
      </c>
      <c r="I1137">
        <f>VLOOKUP(Table4[[#This Row],[Visitor]],'NHL Model'!$A$6:$B$38,2,FALSE)</f>
        <v>6.6163598639307278E-2</v>
      </c>
      <c r="J1137">
        <f>($B$1+Table4[[#This Row],[Home Differential]])-Table4[[#This Row],[Away Differential]]</f>
        <v>-8.5585315824804747E-3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0.51948057128006364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-0.31573427760518757</v>
      </c>
      <c r="H1138" t="s">
        <v>31</v>
      </c>
      <c r="I1138">
        <f>VLOOKUP(Table4[[#This Row],[Visitor]],'NHL Model'!$A$6:$B$38,2,FALSE)</f>
        <v>-5.9622828283354432E-4</v>
      </c>
      <c r="J1138">
        <f>($B$1+Table4[[#This Row],[Home Differential]])-Table4[[#This Row],[Away Differential]]</f>
        <v>-0.2402261327457044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0.45646407002498796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0.20922229284068078</v>
      </c>
      <c r="H1139" t="s">
        <v>34</v>
      </c>
      <c r="I1139">
        <f>VLOOKUP(Table4[[#This Row],[Visitor]],'NHL Model'!$A$6:$B$38,2,FALSE)</f>
        <v>0.6527374602185485</v>
      </c>
      <c r="J1139">
        <f>($B$1+Table4[[#This Row],[Home Differential]])-Table4[[#This Row],[Away Differential]]</f>
        <v>-0.36860325080121809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0.57155466627700924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4.5205299343610755E-2</v>
      </c>
      <c r="H1140" t="s">
        <v>28</v>
      </c>
      <c r="I1140">
        <f>VLOOKUP(Table4[[#This Row],[Visitor]],'NHL Model'!$A$6:$B$38,2,FALSE)</f>
        <v>-0.15682239438733669</v>
      </c>
      <c r="J1140">
        <f>($B$1+Table4[[#This Row],[Home Differential]])-Table4[[#This Row],[Away Differential]]</f>
        <v>0.27693961030759706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0.57113040061954312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-0.29605365356197477</v>
      </c>
      <c r="H1141" t="s">
        <v>24</v>
      </c>
      <c r="I1141">
        <f>VLOOKUP(Table4[[#This Row],[Visitor]],'NHL Model'!$A$6:$B$38,2,FALSE)</f>
        <v>-7.602164965773138E-2</v>
      </c>
      <c r="J1141">
        <f>($B$1+Table4[[#This Row],[Home Differential]])-Table4[[#This Row],[Away Differential]]</f>
        <v>-0.14512008732759374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0.49708198014962202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0.29544191342066151</v>
      </c>
      <c r="H1142" t="s">
        <v>39</v>
      </c>
      <c r="I1142">
        <f>VLOOKUP(Table4[[#This Row],[Visitor]],'NHL Model'!$A$6:$B$38,2,FALSE)</f>
        <v>0.92535559469880035</v>
      </c>
      <c r="J1142">
        <f>($B$1+Table4[[#This Row],[Home Differential]])-Table4[[#This Row],[Away Differential]]</f>
        <v>-0.55500176470148921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0.59455072756564442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6.3057484159014243E-2</v>
      </c>
      <c r="H1143" t="s">
        <v>14</v>
      </c>
      <c r="I1143">
        <f>VLOOKUP(Table4[[#This Row],[Visitor]],'NHL Model'!$A$6:$B$38,2,FALSE)</f>
        <v>3.3446447213402619E-2</v>
      </c>
      <c r="J1143">
        <f>($B$1+Table4[[#This Row],[Home Differential]])-Table4[[#This Row],[Away Differential]]</f>
        <v>0.10452295352226126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0.54445956179107591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0.3028174375616956</v>
      </c>
      <c r="H1144" t="s">
        <v>10</v>
      </c>
      <c r="I1144">
        <f>VLOOKUP(Table4[[#This Row],[Visitor]],'NHL Model'!$A$6:$B$38,2,FALSE)</f>
        <v>-0.45160327336373768</v>
      </c>
      <c r="J1144">
        <f>($B$1+Table4[[#This Row],[Home Differential]])-Table4[[#This Row],[Away Differential]]</f>
        <v>0.82933262750208292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0.63777859522216462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-0.90940046726085955</v>
      </c>
      <c r="H1145" t="s">
        <v>33</v>
      </c>
      <c r="I1145">
        <f>VLOOKUP(Table4[[#This Row],[Visitor]],'NHL Model'!$A$6:$B$38,2,FALSE)</f>
        <v>-0.21695959508717547</v>
      </c>
      <c r="J1145">
        <f>($B$1+Table4[[#This Row],[Home Differential]])-Table4[[#This Row],[Away Differential]]</f>
        <v>-0.61752895559703447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0.53670530001407901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0.77279348157483052</v>
      </c>
      <c r="H1146" t="s">
        <v>32</v>
      </c>
      <c r="I1146">
        <f>VLOOKUP(Table4[[#This Row],[Visitor]],'NHL Model'!$A$6:$B$38,2,FALSE)</f>
        <v>-0.34471182133334621</v>
      </c>
      <c r="J1146">
        <f>($B$1+Table4[[#This Row],[Home Differential]])-Table4[[#This Row],[Away Differential]]</f>
        <v>1.1924172194848264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0.67859243472548414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0.18592042582238802</v>
      </c>
      <c r="H1147" t="s">
        <v>22</v>
      </c>
      <c r="I1147">
        <f>VLOOKUP(Table4[[#This Row],[Visitor]],'NHL Model'!$A$6:$B$38,2,FALSE)</f>
        <v>0.44972876941152479</v>
      </c>
      <c r="J1147">
        <f>($B$1+Table4[[#This Row],[Home Differential]])-Table4[[#This Row],[Away Differential]]</f>
        <v>-0.18889642701248716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0.48852330712911735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-0.46815423657711264</v>
      </c>
      <c r="H1148" t="s">
        <v>13</v>
      </c>
      <c r="I1148">
        <f>VLOOKUP(Table4[[#This Row],[Visitor]],'NHL Model'!$A$6:$B$38,2,FALSE)</f>
        <v>4.5005056179018996E-2</v>
      </c>
      <c r="J1148">
        <f>($B$1+Table4[[#This Row],[Home Differential]])-Table4[[#This Row],[Away Differential]]</f>
        <v>-0.43824737617948201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0.54165311592073817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0.21230765705109297</v>
      </c>
      <c r="H1149" t="s">
        <v>17</v>
      </c>
      <c r="I1149">
        <f>VLOOKUP(Table4[[#This Row],[Visitor]],'NHL Model'!$A$6:$B$38,2,FALSE)</f>
        <v>0.17499330177061237</v>
      </c>
      <c r="J1149">
        <f>($B$1+Table4[[#This Row],[Home Differential]])-Table4[[#This Row],[Away Differential]]</f>
        <v>0.11222627185713027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0.55261520083410898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-5.6782013784997053E-2</v>
      </c>
      <c r="H1150" t="s">
        <v>12</v>
      </c>
      <c r="I1150">
        <f>VLOOKUP(Table4[[#This Row],[Visitor]],'NHL Model'!$A$6:$B$38,2,FALSE)</f>
        <v>1.8116689824371455</v>
      </c>
      <c r="J1150">
        <f>($B$1+Table4[[#This Row],[Home Differential]])-Table4[[#This Row],[Away Differential]]</f>
        <v>-1.7935390796454929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0.74782774803541419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8.8679045351754957E-2</v>
      </c>
      <c r="H1151" t="s">
        <v>26</v>
      </c>
      <c r="I1151">
        <f>VLOOKUP(Table4[[#This Row],[Visitor]],'NHL Model'!$A$6:$B$38,2,FALSE)</f>
        <v>-8.2026557704658234E-2</v>
      </c>
      <c r="J1151">
        <f>($B$1+Table4[[#This Row],[Home Differential]])-Table4[[#This Row],[Away Differential]]</f>
        <v>0.24561751963306283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0.57306407294995543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6.6163598639307278E-2</v>
      </c>
      <c r="H1152" t="s">
        <v>10</v>
      </c>
      <c r="I1152">
        <f>VLOOKUP(Table4[[#This Row],[Visitor]],'NHL Model'!$A$6:$B$38,2,FALSE)</f>
        <v>-0.45160327336373768</v>
      </c>
      <c r="J1152">
        <f>($B$1+Table4[[#This Row],[Home Differential]])-Table4[[#This Row],[Away Differential]]</f>
        <v>0.59267878857969458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0.60662220729890737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-6.5206076050157921E-2</v>
      </c>
      <c r="H1153" t="s">
        <v>34</v>
      </c>
      <c r="I1153">
        <f>VLOOKUP(Table4[[#This Row],[Visitor]],'NHL Model'!$A$6:$B$38,2,FALSE)</f>
        <v>0.6527374602185485</v>
      </c>
      <c r="J1153">
        <f>($B$1+Table4[[#This Row],[Home Differential]])-Table4[[#This Row],[Away Differential]]</f>
        <v>-0.6430316196920568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0.58906082326573439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8.8679045351754957E-2</v>
      </c>
      <c r="H1154" t="s">
        <v>32</v>
      </c>
      <c r="I1154">
        <f>VLOOKUP(Table4[[#This Row],[Visitor]],'NHL Model'!$A$6:$B$38,2,FALSE)</f>
        <v>-0.34471182133334621</v>
      </c>
      <c r="J1154">
        <f>($B$1+Table4[[#This Row],[Home Differential]])-Table4[[#This Row],[Away Differential]]</f>
        <v>0.50830278326175082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0.63572970918866623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0.53620748452970379</v>
      </c>
      <c r="H1155" t="s">
        <v>24</v>
      </c>
      <c r="I1155">
        <f>VLOOKUP(Table4[[#This Row],[Visitor]],'NHL Model'!$A$6:$B$38,2,FALSE)</f>
        <v>-7.602164965773138E-2</v>
      </c>
      <c r="J1155">
        <f>($B$1+Table4[[#This Row],[Home Differential]])-Table4[[#This Row],[Away Differential]]</f>
        <v>0.68714105076408483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0.64245797154731399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-0.15682239438733669</v>
      </c>
      <c r="H1156" t="s">
        <v>33</v>
      </c>
      <c r="I1156">
        <f>VLOOKUP(Table4[[#This Row],[Visitor]],'NHL Model'!$A$6:$B$38,2,FALSE)</f>
        <v>-0.21695959508717547</v>
      </c>
      <c r="J1156">
        <f>($B$1+Table4[[#This Row],[Home Differential]])-Table4[[#This Row],[Away Differential]]</f>
        <v>0.13504911727648841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0.54789096586502317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-0.31573427760518757</v>
      </c>
      <c r="H1157" t="s">
        <v>38</v>
      </c>
      <c r="I1157">
        <f>VLOOKUP(Table4[[#This Row],[Visitor]],'NHL Model'!$A$6:$B$38,2,FALSE)</f>
        <v>-0.46815423657711264</v>
      </c>
      <c r="J1157">
        <f>($B$1+Table4[[#This Row],[Home Differential]])-Table4[[#This Row],[Away Differential]]</f>
        <v>0.2273318755485747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0.55393834287471011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1.8116689824371455</v>
      </c>
      <c r="H1158" t="s">
        <v>40</v>
      </c>
      <c r="I1158">
        <f>VLOOKUP(Table4[[#This Row],[Visitor]],'NHL Model'!$A$6:$B$38,2,FALSE)</f>
        <v>-5.6782013784997053E-2</v>
      </c>
      <c r="J1158">
        <f>($B$1+Table4[[#This Row],[Home Differential]])-Table4[[#This Row],[Away Differential]]</f>
        <v>1.9433629127987921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0.87742933481439966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-8.2026557704658234E-2</v>
      </c>
      <c r="H1159" t="s">
        <v>27</v>
      </c>
      <c r="I1159">
        <f>VLOOKUP(Table4[[#This Row],[Visitor]],'NHL Model'!$A$6:$B$38,2,FALSE)</f>
        <v>0.3028174375616956</v>
      </c>
      <c r="J1159">
        <f>($B$1+Table4[[#This Row],[Home Differential]])-Table4[[#This Row],[Away Differential]]</f>
        <v>-0.30993207868970418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0.4816475492422081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0.17499330177061237</v>
      </c>
      <c r="H1160" t="s">
        <v>31</v>
      </c>
      <c r="I1160">
        <f>VLOOKUP(Table4[[#This Row],[Visitor]],'NHL Model'!$A$6:$B$38,2,FALSE)</f>
        <v>-5.9622828283354432E-4</v>
      </c>
      <c r="J1160">
        <f>($B$1+Table4[[#This Row],[Home Differential]])-Table4[[#This Row],[Away Differential]]</f>
        <v>0.25050144663009555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0.60419538936996364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4.5005056179018996E-2</v>
      </c>
      <c r="H1161" t="s">
        <v>55</v>
      </c>
      <c r="I1161">
        <f>VLOOKUP(Table4[[#This Row],[Visitor]],'NHL Model'!$A$6:$B$38,2,FALSE)</f>
        <v>0.18592042582238802</v>
      </c>
      <c r="J1161">
        <f>($B$1+Table4[[#This Row],[Home Differential]])-Table4[[#This Row],[Away Differential]]</f>
        <v>-6.6003453066719384E-2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0.46741935736082685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-0.29605365356197477</v>
      </c>
      <c r="H1162" t="s">
        <v>18</v>
      </c>
      <c r="I1162">
        <f>VLOOKUP(Table4[[#This Row],[Visitor]],'NHL Model'!$A$6:$B$38,2,FALSE)</f>
        <v>4.5205299343610755E-2</v>
      </c>
      <c r="J1162">
        <f>($B$1+Table4[[#This Row],[Home Differential]])-Table4[[#This Row],[Away Differential]]</f>
        <v>-0.26634703632893586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0.54734327873873179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0.29544191342066151</v>
      </c>
      <c r="H1163" t="s">
        <v>11</v>
      </c>
      <c r="I1163">
        <f>VLOOKUP(Table4[[#This Row],[Visitor]],'NHL Model'!$A$6:$B$38,2,FALSE)</f>
        <v>0.20922229284068078</v>
      </c>
      <c r="J1163">
        <f>($B$1+Table4[[#This Row],[Home Differential]])-Table4[[#This Row],[Away Differential]]</f>
        <v>0.16113153715663037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0.53535395373968442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3.3446447213402619E-2</v>
      </c>
      <c r="H1164" t="s">
        <v>39</v>
      </c>
      <c r="I1164">
        <f>VLOOKUP(Table4[[#This Row],[Visitor]],'NHL Model'!$A$6:$B$38,2,FALSE)</f>
        <v>0.92535559469880035</v>
      </c>
      <c r="J1164">
        <f>($B$1+Table4[[#This Row],[Home Differential]])-Table4[[#This Row],[Away Differential]]</f>
        <v>-0.8169972309087481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0.63805602220985025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-0.90940046726085955</v>
      </c>
      <c r="H1165" t="s">
        <v>19</v>
      </c>
      <c r="I1165">
        <f>VLOOKUP(Table4[[#This Row],[Visitor]],'NHL Model'!$A$6:$B$38,2,FALSE)</f>
        <v>-1.7306849519822837E-2</v>
      </c>
      <c r="J1165">
        <f>($B$1+Table4[[#This Row],[Home Differential]])-Table4[[#This Row],[Away Differential]]</f>
        <v>-0.81718170116438704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0.55185827086256001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0.77279348157483052</v>
      </c>
      <c r="H1166" t="s">
        <v>36</v>
      </c>
      <c r="I1166">
        <f>VLOOKUP(Table4[[#This Row],[Visitor]],'NHL Model'!$A$6:$B$38,2,FALSE)</f>
        <v>6.3057484159014243E-2</v>
      </c>
      <c r="J1166">
        <f>($B$1+Table4[[#This Row],[Home Differential]])-Table4[[#This Row],[Away Differential]]</f>
        <v>0.78464791399246592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0.61201071641156357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0.21230765705109297</v>
      </c>
      <c r="H1167" t="s">
        <v>22</v>
      </c>
      <c r="I1167">
        <f>VLOOKUP(Table4[[#This Row],[Visitor]],'NHL Model'!$A$6:$B$38,2,FALSE)</f>
        <v>0.44972876941152479</v>
      </c>
      <c r="J1167">
        <f>($B$1+Table4[[#This Row],[Home Differential]])-Table4[[#This Row],[Away Differential]]</f>
        <v>-0.16250919578378215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0.48555715476659428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0.53620748452970379</v>
      </c>
      <c r="H1168" t="s">
        <v>18</v>
      </c>
      <c r="I1168">
        <f>VLOOKUP(Table4[[#This Row],[Visitor]],'NHL Model'!$A$6:$B$38,2,FALSE)</f>
        <v>4.5205299343610755E-2</v>
      </c>
      <c r="J1168">
        <f>($B$1+Table4[[#This Row],[Home Differential]])-Table4[[#This Row],[Away Differential]]</f>
        <v>0.56591410176274271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0.59252154858516604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-0.15682239438733669</v>
      </c>
      <c r="H1169" t="s">
        <v>21</v>
      </c>
      <c r="I1169">
        <f>VLOOKUP(Table4[[#This Row],[Visitor]],'NHL Model'!$A$6:$B$38,2,FALSE)</f>
        <v>-6.5206076050157921E-2</v>
      </c>
      <c r="J1169">
        <f>($B$1+Table4[[#This Row],[Home Differential]])-Table4[[#This Row],[Away Differential]]</f>
        <v>-1.6704401760529133E-2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0.46187771882230028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-7.602164965773138E-2</v>
      </c>
      <c r="H1170" t="s">
        <v>10</v>
      </c>
      <c r="I1170">
        <f>VLOOKUP(Table4[[#This Row],[Visitor]],'NHL Model'!$A$6:$B$38,2,FALSE)</f>
        <v>-0.45160327336373768</v>
      </c>
      <c r="J1170">
        <f>($B$1+Table4[[#This Row],[Home Differential]])-Table4[[#This Row],[Away Differential]]</f>
        <v>0.45049354028265592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0.59063935913659593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6.6163598639307278E-2</v>
      </c>
      <c r="H1171" t="s">
        <v>11</v>
      </c>
      <c r="I1171">
        <f>VLOOKUP(Table4[[#This Row],[Visitor]],'NHL Model'!$A$6:$B$38,2,FALSE)</f>
        <v>0.20922229284068078</v>
      </c>
      <c r="J1171">
        <f>($B$1+Table4[[#This Row],[Home Differential]])-Table4[[#This Row],[Away Differential]]</f>
        <v>-6.8146777624723875E-2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0.5045546954637915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0.3028174375616956</v>
      </c>
      <c r="H1172" t="s">
        <v>39</v>
      </c>
      <c r="I1172">
        <f>VLOOKUP(Table4[[#This Row],[Visitor]],'NHL Model'!$A$6:$B$38,2,FALSE)</f>
        <v>0.92535559469880035</v>
      </c>
      <c r="J1172">
        <f>($B$1+Table4[[#This Row],[Home Differential]])-Table4[[#This Row],[Away Differential]]</f>
        <v>-0.54762624056045506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0.60322457901978288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0.77279348157483052</v>
      </c>
      <c r="H1173" t="s">
        <v>29</v>
      </c>
      <c r="I1173">
        <f>VLOOKUP(Table4[[#This Row],[Visitor]],'NHL Model'!$A$6:$B$38,2,FALSE)</f>
        <v>-0.29605365356197477</v>
      </c>
      <c r="J1173">
        <f>($B$1+Table4[[#This Row],[Home Differential]])-Table4[[#This Row],[Away Differential]]</f>
        <v>1.143759051713455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0.67312283702346787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-5.9622828283354432E-4</v>
      </c>
      <c r="H1174" t="s">
        <v>19</v>
      </c>
      <c r="I1174">
        <f>VLOOKUP(Table4[[#This Row],[Visitor]],'NHL Model'!$A$6:$B$38,2,FALSE)</f>
        <v>-1.7306849519822837E-2</v>
      </c>
      <c r="J1174">
        <f>($B$1+Table4[[#This Row],[Home Differential]])-Table4[[#This Row],[Away Differential]]</f>
        <v>9.1622537813638938E-2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0.58889125600877668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1.8116689824371455</v>
      </c>
      <c r="H1175" t="s">
        <v>16</v>
      </c>
      <c r="I1175">
        <f>VLOOKUP(Table4[[#This Row],[Visitor]],'NHL Model'!$A$6:$B$38,2,FALSE)</f>
        <v>-0.31573427760518757</v>
      </c>
      <c r="J1175">
        <f>($B$1+Table4[[#This Row],[Home Differential]])-Table4[[#This Row],[Away Differential]]</f>
        <v>2.2023151766189826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0.90653780255979166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0.29544191342066151</v>
      </c>
      <c r="H1176" t="s">
        <v>14</v>
      </c>
      <c r="I1176">
        <f>VLOOKUP(Table4[[#This Row],[Visitor]],'NHL Model'!$A$6:$B$38,2,FALSE)</f>
        <v>3.3446447213402619E-2</v>
      </c>
      <c r="J1176">
        <f>($B$1+Table4[[#This Row],[Home Differential]])-Table4[[#This Row],[Away Differential]]</f>
        <v>0.33690738278390853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0.58463388535631255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-0.21695959508717547</v>
      </c>
      <c r="H1177" t="s">
        <v>35</v>
      </c>
      <c r="I1177">
        <f>VLOOKUP(Table4[[#This Row],[Visitor]],'NHL Model'!$A$6:$B$38,2,FALSE)</f>
        <v>-0.90940046726085955</v>
      </c>
      <c r="J1177">
        <f>($B$1+Table4[[#This Row],[Home Differential]])-Table4[[#This Row],[Away Differential]]</f>
        <v>0.76735278875033375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0.6262570713658081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0.21230765705109297</v>
      </c>
      <c r="H1178" t="s">
        <v>38</v>
      </c>
      <c r="I1178">
        <f>VLOOKUP(Table4[[#This Row],[Visitor]],'NHL Model'!$A$6:$B$38,2,FALSE)</f>
        <v>-0.46815423657711264</v>
      </c>
      <c r="J1178">
        <f>($B$1+Table4[[#This Row],[Home Differential]])-Table4[[#This Row],[Away Differential]]</f>
        <v>0.75537381020485528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0.58239796805245903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-6.5206076050157921E-2</v>
      </c>
      <c r="H1179" t="s">
        <v>39</v>
      </c>
      <c r="I1179">
        <f>VLOOKUP(Table4[[#This Row],[Visitor]],'NHL Model'!$A$6:$B$38,2,FALSE)</f>
        <v>0.92535559469880035</v>
      </c>
      <c r="J1179">
        <f>($B$1+Table4[[#This Row],[Home Differential]])-Table4[[#This Row],[Away Differential]]</f>
        <v>-0.91564975417230865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0.63509067193253865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8.8679045351754957E-2</v>
      </c>
      <c r="H1180" t="s">
        <v>30</v>
      </c>
      <c r="I1180">
        <f>VLOOKUP(Table4[[#This Row],[Visitor]],'NHL Model'!$A$6:$B$38,2,FALSE)</f>
        <v>0.29544191342066151</v>
      </c>
      <c r="J1180">
        <f>($B$1+Table4[[#This Row],[Home Differential]])-Table4[[#This Row],[Away Differential]]</f>
        <v>-0.1318509514922569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0.46936663862043365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-0.15682239438733669</v>
      </c>
      <c r="H1181" t="s">
        <v>25</v>
      </c>
      <c r="I1181">
        <f>VLOOKUP(Table4[[#This Row],[Visitor]],'NHL Model'!$A$6:$B$38,2,FALSE)</f>
        <v>0.53620748452970379</v>
      </c>
      <c r="J1181">
        <f>($B$1+Table4[[#This Row],[Home Differential]])-Table4[[#This Row],[Away Differential]]</f>
        <v>-0.61811796234039085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0.58688536461399254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-0.45160327336373768</v>
      </c>
      <c r="H1182" t="s">
        <v>40</v>
      </c>
      <c r="I1182">
        <f>VLOOKUP(Table4[[#This Row],[Visitor]],'NHL Model'!$A$6:$B$38,2,FALSE)</f>
        <v>-5.6782013784997053E-2</v>
      </c>
      <c r="J1182">
        <f>($B$1+Table4[[#This Row],[Home Differential]])-Table4[[#This Row],[Away Differential]]</f>
        <v>-0.31990934300209101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0.4959605691599282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0.17499330177061237</v>
      </c>
      <c r="H1183" t="s">
        <v>32</v>
      </c>
      <c r="I1183">
        <f>VLOOKUP(Table4[[#This Row],[Visitor]],'NHL Model'!$A$6:$B$38,2,FALSE)</f>
        <v>-0.34471182133334621</v>
      </c>
      <c r="J1183">
        <f>($B$1+Table4[[#This Row],[Home Differential]])-Table4[[#This Row],[Away Differential]]</f>
        <v>0.59461703968060819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0.64287694979823085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0.20922229284068078</v>
      </c>
      <c r="H1184" t="s">
        <v>36</v>
      </c>
      <c r="I1184">
        <f>VLOOKUP(Table4[[#This Row],[Visitor]],'NHL Model'!$A$6:$B$38,2,FALSE)</f>
        <v>6.3057484159014243E-2</v>
      </c>
      <c r="J1184">
        <f>($B$1+Table4[[#This Row],[Home Differential]])-Table4[[#This Row],[Away Differential]]</f>
        <v>0.22107672525831618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0.54485093055956846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6.6163598639307278E-2</v>
      </c>
      <c r="H1185" t="s">
        <v>24</v>
      </c>
      <c r="I1185">
        <f>VLOOKUP(Table4[[#This Row],[Visitor]],'NHL Model'!$A$6:$B$38,2,FALSE)</f>
        <v>-7.602164965773138E-2</v>
      </c>
      <c r="J1185">
        <f>($B$1+Table4[[#This Row],[Home Differential]])-Table4[[#This Row],[Away Differential]]</f>
        <v>0.2170971648736883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0.54363436288202927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3.3446447213402619E-2</v>
      </c>
      <c r="H1186" t="s">
        <v>26</v>
      </c>
      <c r="I1186">
        <f>VLOOKUP(Table4[[#This Row],[Visitor]],'NHL Model'!$A$6:$B$38,2,FALSE)</f>
        <v>-8.2026557704658234E-2</v>
      </c>
      <c r="J1186">
        <f>($B$1+Table4[[#This Row],[Home Differential]])-Table4[[#This Row],[Away Differential]]</f>
        <v>0.19038492149471048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0.52781749152279556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0.77279348157483052</v>
      </c>
      <c r="H1187" t="s">
        <v>18</v>
      </c>
      <c r="I1187">
        <f>VLOOKUP(Table4[[#This Row],[Visitor]],'NHL Model'!$A$6:$B$38,2,FALSE)</f>
        <v>4.5205299343610755E-2</v>
      </c>
      <c r="J1187">
        <f>($B$1+Table4[[#This Row],[Home Differential]])-Table4[[#This Row],[Away Differential]]</f>
        <v>0.80250009880786943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0.57738741931806481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0.44972876941152479</v>
      </c>
      <c r="H1188" t="s">
        <v>27</v>
      </c>
      <c r="I1188">
        <f>VLOOKUP(Table4[[#This Row],[Visitor]],'NHL Model'!$A$6:$B$38,2,FALSE)</f>
        <v>0.3028174375616956</v>
      </c>
      <c r="J1188">
        <f>($B$1+Table4[[#This Row],[Home Differential]])-Table4[[#This Row],[Away Differential]]</f>
        <v>0.22182324842647888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0.54874437001146226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1.8116689824371455</v>
      </c>
      <c r="H1189" t="s">
        <v>38</v>
      </c>
      <c r="I1189">
        <f>VLOOKUP(Table4[[#This Row],[Visitor]],'NHL Model'!$A$6:$B$38,2,FALSE)</f>
        <v>-0.46815423657711264</v>
      </c>
      <c r="J1189">
        <f>($B$1+Table4[[#This Row],[Home Differential]])-Table4[[#This Row],[Away Differential]]</f>
        <v>2.3547351355909076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0.88441084713267926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4.5005056179018996E-2</v>
      </c>
      <c r="H1190" t="s">
        <v>35</v>
      </c>
      <c r="I1190">
        <f>VLOOKUP(Table4[[#This Row],[Visitor]],'NHL Model'!$A$6:$B$38,2,FALSE)</f>
        <v>-0.90940046726085955</v>
      </c>
      <c r="J1190">
        <f>($B$1+Table4[[#This Row],[Home Differential]])-Table4[[#This Row],[Away Differential]]</f>
        <v>1.0293174400165281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0.65570415743998023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-0.21695959508717547</v>
      </c>
      <c r="H1191" t="s">
        <v>31</v>
      </c>
      <c r="I1191">
        <f>VLOOKUP(Table4[[#This Row],[Visitor]],'NHL Model'!$A$6:$B$38,2,FALSE)</f>
        <v>-5.9622828283354432E-4</v>
      </c>
      <c r="J1191">
        <f>($B$1+Table4[[#This Row],[Home Differential]])-Table4[[#This Row],[Away Differential]]</f>
        <v>-0.14145145022769229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0.47590036293079385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0.53620748452970379</v>
      </c>
      <c r="H1192" t="s">
        <v>28</v>
      </c>
      <c r="I1192">
        <f>VLOOKUP(Table4[[#This Row],[Visitor]],'NHL Model'!$A$6:$B$38,2,FALSE)</f>
        <v>-0.15682239438733669</v>
      </c>
      <c r="J1192">
        <f>($B$1+Table4[[#This Row],[Home Differential]])-Table4[[#This Row],[Away Differential]]</f>
        <v>0.76794179549369013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0.67190886638914049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0.92535559469880035</v>
      </c>
      <c r="H1193" t="s">
        <v>40</v>
      </c>
      <c r="I1193">
        <f>VLOOKUP(Table4[[#This Row],[Visitor]],'NHL Model'!$A$6:$B$38,2,FALSE)</f>
        <v>-5.6782013784997053E-2</v>
      </c>
      <c r="J1193">
        <f>($B$1+Table4[[#This Row],[Home Differential]])-Table4[[#This Row],[Away Differential]]</f>
        <v>1.057049525060447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0.69741357554454275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0.17499330177061237</v>
      </c>
      <c r="H1194" t="s">
        <v>10</v>
      </c>
      <c r="I1194">
        <f>VLOOKUP(Table4[[#This Row],[Visitor]],'NHL Model'!$A$6:$B$38,2,FALSE)</f>
        <v>-0.45160327336373768</v>
      </c>
      <c r="J1194">
        <f>($B$1+Table4[[#This Row],[Home Differential]])-Table4[[#This Row],[Away Differential]]</f>
        <v>0.70150849171099972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0.65489247087452185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0.20922229284068078</v>
      </c>
      <c r="H1195" t="s">
        <v>21</v>
      </c>
      <c r="I1195">
        <f>VLOOKUP(Table4[[#This Row],[Visitor]],'NHL Model'!$A$6:$B$38,2,FALSE)</f>
        <v>-6.5206076050157921E-2</v>
      </c>
      <c r="J1195">
        <f>($B$1+Table4[[#This Row],[Home Differential]])-Table4[[#This Row],[Away Differential]]</f>
        <v>0.34934028546748835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0.58003425193042679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4.5005056179018996E-2</v>
      </c>
      <c r="H1196" t="s">
        <v>29</v>
      </c>
      <c r="I1196">
        <f>VLOOKUP(Table4[[#This Row],[Visitor]],'NHL Model'!$A$6:$B$38,2,FALSE)</f>
        <v>-0.29605365356197477</v>
      </c>
      <c r="J1196">
        <f>($B$1+Table4[[#This Row],[Home Differential]])-Table4[[#This Row],[Away Differential]]</f>
        <v>0.41597062631764342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0.58675868586962932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0.6527374602185485</v>
      </c>
      <c r="H1197" t="s">
        <v>38</v>
      </c>
      <c r="I1197">
        <f>VLOOKUP(Table4[[#This Row],[Visitor]],'NHL Model'!$A$6:$B$38,2,FALSE)</f>
        <v>-0.46815423657711264</v>
      </c>
      <c r="J1197">
        <f>($B$1+Table4[[#This Row],[Home Differential]])-Table4[[#This Row],[Away Differential]]</f>
        <v>1.1958036133723109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0.65441863915830045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-7.602164965773138E-2</v>
      </c>
      <c r="H1198" t="s">
        <v>22</v>
      </c>
      <c r="I1198">
        <f>VLOOKUP(Table4[[#This Row],[Visitor]],'NHL Model'!$A$6:$B$38,2,FALSE)</f>
        <v>0.44972876941152479</v>
      </c>
      <c r="J1198">
        <f>($B$1+Table4[[#This Row],[Home Differential]])-Table4[[#This Row],[Away Differential]]</f>
        <v>-0.45083850249260654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0.5179678554902335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6.6163598639307278E-2</v>
      </c>
      <c r="H1199" t="s">
        <v>18</v>
      </c>
      <c r="I1199">
        <f>VLOOKUP(Table4[[#This Row],[Visitor]],'NHL Model'!$A$6:$B$38,2,FALSE)</f>
        <v>4.5205299343610755E-2</v>
      </c>
      <c r="J1199">
        <f>($B$1+Table4[[#This Row],[Home Differential]])-Table4[[#This Row],[Away Differential]]</f>
        <v>9.5870215872346148E-2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0.49337306429291949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6.3057484159014243E-2</v>
      </c>
      <c r="H1200" t="s">
        <v>23</v>
      </c>
      <c r="I1200">
        <f>VLOOKUP(Table4[[#This Row],[Visitor]],'NHL Model'!$A$6:$B$38,2,FALSE)</f>
        <v>8.8679045351754957E-2</v>
      </c>
      <c r="J1200">
        <f>($B$1+Table4[[#This Row],[Home Differential]])-Table4[[#This Row],[Away Differential]]</f>
        <v>4.9290355383908926E-2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0.5455406610418656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0.3028174375616956</v>
      </c>
      <c r="H1201" t="s">
        <v>26</v>
      </c>
      <c r="I1201">
        <f>VLOOKUP(Table4[[#This Row],[Visitor]],'NHL Model'!$A$6:$B$38,2,FALSE)</f>
        <v>-8.2026557704658234E-2</v>
      </c>
      <c r="J1201">
        <f>($B$1+Table4[[#This Row],[Home Differential]])-Table4[[#This Row],[Away Differential]]</f>
        <v>0.45975591184300346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0.56268297456958249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-0.34471182133334621</v>
      </c>
      <c r="H1202" t="s">
        <v>55</v>
      </c>
      <c r="I1202">
        <f>VLOOKUP(Table4[[#This Row],[Visitor]],'NHL Model'!$A$6:$B$38,2,FALSE)</f>
        <v>0.18592042582238802</v>
      </c>
      <c r="J1202">
        <f>($B$1+Table4[[#This Row],[Home Differential]])-Table4[[#This Row],[Away Differential]]</f>
        <v>-0.45572033057908456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0.51122689544352373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-0.21695959508717547</v>
      </c>
      <c r="H1203" t="s">
        <v>19</v>
      </c>
      <c r="I1203">
        <f>VLOOKUP(Table4[[#This Row],[Visitor]],'NHL Model'!$A$6:$B$38,2,FALSE)</f>
        <v>-1.7306849519822837E-2</v>
      </c>
      <c r="J1203">
        <f>($B$1+Table4[[#This Row],[Home Differential]])-Table4[[#This Row],[Away Differential]]</f>
        <v>-0.12474082899070299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0.47402194498570061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0.77279348157483052</v>
      </c>
      <c r="H1204" t="s">
        <v>14</v>
      </c>
      <c r="I1204">
        <f>VLOOKUP(Table4[[#This Row],[Visitor]],'NHL Model'!$A$6:$B$38,2,FALSE)</f>
        <v>3.3446447213402619E-2</v>
      </c>
      <c r="J1204">
        <f>($B$1+Table4[[#This Row],[Home Differential]])-Table4[[#This Row],[Away Differential]]</f>
        <v>0.81425895093807754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0.62880479279768753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0.21230765705109297</v>
      </c>
      <c r="H1205" t="s">
        <v>16</v>
      </c>
      <c r="I1205">
        <f>VLOOKUP(Table4[[#This Row],[Visitor]],'NHL Model'!$A$6:$B$38,2,FALSE)</f>
        <v>-0.31573427760518757</v>
      </c>
      <c r="J1205">
        <f>($B$1+Table4[[#This Row],[Home Differential]])-Table4[[#This Row],[Away Differential]]</f>
        <v>0.60295385123293022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0.60777721295675047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-5.9622828283354432E-4</v>
      </c>
      <c r="H1206" t="s">
        <v>35</v>
      </c>
      <c r="I1206">
        <f>VLOOKUP(Table4[[#This Row],[Visitor]],'NHL Model'!$A$6:$B$38,2,FALSE)</f>
        <v>-0.90940046726085955</v>
      </c>
      <c r="J1206">
        <f>($B$1+Table4[[#This Row],[Home Differential]])-Table4[[#This Row],[Away Differential]]</f>
        <v>0.98371615555467562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0.68917027236028527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0.29544191342066151</v>
      </c>
      <c r="H1207" t="s">
        <v>27</v>
      </c>
      <c r="I1207">
        <f>VLOOKUP(Table4[[#This Row],[Visitor]],'NHL Model'!$A$6:$B$38,2,FALSE)</f>
        <v>0.3028174375616956</v>
      </c>
      <c r="J1207">
        <f>($B$1+Table4[[#This Row],[Home Differential]])-Table4[[#This Row],[Away Differential]]</f>
        <v>6.7536392435615544E-2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0.54092500629981222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-5.9622828283354432E-4</v>
      </c>
      <c r="H1208" t="s">
        <v>16</v>
      </c>
      <c r="I1208">
        <f>VLOOKUP(Table4[[#This Row],[Visitor]],'NHL Model'!$A$6:$B$38,2,FALSE)</f>
        <v>-0.31573427760518757</v>
      </c>
      <c r="J1208">
        <f>($B$1+Table4[[#This Row],[Home Differential]])-Table4[[#This Row],[Away Differential]]</f>
        <v>0.39004996589900365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0.6224370726647569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0.53620748452970379</v>
      </c>
      <c r="H1209" t="s">
        <v>30</v>
      </c>
      <c r="I1209">
        <f>VLOOKUP(Table4[[#This Row],[Visitor]],'NHL Model'!$A$6:$B$38,2,FALSE)</f>
        <v>0.29544191342066151</v>
      </c>
      <c r="J1209">
        <f>($B$1+Table4[[#This Row],[Home Differential]])-Table4[[#This Row],[Away Differential]]</f>
        <v>0.31567748768569193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0.5880575790605348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-0.15682239438733669</v>
      </c>
      <c r="H1210" t="s">
        <v>40</v>
      </c>
      <c r="I1210">
        <f>VLOOKUP(Table4[[#This Row],[Visitor]],'NHL Model'!$A$6:$B$38,2,FALSE)</f>
        <v>-5.6782013784997053E-2</v>
      </c>
      <c r="J1210">
        <f>($B$1+Table4[[#This Row],[Home Differential]])-Table4[[#This Row],[Away Differential]]</f>
        <v>-2.5128464025690002E-2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0.46282465607286966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0.92535559469880035</v>
      </c>
      <c r="H1211" t="s">
        <v>12</v>
      </c>
      <c r="I1211">
        <f>VLOOKUP(Table4[[#This Row],[Visitor]],'NHL Model'!$A$6:$B$38,2,FALSE)</f>
        <v>1.8116689824371455</v>
      </c>
      <c r="J1211">
        <f>($B$1+Table4[[#This Row],[Home Differential]])-Table4[[#This Row],[Away Differential]]</f>
        <v>-0.81140147116169548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0.59839538147581861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0.17499330177061237</v>
      </c>
      <c r="H1212" t="s">
        <v>20</v>
      </c>
      <c r="I1212">
        <f>VLOOKUP(Table4[[#This Row],[Visitor]],'NHL Model'!$A$6:$B$38,2,FALSE)</f>
        <v>0.21230765705109297</v>
      </c>
      <c r="J1212">
        <f>($B$1+Table4[[#This Row],[Home Differential]])-Table4[[#This Row],[Away Differential]]</f>
        <v>3.7597561296169035E-2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0.55978184569934386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4.5005056179018996E-2</v>
      </c>
      <c r="H1213" t="s">
        <v>19</v>
      </c>
      <c r="I1213">
        <f>VLOOKUP(Table4[[#This Row],[Visitor]],'NHL Model'!$A$6:$B$38,2,FALSE)</f>
        <v>-1.7306849519822837E-2</v>
      </c>
      <c r="J1213">
        <f>($B$1+Table4[[#This Row],[Home Differential]])-Table4[[#This Row],[Away Differential]]</f>
        <v>0.13722382227549146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0.55542514108847163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-7.602164965773138E-2</v>
      </c>
      <c r="H1214" t="s">
        <v>18</v>
      </c>
      <c r="I1214">
        <f>VLOOKUP(Table4[[#This Row],[Visitor]],'NHL Model'!$A$6:$B$38,2,FALSE)</f>
        <v>4.5205299343610755E-2</v>
      </c>
      <c r="J1214">
        <f>($B$1+Table4[[#This Row],[Home Differential]])-Table4[[#This Row],[Away Differential]]</f>
        <v>-4.6315032424692495E-2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0.52260978386939194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6.6163598639307278E-2</v>
      </c>
      <c r="H1215" t="s">
        <v>26</v>
      </c>
      <c r="I1215">
        <f>VLOOKUP(Table4[[#This Row],[Visitor]],'NHL Model'!$A$6:$B$38,2,FALSE)</f>
        <v>-8.2026557704658234E-2</v>
      </c>
      <c r="J1215">
        <f>($B$1+Table4[[#This Row],[Home Differential]])-Table4[[#This Row],[Away Differential]]</f>
        <v>0.22310207292061512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0.53149518150685904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6.3057484159014243E-2</v>
      </c>
      <c r="H1216" t="s">
        <v>34</v>
      </c>
      <c r="I1216">
        <f>VLOOKUP(Table4[[#This Row],[Visitor]],'NHL Model'!$A$6:$B$38,2,FALSE)</f>
        <v>0.6527374602185485</v>
      </c>
      <c r="J1216">
        <f>($B$1+Table4[[#This Row],[Home Differential]])-Table4[[#This Row],[Away Differential]]</f>
        <v>-0.51476805948288462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0.58875240030794906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3.3446447213402619E-2</v>
      </c>
      <c r="H1217" t="s">
        <v>11</v>
      </c>
      <c r="I1217">
        <f>VLOOKUP(Table4[[#This Row],[Visitor]],'NHL Model'!$A$6:$B$38,2,FALSE)</f>
        <v>0.20922229284068078</v>
      </c>
      <c r="J1217">
        <f>($B$1+Table4[[#This Row],[Home Differential]])-Table4[[#This Row],[Away Differential]]</f>
        <v>-0.10086392905062852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0.50823238544785487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-0.34471182133334621</v>
      </c>
      <c r="H1218" t="s">
        <v>10</v>
      </c>
      <c r="I1218">
        <f>VLOOKUP(Table4[[#This Row],[Visitor]],'NHL Model'!$A$6:$B$38,2,FALSE)</f>
        <v>-0.45160327336373768</v>
      </c>
      <c r="J1218">
        <f>($B$1+Table4[[#This Row],[Home Differential]])-Table4[[#This Row],[Away Differential]]</f>
        <v>0.1818033686070411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0.5604362665652397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-0.21695959508717547</v>
      </c>
      <c r="H1219" t="s">
        <v>29</v>
      </c>
      <c r="I1219">
        <f>VLOOKUP(Table4[[#This Row],[Visitor]],'NHL Model'!$A$6:$B$38,2,FALSE)</f>
        <v>-0.29605365356197477</v>
      </c>
      <c r="J1219">
        <f>($B$1+Table4[[#This Row],[Home Differential]])-Table4[[#This Row],[Away Differential]]</f>
        <v>0.15400597505144895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0.55731159979545708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0.77279348157483052</v>
      </c>
      <c r="H1220" t="s">
        <v>21</v>
      </c>
      <c r="I1220">
        <f>VLOOKUP(Table4[[#This Row],[Visitor]],'NHL Model'!$A$6:$B$38,2,FALSE)</f>
        <v>-6.5206076050157921E-2</v>
      </c>
      <c r="J1220">
        <f>($B$1+Table4[[#This Row],[Home Differential]])-Table4[[#This Row],[Away Differential]]</f>
        <v>0.9129114742016381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0.64717357840346779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-0.46815423657711264</v>
      </c>
      <c r="H1221" t="s">
        <v>55</v>
      </c>
      <c r="I1221">
        <f>VLOOKUP(Table4[[#This Row],[Visitor]],'NHL Model'!$A$6:$B$38,2,FALSE)</f>
        <v>0.18592042582238802</v>
      </c>
      <c r="J1221">
        <f>($B$1+Table4[[#This Row],[Home Differential]])-Table4[[#This Row],[Away Differential]]</f>
        <v>-0.57916274582285099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0.52510288752610901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0.44972876941152479</v>
      </c>
      <c r="H1222" t="s">
        <v>23</v>
      </c>
      <c r="I1222">
        <f>VLOOKUP(Table4[[#This Row],[Visitor]],'NHL Model'!$A$6:$B$38,2,FALSE)</f>
        <v>8.8679045351754957E-2</v>
      </c>
      <c r="J1222">
        <f>($B$1+Table4[[#This Row],[Home Differential]])-Table4[[#This Row],[Away Differential]]</f>
        <v>0.43596164063641951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0.59356030373388058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1.8116689824371455</v>
      </c>
      <c r="H1223" t="s">
        <v>35</v>
      </c>
      <c r="I1223">
        <f>VLOOKUP(Table4[[#This Row],[Visitor]],'NHL Model'!$A$6:$B$38,2,FALSE)</f>
        <v>-0.90940046726085955</v>
      </c>
      <c r="J1223">
        <f>($B$1+Table4[[#This Row],[Home Differential]])-Table4[[#This Row],[Away Differential]]</f>
        <v>2.7959813662746544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0.97327100225532004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-8.2026557704658234E-2</v>
      </c>
      <c r="H1224" t="s">
        <v>34</v>
      </c>
      <c r="I1224">
        <f>VLOOKUP(Table4[[#This Row],[Visitor]],'NHL Model'!$A$6:$B$38,2,FALSE)</f>
        <v>0.6527374602185485</v>
      </c>
      <c r="J1224">
        <f>($B$1+Table4[[#This Row],[Home Differential]])-Table4[[#This Row],[Away Differential]]</f>
        <v>-0.65985210134655714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0.57094726052768352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4.5205299343610755E-2</v>
      </c>
      <c r="H1225" t="s">
        <v>24</v>
      </c>
      <c r="I1225">
        <f>VLOOKUP(Table4[[#This Row],[Visitor]],'NHL Model'!$A$6:$B$38,2,FALSE)</f>
        <v>-7.602164965773138E-2</v>
      </c>
      <c r="J1225">
        <f>($B$1+Table4[[#This Row],[Home Differential]])-Table4[[#This Row],[Away Differential]]</f>
        <v>0.19613886557799176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0.54127846928972356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6.6163598639307278E-2</v>
      </c>
      <c r="H1226" t="s">
        <v>22</v>
      </c>
      <c r="I1226">
        <f>VLOOKUP(Table4[[#This Row],[Visitor]],'NHL Model'!$A$6:$B$38,2,FALSE)</f>
        <v>0.44972876941152479</v>
      </c>
      <c r="J1226">
        <f>($B$1+Table4[[#This Row],[Home Differential]])-Table4[[#This Row],[Away Differential]]</f>
        <v>-0.30865325419556788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0.50198500732792206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6.3057484159014243E-2</v>
      </c>
      <c r="H1227" t="s">
        <v>25</v>
      </c>
      <c r="I1227">
        <f>VLOOKUP(Table4[[#This Row],[Visitor]],'NHL Model'!$A$6:$B$38,2,FALSE)</f>
        <v>0.53620748452970379</v>
      </c>
      <c r="J1227">
        <f>($B$1+Table4[[#This Row],[Home Differential]])-Table4[[#This Row],[Away Differential]]</f>
        <v>-0.39823808379403991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0.56216896994686028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0.3028174375616956</v>
      </c>
      <c r="H1228" t="s">
        <v>21</v>
      </c>
      <c r="I1228">
        <f>VLOOKUP(Table4[[#This Row],[Visitor]],'NHL Model'!$A$6:$B$38,2,FALSE)</f>
        <v>-6.5206076050157921E-2</v>
      </c>
      <c r="J1228">
        <f>($B$1+Table4[[#This Row],[Home Differential]])-Table4[[#This Row],[Away Differential]]</f>
        <v>0.44293543018850318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0.59434421782385716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3.3446447213402619E-2</v>
      </c>
      <c r="H1229" t="s">
        <v>11</v>
      </c>
      <c r="I1229">
        <f>VLOOKUP(Table4[[#This Row],[Visitor]],'NHL Model'!$A$6:$B$38,2,FALSE)</f>
        <v>0.20922229284068078</v>
      </c>
      <c r="J1229">
        <f>($B$1+Table4[[#This Row],[Home Differential]])-Table4[[#This Row],[Away Differential]]</f>
        <v>-0.10086392905062852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0.50823238544785487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8.8679045351754957E-2</v>
      </c>
      <c r="H1230" t="s">
        <v>37</v>
      </c>
      <c r="I1230">
        <f>VLOOKUP(Table4[[#This Row],[Visitor]],'NHL Model'!$A$6:$B$38,2,FALSE)</f>
        <v>0.77279348157483052</v>
      </c>
      <c r="J1230">
        <f>($B$1+Table4[[#This Row],[Home Differential]])-Table4[[#This Row],[Away Differential]]</f>
        <v>-0.60920251964642591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0.56024432305941241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4.5005056179018996E-2</v>
      </c>
      <c r="H1231" t="s">
        <v>29</v>
      </c>
      <c r="I1231">
        <f>VLOOKUP(Table4[[#This Row],[Visitor]],'NHL Model'!$A$6:$B$38,2,FALSE)</f>
        <v>-0.29605365356197477</v>
      </c>
      <c r="J1231">
        <f>($B$1+Table4[[#This Row],[Home Differential]])-Table4[[#This Row],[Away Differential]]</f>
        <v>0.41597062631764342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0.58675868586962932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-0.21695959508717547</v>
      </c>
      <c r="H1232" t="s">
        <v>10</v>
      </c>
      <c r="I1232">
        <f>VLOOKUP(Table4[[#This Row],[Visitor]],'NHL Model'!$A$6:$B$38,2,FALSE)</f>
        <v>-0.45160327336373768</v>
      </c>
      <c r="J1232">
        <f>($B$1+Table4[[#This Row],[Home Differential]])-Table4[[#This Row],[Away Differential]]</f>
        <v>0.30955559485321182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0.57479671857376446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-5.6782013784997053E-2</v>
      </c>
      <c r="H1233" t="s">
        <v>32</v>
      </c>
      <c r="I1233">
        <f>VLOOKUP(Table4[[#This Row],[Visitor]],'NHL Model'!$A$6:$B$38,2,FALSE)</f>
        <v>-0.34471182133334621</v>
      </c>
      <c r="J1233">
        <f>($B$1+Table4[[#This Row],[Home Differential]])-Table4[[#This Row],[Away Differential]]</f>
        <v>0.36284172412499882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0.58078653906153443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-5.9622828283354432E-4</v>
      </c>
      <c r="H1234" t="s">
        <v>29</v>
      </c>
      <c r="I1234">
        <f>VLOOKUP(Table4[[#This Row],[Visitor]],'NHL Model'!$A$6:$B$38,2,FALSE)</f>
        <v>-0.29605365356197477</v>
      </c>
      <c r="J1234">
        <f>($B$1+Table4[[#This Row],[Home Differential]])-Table4[[#This Row],[Away Differential]]</f>
        <v>0.37036934185579085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0.62022480078993436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0.53620748452970379</v>
      </c>
      <c r="H1235" t="s">
        <v>21</v>
      </c>
      <c r="I1235">
        <f>VLOOKUP(Table4[[#This Row],[Visitor]],'NHL Model'!$A$6:$B$38,2,FALSE)</f>
        <v>-6.5206076050157921E-2</v>
      </c>
      <c r="J1235">
        <f>($B$1+Table4[[#This Row],[Home Differential]])-Table4[[#This Row],[Away Differential]]</f>
        <v>0.67632547715651137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0.66161040207789157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0.92535559469880035</v>
      </c>
      <c r="H1236" t="s">
        <v>16</v>
      </c>
      <c r="I1236">
        <f>VLOOKUP(Table4[[#This Row],[Visitor]],'NHL Model'!$A$6:$B$38,2,FALSE)</f>
        <v>-0.31573427760518757</v>
      </c>
      <c r="J1236">
        <f>($B$1+Table4[[#This Row],[Home Differential]])-Table4[[#This Row],[Away Differential]]</f>
        <v>1.3160017888806377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0.72652204328993486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-8.2026557704658234E-2</v>
      </c>
      <c r="H1237" t="s">
        <v>28</v>
      </c>
      <c r="I1237">
        <f>VLOOKUP(Table4[[#This Row],[Visitor]],'NHL Model'!$A$6:$B$38,2,FALSE)</f>
        <v>-0.15682239438733669</v>
      </c>
      <c r="J1237">
        <f>($B$1+Table4[[#This Row],[Home Differential]])-Table4[[#This Row],[Away Differential]]</f>
        <v>0.14970775325932811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0.59052658911038314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0.6527374602185485</v>
      </c>
      <c r="H1238" t="s">
        <v>32</v>
      </c>
      <c r="I1238">
        <f>VLOOKUP(Table4[[#This Row],[Visitor]],'NHL Model'!$A$6:$B$38,2,FALSE)</f>
        <v>-0.34471182133334621</v>
      </c>
      <c r="J1238">
        <f>($B$1+Table4[[#This Row],[Home Differential]])-Table4[[#This Row],[Away Differential]]</f>
        <v>1.0723611981285444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0.68282638409993657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4.5205299343610755E-2</v>
      </c>
      <c r="H1239" t="s">
        <v>11</v>
      </c>
      <c r="I1239">
        <f>VLOOKUP(Table4[[#This Row],[Visitor]],'NHL Model'!$A$6:$B$38,2,FALSE)</f>
        <v>0.20922229284068078</v>
      </c>
      <c r="J1239">
        <f>($B$1+Table4[[#This Row],[Home Differential]])-Table4[[#This Row],[Away Differential]]</f>
        <v>-8.9105076920420384E-2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0.5069105890560972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-7.602164965773138E-2</v>
      </c>
      <c r="H1240" t="s">
        <v>27</v>
      </c>
      <c r="I1240">
        <f>VLOOKUP(Table4[[#This Row],[Visitor]],'NHL Model'!$A$6:$B$38,2,FALSE)</f>
        <v>0.3028174375616956</v>
      </c>
      <c r="J1240">
        <f>($B$1+Table4[[#This Row],[Home Differential]])-Table4[[#This Row],[Away Differential]]</f>
        <v>-0.30392717064277736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0.51493326592030619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6.3057484159014243E-2</v>
      </c>
      <c r="H1241" t="s">
        <v>37</v>
      </c>
      <c r="I1241">
        <f>VLOOKUP(Table4[[#This Row],[Visitor]],'NHL Model'!$A$6:$B$38,2,FALSE)</f>
        <v>0.77279348157483052</v>
      </c>
      <c r="J1241">
        <f>($B$1+Table4[[#This Row],[Home Differential]])-Table4[[#This Row],[Away Differential]]</f>
        <v>-0.63482408083916664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0.60224773251217345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-0.90940046726085955</v>
      </c>
      <c r="H1242" t="s">
        <v>12</v>
      </c>
      <c r="I1242">
        <f>VLOOKUP(Table4[[#This Row],[Visitor]],'NHL Model'!$A$6:$B$38,2,FALSE)</f>
        <v>1.8116689824371455</v>
      </c>
      <c r="J1242">
        <f>($B$1+Table4[[#This Row],[Home Differential]])-Table4[[#This Row],[Away Differential]]</f>
        <v>-2.6461575331213556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0.84366941547633467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0.18592042582238802</v>
      </c>
      <c r="H1243" t="s">
        <v>17</v>
      </c>
      <c r="I1243">
        <f>VLOOKUP(Table4[[#This Row],[Visitor]],'NHL Model'!$A$6:$B$38,2,FALSE)</f>
        <v>0.17499330177061237</v>
      </c>
      <c r="J1243">
        <f>($B$1+Table4[[#This Row],[Home Differential]])-Table4[[#This Row],[Away Differential]]</f>
        <v>8.5839040628425262E-2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0.54964904847158591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-0.46815423657711264</v>
      </c>
      <c r="H1244" t="s">
        <v>20</v>
      </c>
      <c r="I1244">
        <f>VLOOKUP(Table4[[#This Row],[Visitor]],'NHL Model'!$A$6:$B$38,2,FALSE)</f>
        <v>0.21230765705109297</v>
      </c>
      <c r="J1244">
        <f>($B$1+Table4[[#This Row],[Home Differential]])-Table4[[#This Row],[Away Differential]]</f>
        <v>-0.605549977051556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0.54883827065786273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6.6163598639307278E-2</v>
      </c>
      <c r="H1245" t="s">
        <v>23</v>
      </c>
      <c r="I1245">
        <f>VLOOKUP(Table4[[#This Row],[Visitor]],'NHL Model'!$A$6:$B$38,2,FALSE)</f>
        <v>8.8679045351754957E-2</v>
      </c>
      <c r="J1245">
        <f>($B$1+Table4[[#This Row],[Home Differential]])-Table4[[#This Row],[Away Differential]]</f>
        <v>5.2396469864201947E-2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0.54588981509763357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-0.21695959508717547</v>
      </c>
      <c r="H1246" t="s">
        <v>17</v>
      </c>
      <c r="I1246">
        <f>VLOOKUP(Table4[[#This Row],[Visitor]],'NHL Model'!$A$6:$B$38,2,FALSE)</f>
        <v>0.17499330177061237</v>
      </c>
      <c r="J1246">
        <f>($B$1+Table4[[#This Row],[Home Differential]])-Table4[[#This Row],[Away Differential]]</f>
        <v>-0.3170409802811382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0.49563814045236176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-1.7306849519822837E-2</v>
      </c>
      <c r="H1247" t="s">
        <v>22</v>
      </c>
      <c r="I1247">
        <f>VLOOKUP(Table4[[#This Row],[Visitor]],'NHL Model'!$A$6:$B$38,2,FALSE)</f>
        <v>0.44972876941152479</v>
      </c>
      <c r="J1247">
        <f>($B$1+Table4[[#This Row],[Home Differential]])-Table4[[#This Row],[Away Differential]]</f>
        <v>-0.39212370235469796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0.50002522251612413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-5.9622828283354432E-4</v>
      </c>
      <c r="H1248" t="s">
        <v>33</v>
      </c>
      <c r="I1248">
        <f>VLOOKUP(Table4[[#This Row],[Visitor]],'NHL Model'!$A$6:$B$38,2,FALSE)</f>
        <v>-0.21695959508717547</v>
      </c>
      <c r="J1248">
        <f>($B$1+Table4[[#This Row],[Home Differential]])-Table4[[#This Row],[Away Differential]]</f>
        <v>0.29127528338099157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0.60417042533726262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8.8679045351754957E-2</v>
      </c>
      <c r="H1249" t="s">
        <v>28</v>
      </c>
      <c r="I1249">
        <f>VLOOKUP(Table4[[#This Row],[Visitor]],'NHL Model'!$A$6:$B$38,2,FALSE)</f>
        <v>-0.15682239438733669</v>
      </c>
      <c r="J1249">
        <f>($B$1+Table4[[#This Row],[Home Differential]])-Table4[[#This Row],[Away Differential]]</f>
        <v>0.3204133563157413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0.61460931717789868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-0.45160327336373768</v>
      </c>
      <c r="H1250" t="s">
        <v>25</v>
      </c>
      <c r="I1250">
        <f>VLOOKUP(Table4[[#This Row],[Visitor]],'NHL Model'!$A$6:$B$38,2,FALSE)</f>
        <v>0.53620748452970379</v>
      </c>
      <c r="J1250">
        <f>($B$1+Table4[[#This Row],[Home Differential]])-Table4[[#This Row],[Away Differential]]</f>
        <v>-0.91289884131679178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0.62002127770105098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1.8116689824371455</v>
      </c>
      <c r="H1251" t="s">
        <v>16</v>
      </c>
      <c r="I1251">
        <f>VLOOKUP(Table4[[#This Row],[Visitor]],'NHL Model'!$A$6:$B$38,2,FALSE)</f>
        <v>-0.31573427760518757</v>
      </c>
      <c r="J1251">
        <f>($B$1+Table4[[#This Row],[Home Differential]])-Table4[[#This Row],[Away Differential]]</f>
        <v>2.2023151766189826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0.90653780255979166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0.92535559469880035</v>
      </c>
      <c r="H1252" t="s">
        <v>34</v>
      </c>
      <c r="I1252">
        <f>VLOOKUP(Table4[[#This Row],[Visitor]],'NHL Model'!$A$6:$B$38,2,FALSE)</f>
        <v>0.6527374602185485</v>
      </c>
      <c r="J1252">
        <f>($B$1+Table4[[#This Row],[Home Differential]])-Table4[[#This Row],[Away Differential]]</f>
        <v>0.34753005105690149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0.54730066907327435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-8.2026557704658234E-2</v>
      </c>
      <c r="H1253" t="s">
        <v>27</v>
      </c>
      <c r="I1253">
        <f>VLOOKUP(Table4[[#This Row],[Visitor]],'NHL Model'!$A$6:$B$38,2,FALSE)</f>
        <v>0.3028174375616956</v>
      </c>
      <c r="J1253">
        <f>($B$1+Table4[[#This Row],[Home Differential]])-Table4[[#This Row],[Away Differential]]</f>
        <v>-0.30993207868970418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0.4816475492422081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4.5005056179018996E-2</v>
      </c>
      <c r="H1254" t="s">
        <v>38</v>
      </c>
      <c r="I1254">
        <f>VLOOKUP(Table4[[#This Row],[Visitor]],'NHL Model'!$A$6:$B$38,2,FALSE)</f>
        <v>-0.46815423657711264</v>
      </c>
      <c r="J1254">
        <f>($B$1+Table4[[#This Row],[Home Differential]])-Table4[[#This Row],[Away Differential]]</f>
        <v>0.58807120933278123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0.56359171284016041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4.5205299343610755E-2</v>
      </c>
      <c r="H1255" t="s">
        <v>37</v>
      </c>
      <c r="I1255">
        <f>VLOOKUP(Table4[[#This Row],[Visitor]],'NHL Model'!$A$6:$B$38,2,FALSE)</f>
        <v>0.77279348157483052</v>
      </c>
      <c r="J1255">
        <f>($B$1+Table4[[#This Row],[Home Differential]])-Table4[[#This Row],[Away Differential]]</f>
        <v>-0.65267626565457015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0.6042544720487113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-7.602164965773138E-2</v>
      </c>
      <c r="H1256" t="s">
        <v>14</v>
      </c>
      <c r="I1256">
        <f>VLOOKUP(Table4[[#This Row],[Visitor]],'NHL Model'!$A$6:$B$38,2,FALSE)</f>
        <v>3.3446447213402619E-2</v>
      </c>
      <c r="J1256">
        <f>($B$1+Table4[[#This Row],[Home Differential]])-Table4[[#This Row],[Away Differential]]</f>
        <v>-3.4556180294484359E-2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0.47117413231546762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0.29544191342066151</v>
      </c>
      <c r="H1257" t="s">
        <v>19</v>
      </c>
      <c r="I1257">
        <f>VLOOKUP(Table4[[#This Row],[Visitor]],'NHL Model'!$A$6:$B$38,2,FALSE)</f>
        <v>-1.7306849519822837E-2</v>
      </c>
      <c r="J1257">
        <f>($B$1+Table4[[#This Row],[Home Differential]])-Table4[[#This Row],[Away Differential]]</f>
        <v>0.38766067951713401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0.59759302419330029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6.3057484159014243E-2</v>
      </c>
      <c r="H1258" t="s">
        <v>11</v>
      </c>
      <c r="I1258">
        <f>VLOOKUP(Table4[[#This Row],[Visitor]],'NHL Model'!$A$6:$B$38,2,FALSE)</f>
        <v>0.20922229284068078</v>
      </c>
      <c r="J1258">
        <f>($B$1+Table4[[#This Row],[Home Differential]])-Table4[[#This Row],[Away Differential]]</f>
        <v>-7.1252892105016896E-2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0.50490384951955936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-0.34471182133334621</v>
      </c>
      <c r="H1259" t="s">
        <v>20</v>
      </c>
      <c r="I1259">
        <f>VLOOKUP(Table4[[#This Row],[Visitor]],'NHL Model'!$A$6:$B$38,2,FALSE)</f>
        <v>0.21230765705109297</v>
      </c>
      <c r="J1259">
        <f>($B$1+Table4[[#This Row],[Home Differential]])-Table4[[#This Row],[Away Differential]]</f>
        <v>-0.48210756180778958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0.53496227857527756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-0.90940046726085955</v>
      </c>
      <c r="H1260" t="s">
        <v>40</v>
      </c>
      <c r="I1260">
        <f>VLOOKUP(Table4[[#This Row],[Visitor]],'NHL Model'!$A$6:$B$38,2,FALSE)</f>
        <v>-5.6782013784997053E-2</v>
      </c>
      <c r="J1260">
        <f>($B$1+Table4[[#This Row],[Home Differential]])-Table4[[#This Row],[Away Differential]]</f>
        <v>-0.77770653689921287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0.54742092195197178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0.18592042582238802</v>
      </c>
      <c r="H1261" t="s">
        <v>29</v>
      </c>
      <c r="I1261">
        <f>VLOOKUP(Table4[[#This Row],[Visitor]],'NHL Model'!$A$6:$B$38,2,FALSE)</f>
        <v>-0.29605365356197477</v>
      </c>
      <c r="J1261">
        <f>($B$1+Table4[[#This Row],[Home Differential]])-Table4[[#This Row],[Away Differential]]</f>
        <v>0.5568859959610124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0.60259878871940475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-6.5206076050157921E-2</v>
      </c>
      <c r="H1262" t="s">
        <v>37</v>
      </c>
      <c r="I1262">
        <f>VLOOKUP(Table4[[#This Row],[Visitor]],'NHL Model'!$A$6:$B$38,2,FALSE)</f>
        <v>0.77279348157483052</v>
      </c>
      <c r="J1262">
        <f>($B$1+Table4[[#This Row],[Home Differential]])-Table4[[#This Row],[Away Differential]]</f>
        <v>-0.76308764104833882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0.60255615546995878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-0.45160327336373768</v>
      </c>
      <c r="H1263" t="s">
        <v>35</v>
      </c>
      <c r="I1263">
        <f>VLOOKUP(Table4[[#This Row],[Visitor]],'NHL Model'!$A$6:$B$38,2,FALSE)</f>
        <v>-0.90940046726085955</v>
      </c>
      <c r="J1263">
        <f>($B$1+Table4[[#This Row],[Home Differential]])-Table4[[#This Row],[Away Differential]]</f>
        <v>0.53270911047377156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0.59988109828099234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1.8116689824371455</v>
      </c>
      <c r="H1264" t="s">
        <v>20</v>
      </c>
      <c r="I1264">
        <f>VLOOKUP(Table4[[#This Row],[Visitor]],'NHL Model'!$A$6:$B$38,2,FALSE)</f>
        <v>0.21230765705109297</v>
      </c>
      <c r="J1264">
        <f>($B$1+Table4[[#This Row],[Home Differential]])-Table4[[#This Row],[Away Differential]]</f>
        <v>1.6742732419627022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0.82820275189594383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0.92535559469880035</v>
      </c>
      <c r="H1265" t="s">
        <v>15</v>
      </c>
      <c r="I1265">
        <f>VLOOKUP(Table4[[#This Row],[Visitor]],'NHL Model'!$A$6:$B$38,2,FALSE)</f>
        <v>6.6163598639307278E-2</v>
      </c>
      <c r="J1265">
        <f>($B$1+Table4[[#This Row],[Home Differential]])-Table4[[#This Row],[Away Differential]]</f>
        <v>0.93410391263614267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0.61422642805964867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-8.2026557704658234E-2</v>
      </c>
      <c r="H1266" t="s">
        <v>24</v>
      </c>
      <c r="I1266">
        <f>VLOOKUP(Table4[[#This Row],[Visitor]],'NHL Model'!$A$6:$B$38,2,FALSE)</f>
        <v>-7.602164965773138E-2</v>
      </c>
      <c r="J1266">
        <f>($B$1+Table4[[#This Row],[Home Differential]])-Table4[[#This Row],[Away Differential]]</f>
        <v>6.8907008529722785E-2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0.56093723139781604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4.5005056179018996E-2</v>
      </c>
      <c r="H1267" t="s">
        <v>17</v>
      </c>
      <c r="I1267">
        <f>VLOOKUP(Table4[[#This Row],[Visitor]],'NHL Model'!$A$6:$B$38,2,FALSE)</f>
        <v>0.17499330177061237</v>
      </c>
      <c r="J1267">
        <f>($B$1+Table4[[#This Row],[Home Differential]])-Table4[[#This Row],[Away Differential]]</f>
        <v>-5.5076329014943734E-2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0.46619105437818958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4.5205299343610755E-2</v>
      </c>
      <c r="H1268" t="s">
        <v>28</v>
      </c>
      <c r="I1268">
        <f>VLOOKUP(Table4[[#This Row],[Visitor]],'NHL Model'!$A$6:$B$38,2,FALSE)</f>
        <v>-0.15682239438733669</v>
      </c>
      <c r="J1268">
        <f>($B$1+Table4[[#This Row],[Home Differential]])-Table4[[#This Row],[Away Differential]]</f>
        <v>0.27693961030759706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0.57113040061954312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-0.29605365356197477</v>
      </c>
      <c r="H1269" t="s">
        <v>34</v>
      </c>
      <c r="I1269">
        <f>VLOOKUP(Table4[[#This Row],[Visitor]],'NHL Model'!$A$6:$B$38,2,FALSE)</f>
        <v>0.6527374602185485</v>
      </c>
      <c r="J1269">
        <f>($B$1+Table4[[#This Row],[Home Differential]])-Table4[[#This Row],[Away Differential]]</f>
        <v>-0.87387919720387364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0.62911958928383249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0.29544191342066151</v>
      </c>
      <c r="H1270" t="s">
        <v>36</v>
      </c>
      <c r="I1270">
        <f>VLOOKUP(Table4[[#This Row],[Visitor]],'NHL Model'!$A$6:$B$38,2,FALSE)</f>
        <v>6.3057484159014243E-2</v>
      </c>
      <c r="J1270">
        <f>($B$1+Table4[[#This Row],[Home Differential]])-Table4[[#This Row],[Away Differential]]</f>
        <v>0.3072963458382969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0.56787609283329288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3.3446447213402619E-2</v>
      </c>
      <c r="H1271" t="s">
        <v>22</v>
      </c>
      <c r="I1271">
        <f>VLOOKUP(Table4[[#This Row],[Visitor]],'NHL Model'!$A$6:$B$38,2,FALSE)</f>
        <v>0.44972876941152479</v>
      </c>
      <c r="J1271">
        <f>($B$1+Table4[[#This Row],[Home Differential]])-Table4[[#This Row],[Away Differential]]</f>
        <v>-0.34137040562147253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0.50566269731198543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-0.34471182133334621</v>
      </c>
      <c r="H1272" t="s">
        <v>16</v>
      </c>
      <c r="I1272">
        <f>VLOOKUP(Table4[[#This Row],[Visitor]],'NHL Model'!$A$6:$B$38,2,FALSE)</f>
        <v>-0.31573427760518757</v>
      </c>
      <c r="J1272">
        <f>($B$1+Table4[[#This Row],[Home Differential]])-Table4[[#This Row],[Away Differential]]</f>
        <v>4.5934372848491001E-2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0.54516341966175497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-0.21695959508717547</v>
      </c>
      <c r="H1273" t="s">
        <v>38</v>
      </c>
      <c r="I1273">
        <f>VLOOKUP(Table4[[#This Row],[Visitor]],'NHL Model'!$A$6:$B$38,2,FALSE)</f>
        <v>-0.46815423657711264</v>
      </c>
      <c r="J1273">
        <f>($B$1+Table4[[#This Row],[Home Differential]])-Table4[[#This Row],[Away Differential]]</f>
        <v>0.32610655806658684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0.53414462676598828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-1.7306849519822837E-2</v>
      </c>
      <c r="H1274" t="s">
        <v>11</v>
      </c>
      <c r="I1274">
        <f>VLOOKUP(Table4[[#This Row],[Visitor]],'NHL Model'!$A$6:$B$38,2,FALSE)</f>
        <v>0.20922229284068078</v>
      </c>
      <c r="J1274">
        <f>($B$1+Table4[[#This Row],[Home Differential]])-Table4[[#This Row],[Away Differential]]</f>
        <v>-0.15161722578385398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0.50253121042547344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0.18592042582238802</v>
      </c>
      <c r="H1275" t="s">
        <v>25</v>
      </c>
      <c r="I1275">
        <f>VLOOKUP(Table4[[#This Row],[Visitor]],'NHL Model'!$A$6:$B$38,2,FALSE)</f>
        <v>0.53620748452970379</v>
      </c>
      <c r="J1275">
        <f>($B$1+Table4[[#This Row],[Home Differential]])-Table4[[#This Row],[Away Differential]]</f>
        <v>-0.27537514213066616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0.54835811569228765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-5.6782013784997053E-2</v>
      </c>
      <c r="H1276" t="s">
        <v>27</v>
      </c>
      <c r="I1276">
        <f>VLOOKUP(Table4[[#This Row],[Visitor]],'NHL Model'!$A$6:$B$38,2,FALSE)</f>
        <v>0.3028174375616956</v>
      </c>
      <c r="J1276">
        <f>($B$1+Table4[[#This Row],[Home Differential]])-Table4[[#This Row],[Away Differential]]</f>
        <v>-0.28468753477004299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0.51277056491907669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-5.9622828283354432E-4</v>
      </c>
      <c r="H1277" t="s">
        <v>38</v>
      </c>
      <c r="I1277">
        <f>VLOOKUP(Table4[[#This Row],[Visitor]],'NHL Model'!$A$6:$B$38,2,FALSE)</f>
        <v>-0.46815423657711264</v>
      </c>
      <c r="J1277">
        <f>($B$1+Table4[[#This Row],[Home Differential]])-Table4[[#This Row],[Away Differential]]</f>
        <v>0.54246992487092871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0.5975636638534596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-0.15682239438733669</v>
      </c>
      <c r="H1278" t="s">
        <v>21</v>
      </c>
      <c r="I1278">
        <f>VLOOKUP(Table4[[#This Row],[Visitor]],'NHL Model'!$A$6:$B$38,2,FALSE)</f>
        <v>-6.5206076050157921E-2</v>
      </c>
      <c r="J1278">
        <f>($B$1+Table4[[#This Row],[Home Differential]])-Table4[[#This Row],[Away Differential]]</f>
        <v>-1.6704401760529133E-2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0.46187771882230028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-0.31573427760518757</v>
      </c>
      <c r="H1279" t="s">
        <v>55</v>
      </c>
      <c r="I1279">
        <f>VLOOKUP(Table4[[#This Row],[Visitor]],'NHL Model'!$A$6:$B$38,2,FALSE)</f>
        <v>0.18592042582238802</v>
      </c>
      <c r="J1279">
        <f>($B$1+Table4[[#This Row],[Home Differential]])-Table4[[#This Row],[Away Differential]]</f>
        <v>-0.42674278685092593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0.47743015052919313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-7.602164965773138E-2</v>
      </c>
      <c r="H1280" t="s">
        <v>36</v>
      </c>
      <c r="I1280">
        <f>VLOOKUP(Table4[[#This Row],[Visitor]],'NHL Model'!$A$6:$B$38,2,FALSE)</f>
        <v>6.3057484159014243E-2</v>
      </c>
      <c r="J1280">
        <f>($B$1+Table4[[#This Row],[Home Differential]])-Table4[[#This Row],[Away Differential]]</f>
        <v>-6.4167217240095983E-2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0.48798217938682559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0.29544191342066151</v>
      </c>
      <c r="H1281" t="s">
        <v>18</v>
      </c>
      <c r="I1281">
        <f>VLOOKUP(Table4[[#This Row],[Visitor]],'NHL Model'!$A$6:$B$38,2,FALSE)</f>
        <v>4.5205299343610755E-2</v>
      </c>
      <c r="J1281">
        <f>($B$1+Table4[[#This Row],[Home Differential]])-Table4[[#This Row],[Away Differential]]</f>
        <v>0.32514853065370042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0.53328152518028815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0.44972876941152479</v>
      </c>
      <c r="H1282" t="s">
        <v>14</v>
      </c>
      <c r="I1282">
        <f>VLOOKUP(Table4[[#This Row],[Visitor]],'NHL Model'!$A$6:$B$38,2,FALSE)</f>
        <v>3.3446447213402619E-2</v>
      </c>
      <c r="J1282">
        <f>($B$1+Table4[[#This Row],[Home Differential]])-Table4[[#This Row],[Away Differential]]</f>
        <v>0.49119423877477186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0.59248953293106676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-0.45160327336373768</v>
      </c>
      <c r="H1283" t="s">
        <v>23</v>
      </c>
      <c r="I1283">
        <f>VLOOKUP(Table4[[#This Row],[Visitor]],'NHL Model'!$A$6:$B$38,2,FALSE)</f>
        <v>8.8679045351754957E-2</v>
      </c>
      <c r="J1283">
        <f>($B$1+Table4[[#This Row],[Home Differential]])-Table4[[#This Row],[Away Differential]]</f>
        <v>-0.46537040213884301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0.51231164671232521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0.17499330177061237</v>
      </c>
      <c r="H1284" t="s">
        <v>12</v>
      </c>
      <c r="I1284">
        <f>VLOOKUP(Table4[[#This Row],[Visitor]],'NHL Model'!$A$6:$B$38,2,FALSE)</f>
        <v>1.8116689824371455</v>
      </c>
      <c r="J1284">
        <f>($B$1+Table4[[#This Row],[Home Differential]])-Table4[[#This Row],[Away Differential]]</f>
        <v>-1.5617637640898834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0.68535963783183429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0.20922229284068078</v>
      </c>
      <c r="H1285" t="s">
        <v>15</v>
      </c>
      <c r="I1285">
        <f>VLOOKUP(Table4[[#This Row],[Visitor]],'NHL Model'!$A$6:$B$38,2,FALSE)</f>
        <v>6.6163598639307278E-2</v>
      </c>
      <c r="J1285">
        <f>($B$1+Table4[[#This Row],[Home Differential]])-Table4[[#This Row],[Away Differential]]</f>
        <v>0.21797061077802315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0.49536791823608395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-0.29605365356197477</v>
      </c>
      <c r="H1286" t="s">
        <v>33</v>
      </c>
      <c r="I1286">
        <f>VLOOKUP(Table4[[#This Row],[Visitor]],'NHL Model'!$A$6:$B$38,2,FALSE)</f>
        <v>-0.21695959508717547</v>
      </c>
      <c r="J1286">
        <f>($B$1+Table4[[#This Row],[Home Differential]])-Table4[[#This Row],[Away Differential]]</f>
        <v>-4.1821418981496661E-3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0.46775982844372804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0.3028174375616956</v>
      </c>
      <c r="H1287" t="s">
        <v>25</v>
      </c>
      <c r="I1287">
        <f>VLOOKUP(Table4[[#This Row],[Visitor]],'NHL Model'!$A$6:$B$38,2,FALSE)</f>
        <v>0.53620748452970379</v>
      </c>
      <c r="J1287">
        <f>($B$1+Table4[[#This Row],[Home Differential]])-Table4[[#This Row],[Away Differential]]</f>
        <v>-0.15847813039135855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0.53063482144555763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-0.34471182133334621</v>
      </c>
      <c r="H1288" t="s">
        <v>13</v>
      </c>
      <c r="I1288">
        <f>VLOOKUP(Table4[[#This Row],[Visitor]],'NHL Model'!$A$6:$B$38,2,FALSE)</f>
        <v>4.5005056179018996E-2</v>
      </c>
      <c r="J1288">
        <f>($B$1+Table4[[#This Row],[Home Differential]])-Table4[[#This Row],[Away Differential]]</f>
        <v>-0.31480496093571558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0.52777712383815301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-0.90940046726085955</v>
      </c>
      <c r="H1289" t="s">
        <v>34</v>
      </c>
      <c r="I1289">
        <f>VLOOKUP(Table4[[#This Row],[Visitor]],'NHL Model'!$A$6:$B$38,2,FALSE)</f>
        <v>0.6527374602185485</v>
      </c>
      <c r="J1289">
        <f>($B$1+Table4[[#This Row],[Home Differential]])-Table4[[#This Row],[Away Differential]]</f>
        <v>-1.4872260109027584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0.69806506085418341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0.77279348157483052</v>
      </c>
      <c r="H1290" t="s">
        <v>26</v>
      </c>
      <c r="I1290">
        <f>VLOOKUP(Table4[[#This Row],[Visitor]],'NHL Model'!$A$6:$B$38,2,FALSE)</f>
        <v>-8.2026557704658234E-2</v>
      </c>
      <c r="J1290">
        <f>($B$1+Table4[[#This Row],[Home Differential]])-Table4[[#This Row],[Away Differential]]</f>
        <v>0.92973195585613844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0.61551233514919312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-1.7306849519822837E-2</v>
      </c>
      <c r="H1291" t="s">
        <v>39</v>
      </c>
      <c r="I1291">
        <f>VLOOKUP(Table4[[#This Row],[Visitor]],'NHL Model'!$A$6:$B$38,2,FALSE)</f>
        <v>0.92535559469880035</v>
      </c>
      <c r="J1291">
        <f>($B$1+Table4[[#This Row],[Home Differential]])-Table4[[#This Row],[Away Differential]]</f>
        <v>-0.86775052764197358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0.63242636401155516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0.21230765705109297</v>
      </c>
      <c r="H1292" t="s">
        <v>40</v>
      </c>
      <c r="I1292">
        <f>VLOOKUP(Table4[[#This Row],[Visitor]],'NHL Model'!$A$6:$B$38,2,FALSE)</f>
        <v>-5.6782013784997053E-2</v>
      </c>
      <c r="J1292">
        <f>($B$1+Table4[[#This Row],[Home Differential]])-Table4[[#This Row],[Away Differential]]</f>
        <v>0.34400158741273967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0.57866874521135836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-6.5206076050157921E-2</v>
      </c>
      <c r="H1293" t="s">
        <v>24</v>
      </c>
      <c r="I1293">
        <f>VLOOKUP(Table4[[#This Row],[Visitor]],'NHL Model'!$A$6:$B$38,2,FALSE)</f>
        <v>-7.602164965773138E-2</v>
      </c>
      <c r="J1293">
        <f>($B$1+Table4[[#This Row],[Home Differential]])-Table4[[#This Row],[Away Differential]]</f>
        <v>8.5727490184223099E-2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0.54296984257294212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-0.15682239438733669</v>
      </c>
      <c r="H1294" t="s">
        <v>22</v>
      </c>
      <c r="I1294">
        <f>VLOOKUP(Table4[[#This Row],[Visitor]],'NHL Model'!$A$6:$B$38,2,FALSE)</f>
        <v>0.44972876941152479</v>
      </c>
      <c r="J1294">
        <f>($B$1+Table4[[#This Row],[Home Differential]])-Table4[[#This Row],[Away Differential]]</f>
        <v>-0.53163924722221179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0.52705055605082229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-0.31573427760518757</v>
      </c>
      <c r="H1295" t="s">
        <v>12</v>
      </c>
      <c r="I1295">
        <f>VLOOKUP(Table4[[#This Row],[Visitor]],'NHL Model'!$A$6:$B$38,2,FALSE)</f>
        <v>1.8116689824371455</v>
      </c>
      <c r="J1295">
        <f>($B$1+Table4[[#This Row],[Home Differential]])-Table4[[#This Row],[Away Differential]]</f>
        <v>-2.0524913434656833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0.74613623058849143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0.6527374602185485</v>
      </c>
      <c r="H1296" t="s">
        <v>31</v>
      </c>
      <c r="I1296">
        <f>VLOOKUP(Table4[[#This Row],[Visitor]],'NHL Model'!$A$6:$B$38,2,FALSE)</f>
        <v>-5.9622828283354432E-4</v>
      </c>
      <c r="J1296">
        <f>($B$1+Table4[[#This Row],[Home Differential]])-Table4[[#This Row],[Away Differential]]</f>
        <v>0.72824560507803171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0.64414482367166925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0.29544191342066151</v>
      </c>
      <c r="H1297" t="s">
        <v>25</v>
      </c>
      <c r="I1297">
        <f>VLOOKUP(Table4[[#This Row],[Visitor]],'NHL Model'!$A$6:$B$38,2,FALSE)</f>
        <v>0.53620748452970379</v>
      </c>
      <c r="J1297">
        <f>($B$1+Table4[[#This Row],[Home Differential]])-Table4[[#This Row],[Away Differential]]</f>
        <v>-0.16585365453239265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0.52191135500372365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0.3028174375616956</v>
      </c>
      <c r="H1298" t="s">
        <v>18</v>
      </c>
      <c r="I1298">
        <f>VLOOKUP(Table4[[#This Row],[Visitor]],'NHL Model'!$A$6:$B$38,2,FALSE)</f>
        <v>4.5205299343610755E-2</v>
      </c>
      <c r="J1298">
        <f>($B$1+Table4[[#This Row],[Home Differential]])-Table4[[#This Row],[Away Differential]]</f>
        <v>0.33252405479473446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0.52455805873845418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-0.90940046726085955</v>
      </c>
      <c r="H1299" t="s">
        <v>14</v>
      </c>
      <c r="I1299">
        <f>VLOOKUP(Table4[[#This Row],[Visitor]],'NHL Model'!$A$6:$B$38,2,FALSE)</f>
        <v>3.3446447213402619E-2</v>
      </c>
      <c r="J1299">
        <f>($B$1+Table4[[#This Row],[Home Differential]])-Table4[[#This Row],[Away Differential]]</f>
        <v>-0.86793499789761253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0.56485309875515854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0.18592042582238802</v>
      </c>
      <c r="H1300" t="s">
        <v>40</v>
      </c>
      <c r="I1300">
        <f>VLOOKUP(Table4[[#This Row],[Visitor]],'NHL Model'!$A$6:$B$38,2,FALSE)</f>
        <v>-5.6782013784997053E-2</v>
      </c>
      <c r="J1300">
        <f>($B$1+Table4[[#This Row],[Home Differential]])-Table4[[#This Row],[Away Differential]]</f>
        <v>0.31761435618403466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0.57570259284883529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-0.46815423657711264</v>
      </c>
      <c r="H1301" t="s">
        <v>13</v>
      </c>
      <c r="I1301">
        <f>VLOOKUP(Table4[[#This Row],[Visitor]],'NHL Model'!$A$6:$B$38,2,FALSE)</f>
        <v>4.5005056179018996E-2</v>
      </c>
      <c r="J1301">
        <f>($B$1+Table4[[#This Row],[Home Differential]])-Table4[[#This Row],[Away Differential]]</f>
        <v>-0.43824737617948201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0.54165311592073817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8.8679045351754957E-2</v>
      </c>
      <c r="H1302" t="s">
        <v>39</v>
      </c>
      <c r="I1302">
        <f>VLOOKUP(Table4[[#This Row],[Visitor]],'NHL Model'!$A$6:$B$38,2,FALSE)</f>
        <v>0.92535559469880035</v>
      </c>
      <c r="J1302">
        <f>($B$1+Table4[[#This Row],[Home Differential]])-Table4[[#This Row],[Away Differential]]</f>
        <v>-0.76176463277039574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0.59281577275573549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-0.45160327336373768</v>
      </c>
      <c r="H1303" t="s">
        <v>33</v>
      </c>
      <c r="I1303">
        <f>VLOOKUP(Table4[[#This Row],[Visitor]],'NHL Model'!$A$6:$B$38,2,FALSE)</f>
        <v>-0.21695959508717547</v>
      </c>
      <c r="J1303">
        <f>($B$1+Table4[[#This Row],[Home Differential]])-Table4[[#This Row],[Away Differential]]</f>
        <v>-0.15973176169991257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0.48524494722203537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0.20922229284068078</v>
      </c>
      <c r="H1304" t="s">
        <v>26</v>
      </c>
      <c r="I1304">
        <f>VLOOKUP(Table4[[#This Row],[Visitor]],'NHL Model'!$A$6:$B$38,2,FALSE)</f>
        <v>-8.2026557704658234E-2</v>
      </c>
      <c r="J1304">
        <f>($B$1+Table4[[#This Row],[Home Differential]])-Table4[[#This Row],[Away Differential]]</f>
        <v>0.36616076712198864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0.54834648643516848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6.3057484159014243E-2</v>
      </c>
      <c r="H1305" t="s">
        <v>19</v>
      </c>
      <c r="I1305">
        <f>VLOOKUP(Table4[[#This Row],[Visitor]],'NHL Model'!$A$6:$B$38,2,FALSE)</f>
        <v>-1.7306849519822837E-2</v>
      </c>
      <c r="J1305">
        <f>($B$1+Table4[[#This Row],[Home Differential]])-Table4[[#This Row],[Away Differential]]</f>
        <v>0.15527625025548672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0.55745438968367444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0.77279348157483052</v>
      </c>
      <c r="H1306" t="s">
        <v>15</v>
      </c>
      <c r="I1306">
        <f>VLOOKUP(Table4[[#This Row],[Visitor]],'NHL Model'!$A$6:$B$38,2,FALSE)</f>
        <v>6.6163598639307278E-2</v>
      </c>
      <c r="J1306">
        <f>($B$1+Table4[[#This Row],[Home Differential]])-Table4[[#This Row],[Away Differential]]</f>
        <v>0.78154179951217284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0.56252370833989285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0.21230765705109297</v>
      </c>
      <c r="H1307" t="s">
        <v>32</v>
      </c>
      <c r="I1307">
        <f>VLOOKUP(Table4[[#This Row],[Visitor]],'NHL Model'!$A$6:$B$38,2,FALSE)</f>
        <v>-0.34471182133334621</v>
      </c>
      <c r="J1307">
        <f>($B$1+Table4[[#This Row],[Home Differential]])-Table4[[#This Row],[Away Differential]]</f>
        <v>0.63193139496108885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0.6110345387839442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-0.31573427760518757</v>
      </c>
      <c r="H1308" t="s">
        <v>13</v>
      </c>
      <c r="I1308">
        <f>VLOOKUP(Table4[[#This Row],[Visitor]],'NHL Model'!$A$6:$B$38,2,FALSE)</f>
        <v>4.5005056179018996E-2</v>
      </c>
      <c r="J1308">
        <f>($B$1+Table4[[#This Row],[Home Differential]])-Table4[[#This Row],[Away Differential]]</f>
        <v>-0.28582741720755694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0.49366792830501616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1.8116689824371455</v>
      </c>
      <c r="H1309" t="s">
        <v>32</v>
      </c>
      <c r="I1309">
        <f>VLOOKUP(Table4[[#This Row],[Visitor]],'NHL Model'!$A$6:$B$38,2,FALSE)</f>
        <v>-0.34471182133334621</v>
      </c>
      <c r="J1309">
        <f>($B$1+Table4[[#This Row],[Home Differential]])-Table4[[#This Row],[Away Differential]]</f>
        <v>2.2312927203471413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0.9097951283869854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0.17499330177061237</v>
      </c>
      <c r="H1310" t="s">
        <v>38</v>
      </c>
      <c r="I1310">
        <f>VLOOKUP(Table4[[#This Row],[Visitor]],'NHL Model'!$A$6:$B$38,2,FALSE)</f>
        <v>-0.46815423657711264</v>
      </c>
      <c r="J1310">
        <f>($B$1+Table4[[#This Row],[Home Differential]])-Table4[[#This Row],[Away Differential]]</f>
        <v>0.71805945492437462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0.61469665804564078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-0.29605365356197477</v>
      </c>
      <c r="H1311" t="s">
        <v>31</v>
      </c>
      <c r="I1311">
        <f>VLOOKUP(Table4[[#This Row],[Visitor]],'NHL Model'!$A$6:$B$38,2,FALSE)</f>
        <v>-5.9622828283354432E-4</v>
      </c>
      <c r="J1311">
        <f>($B$1+Table4[[#This Row],[Home Differential]])-Table4[[#This Row],[Away Differential]]</f>
        <v>-0.22054550870249159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0.48479121723730229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0.18592042582238802</v>
      </c>
      <c r="H1312" t="s">
        <v>35</v>
      </c>
      <c r="I1312">
        <f>VLOOKUP(Table4[[#This Row],[Visitor]],'NHL Model'!$A$6:$B$38,2,FALSE)</f>
        <v>-0.90940046726085955</v>
      </c>
      <c r="J1312">
        <f>($B$1+Table4[[#This Row],[Home Differential]])-Table4[[#This Row],[Away Differential]]</f>
        <v>1.1702328096598973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0.67154426028975567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-5.6782013784997053E-2</v>
      </c>
      <c r="H1313" t="s">
        <v>33</v>
      </c>
      <c r="I1313">
        <f>VLOOKUP(Table4[[#This Row],[Visitor]],'NHL Model'!$A$6:$B$38,2,FALSE)</f>
        <v>-0.21695959508717547</v>
      </c>
      <c r="J1313">
        <f>($B$1+Table4[[#This Row],[Home Differential]])-Table4[[#This Row],[Away Differential]]</f>
        <v>0.23508949787882805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0.55913636742684147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9" operator="containsText" text="NO">
      <formula>NOT(ISERROR(SEARCH("NO",M2)))</formula>
    </cfRule>
    <cfRule type="containsText" dxfId="16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15" priority="3" operator="containsText" text="YES">
      <formula>NOT(ISERROR(SEARCH("YES",Q1)))</formula>
    </cfRule>
    <cfRule type="containsText" dxfId="14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39</v>
      </c>
      <c r="C2">
        <f>COUNTIF(NHL2025_26Results[Winning Team],Standings!A2)</f>
        <v>21</v>
      </c>
      <c r="D2">
        <f>COUNTIFS('NHL2025-26Results'!$H:$H,A2,'NHL2025-26Results'!$F:$F,"")</f>
        <v>16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7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0.63157894736842102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3.8888888888888888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3.3684210526315788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40</v>
      </c>
      <c r="C3">
        <f>COUNTIF(NHL2025_26Results[Winning Team],Standings!A3)</f>
        <v>20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42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0.42105263157894735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2.9473684210526314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3.4210526315789473</v>
      </c>
    </row>
    <row r="4" spans="1:18" x14ac:dyDescent="0.2">
      <c r="A4" s="4" t="s">
        <v>23</v>
      </c>
      <c r="B4">
        <f>SUM(Table1[[#This Row],[W]:[OTL]])</f>
        <v>38</v>
      </c>
      <c r="C4">
        <f>COUNTIF(NHL2025_26Results[Winning Team],Standings!A4)</f>
        <v>20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44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8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0.42105263157894735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2.8421052631578947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3.6315789473684212</v>
      </c>
    </row>
    <row r="5" spans="1:18" x14ac:dyDescent="0.2">
      <c r="A5" s="4" t="s">
        <v>16</v>
      </c>
      <c r="B5">
        <f>SUM(Table1[[#This Row],[W]:[OTL]])</f>
        <v>39</v>
      </c>
      <c r="C5">
        <f>COUNTIF(NHL2025_26Results[Winning Team],Standings!A5)</f>
        <v>17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38</v>
      </c>
      <c r="G5">
        <f>COUNTIFS('NHL2025-26Results'!$D:$D,A5,'NHL2025-26Results'!$G:$G,A5)</f>
        <v>11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0.61111111111111116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3.2352941176470589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2.5625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39</v>
      </c>
      <c r="C6">
        <f>COUNTIF(NHL2025_26Results[Winning Team],Standings!A6)</f>
        <v>24</v>
      </c>
      <c r="D6">
        <f>COUNTIFS('NHL2025-26Results'!$H:$H,A6,'NHL2025-26Results'!$F:$F,"")</f>
        <v>12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51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0.65</v>
      </c>
      <c r="N6" s="11">
        <f>Table1[[#This Row],[AwayWins]]/SUM(Table1[[#This Row],[AwayWins]:[AwayOTL]])</f>
        <v>0.57894736842105265</v>
      </c>
      <c r="O6" s="14">
        <f>SUMIFS('NHL2025-26Results'!$E:$E,'NHL2025-26Results'!$D:$D,A6,'NHL2025-26Results'!$E:$E,"&gt;0")/COUNTIFS('NHL2025-26Results'!$D:$D,A6,'NHL2025-26Results'!$E:$E,"&gt;0")</f>
        <v>3.5</v>
      </c>
      <c r="P6" s="14">
        <f>SUMIFS('NHL2025-26Results'!$C:$C,'NHL2025-26Results'!$B:$B,A6,'NHL2025-26Results'!$C:$C,"&gt;0")/COUNTIFS('NHL2025-26Results'!$B:$B,A6,'NHL2025-26Results'!$C:$C,"&gt;0")</f>
        <v>3.1578947368421053</v>
      </c>
      <c r="Q6" s="14">
        <f>SUMIFS('NHL2025-26Results'!$C:$C,'NHL2025-26Results'!$D:$D,A6,'NHL2025-26Results'!$C:$C,"&gt;0")/COUNTIFS('NHL2025-26Results'!$D:$D,A6,'NHL2025-26Results'!$C:$C,"&gt;0")</f>
        <v>3.1578947368421053</v>
      </c>
      <c r="R6" s="14">
        <f>SUMIFS('NHL2025-26Results'!$E:$E,'NHL2025-26Results'!$B:$B,A6,'NHL2025-26Results'!$E:$E,"&gt;0")/COUNTIFS('NHL2025-26Results'!$B:$B,A6,'NHL2025-26Results'!$E:$E,"&gt;0")</f>
        <v>3.0555555555555554</v>
      </c>
    </row>
    <row r="7" spans="1:18" x14ac:dyDescent="0.2">
      <c r="A7" s="4" t="s">
        <v>10</v>
      </c>
      <c r="B7">
        <f>SUM(Table1[[#This Row],[W]:[OTL]])</f>
        <v>39</v>
      </c>
      <c r="C7">
        <f>COUNTIF(NHL2025_26Results[Winning Team],Standings!A7)</f>
        <v>14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35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0.36842105263157893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2.9411764705882355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38</v>
      </c>
      <c r="C8">
        <f>COUNTIF(NHL2025_26Results[Winning Team],Standings!A8)</f>
        <v>29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65</v>
      </c>
      <c r="G8">
        <f>COUNTIFS('NHL2025-26Results'!$D:$D,A8,'NHL2025-26Results'!$G:$G,A8)</f>
        <v>16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0.88888888888888884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4.4444444444444446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2.3125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38</v>
      </c>
      <c r="C9">
        <f>COUNTIF(NHL2025_26Results[Winning Team],Standings!A9)</f>
        <v>17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40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0.47058823529411764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3.4117647058823528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39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0.63157894736842102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3.4444444444444446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2.7222222222222223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40</v>
      </c>
      <c r="C11">
        <f>COUNTIF(NHL2025_26Results[Winning Team],Standings!A11)</f>
        <v>23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49</v>
      </c>
      <c r="G11">
        <f>COUNTIFS('NHL2025-26Results'!$D:$D,A11,'NHL2025-26Results'!$G:$G,A11)</f>
        <v>13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0.61904761904761907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3.4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3.4285714285714284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40</v>
      </c>
      <c r="C12">
        <f>COUNTIF(NHL2025_26Results[Winning Team],Standings!A12)</f>
        <v>20</v>
      </c>
      <c r="D12">
        <f>COUNTIFS('NHL2025-26Results'!$H:$H,A12,'NHL2025-26Results'!$F:$F,"")</f>
        <v>14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39</v>
      </c>
      <c r="C13">
        <f>COUNTIF(NHL2025_26Results[Winning Team],Standings!A13)</f>
        <v>21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45</v>
      </c>
      <c r="G13">
        <f>COUNTIFS('NHL2025-26Results'!$D:$D,A13,'NHL2025-26Results'!$G:$G,A13)</f>
        <v>13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0.54166666666666663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3.25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3.4545454545454546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38</v>
      </c>
      <c r="C14">
        <f>COUNTIF(NHL2025_26Results[Winning Team],Standings!A14)</f>
        <v>16</v>
      </c>
      <c r="D14">
        <f>COUNTIFS('NHL2025-26Results'!$H:$H,A14,'NHL2025-26Results'!$F:$F,"")</f>
        <v>13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40</v>
      </c>
      <c r="C15">
        <f>COUNTIF(NHL2025_26Results[Winning Team],Standings!A15)</f>
        <v>24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54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11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0.61111111111111116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3.0555555555555554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</v>
      </c>
    </row>
    <row r="16" spans="1:18" x14ac:dyDescent="0.2">
      <c r="A16" s="4" t="s">
        <v>18</v>
      </c>
      <c r="B16">
        <f>SUM(Table1[[#This Row],[W]:[OTL]])</f>
        <v>39</v>
      </c>
      <c r="C16">
        <f>COUNTIF(NHL2025_26Results[Winning Team],Standings!A16)</f>
        <v>21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48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11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0.57894736842105265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3.5263157894736841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3.2105263157894739</v>
      </c>
    </row>
    <row r="17" spans="1:18" x14ac:dyDescent="0.2">
      <c r="A17" s="4" t="s">
        <v>29</v>
      </c>
      <c r="B17">
        <f>SUM(Table1[[#This Row],[W]:[OTL]])</f>
        <v>38</v>
      </c>
      <c r="C17">
        <f>COUNTIF(NHL2025_26Results[Winning Team],Standings!A17)</f>
        <v>17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38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7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0.41176470588235292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3.4705882352941178</v>
      </c>
    </row>
    <row r="18" spans="1:18" x14ac:dyDescent="0.2">
      <c r="A18" s="4" t="s">
        <v>24</v>
      </c>
      <c r="B18">
        <f>SUM(Table1[[#This Row],[W]:[OTL]])</f>
        <v>39</v>
      </c>
      <c r="C18">
        <f>COUNTIF(NHL2025_26Results[Winning Team],Standings!A18)</f>
        <v>20</v>
      </c>
      <c r="D18">
        <f>COUNTIFS('NHL2025-26Results'!$H:$H,A18,'NHL2025-26Results'!$F:$F,"")</f>
        <v>17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42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3.3157894736842106</v>
      </c>
    </row>
    <row r="19" spans="1:18" x14ac:dyDescent="0.2">
      <c r="A19" s="4" t="s">
        <v>30</v>
      </c>
      <c r="B19">
        <f>SUM(Table1[[#This Row],[W]:[OTL]])</f>
        <v>40</v>
      </c>
      <c r="C19">
        <f>COUNTIF(NHL2025_26Results[Winning Team],Standings!A19)</f>
        <v>22</v>
      </c>
      <c r="D19">
        <f>COUNTIFS('NHL2025-26Results'!$H:$H,A19,'NHL2025-26Results'!$F:$F,"")</f>
        <v>14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48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41</v>
      </c>
      <c r="C20">
        <f>COUNTIF(NHL2025_26Results[Winning Team],Standings!A20)</f>
        <v>19</v>
      </c>
      <c r="D20">
        <f>COUNTIFS('NHL2025-26Results'!$H:$H,A20,'NHL2025-26Results'!$F:$F,"")</f>
        <v>17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43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7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0.60869565217391308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3.3809523809523809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2.5238095238095237</v>
      </c>
    </row>
    <row r="21" spans="1:18" x14ac:dyDescent="0.2">
      <c r="A21" s="4" t="s">
        <v>36</v>
      </c>
      <c r="B21">
        <f>SUM(Table1[[#This Row],[W]:[OTL]])</f>
        <v>38</v>
      </c>
      <c r="C21">
        <f>COUNTIF(NHL2025_26Results[Winning Team],Standings!A21)</f>
        <v>18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0.44444444444444442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3.1764705882352939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38</v>
      </c>
      <c r="C22">
        <f>COUNTIF(NHL2025_26Results[Winning Team],Standings!A22)</f>
        <v>20</v>
      </c>
      <c r="D22">
        <f>COUNTIFS('NHL2025-26Results'!$H:$H,A22,'NHL2025-26Results'!$F:$F,"")</f>
        <v>11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47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9</v>
      </c>
      <c r="K22">
        <f>COUNTIFS('NHL2025-26Results'!$B:$B,A22,'NHL2025-26Results'!$H:$H,A22,'NHL2025-26Results'!$F:$F,"")</f>
        <v>6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3.2941176470588234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3.1111111111111112</v>
      </c>
    </row>
    <row r="23" spans="1:18" x14ac:dyDescent="0.2">
      <c r="A23" s="4" t="s">
        <v>14</v>
      </c>
      <c r="B23">
        <f>SUM(Table1[[#This Row],[W]:[OTL]])</f>
        <v>38</v>
      </c>
      <c r="C23">
        <f>COUNTIF(NHL2025_26Results[Winning Team],Standings!A23)</f>
        <v>17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43</v>
      </c>
      <c r="G23">
        <f>COUNTIFS('NHL2025-26Results'!$D:$D,A23,'NHL2025-26Results'!$G:$G,A23)</f>
        <v>8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0.42105263157894735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3.6666666666666665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3.8888888888888888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39</v>
      </c>
      <c r="C24">
        <f>COUNTIF(NHL2025_26Results[Winning Team],Standings!A24)</f>
        <v>19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41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37</v>
      </c>
      <c r="C25">
        <f>COUNTIF(NHL2025_26Results[Winning Team],Standings!A25)</f>
        <v>16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39</v>
      </c>
      <c r="G25">
        <f>COUNTIFS('NHL2025-26Results'!$D:$D,A25,'NHL2025-26Results'!$G:$G,A25)</f>
        <v>8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0.42105263157894735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2.5555555555555554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2.7894736842105261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40</v>
      </c>
      <c r="C26">
        <f>COUNTIF(NHL2025_26Results[Winning Team],Standings!A26)</f>
        <v>15</v>
      </c>
      <c r="D26">
        <f>COUNTIFS('NHL2025-26Results'!$H:$H,A26,'NHL2025-26Results'!$F:$F,"")</f>
        <v>17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0.36363636363636365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2.4285714285714284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3.85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38</v>
      </c>
      <c r="C27">
        <f>COUNTIF(NHL2025_26Results[Winning Team],Standings!A27)</f>
        <v>22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47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11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0.61111111111111116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3.8235294117647061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2.3888888888888888</v>
      </c>
    </row>
    <row r="28" spans="1:18" x14ac:dyDescent="0.2">
      <c r="A28" s="4" t="s">
        <v>19</v>
      </c>
      <c r="B28">
        <f>SUM(Table1[[#This Row],[W]:[OTL]])</f>
        <v>39</v>
      </c>
      <c r="C28">
        <f>COUNTIF(NHL2025_26Results[Winning Team],Standings!A28)</f>
        <v>18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42</v>
      </c>
      <c r="G28">
        <f>COUNTIFS('NHL2025-26Results'!$D:$D,A28,'NHL2025-26Results'!$G:$G,A28)</f>
        <v>13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0.56521739130434778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3.5217391304347827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40</v>
      </c>
      <c r="C29">
        <f>COUNTIF(NHL2025_26Results[Winning Team],Standings!A29)</f>
        <v>18</v>
      </c>
      <c r="D29">
        <f>COUNTIFS('NHL2025-26Results'!$H:$H,A29,'NHL2025-26Results'!$F:$F,"")</f>
        <v>19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39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0.23529411764705882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2.9333333333333331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3.9411764705882355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37</v>
      </c>
      <c r="C31">
        <f>COUNTIF(NHL2025_26Results[Winning Team],Standings!A31)</f>
        <v>17</v>
      </c>
      <c r="D31">
        <f>COUNTIFS('NHL2025-26Results'!$H:$H,A31,'NHL2025-26Results'!$F:$F,"")</f>
        <v>9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5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0.42105263157894735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3.4210526315789473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3.6111111111111112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39</v>
      </c>
      <c r="C32">
        <f>COUNTIF(NHL2025_26Results[Winning Team],Standings!A32)</f>
        <v>20</v>
      </c>
      <c r="D32">
        <f>COUNTIFS('NHL2025-26Results'!$H:$H,A32,'NHL2025-26Results'!$F:$F,"")</f>
        <v>14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45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7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0.47368421052631576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3.5294117647058822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3.0555555555555554</v>
      </c>
    </row>
    <row r="33" spans="1:18" x14ac:dyDescent="0.2">
      <c r="A33" s="4" t="s">
        <v>40</v>
      </c>
      <c r="B33">
        <f>SUM(Table1[[#This Row],[W]:[OTL]])</f>
        <v>37</v>
      </c>
      <c r="C33">
        <f>COUNTIF(NHL2025_26Results[Winning Team],Standings!A33)</f>
        <v>15</v>
      </c>
      <c r="D33">
        <f>COUNTIFS('NHL2025-26Results'!$H:$H,A33,'NHL2025-26Results'!$F:$F,"")</f>
        <v>18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07"/>
  <sheetViews>
    <sheetView tabSelected="1" topLeftCell="A166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36</v>
      </c>
      <c r="D18" s="19" t="s">
        <v>35</v>
      </c>
      <c r="E18" s="19" t="s">
        <v>36</v>
      </c>
      <c r="F18">
        <v>4</v>
      </c>
      <c r="G18">
        <v>3</v>
      </c>
      <c r="H18">
        <v>0.84889999999999999</v>
      </c>
      <c r="I18" s="19" t="s">
        <v>249</v>
      </c>
      <c r="J18" s="19" t="s">
        <v>36</v>
      </c>
      <c r="K18">
        <v>3</v>
      </c>
      <c r="L18">
        <v>2</v>
      </c>
      <c r="M18">
        <v>0.99</v>
      </c>
      <c r="N18" s="19" t="s">
        <v>35</v>
      </c>
      <c r="O18" s="19" t="s">
        <v>287</v>
      </c>
      <c r="P18" s="19" t="s">
        <v>284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0.79166666666666663</v>
      </c>
      <c r="C19" s="19" t="s">
        <v>37</v>
      </c>
      <c r="D19" s="19" t="s">
        <v>30</v>
      </c>
      <c r="E19" s="19" t="s">
        <v>30</v>
      </c>
      <c r="F19">
        <v>3</v>
      </c>
      <c r="G19">
        <v>4</v>
      </c>
      <c r="H19">
        <v>0.56379999999999997</v>
      </c>
      <c r="I19" s="19" t="s">
        <v>249</v>
      </c>
      <c r="J19" s="19" t="s">
        <v>37</v>
      </c>
      <c r="K19">
        <v>3</v>
      </c>
      <c r="L19">
        <v>2</v>
      </c>
      <c r="M19">
        <v>0.47</v>
      </c>
      <c r="N19" s="19" t="s">
        <v>30</v>
      </c>
      <c r="O19" s="19" t="s">
        <v>285</v>
      </c>
      <c r="P19" s="19" t="s">
        <v>284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32</v>
      </c>
      <c r="D20" s="19" t="s">
        <v>26</v>
      </c>
      <c r="E20" s="19" t="s">
        <v>26</v>
      </c>
      <c r="F20">
        <v>3</v>
      </c>
      <c r="G20">
        <v>4</v>
      </c>
      <c r="H20">
        <v>0.50860000000000005</v>
      </c>
      <c r="I20" s="19" t="s">
        <v>249</v>
      </c>
      <c r="J20" s="19" t="s">
        <v>32</v>
      </c>
      <c r="K20">
        <v>3</v>
      </c>
      <c r="L20">
        <v>2</v>
      </c>
      <c r="M20">
        <v>0.08</v>
      </c>
      <c r="N20" s="19" t="s">
        <v>26</v>
      </c>
      <c r="O20" s="19" t="s">
        <v>291</v>
      </c>
      <c r="P20" s="19" t="s">
        <v>289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0.91666666666666663</v>
      </c>
      <c r="C21" s="19" t="s">
        <v>38</v>
      </c>
      <c r="D21" s="19" t="s">
        <v>34</v>
      </c>
      <c r="E21" s="19" t="s">
        <v>34</v>
      </c>
      <c r="F21">
        <v>3</v>
      </c>
      <c r="G21">
        <v>4</v>
      </c>
      <c r="H21">
        <v>0.78480000000000005</v>
      </c>
      <c r="I21" s="19" t="s">
        <v>249</v>
      </c>
      <c r="J21" s="19" t="s">
        <v>34</v>
      </c>
      <c r="K21">
        <v>3</v>
      </c>
      <c r="L21">
        <v>2</v>
      </c>
      <c r="M21">
        <v>-0.77</v>
      </c>
      <c r="N21" s="19" t="s">
        <v>38</v>
      </c>
      <c r="O21" s="19" t="s">
        <v>289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0.875</v>
      </c>
      <c r="C22" s="19" t="s">
        <v>13</v>
      </c>
      <c r="D22" s="19" t="s">
        <v>10</v>
      </c>
      <c r="E22" s="19" t="s">
        <v>10</v>
      </c>
      <c r="F22">
        <v>2</v>
      </c>
      <c r="G22">
        <v>3</v>
      </c>
      <c r="H22">
        <v>0.7802</v>
      </c>
      <c r="I22" s="19" t="s">
        <v>249</v>
      </c>
      <c r="J22" s="19" t="s">
        <v>10</v>
      </c>
      <c r="K22">
        <v>3</v>
      </c>
      <c r="L22">
        <v>2</v>
      </c>
      <c r="M22">
        <v>-0.17</v>
      </c>
      <c r="N22" s="19" t="s">
        <v>13</v>
      </c>
      <c r="O22" s="19" t="s">
        <v>288</v>
      </c>
      <c r="P22" s="19" t="s">
        <v>285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0.64583333333333337</v>
      </c>
      <c r="C23" s="19" t="s">
        <v>11</v>
      </c>
      <c r="D23" s="19" t="s">
        <v>28</v>
      </c>
      <c r="E23" s="19" t="s">
        <v>11</v>
      </c>
      <c r="F23">
        <v>4</v>
      </c>
      <c r="G23">
        <v>3</v>
      </c>
      <c r="H23">
        <v>0.52759999999999996</v>
      </c>
      <c r="I23" s="19" t="s">
        <v>249</v>
      </c>
      <c r="J23" s="19" t="s">
        <v>28</v>
      </c>
      <c r="K23">
        <v>3</v>
      </c>
      <c r="L23">
        <v>2</v>
      </c>
      <c r="M23">
        <v>-0.02</v>
      </c>
      <c r="N23" s="19" t="s">
        <v>11</v>
      </c>
      <c r="O23" s="19" t="s">
        <v>292</v>
      </c>
      <c r="P23" s="19" t="s">
        <v>288</v>
      </c>
      <c r="Q23" s="19" t="s">
        <v>287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17</v>
      </c>
      <c r="D24" s="19" t="s">
        <v>40</v>
      </c>
      <c r="E24" s="19" t="s">
        <v>17</v>
      </c>
      <c r="F24">
        <v>4</v>
      </c>
      <c r="G24">
        <v>3</v>
      </c>
      <c r="H24">
        <v>0.78990000000000005</v>
      </c>
      <c r="I24" s="19" t="s">
        <v>249</v>
      </c>
      <c r="J24" s="19" t="s">
        <v>40</v>
      </c>
      <c r="K24">
        <v>3</v>
      </c>
      <c r="L24">
        <v>2</v>
      </c>
      <c r="M24">
        <v>-0.33</v>
      </c>
      <c r="N24" s="19" t="s">
        <v>17</v>
      </c>
      <c r="O24" s="19" t="s">
        <v>288</v>
      </c>
      <c r="P24" s="19" t="s">
        <v>284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16</v>
      </c>
      <c r="D25" s="19" t="s">
        <v>55</v>
      </c>
      <c r="E25" s="19" t="s">
        <v>16</v>
      </c>
      <c r="F25">
        <v>2</v>
      </c>
      <c r="G25">
        <v>0</v>
      </c>
      <c r="H25">
        <v>0.56730000000000003</v>
      </c>
      <c r="I25" s="19" t="s">
        <v>249</v>
      </c>
      <c r="J25" s="19" t="s">
        <v>55</v>
      </c>
      <c r="K25">
        <v>3</v>
      </c>
      <c r="L25">
        <v>2</v>
      </c>
      <c r="M25">
        <v>-0.92</v>
      </c>
      <c r="N25" s="19" t="s">
        <v>16</v>
      </c>
      <c r="O25" s="19" t="s">
        <v>284</v>
      </c>
      <c r="P25" s="19" t="s">
        <v>285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25</v>
      </c>
      <c r="D26" s="19" t="s">
        <v>29</v>
      </c>
      <c r="E26" s="19" t="s">
        <v>25</v>
      </c>
      <c r="F26">
        <v>4</v>
      </c>
      <c r="G26">
        <v>2</v>
      </c>
      <c r="H26">
        <v>0.76490000000000002</v>
      </c>
      <c r="I26" s="19" t="s">
        <v>248</v>
      </c>
      <c r="J26" s="19" t="s">
        <v>25</v>
      </c>
      <c r="K26">
        <v>3</v>
      </c>
      <c r="L26">
        <v>2</v>
      </c>
      <c r="M26">
        <v>1.43</v>
      </c>
      <c r="N26" s="19" t="s">
        <v>25</v>
      </c>
      <c r="O26" s="19" t="s">
        <v>288</v>
      </c>
      <c r="P26" s="19" t="s">
        <v>291</v>
      </c>
      <c r="Q26" s="19" t="s">
        <v>285</v>
      </c>
      <c r="R26" s="19" t="s">
        <v>248</v>
      </c>
      <c r="S26" s="19" t="s">
        <v>248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21</v>
      </c>
      <c r="D27" s="19" t="s">
        <v>24</v>
      </c>
      <c r="E27" s="19" t="s">
        <v>21</v>
      </c>
      <c r="F27">
        <v>5</v>
      </c>
      <c r="G27">
        <v>4</v>
      </c>
      <c r="H27">
        <v>0.52739999999999998</v>
      </c>
      <c r="I27" s="19" t="s">
        <v>249</v>
      </c>
      <c r="J27" s="19" t="s">
        <v>21</v>
      </c>
      <c r="K27">
        <v>3</v>
      </c>
      <c r="L27">
        <v>2</v>
      </c>
      <c r="M27">
        <v>7.0000000000000007E-2</v>
      </c>
      <c r="N27" s="19" t="s">
        <v>21</v>
      </c>
      <c r="O27" s="19" t="s">
        <v>289</v>
      </c>
      <c r="P27" s="19" t="s">
        <v>287</v>
      </c>
      <c r="Q27" s="19" t="s">
        <v>285</v>
      </c>
      <c r="R27" s="19" t="s">
        <v>248</v>
      </c>
      <c r="S27" s="19" t="s">
        <v>248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19</v>
      </c>
      <c r="D28" s="19" t="s">
        <v>18</v>
      </c>
      <c r="E28" s="19" t="s">
        <v>19</v>
      </c>
      <c r="F28">
        <v>4</v>
      </c>
      <c r="G28">
        <v>3</v>
      </c>
      <c r="H28">
        <v>0.60129999999999995</v>
      </c>
      <c r="I28" s="19" t="s">
        <v>249</v>
      </c>
      <c r="J28" s="19" t="s">
        <v>19</v>
      </c>
      <c r="K28">
        <v>3</v>
      </c>
      <c r="L28">
        <v>2</v>
      </c>
      <c r="M28">
        <v>0.33</v>
      </c>
      <c r="N28" s="19" t="s">
        <v>18</v>
      </c>
      <c r="O28" s="19" t="s">
        <v>287</v>
      </c>
      <c r="P28" s="19" t="s">
        <v>284</v>
      </c>
      <c r="Q28" s="19" t="s">
        <v>287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11</v>
      </c>
      <c r="D31" s="19" t="s">
        <v>30</v>
      </c>
      <c r="E31" s="19" t="s">
        <v>30</v>
      </c>
      <c r="F31">
        <v>2</v>
      </c>
      <c r="G31">
        <v>3</v>
      </c>
      <c r="H31">
        <v>0.82069999999999999</v>
      </c>
      <c r="I31" s="19" t="s">
        <v>249</v>
      </c>
      <c r="J31" s="19" t="s">
        <v>30</v>
      </c>
      <c r="K31">
        <v>3</v>
      </c>
      <c r="L31">
        <v>2</v>
      </c>
      <c r="M31">
        <v>-0.56999999999999995</v>
      </c>
      <c r="N31" s="19" t="s">
        <v>11</v>
      </c>
      <c r="O31" s="19" t="s">
        <v>289</v>
      </c>
      <c r="P31" s="19" t="s">
        <v>287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18</v>
      </c>
      <c r="D32" s="19" t="s">
        <v>35</v>
      </c>
      <c r="E32" s="19" t="s">
        <v>18</v>
      </c>
      <c r="F32">
        <v>5</v>
      </c>
      <c r="G32">
        <v>3</v>
      </c>
      <c r="H32">
        <v>0.9365</v>
      </c>
      <c r="I32" s="19" t="s">
        <v>249</v>
      </c>
      <c r="J32" s="19" t="s">
        <v>18</v>
      </c>
      <c r="K32">
        <v>3</v>
      </c>
      <c r="L32">
        <v>2</v>
      </c>
      <c r="M32">
        <v>0.85</v>
      </c>
      <c r="N32" s="19" t="s">
        <v>35</v>
      </c>
      <c r="O32" s="19" t="s">
        <v>291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25</v>
      </c>
      <c r="D34" s="19" t="s">
        <v>33</v>
      </c>
      <c r="E34" s="19" t="s">
        <v>25</v>
      </c>
      <c r="F34">
        <v>4</v>
      </c>
      <c r="G34">
        <v>3</v>
      </c>
      <c r="H34">
        <v>0.6341</v>
      </c>
      <c r="I34" s="19" t="s">
        <v>249</v>
      </c>
      <c r="J34" s="19" t="s">
        <v>25</v>
      </c>
      <c r="K34">
        <v>3</v>
      </c>
      <c r="L34">
        <v>2</v>
      </c>
      <c r="M34">
        <v>1.1000000000000001</v>
      </c>
      <c r="N34" s="19" t="s">
        <v>33</v>
      </c>
      <c r="O34" s="19" t="s">
        <v>287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0.83333333333333337</v>
      </c>
      <c r="C35" s="19" t="s">
        <v>31</v>
      </c>
      <c r="D35" s="19" t="s">
        <v>10</v>
      </c>
      <c r="E35" s="19" t="s">
        <v>31</v>
      </c>
      <c r="F35">
        <v>5</v>
      </c>
      <c r="G35">
        <v>4</v>
      </c>
      <c r="H35">
        <v>0.68179999999999996</v>
      </c>
      <c r="I35" s="19" t="s">
        <v>249</v>
      </c>
      <c r="J35" s="19" t="s">
        <v>31</v>
      </c>
      <c r="K35">
        <v>3</v>
      </c>
      <c r="L35">
        <v>2</v>
      </c>
      <c r="M35">
        <v>0.42</v>
      </c>
      <c r="N35" s="19" t="s">
        <v>31</v>
      </c>
      <c r="O35" s="19" t="s">
        <v>292</v>
      </c>
      <c r="P35" s="19" t="s">
        <v>287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0.54166666666666663</v>
      </c>
      <c r="C36" s="19" t="s">
        <v>27</v>
      </c>
      <c r="D36" s="19" t="s">
        <v>12</v>
      </c>
      <c r="E36" s="19" t="s">
        <v>27</v>
      </c>
      <c r="F36">
        <v>4</v>
      </c>
      <c r="G36">
        <v>3</v>
      </c>
      <c r="H36">
        <v>0.57799999999999996</v>
      </c>
      <c r="I36" s="19" t="s">
        <v>248</v>
      </c>
      <c r="J36" s="19" t="s">
        <v>12</v>
      </c>
      <c r="K36">
        <v>3</v>
      </c>
      <c r="L36">
        <v>2</v>
      </c>
      <c r="M36">
        <v>-1.6</v>
      </c>
      <c r="N36" s="19" t="s">
        <v>12</v>
      </c>
      <c r="O36" s="19" t="s">
        <v>284</v>
      </c>
      <c r="P36" s="19" t="s">
        <v>291</v>
      </c>
      <c r="Q36" s="19" t="s">
        <v>285</v>
      </c>
      <c r="R36" s="19" t="s">
        <v>249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27</v>
      </c>
      <c r="D42" s="19" t="s">
        <v>33</v>
      </c>
      <c r="E42" s="19" t="s">
        <v>27</v>
      </c>
      <c r="F42">
        <v>4</v>
      </c>
      <c r="G42">
        <v>3</v>
      </c>
      <c r="H42">
        <v>0.60860000000000003</v>
      </c>
      <c r="I42" s="19" t="s">
        <v>249</v>
      </c>
      <c r="J42" s="19" t="s">
        <v>27</v>
      </c>
      <c r="K42">
        <v>3</v>
      </c>
      <c r="L42">
        <v>2</v>
      </c>
      <c r="M42">
        <v>0.41</v>
      </c>
      <c r="N42" s="19" t="s">
        <v>27</v>
      </c>
      <c r="O42" s="19" t="s">
        <v>289</v>
      </c>
      <c r="P42" s="19" t="s">
        <v>287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18</v>
      </c>
      <c r="D43" s="19" t="s">
        <v>37</v>
      </c>
      <c r="E43" s="19" t="s">
        <v>37</v>
      </c>
      <c r="F43">
        <v>3</v>
      </c>
      <c r="G43">
        <v>4</v>
      </c>
      <c r="H43">
        <v>0.62790000000000001</v>
      </c>
      <c r="I43" s="19" t="s">
        <v>249</v>
      </c>
      <c r="J43" s="19" t="s">
        <v>37</v>
      </c>
      <c r="K43">
        <v>3</v>
      </c>
      <c r="L43">
        <v>2</v>
      </c>
      <c r="M43">
        <v>-0.82</v>
      </c>
      <c r="N43" s="19" t="s">
        <v>37</v>
      </c>
      <c r="O43" s="19" t="s">
        <v>287</v>
      </c>
      <c r="P43" s="19" t="s">
        <v>288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30</v>
      </c>
      <c r="D44" s="19" t="s">
        <v>20</v>
      </c>
      <c r="E44" s="19" t="s">
        <v>20</v>
      </c>
      <c r="F44">
        <v>2</v>
      </c>
      <c r="G44">
        <v>3</v>
      </c>
      <c r="H44">
        <v>0.55740000000000001</v>
      </c>
      <c r="I44" s="19" t="s">
        <v>248</v>
      </c>
      <c r="J44" s="19" t="s">
        <v>30</v>
      </c>
      <c r="K44">
        <v>3</v>
      </c>
      <c r="L44">
        <v>2</v>
      </c>
      <c r="M44">
        <v>0.15</v>
      </c>
      <c r="N44" s="19" t="s">
        <v>30</v>
      </c>
      <c r="O44" s="19" t="s">
        <v>283</v>
      </c>
      <c r="P44" s="19" t="s">
        <v>289</v>
      </c>
      <c r="Q44" s="19" t="s">
        <v>287</v>
      </c>
      <c r="R44" s="19" t="s">
        <v>249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0.8125</v>
      </c>
      <c r="C47" s="19" t="s">
        <v>25</v>
      </c>
      <c r="D47" s="19" t="s">
        <v>28</v>
      </c>
      <c r="E47" s="19" t="s">
        <v>28</v>
      </c>
      <c r="F47">
        <v>3</v>
      </c>
      <c r="G47">
        <v>4</v>
      </c>
      <c r="H47">
        <v>0.65369999999999995</v>
      </c>
      <c r="I47" s="19" t="s">
        <v>249</v>
      </c>
      <c r="J47" s="19" t="s">
        <v>25</v>
      </c>
      <c r="K47">
        <v>3</v>
      </c>
      <c r="L47">
        <v>2</v>
      </c>
      <c r="M47">
        <v>0.82</v>
      </c>
      <c r="N47" s="19" t="s">
        <v>25</v>
      </c>
      <c r="O47" s="19" t="s">
        <v>289</v>
      </c>
      <c r="P47" s="19" t="s">
        <v>287</v>
      </c>
      <c r="Q47" s="19" t="s">
        <v>285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35</v>
      </c>
      <c r="D48" s="19" t="s">
        <v>21</v>
      </c>
      <c r="E48" s="19" t="s">
        <v>21</v>
      </c>
      <c r="F48">
        <v>3</v>
      </c>
      <c r="G48">
        <v>4</v>
      </c>
      <c r="H48">
        <v>0.73719999999999997</v>
      </c>
      <c r="I48" s="19" t="s">
        <v>249</v>
      </c>
      <c r="J48" s="19" t="s">
        <v>21</v>
      </c>
      <c r="K48">
        <v>3</v>
      </c>
      <c r="L48">
        <v>2</v>
      </c>
      <c r="M48">
        <v>-1.08</v>
      </c>
      <c r="N48" s="19" t="s">
        <v>21</v>
      </c>
      <c r="O48" s="19" t="s">
        <v>284</v>
      </c>
      <c r="P48" s="19" t="s">
        <v>283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0.83333333333333337</v>
      </c>
      <c r="C49" s="19" t="s">
        <v>40</v>
      </c>
      <c r="D49" s="19" t="s">
        <v>39</v>
      </c>
      <c r="E49" s="19" t="s">
        <v>39</v>
      </c>
      <c r="F49">
        <v>4</v>
      </c>
      <c r="G49">
        <v>5</v>
      </c>
      <c r="H49">
        <v>0.66220000000000001</v>
      </c>
      <c r="I49" s="19" t="s">
        <v>249</v>
      </c>
      <c r="J49" s="19" t="s">
        <v>39</v>
      </c>
      <c r="K49">
        <v>3</v>
      </c>
      <c r="L49">
        <v>2</v>
      </c>
      <c r="M49">
        <v>-0.87</v>
      </c>
      <c r="N49" s="19" t="s">
        <v>39</v>
      </c>
      <c r="O49" s="19" t="s">
        <v>291</v>
      </c>
      <c r="P49" s="19" t="s">
        <v>289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0.89583333333333337</v>
      </c>
      <c r="C50" s="19" t="s">
        <v>29</v>
      </c>
      <c r="D50" s="19" t="s">
        <v>12</v>
      </c>
      <c r="E50" s="19" t="s">
        <v>12</v>
      </c>
      <c r="F50">
        <v>1</v>
      </c>
      <c r="G50">
        <v>3</v>
      </c>
      <c r="H50">
        <v>0.93230000000000002</v>
      </c>
      <c r="I50" s="19" t="s">
        <v>249</v>
      </c>
      <c r="J50" s="19" t="s">
        <v>12</v>
      </c>
      <c r="K50">
        <v>3</v>
      </c>
      <c r="L50">
        <v>2</v>
      </c>
      <c r="M50">
        <v>-2.48</v>
      </c>
      <c r="N50" s="19" t="s">
        <v>29</v>
      </c>
      <c r="O50" s="19" t="s">
        <v>289</v>
      </c>
      <c r="P50" s="19" t="s">
        <v>291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0.875</v>
      </c>
      <c r="C56" s="19" t="s">
        <v>17</v>
      </c>
      <c r="D56" s="19" t="s">
        <v>26</v>
      </c>
      <c r="E56" s="19" t="s">
        <v>26</v>
      </c>
      <c r="F56">
        <v>3</v>
      </c>
      <c r="G56">
        <v>4</v>
      </c>
      <c r="H56">
        <v>0.69140000000000001</v>
      </c>
      <c r="I56" s="19" t="s">
        <v>249</v>
      </c>
      <c r="J56" s="19" t="s">
        <v>17</v>
      </c>
      <c r="K56">
        <v>3</v>
      </c>
      <c r="L56">
        <v>2</v>
      </c>
      <c r="M56">
        <v>0.14000000000000001</v>
      </c>
      <c r="N56" s="19" t="s">
        <v>17</v>
      </c>
      <c r="O56" s="19" t="s">
        <v>289</v>
      </c>
      <c r="P56" s="19" t="s">
        <v>287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19</v>
      </c>
      <c r="D57" s="19" t="s">
        <v>33</v>
      </c>
      <c r="E57" s="19" t="s">
        <v>19</v>
      </c>
      <c r="F57">
        <v>5</v>
      </c>
      <c r="G57">
        <v>4</v>
      </c>
      <c r="H57">
        <v>0.66810000000000003</v>
      </c>
      <c r="I57" s="19" t="s">
        <v>249</v>
      </c>
      <c r="J57" s="19" t="s">
        <v>19</v>
      </c>
      <c r="K57">
        <v>3</v>
      </c>
      <c r="L57">
        <v>2</v>
      </c>
      <c r="M57">
        <v>0.46</v>
      </c>
      <c r="N57" s="19" t="s">
        <v>33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27</v>
      </c>
      <c r="D58" s="19" t="s">
        <v>20</v>
      </c>
      <c r="E58" s="19" t="s">
        <v>27</v>
      </c>
      <c r="F58">
        <v>4</v>
      </c>
      <c r="G58">
        <v>3</v>
      </c>
      <c r="H58">
        <v>0.58589999999999998</v>
      </c>
      <c r="I58" s="19" t="s">
        <v>249</v>
      </c>
      <c r="J58" s="19" t="s">
        <v>27</v>
      </c>
      <c r="K58">
        <v>3</v>
      </c>
      <c r="L58">
        <v>2</v>
      </c>
      <c r="M58">
        <v>0.05</v>
      </c>
      <c r="N58" s="19" t="s">
        <v>20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30</v>
      </c>
      <c r="D59" s="19" t="s">
        <v>31</v>
      </c>
      <c r="E59" s="19" t="s">
        <v>30</v>
      </c>
      <c r="F59">
        <v>6</v>
      </c>
      <c r="G59">
        <v>3</v>
      </c>
      <c r="H59">
        <v>0.52490000000000003</v>
      </c>
      <c r="I59" s="19" t="s">
        <v>249</v>
      </c>
      <c r="J59" s="19" t="s">
        <v>31</v>
      </c>
      <c r="K59">
        <v>3</v>
      </c>
      <c r="L59">
        <v>2</v>
      </c>
      <c r="M59">
        <v>-7.0000000000000007E-2</v>
      </c>
      <c r="N59" s="19" t="s">
        <v>30</v>
      </c>
      <c r="O59" s="19" t="s">
        <v>283</v>
      </c>
      <c r="P59" s="19" t="s">
        <v>284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24</v>
      </c>
      <c r="D60" s="19" t="s">
        <v>37</v>
      </c>
      <c r="E60" s="19" t="s">
        <v>37</v>
      </c>
      <c r="F60">
        <v>2</v>
      </c>
      <c r="G60">
        <v>3</v>
      </c>
      <c r="H60">
        <v>0.68110000000000004</v>
      </c>
      <c r="I60" s="19" t="s">
        <v>249</v>
      </c>
      <c r="J60" s="19" t="s">
        <v>37</v>
      </c>
      <c r="K60">
        <v>3</v>
      </c>
      <c r="L60">
        <v>2</v>
      </c>
      <c r="M60">
        <v>-0.61</v>
      </c>
      <c r="N60" s="19" t="s">
        <v>37</v>
      </c>
      <c r="O60" s="19" t="s">
        <v>289</v>
      </c>
      <c r="P60" s="19" t="s">
        <v>1714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0.91666666666666663</v>
      </c>
      <c r="C61" s="19" t="s">
        <v>38</v>
      </c>
      <c r="D61" s="19" t="s">
        <v>23</v>
      </c>
      <c r="E61" s="19" t="s">
        <v>23</v>
      </c>
      <c r="F61">
        <v>3</v>
      </c>
      <c r="G61">
        <v>4</v>
      </c>
      <c r="H61">
        <v>0.61160000000000003</v>
      </c>
      <c r="I61" s="19" t="s">
        <v>249</v>
      </c>
      <c r="J61" s="19" t="s">
        <v>23</v>
      </c>
      <c r="K61">
        <v>3</v>
      </c>
      <c r="L61">
        <v>2</v>
      </c>
      <c r="M61">
        <v>-0.23</v>
      </c>
      <c r="N61" s="19" t="s">
        <v>23</v>
      </c>
      <c r="O61" s="19" t="s">
        <v>284</v>
      </c>
      <c r="P61" s="19" t="s">
        <v>291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40</v>
      </c>
      <c r="D62" s="19" t="s">
        <v>21</v>
      </c>
      <c r="E62" s="19" t="s">
        <v>40</v>
      </c>
      <c r="F62">
        <v>3</v>
      </c>
      <c r="G62">
        <v>2</v>
      </c>
      <c r="H62">
        <v>0.61360000000000003</v>
      </c>
      <c r="I62" s="19" t="s">
        <v>249</v>
      </c>
      <c r="J62" s="19" t="s">
        <v>21</v>
      </c>
      <c r="K62">
        <v>3</v>
      </c>
      <c r="L62">
        <v>2</v>
      </c>
      <c r="M62">
        <v>-0.28000000000000003</v>
      </c>
      <c r="N62" s="19" t="s">
        <v>21</v>
      </c>
      <c r="O62" s="19" t="s">
        <v>291</v>
      </c>
      <c r="P62" s="19" t="s">
        <v>288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22</v>
      </c>
      <c r="D63" s="19" t="s">
        <v>25</v>
      </c>
      <c r="E63" s="19" t="s">
        <v>25</v>
      </c>
      <c r="F63">
        <v>3</v>
      </c>
      <c r="G63">
        <v>4</v>
      </c>
      <c r="H63">
        <v>0.52529999999999999</v>
      </c>
      <c r="I63" s="19" t="s">
        <v>249</v>
      </c>
      <c r="J63" s="19" t="s">
        <v>22</v>
      </c>
      <c r="K63">
        <v>3</v>
      </c>
      <c r="L63">
        <v>2</v>
      </c>
      <c r="M63">
        <v>0.48</v>
      </c>
      <c r="N63" s="19" t="s">
        <v>25</v>
      </c>
      <c r="O63" s="19" t="s">
        <v>284</v>
      </c>
      <c r="P63" s="19" t="s">
        <v>291</v>
      </c>
      <c r="Q63" s="19" t="s">
        <v>287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28</v>
      </c>
      <c r="D64" s="19" t="s">
        <v>36</v>
      </c>
      <c r="E64" s="19" t="s">
        <v>28</v>
      </c>
      <c r="F64">
        <v>4</v>
      </c>
      <c r="G64">
        <v>3</v>
      </c>
      <c r="H64">
        <v>0.55700000000000005</v>
      </c>
      <c r="I64" s="19" t="s">
        <v>249</v>
      </c>
      <c r="J64" s="19" t="s">
        <v>36</v>
      </c>
      <c r="K64">
        <v>3</v>
      </c>
      <c r="L64">
        <v>2</v>
      </c>
      <c r="M64">
        <v>-0.03</v>
      </c>
      <c r="N64" s="19" t="s">
        <v>36</v>
      </c>
      <c r="O64" s="19" t="s">
        <v>291</v>
      </c>
      <c r="P64" s="19" t="s">
        <v>288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34</v>
      </c>
      <c r="D65" s="19" t="s">
        <v>39</v>
      </c>
      <c r="E65" s="19" t="s">
        <v>34</v>
      </c>
      <c r="F65">
        <v>3</v>
      </c>
      <c r="G65">
        <v>2</v>
      </c>
      <c r="H65">
        <v>0.73089999999999999</v>
      </c>
      <c r="I65" s="19" t="s">
        <v>248</v>
      </c>
      <c r="J65" s="19" t="s">
        <v>39</v>
      </c>
      <c r="K65">
        <v>3</v>
      </c>
      <c r="L65">
        <v>2</v>
      </c>
      <c r="M65">
        <v>-0.66</v>
      </c>
      <c r="N65" s="19" t="s">
        <v>34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14</v>
      </c>
      <c r="D66" s="19" t="s">
        <v>18</v>
      </c>
      <c r="E66" s="19" t="s">
        <v>18</v>
      </c>
      <c r="F66">
        <v>3</v>
      </c>
      <c r="G66">
        <v>4</v>
      </c>
      <c r="H66">
        <v>0.73029999999999995</v>
      </c>
      <c r="I66" s="19" t="s">
        <v>249</v>
      </c>
      <c r="J66" s="19" t="s">
        <v>14</v>
      </c>
      <c r="K66">
        <v>3</v>
      </c>
      <c r="L66">
        <v>2</v>
      </c>
      <c r="M66">
        <v>0.77</v>
      </c>
      <c r="N66" s="19" t="s">
        <v>18</v>
      </c>
      <c r="O66" s="19" t="s">
        <v>284</v>
      </c>
      <c r="P66" s="19" t="s">
        <v>289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0.83333333333333337</v>
      </c>
      <c r="C67" s="19" t="s">
        <v>29</v>
      </c>
      <c r="D67" s="19" t="s">
        <v>35</v>
      </c>
      <c r="E67" s="19" t="s">
        <v>35</v>
      </c>
      <c r="F67">
        <v>2</v>
      </c>
      <c r="G67">
        <v>3</v>
      </c>
      <c r="H67">
        <v>0.59950000000000003</v>
      </c>
      <c r="I67" s="19" t="s">
        <v>249</v>
      </c>
      <c r="J67" s="19" t="s">
        <v>29</v>
      </c>
      <c r="K67">
        <v>3</v>
      </c>
      <c r="L67">
        <v>2</v>
      </c>
      <c r="M67">
        <v>0.34</v>
      </c>
      <c r="N67" s="19" t="s">
        <v>29</v>
      </c>
      <c r="O67" s="19" t="s">
        <v>292</v>
      </c>
      <c r="P67" s="19" t="s">
        <v>284</v>
      </c>
      <c r="Q67" s="19" t="s">
        <v>285</v>
      </c>
      <c r="R67" s="19" t="s">
        <v>249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12</v>
      </c>
      <c r="D68" s="19" t="s">
        <v>11</v>
      </c>
      <c r="E68" s="19" t="s">
        <v>12</v>
      </c>
      <c r="F68">
        <v>4</v>
      </c>
      <c r="G68">
        <v>1</v>
      </c>
      <c r="H68">
        <v>0.94750000000000001</v>
      </c>
      <c r="I68" s="19" t="s">
        <v>249</v>
      </c>
      <c r="J68" s="19" t="s">
        <v>12</v>
      </c>
      <c r="K68">
        <v>3</v>
      </c>
      <c r="L68">
        <v>2</v>
      </c>
      <c r="M68">
        <v>1.69</v>
      </c>
      <c r="N68" s="19" t="s">
        <v>12</v>
      </c>
      <c r="O68" s="19" t="s">
        <v>288</v>
      </c>
      <c r="P68" s="19" t="s">
        <v>284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19</v>
      </c>
      <c r="D71" s="19" t="s">
        <v>17</v>
      </c>
      <c r="E71" s="19" t="s">
        <v>19</v>
      </c>
      <c r="F71">
        <v>4</v>
      </c>
      <c r="G71">
        <v>3</v>
      </c>
      <c r="H71">
        <v>0.55420000000000003</v>
      </c>
      <c r="I71" s="19" t="s">
        <v>249</v>
      </c>
      <c r="J71" s="19" t="s">
        <v>19</v>
      </c>
      <c r="K71">
        <v>3</v>
      </c>
      <c r="L71">
        <v>2</v>
      </c>
      <c r="M71">
        <v>0.22</v>
      </c>
      <c r="N71" s="19" t="s">
        <v>17</v>
      </c>
      <c r="O71" s="19" t="s">
        <v>291</v>
      </c>
      <c r="P71" s="19" t="s">
        <v>288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0.625</v>
      </c>
      <c r="C72" s="19" t="s">
        <v>14</v>
      </c>
      <c r="D72" s="19" t="s">
        <v>33</v>
      </c>
      <c r="E72" s="19" t="s">
        <v>33</v>
      </c>
      <c r="F72">
        <v>3</v>
      </c>
      <c r="G72">
        <v>4</v>
      </c>
      <c r="H72">
        <v>0.5595</v>
      </c>
      <c r="I72" s="19" t="s">
        <v>249</v>
      </c>
      <c r="J72" s="19" t="s">
        <v>14</v>
      </c>
      <c r="K72">
        <v>3</v>
      </c>
      <c r="L72">
        <v>2</v>
      </c>
      <c r="M72">
        <v>0.51</v>
      </c>
      <c r="N72" s="19" t="s">
        <v>33</v>
      </c>
      <c r="O72" s="19" t="s">
        <v>283</v>
      </c>
      <c r="P72" s="19" t="s">
        <v>288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0.52083333333333337</v>
      </c>
      <c r="C73" s="19" t="s">
        <v>24</v>
      </c>
      <c r="D73" s="19" t="s">
        <v>31</v>
      </c>
      <c r="E73" s="19" t="s">
        <v>31</v>
      </c>
      <c r="F73">
        <v>3</v>
      </c>
      <c r="G73">
        <v>4</v>
      </c>
      <c r="H73">
        <v>0.55169999999999997</v>
      </c>
      <c r="I73" s="19" t="s">
        <v>249</v>
      </c>
      <c r="J73" s="19" t="s">
        <v>31</v>
      </c>
      <c r="K73">
        <v>3</v>
      </c>
      <c r="L73">
        <v>2</v>
      </c>
      <c r="M73">
        <v>-0.35</v>
      </c>
      <c r="N73" s="19" t="s">
        <v>24</v>
      </c>
      <c r="O73" s="19" t="s">
        <v>289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0.83333333333333337</v>
      </c>
      <c r="C74" s="19" t="s">
        <v>39</v>
      </c>
      <c r="D74" s="19" t="s">
        <v>11</v>
      </c>
      <c r="E74" s="19" t="s">
        <v>39</v>
      </c>
      <c r="F74">
        <v>4</v>
      </c>
      <c r="G74">
        <v>3</v>
      </c>
      <c r="H74">
        <v>0.54620000000000002</v>
      </c>
      <c r="I74" s="19" t="s">
        <v>249</v>
      </c>
      <c r="J74" s="19" t="s">
        <v>39</v>
      </c>
      <c r="K74">
        <v>3</v>
      </c>
      <c r="L74">
        <v>2</v>
      </c>
      <c r="M74">
        <v>0.95</v>
      </c>
      <c r="N74" s="19" t="s">
        <v>11</v>
      </c>
      <c r="O74" s="19" t="s">
        <v>285</v>
      </c>
      <c r="P74" s="19" t="s">
        <v>289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0.91666666666666663</v>
      </c>
      <c r="C75" s="19" t="s">
        <v>13</v>
      </c>
      <c r="D75" s="19" t="s">
        <v>16</v>
      </c>
      <c r="E75" s="19" t="s">
        <v>13</v>
      </c>
      <c r="F75">
        <v>3</v>
      </c>
      <c r="G75">
        <v>1</v>
      </c>
      <c r="H75">
        <v>0.80530000000000002</v>
      </c>
      <c r="I75" s="19" t="s">
        <v>249</v>
      </c>
      <c r="J75" s="19" t="s">
        <v>13</v>
      </c>
      <c r="K75">
        <v>3</v>
      </c>
      <c r="L75">
        <v>2</v>
      </c>
      <c r="M75">
        <v>0.77</v>
      </c>
      <c r="N75" s="19" t="s">
        <v>16</v>
      </c>
      <c r="O75" s="19" t="s">
        <v>287</v>
      </c>
      <c r="P75" s="19" t="s">
        <v>284</v>
      </c>
      <c r="Q75" s="19" t="s">
        <v>287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0.83333333333333337</v>
      </c>
      <c r="C77" s="19" t="s">
        <v>10</v>
      </c>
      <c r="D77" s="19" t="s">
        <v>26</v>
      </c>
      <c r="E77" s="19" t="s">
        <v>26</v>
      </c>
      <c r="F77">
        <v>3</v>
      </c>
      <c r="G77">
        <v>4</v>
      </c>
      <c r="H77">
        <v>0.53810000000000002</v>
      </c>
      <c r="I77" s="19" t="s">
        <v>248</v>
      </c>
      <c r="J77" s="19" t="s">
        <v>10</v>
      </c>
      <c r="K77">
        <v>3</v>
      </c>
      <c r="L77">
        <v>2</v>
      </c>
      <c r="M77">
        <v>0.28000000000000003</v>
      </c>
      <c r="N77" s="19" t="s">
        <v>26</v>
      </c>
      <c r="O77" s="19" t="s">
        <v>285</v>
      </c>
      <c r="P77" s="19" t="s">
        <v>289</v>
      </c>
      <c r="Q77" s="19" t="s">
        <v>285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15</v>
      </c>
      <c r="D78" s="19" t="s">
        <v>18</v>
      </c>
      <c r="E78" s="19" t="s">
        <v>18</v>
      </c>
      <c r="F78">
        <v>1</v>
      </c>
      <c r="G78">
        <v>3</v>
      </c>
      <c r="H78">
        <v>0.72430000000000005</v>
      </c>
      <c r="I78" s="19" t="s">
        <v>249</v>
      </c>
      <c r="J78" s="19" t="s">
        <v>15</v>
      </c>
      <c r="K78">
        <v>3</v>
      </c>
      <c r="L78">
        <v>2</v>
      </c>
      <c r="M78">
        <v>0.53</v>
      </c>
      <c r="N78" s="19" t="s">
        <v>15</v>
      </c>
      <c r="O78" s="19" t="s">
        <v>283</v>
      </c>
      <c r="P78" s="19" t="s">
        <v>289</v>
      </c>
      <c r="Q78" s="19" t="s">
        <v>287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27</v>
      </c>
      <c r="D79" s="19" t="s">
        <v>25</v>
      </c>
      <c r="E79" s="19" t="s">
        <v>25</v>
      </c>
      <c r="F79">
        <v>2</v>
      </c>
      <c r="G79">
        <v>3</v>
      </c>
      <c r="H79">
        <v>0.73609999999999998</v>
      </c>
      <c r="I79" s="19" t="s">
        <v>249</v>
      </c>
      <c r="J79" s="19" t="s">
        <v>25</v>
      </c>
      <c r="K79">
        <v>3</v>
      </c>
      <c r="L79">
        <v>2</v>
      </c>
      <c r="M79">
        <v>-0.39</v>
      </c>
      <c r="N79" s="19" t="s">
        <v>25</v>
      </c>
      <c r="O79" s="19" t="s">
        <v>291</v>
      </c>
      <c r="P79" s="19" t="s">
        <v>289</v>
      </c>
      <c r="Q79" s="19" t="s">
        <v>287</v>
      </c>
      <c r="R79" s="19" t="s">
        <v>248</v>
      </c>
      <c r="S79" s="19" t="s">
        <v>248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28</v>
      </c>
      <c r="D80" s="19" t="s">
        <v>20</v>
      </c>
      <c r="E80" s="19" t="s">
        <v>20</v>
      </c>
      <c r="F80">
        <v>3</v>
      </c>
      <c r="G80">
        <v>4</v>
      </c>
      <c r="H80">
        <v>0.65100000000000002</v>
      </c>
      <c r="I80" s="19" t="s">
        <v>248</v>
      </c>
      <c r="J80" s="19" t="s">
        <v>20</v>
      </c>
      <c r="K80">
        <v>3</v>
      </c>
      <c r="L80">
        <v>2</v>
      </c>
      <c r="M80">
        <v>-0.59</v>
      </c>
      <c r="N80" s="19" t="s">
        <v>20</v>
      </c>
      <c r="O80" s="19" t="s">
        <v>284</v>
      </c>
      <c r="P80" s="19" t="s">
        <v>291</v>
      </c>
      <c r="Q80" s="19" t="s">
        <v>285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0.64583333333333337</v>
      </c>
      <c r="C82" s="19" t="s">
        <v>30</v>
      </c>
      <c r="D82" s="19" t="s">
        <v>37</v>
      </c>
      <c r="E82" s="19" t="s">
        <v>30</v>
      </c>
      <c r="F82">
        <v>3</v>
      </c>
      <c r="G82">
        <v>2</v>
      </c>
      <c r="H82">
        <v>0.72950000000000004</v>
      </c>
      <c r="I82" s="19" t="s">
        <v>249</v>
      </c>
      <c r="J82" s="19" t="s">
        <v>37</v>
      </c>
      <c r="K82">
        <v>3</v>
      </c>
      <c r="L82">
        <v>2</v>
      </c>
      <c r="M82">
        <v>-0.31</v>
      </c>
      <c r="N82" s="19" t="s">
        <v>30</v>
      </c>
      <c r="O82" s="19" t="s">
        <v>291</v>
      </c>
      <c r="P82" s="19" t="s">
        <v>284</v>
      </c>
      <c r="Q82" s="19" t="s">
        <v>287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0.58333333333333337</v>
      </c>
      <c r="C83" s="19" t="s">
        <v>34</v>
      </c>
      <c r="D83" s="19" t="s">
        <v>36</v>
      </c>
      <c r="E83" s="19" t="s">
        <v>36</v>
      </c>
      <c r="F83">
        <v>3</v>
      </c>
      <c r="G83">
        <v>4</v>
      </c>
      <c r="H83">
        <v>0.67749999999999999</v>
      </c>
      <c r="I83" s="19" t="s">
        <v>248</v>
      </c>
      <c r="J83" s="19" t="s">
        <v>34</v>
      </c>
      <c r="K83">
        <v>3</v>
      </c>
      <c r="L83">
        <v>2</v>
      </c>
      <c r="M83">
        <v>0.41</v>
      </c>
      <c r="N83" s="19" t="s">
        <v>34</v>
      </c>
      <c r="O83" s="19" t="s">
        <v>291</v>
      </c>
      <c r="P83" s="19" t="s">
        <v>284</v>
      </c>
      <c r="Q83" s="19" t="s">
        <v>285</v>
      </c>
      <c r="R83" s="19" t="s">
        <v>249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0.625</v>
      </c>
      <c r="C84" s="19" t="s">
        <v>14</v>
      </c>
      <c r="D84" s="19" t="s">
        <v>55</v>
      </c>
      <c r="E84" s="19" t="s">
        <v>14</v>
      </c>
      <c r="F84">
        <v>4</v>
      </c>
      <c r="G84">
        <v>3</v>
      </c>
      <c r="H84">
        <v>0.66879999999999995</v>
      </c>
      <c r="I84" s="19" t="s">
        <v>249</v>
      </c>
      <c r="J84" s="19" t="s">
        <v>14</v>
      </c>
      <c r="K84">
        <v>3</v>
      </c>
      <c r="L84">
        <v>2</v>
      </c>
      <c r="M84">
        <v>0.05</v>
      </c>
      <c r="N84" s="19" t="s">
        <v>55</v>
      </c>
      <c r="O84" s="19" t="s">
        <v>289</v>
      </c>
      <c r="P84" s="19" t="s">
        <v>283</v>
      </c>
      <c r="Q84" s="19" t="s">
        <v>287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33</v>
      </c>
      <c r="D95" s="19" t="s">
        <v>16</v>
      </c>
      <c r="E95" s="19" t="s">
        <v>33</v>
      </c>
      <c r="F95">
        <v>4</v>
      </c>
      <c r="G95">
        <v>2</v>
      </c>
      <c r="H95">
        <v>0.70199999999999996</v>
      </c>
      <c r="I95" s="19" t="s">
        <v>249</v>
      </c>
      <c r="J95" s="19" t="s">
        <v>33</v>
      </c>
      <c r="K95">
        <v>3</v>
      </c>
      <c r="L95">
        <v>2</v>
      </c>
      <c r="M95">
        <v>0.32</v>
      </c>
      <c r="N95" s="19" t="s">
        <v>33</v>
      </c>
      <c r="O95" s="19" t="s">
        <v>288</v>
      </c>
      <c r="P95" s="19" t="s">
        <v>291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19</v>
      </c>
      <c r="D96" s="19" t="s">
        <v>10</v>
      </c>
      <c r="E96" s="19" t="s">
        <v>19</v>
      </c>
      <c r="F96">
        <v>4</v>
      </c>
      <c r="G96">
        <v>3</v>
      </c>
      <c r="H96">
        <v>0.54720000000000002</v>
      </c>
      <c r="I96" s="19" t="s">
        <v>248</v>
      </c>
      <c r="J96" s="19" t="s">
        <v>19</v>
      </c>
      <c r="K96">
        <v>3</v>
      </c>
      <c r="L96">
        <v>2</v>
      </c>
      <c r="M96">
        <v>0.32</v>
      </c>
      <c r="N96" s="19" t="s">
        <v>19</v>
      </c>
      <c r="O96" s="19" t="s">
        <v>291</v>
      </c>
      <c r="P96" s="19" t="s">
        <v>284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28</v>
      </c>
      <c r="D98" s="19" t="s">
        <v>31</v>
      </c>
      <c r="E98" s="19" t="s">
        <v>31</v>
      </c>
      <c r="F98">
        <v>3</v>
      </c>
      <c r="G98">
        <v>4</v>
      </c>
      <c r="H98">
        <v>0.55640000000000001</v>
      </c>
      <c r="I98" s="19" t="s">
        <v>249</v>
      </c>
      <c r="J98" s="19" t="s">
        <v>31</v>
      </c>
      <c r="K98">
        <v>3</v>
      </c>
      <c r="L98">
        <v>2</v>
      </c>
      <c r="M98">
        <v>-0.74</v>
      </c>
      <c r="N98" s="19" t="s">
        <v>28</v>
      </c>
      <c r="O98" s="19" t="s">
        <v>289</v>
      </c>
      <c r="P98" s="19" t="s">
        <v>291</v>
      </c>
      <c r="Q98" s="19" t="s">
        <v>287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0.8125</v>
      </c>
      <c r="C99" s="19" t="s">
        <v>14</v>
      </c>
      <c r="D99" s="19" t="s">
        <v>17</v>
      </c>
      <c r="E99" s="19" t="s">
        <v>17</v>
      </c>
      <c r="F99">
        <v>4</v>
      </c>
      <c r="G99">
        <v>5</v>
      </c>
      <c r="H99">
        <v>0.51959999999999995</v>
      </c>
      <c r="I99" s="19" t="s">
        <v>249</v>
      </c>
      <c r="J99" s="19" t="s">
        <v>14</v>
      </c>
      <c r="K99">
        <v>3</v>
      </c>
      <c r="L99">
        <v>2</v>
      </c>
      <c r="M99">
        <v>0.28999999999999998</v>
      </c>
      <c r="N99" s="19" t="s">
        <v>17</v>
      </c>
      <c r="O99" s="19" t="s">
        <v>289</v>
      </c>
      <c r="P99" s="19" t="s">
        <v>288</v>
      </c>
      <c r="Q99" s="19" t="s">
        <v>285</v>
      </c>
      <c r="R99" s="19" t="s">
        <v>248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15</v>
      </c>
      <c r="D103" s="19" t="s">
        <v>38</v>
      </c>
      <c r="E103" s="19" t="s">
        <v>15</v>
      </c>
      <c r="F103">
        <v>3</v>
      </c>
      <c r="G103">
        <v>2</v>
      </c>
      <c r="H103">
        <v>0.67700000000000005</v>
      </c>
      <c r="I103" s="19" t="s">
        <v>249</v>
      </c>
      <c r="J103" s="19" t="s">
        <v>15</v>
      </c>
      <c r="K103">
        <v>3</v>
      </c>
      <c r="L103">
        <v>2</v>
      </c>
      <c r="M103">
        <v>0.74</v>
      </c>
      <c r="N103" s="19" t="s">
        <v>38</v>
      </c>
      <c r="O103" s="19" t="s">
        <v>285</v>
      </c>
      <c r="P103" s="19" t="s">
        <v>291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21</v>
      </c>
      <c r="D104" s="19" t="s">
        <v>55</v>
      </c>
      <c r="E104" s="19" t="s">
        <v>21</v>
      </c>
      <c r="F104">
        <v>4</v>
      </c>
      <c r="G104">
        <v>3</v>
      </c>
      <c r="H104">
        <v>0.66569999999999996</v>
      </c>
      <c r="I104" s="19" t="s">
        <v>249</v>
      </c>
      <c r="J104" s="19" t="s">
        <v>21</v>
      </c>
      <c r="K104">
        <v>3</v>
      </c>
      <c r="L104">
        <v>2</v>
      </c>
      <c r="M104">
        <v>0.17</v>
      </c>
      <c r="N104" s="19" t="s">
        <v>21</v>
      </c>
      <c r="O104" s="19" t="s">
        <v>289</v>
      </c>
      <c r="P104" s="19" t="s">
        <v>287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0.8125</v>
      </c>
      <c r="C110" s="19" t="s">
        <v>23</v>
      </c>
      <c r="D110" s="19" t="s">
        <v>27</v>
      </c>
      <c r="E110" s="19" t="s">
        <v>27</v>
      </c>
      <c r="F110">
        <v>2</v>
      </c>
      <c r="G110">
        <v>3</v>
      </c>
      <c r="H110">
        <v>0.50270000000000004</v>
      </c>
      <c r="I110" s="19" t="s">
        <v>249</v>
      </c>
      <c r="J110" s="19" t="s">
        <v>27</v>
      </c>
      <c r="K110">
        <v>3</v>
      </c>
      <c r="L110">
        <v>2</v>
      </c>
      <c r="M110">
        <v>-0.48</v>
      </c>
      <c r="N110" s="19" t="s">
        <v>23</v>
      </c>
      <c r="O110" s="19" t="s">
        <v>283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36</v>
      </c>
      <c r="D111" s="19" t="s">
        <v>14</v>
      </c>
      <c r="E111" s="19" t="s">
        <v>14</v>
      </c>
      <c r="F111">
        <v>3</v>
      </c>
      <c r="G111">
        <v>4</v>
      </c>
      <c r="H111">
        <v>0.58830000000000005</v>
      </c>
      <c r="I111" s="19" t="s">
        <v>249</v>
      </c>
      <c r="J111" s="19" t="s">
        <v>14</v>
      </c>
      <c r="K111">
        <v>3</v>
      </c>
      <c r="L111">
        <v>2</v>
      </c>
      <c r="M111">
        <v>-0.03</v>
      </c>
      <c r="N111" s="19" t="s">
        <v>36</v>
      </c>
      <c r="O111" s="19" t="s">
        <v>289</v>
      </c>
      <c r="P111" s="19" t="s">
        <v>285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0.91666666666666663</v>
      </c>
      <c r="C113" s="19" t="s">
        <v>33</v>
      </c>
      <c r="D113" s="19" t="s">
        <v>39</v>
      </c>
      <c r="E113" s="19" t="s">
        <v>39</v>
      </c>
      <c r="F113">
        <v>2</v>
      </c>
      <c r="G113">
        <v>4</v>
      </c>
      <c r="H113">
        <v>0.74929999999999997</v>
      </c>
      <c r="I113" s="19" t="s">
        <v>249</v>
      </c>
      <c r="J113" s="19" t="s">
        <v>39</v>
      </c>
      <c r="K113">
        <v>3</v>
      </c>
      <c r="L113">
        <v>2</v>
      </c>
      <c r="M113">
        <v>-0.81</v>
      </c>
      <c r="N113" s="19" t="s">
        <v>39</v>
      </c>
      <c r="O113" s="19" t="s">
        <v>291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0.83333333333333337</v>
      </c>
      <c r="C114" s="19" t="s">
        <v>35</v>
      </c>
      <c r="D114" s="19" t="s">
        <v>15</v>
      </c>
      <c r="E114" s="19" t="s">
        <v>15</v>
      </c>
      <c r="F114">
        <v>2</v>
      </c>
      <c r="G114">
        <v>4</v>
      </c>
      <c r="H114">
        <v>0.79800000000000004</v>
      </c>
      <c r="I114" s="19" t="s">
        <v>249</v>
      </c>
      <c r="J114" s="19" t="s">
        <v>15</v>
      </c>
      <c r="K114">
        <v>3</v>
      </c>
      <c r="L114">
        <v>2</v>
      </c>
      <c r="M114">
        <v>-0.96</v>
      </c>
      <c r="N114" s="19" t="s">
        <v>15</v>
      </c>
      <c r="O114" s="19" t="s">
        <v>287</v>
      </c>
      <c r="P114" s="19" t="s">
        <v>284</v>
      </c>
      <c r="Q114" s="19" t="s">
        <v>287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28</v>
      </c>
      <c r="D115" s="19" t="s">
        <v>34</v>
      </c>
      <c r="E115" s="19" t="s">
        <v>34</v>
      </c>
      <c r="F115">
        <v>2</v>
      </c>
      <c r="G115">
        <v>3</v>
      </c>
      <c r="H115">
        <v>0.75509999999999999</v>
      </c>
      <c r="I115" s="19" t="s">
        <v>249</v>
      </c>
      <c r="J115" s="19" t="s">
        <v>34</v>
      </c>
      <c r="K115">
        <v>3</v>
      </c>
      <c r="L115">
        <v>2</v>
      </c>
      <c r="M115">
        <v>-0.85</v>
      </c>
      <c r="N115" s="19" t="s">
        <v>34</v>
      </c>
      <c r="O115" s="19" t="s">
        <v>284</v>
      </c>
      <c r="P115" s="19" t="s">
        <v>283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18</v>
      </c>
      <c r="D116" s="19" t="s">
        <v>10</v>
      </c>
      <c r="E116" s="19" t="s">
        <v>18</v>
      </c>
      <c r="F116">
        <v>4</v>
      </c>
      <c r="G116">
        <v>3</v>
      </c>
      <c r="H116">
        <v>0.72230000000000005</v>
      </c>
      <c r="I116" s="19" t="s">
        <v>248</v>
      </c>
      <c r="J116" s="19" t="s">
        <v>18</v>
      </c>
      <c r="K116">
        <v>3</v>
      </c>
      <c r="L116">
        <v>2</v>
      </c>
      <c r="M116">
        <v>0.03</v>
      </c>
      <c r="N116" s="19" t="s">
        <v>18</v>
      </c>
      <c r="O116" s="19" t="s">
        <v>289</v>
      </c>
      <c r="P116" s="19" t="s">
        <v>287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0.875</v>
      </c>
      <c r="C117" s="19" t="s">
        <v>16</v>
      </c>
      <c r="D117" s="19" t="s">
        <v>32</v>
      </c>
      <c r="E117" s="19" t="s">
        <v>32</v>
      </c>
      <c r="F117">
        <v>3</v>
      </c>
      <c r="G117">
        <v>4</v>
      </c>
      <c r="H117">
        <v>0.76790000000000003</v>
      </c>
      <c r="I117" s="19" t="s">
        <v>249</v>
      </c>
      <c r="J117" s="19" t="s">
        <v>16</v>
      </c>
      <c r="K117">
        <v>3</v>
      </c>
      <c r="L117">
        <v>2</v>
      </c>
      <c r="M117">
        <v>0.16</v>
      </c>
      <c r="N117" s="19" t="s">
        <v>16</v>
      </c>
      <c r="O117" s="19" t="s">
        <v>289</v>
      </c>
      <c r="P117" s="19" t="s">
        <v>284</v>
      </c>
      <c r="Q117" s="19" t="s">
        <v>285</v>
      </c>
      <c r="R117" s="19" t="s">
        <v>249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21</v>
      </c>
      <c r="D118" s="19" t="s">
        <v>17</v>
      </c>
      <c r="E118" s="19" t="s">
        <v>21</v>
      </c>
      <c r="F118">
        <v>4</v>
      </c>
      <c r="G118">
        <v>2</v>
      </c>
      <c r="H118">
        <v>0.83350000000000002</v>
      </c>
      <c r="I118" s="19" t="s">
        <v>249</v>
      </c>
      <c r="J118" s="19" t="s">
        <v>21</v>
      </c>
      <c r="K118">
        <v>3</v>
      </c>
      <c r="L118">
        <v>2</v>
      </c>
      <c r="M118">
        <v>0.49</v>
      </c>
      <c r="N118" s="19" t="s">
        <v>17</v>
      </c>
      <c r="O118" s="19" t="s">
        <v>287</v>
      </c>
      <c r="P118" s="19" t="s">
        <v>291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37</v>
      </c>
      <c r="D119" s="19" t="s">
        <v>13</v>
      </c>
      <c r="E119" s="19" t="s">
        <v>13</v>
      </c>
      <c r="F119">
        <v>3</v>
      </c>
      <c r="G119">
        <v>4</v>
      </c>
      <c r="H119">
        <v>0.55379999999999996</v>
      </c>
      <c r="I119" s="19" t="s">
        <v>249</v>
      </c>
      <c r="J119" s="19" t="s">
        <v>37</v>
      </c>
      <c r="K119">
        <v>3</v>
      </c>
      <c r="L119">
        <v>2</v>
      </c>
      <c r="M119">
        <v>0.76</v>
      </c>
      <c r="N119" s="19" t="s">
        <v>13</v>
      </c>
      <c r="O119" s="19" t="s">
        <v>287</v>
      </c>
      <c r="P119" s="19" t="s">
        <v>284</v>
      </c>
      <c r="Q119" s="19" t="s">
        <v>285</v>
      </c>
      <c r="R119" s="19" t="s">
        <v>248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0.91666666666666663</v>
      </c>
      <c r="C120" s="19" t="s">
        <v>31</v>
      </c>
      <c r="D120" s="19" t="s">
        <v>39</v>
      </c>
      <c r="E120" s="19" t="s">
        <v>31</v>
      </c>
      <c r="F120">
        <v>5</v>
      </c>
      <c r="G120">
        <v>3</v>
      </c>
      <c r="H120">
        <v>0.64939999999999998</v>
      </c>
      <c r="I120" s="19" t="s">
        <v>249</v>
      </c>
      <c r="J120" s="19" t="s">
        <v>39</v>
      </c>
      <c r="K120">
        <v>3</v>
      </c>
      <c r="L120">
        <v>2</v>
      </c>
      <c r="M120">
        <v>-0.37</v>
      </c>
      <c r="N120" s="19" t="s">
        <v>39</v>
      </c>
      <c r="O120" s="19" t="s">
        <v>291</v>
      </c>
      <c r="P120" s="19" t="s">
        <v>1714</v>
      </c>
      <c r="Q120" s="19" t="s">
        <v>285</v>
      </c>
      <c r="R120" s="19" t="s">
        <v>249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11</v>
      </c>
      <c r="D123" s="19" t="s">
        <v>25</v>
      </c>
      <c r="E123" s="19" t="s">
        <v>11</v>
      </c>
      <c r="F123">
        <v>4</v>
      </c>
      <c r="G123">
        <v>3</v>
      </c>
      <c r="H123">
        <v>0.61499999999999999</v>
      </c>
      <c r="I123" s="19" t="s">
        <v>249</v>
      </c>
      <c r="J123" s="19" t="s">
        <v>25</v>
      </c>
      <c r="K123">
        <v>3</v>
      </c>
      <c r="L123">
        <v>2</v>
      </c>
      <c r="M123">
        <v>-0.47</v>
      </c>
      <c r="N123" s="19" t="s">
        <v>11</v>
      </c>
      <c r="O123" s="19" t="s">
        <v>289</v>
      </c>
      <c r="P123" s="19" t="s">
        <v>291</v>
      </c>
      <c r="Q123" s="19" t="s">
        <v>287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12</v>
      </c>
      <c r="D124" s="19" t="s">
        <v>40</v>
      </c>
      <c r="E124" s="19" t="s">
        <v>12</v>
      </c>
      <c r="F124">
        <v>4</v>
      </c>
      <c r="G124">
        <v>2</v>
      </c>
      <c r="H124">
        <v>0.85950000000000004</v>
      </c>
      <c r="I124" s="19" t="s">
        <v>249</v>
      </c>
      <c r="J124" s="19" t="s">
        <v>12</v>
      </c>
      <c r="K124">
        <v>3</v>
      </c>
      <c r="L124">
        <v>2</v>
      </c>
      <c r="M124">
        <v>1.85</v>
      </c>
      <c r="N124" s="19" t="s">
        <v>12</v>
      </c>
      <c r="O124" s="19" t="s">
        <v>291</v>
      </c>
      <c r="P124" s="19" t="s">
        <v>284</v>
      </c>
      <c r="Q124" s="19" t="s">
        <v>285</v>
      </c>
      <c r="R124" s="19" t="s">
        <v>248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0.70833333333333337</v>
      </c>
      <c r="C125" s="19" t="s">
        <v>23</v>
      </c>
      <c r="D125" s="19" t="s">
        <v>30</v>
      </c>
      <c r="E125" s="19" t="s">
        <v>30</v>
      </c>
      <c r="F125">
        <v>2</v>
      </c>
      <c r="G125">
        <v>3</v>
      </c>
      <c r="H125">
        <v>0.63270000000000004</v>
      </c>
      <c r="I125" s="19" t="s">
        <v>249</v>
      </c>
      <c r="J125" s="19" t="s">
        <v>30</v>
      </c>
      <c r="K125">
        <v>3</v>
      </c>
      <c r="L125">
        <v>2</v>
      </c>
      <c r="M125">
        <v>-0.45</v>
      </c>
      <c r="N125" s="19" t="s">
        <v>23</v>
      </c>
      <c r="O125" s="19" t="s">
        <v>291</v>
      </c>
      <c r="P125" s="19" t="s">
        <v>284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18</v>
      </c>
      <c r="D126" s="19" t="s">
        <v>14</v>
      </c>
      <c r="E126" s="19" t="s">
        <v>14</v>
      </c>
      <c r="F126">
        <v>3</v>
      </c>
      <c r="G126">
        <v>4</v>
      </c>
      <c r="H126">
        <v>0.5988</v>
      </c>
      <c r="I126" s="19" t="s">
        <v>249</v>
      </c>
      <c r="J126" s="19" t="s">
        <v>14</v>
      </c>
      <c r="K126">
        <v>3</v>
      </c>
      <c r="L126">
        <v>2</v>
      </c>
      <c r="M126">
        <v>-0.11</v>
      </c>
      <c r="N126" s="19" t="s">
        <v>18</v>
      </c>
      <c r="O126" s="19" t="s">
        <v>289</v>
      </c>
      <c r="P126" s="19" t="s">
        <v>285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22</v>
      </c>
      <c r="D127" s="19" t="s">
        <v>26</v>
      </c>
      <c r="E127" s="19" t="s">
        <v>22</v>
      </c>
      <c r="F127">
        <v>4</v>
      </c>
      <c r="G127">
        <v>3</v>
      </c>
      <c r="H127">
        <v>0.57709999999999995</v>
      </c>
      <c r="I127" s="19" t="s">
        <v>249</v>
      </c>
      <c r="J127" s="19" t="s">
        <v>22</v>
      </c>
      <c r="K127">
        <v>3</v>
      </c>
      <c r="L127">
        <v>2</v>
      </c>
      <c r="M127">
        <v>1.1000000000000001</v>
      </c>
      <c r="N127" s="19" t="s">
        <v>26</v>
      </c>
      <c r="O127" s="19" t="s">
        <v>284</v>
      </c>
      <c r="P127" s="19" t="s">
        <v>283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0.625</v>
      </c>
      <c r="C128" s="19" t="s">
        <v>36</v>
      </c>
      <c r="D128" s="19" t="s">
        <v>10</v>
      </c>
      <c r="E128" s="19" t="s">
        <v>36</v>
      </c>
      <c r="F128">
        <v>3</v>
      </c>
      <c r="G128">
        <v>2</v>
      </c>
      <c r="H128">
        <v>0.54479999999999995</v>
      </c>
      <c r="I128" s="19" t="s">
        <v>249</v>
      </c>
      <c r="J128" s="19" t="s">
        <v>36</v>
      </c>
      <c r="K128">
        <v>3</v>
      </c>
      <c r="L128">
        <v>2</v>
      </c>
      <c r="M128">
        <v>0.51</v>
      </c>
      <c r="N128" s="19" t="s">
        <v>36</v>
      </c>
      <c r="O128" s="19" t="s">
        <v>288</v>
      </c>
      <c r="P128" s="19" t="s">
        <v>289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33</v>
      </c>
      <c r="D129" s="19" t="s">
        <v>32</v>
      </c>
      <c r="E129" s="19" t="s">
        <v>33</v>
      </c>
      <c r="F129">
        <v>4</v>
      </c>
      <c r="G129">
        <v>3</v>
      </c>
      <c r="H129">
        <v>0.73929999999999996</v>
      </c>
      <c r="I129" s="19" t="s">
        <v>248</v>
      </c>
      <c r="J129" s="19" t="s">
        <v>33</v>
      </c>
      <c r="K129">
        <v>3</v>
      </c>
      <c r="L129">
        <v>2</v>
      </c>
      <c r="M129">
        <v>0.57999999999999996</v>
      </c>
      <c r="N129" s="19" t="s">
        <v>32</v>
      </c>
      <c r="O129" s="19" t="s">
        <v>284</v>
      </c>
      <c r="P129" s="19" t="s">
        <v>289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0.52083333333333337</v>
      </c>
      <c r="C130" s="19" t="s">
        <v>15</v>
      </c>
      <c r="D130" s="19" t="s">
        <v>27</v>
      </c>
      <c r="E130" s="19" t="s">
        <v>27</v>
      </c>
      <c r="F130">
        <v>1</v>
      </c>
      <c r="G130">
        <v>3</v>
      </c>
      <c r="H130">
        <v>0.91959999999999997</v>
      </c>
      <c r="I130" s="19" t="s">
        <v>249</v>
      </c>
      <c r="J130" s="19" t="s">
        <v>27</v>
      </c>
      <c r="K130">
        <v>3</v>
      </c>
      <c r="L130">
        <v>2</v>
      </c>
      <c r="M130">
        <v>-0.19</v>
      </c>
      <c r="N130" s="19" t="s">
        <v>15</v>
      </c>
      <c r="O130" s="19" t="s">
        <v>283</v>
      </c>
      <c r="P130" s="19" t="s">
        <v>289</v>
      </c>
      <c r="Q130" s="19" t="s">
        <v>287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16</v>
      </c>
      <c r="D131" s="19" t="s">
        <v>20</v>
      </c>
      <c r="E131" s="19" t="s">
        <v>20</v>
      </c>
      <c r="F131">
        <v>3</v>
      </c>
      <c r="G131">
        <v>4</v>
      </c>
      <c r="H131">
        <v>0.77259999999999995</v>
      </c>
      <c r="I131" s="19" t="s">
        <v>249</v>
      </c>
      <c r="J131" s="19" t="s">
        <v>20</v>
      </c>
      <c r="K131">
        <v>3</v>
      </c>
      <c r="L131">
        <v>2</v>
      </c>
      <c r="M131">
        <v>-0.65</v>
      </c>
      <c r="N131" s="19" t="s">
        <v>16</v>
      </c>
      <c r="O131" s="19" t="s">
        <v>288</v>
      </c>
      <c r="P131" s="19" t="s">
        <v>291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29</v>
      </c>
      <c r="D132" s="19" t="s">
        <v>19</v>
      </c>
      <c r="E132" s="19" t="s">
        <v>29</v>
      </c>
      <c r="F132">
        <v>3</v>
      </c>
      <c r="G132">
        <v>2</v>
      </c>
      <c r="H132">
        <v>0.69740000000000002</v>
      </c>
      <c r="I132" s="19" t="s">
        <v>249</v>
      </c>
      <c r="J132" s="19" t="s">
        <v>19</v>
      </c>
      <c r="K132">
        <v>3</v>
      </c>
      <c r="L132">
        <v>2</v>
      </c>
      <c r="M132">
        <v>-0.41</v>
      </c>
      <c r="N132" s="19" t="s">
        <v>29</v>
      </c>
      <c r="O132" s="19" t="s">
        <v>283</v>
      </c>
      <c r="P132" s="19" t="s">
        <v>291</v>
      </c>
      <c r="Q132" s="19" t="s">
        <v>285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21</v>
      </c>
      <c r="D133" s="19" t="s">
        <v>38</v>
      </c>
      <c r="E133" s="19" t="s">
        <v>38</v>
      </c>
      <c r="F133">
        <v>3</v>
      </c>
      <c r="G133">
        <v>4</v>
      </c>
      <c r="H133">
        <v>0.5171</v>
      </c>
      <c r="I133" s="19" t="s">
        <v>249</v>
      </c>
      <c r="J133" s="19" t="s">
        <v>21</v>
      </c>
      <c r="K133">
        <v>3</v>
      </c>
      <c r="L133">
        <v>2</v>
      </c>
      <c r="M133">
        <v>0.75</v>
      </c>
      <c r="N133" s="19" t="s">
        <v>38</v>
      </c>
      <c r="O133" s="19" t="s">
        <v>289</v>
      </c>
      <c r="P133" s="19" t="s">
        <v>283</v>
      </c>
      <c r="Q133" s="19" t="s">
        <v>287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0.625</v>
      </c>
      <c r="C135" s="19" t="s">
        <v>34</v>
      </c>
      <c r="D135" s="19" t="s">
        <v>17</v>
      </c>
      <c r="E135" s="19" t="s">
        <v>17</v>
      </c>
      <c r="F135">
        <v>4</v>
      </c>
      <c r="G135">
        <v>5</v>
      </c>
      <c r="H135">
        <v>0.55320000000000003</v>
      </c>
      <c r="I135" s="19" t="s">
        <v>248</v>
      </c>
      <c r="J135" s="19" t="s">
        <v>34</v>
      </c>
      <c r="K135">
        <v>3</v>
      </c>
      <c r="L135">
        <v>2</v>
      </c>
      <c r="M135">
        <v>0.67</v>
      </c>
      <c r="N135" s="19" t="s">
        <v>34</v>
      </c>
      <c r="O135" s="19" t="s">
        <v>283</v>
      </c>
      <c r="P135" s="19" t="s">
        <v>284</v>
      </c>
      <c r="Q135" s="19" t="s">
        <v>285</v>
      </c>
      <c r="R135" s="19" t="s">
        <v>249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0.79166666666666663</v>
      </c>
      <c r="C136" s="19" t="s">
        <v>37</v>
      </c>
      <c r="D136" s="19" t="s">
        <v>25</v>
      </c>
      <c r="E136" s="19" t="s">
        <v>25</v>
      </c>
      <c r="F136">
        <v>2</v>
      </c>
      <c r="G136">
        <v>3</v>
      </c>
      <c r="H136">
        <v>0.55740000000000001</v>
      </c>
      <c r="I136" s="19" t="s">
        <v>249</v>
      </c>
      <c r="J136" s="19" t="s">
        <v>25</v>
      </c>
      <c r="K136">
        <v>3</v>
      </c>
      <c r="L136">
        <v>2</v>
      </c>
      <c r="M136">
        <v>-0.03</v>
      </c>
      <c r="N136" s="19" t="s">
        <v>37</v>
      </c>
      <c r="O136" s="19" t="s">
        <v>288</v>
      </c>
      <c r="P136" s="19" t="s">
        <v>289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0.75</v>
      </c>
      <c r="C137" s="19" t="s">
        <v>11</v>
      </c>
      <c r="D137" s="19" t="s">
        <v>35</v>
      </c>
      <c r="E137" s="19" t="s">
        <v>35</v>
      </c>
      <c r="F137">
        <v>4</v>
      </c>
      <c r="G137">
        <v>5</v>
      </c>
      <c r="H137">
        <v>0.5121</v>
      </c>
      <c r="I137" s="19" t="s">
        <v>249</v>
      </c>
      <c r="J137" s="19" t="s">
        <v>11</v>
      </c>
      <c r="K137">
        <v>3</v>
      </c>
      <c r="L137">
        <v>2</v>
      </c>
      <c r="M137">
        <v>1.4</v>
      </c>
      <c r="N137" s="19" t="s">
        <v>35</v>
      </c>
      <c r="O137" s="19" t="s">
        <v>284</v>
      </c>
      <c r="P137" s="19" t="s">
        <v>288</v>
      </c>
      <c r="Q137" s="19" t="s">
        <v>285</v>
      </c>
      <c r="R137" s="19" t="s">
        <v>248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0.83333333333333337</v>
      </c>
      <c r="C138" s="19" t="s">
        <v>17</v>
      </c>
      <c r="D138" s="19" t="s">
        <v>20</v>
      </c>
      <c r="E138" s="19" t="s">
        <v>17</v>
      </c>
      <c r="F138">
        <v>3</v>
      </c>
      <c r="G138">
        <v>2</v>
      </c>
      <c r="H138">
        <v>0.67889999999999995</v>
      </c>
      <c r="I138" s="19" t="s">
        <v>249</v>
      </c>
      <c r="J138" s="19" t="s">
        <v>20</v>
      </c>
      <c r="K138">
        <v>3</v>
      </c>
      <c r="L138">
        <v>2</v>
      </c>
      <c r="M138">
        <v>-0.09</v>
      </c>
      <c r="N138" s="19" t="s">
        <v>17</v>
      </c>
      <c r="O138" s="19" t="s">
        <v>289</v>
      </c>
      <c r="P138" s="19" t="s">
        <v>291</v>
      </c>
      <c r="Q138" s="19" t="s">
        <v>285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39</v>
      </c>
      <c r="D139" s="19" t="s">
        <v>19</v>
      </c>
      <c r="E139" s="19" t="s">
        <v>39</v>
      </c>
      <c r="F139">
        <v>4</v>
      </c>
      <c r="G139">
        <v>3</v>
      </c>
      <c r="H139">
        <v>0.5847</v>
      </c>
      <c r="I139" s="19" t="s">
        <v>249</v>
      </c>
      <c r="J139" s="19" t="s">
        <v>39</v>
      </c>
      <c r="K139">
        <v>3</v>
      </c>
      <c r="L139">
        <v>2</v>
      </c>
      <c r="M139">
        <v>1.0900000000000001</v>
      </c>
      <c r="N139" s="19" t="s">
        <v>39</v>
      </c>
      <c r="O139" s="19" t="s">
        <v>283</v>
      </c>
      <c r="P139" s="19" t="s">
        <v>287</v>
      </c>
      <c r="Q139" s="19" t="s">
        <v>285</v>
      </c>
      <c r="R139" s="19" t="s">
        <v>248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21</v>
      </c>
      <c r="D140" s="19" t="s">
        <v>36</v>
      </c>
      <c r="E140" s="19" t="s">
        <v>21</v>
      </c>
      <c r="F140">
        <v>4</v>
      </c>
      <c r="G140">
        <v>3</v>
      </c>
      <c r="H140">
        <v>0.69989999999999997</v>
      </c>
      <c r="I140" s="19" t="s">
        <v>248</v>
      </c>
      <c r="J140" s="19" t="s">
        <v>21</v>
      </c>
      <c r="K140">
        <v>3</v>
      </c>
      <c r="L140">
        <v>2</v>
      </c>
      <c r="M140">
        <v>0.21</v>
      </c>
      <c r="N140" s="19" t="s">
        <v>36</v>
      </c>
      <c r="O140" s="19" t="s">
        <v>284</v>
      </c>
      <c r="P140" s="19" t="s">
        <v>288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55</v>
      </c>
      <c r="D141" s="19" t="s">
        <v>40</v>
      </c>
      <c r="E141" s="19" t="s">
        <v>55</v>
      </c>
      <c r="F141">
        <v>3</v>
      </c>
      <c r="G141">
        <v>2</v>
      </c>
      <c r="H141">
        <v>0.69499999999999995</v>
      </c>
      <c r="I141" s="19" t="s">
        <v>249</v>
      </c>
      <c r="J141" s="19" t="s">
        <v>55</v>
      </c>
      <c r="K141">
        <v>3</v>
      </c>
      <c r="L141">
        <v>2</v>
      </c>
      <c r="M141">
        <v>0.23</v>
      </c>
      <c r="N141" s="19" t="s">
        <v>55</v>
      </c>
      <c r="O141" s="19" t="s">
        <v>289</v>
      </c>
      <c r="P141" s="19" t="s">
        <v>291</v>
      </c>
      <c r="Q141" s="19" t="s">
        <v>287</v>
      </c>
      <c r="R141" s="19" t="s">
        <v>248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14</v>
      </c>
      <c r="D142" s="19" t="s">
        <v>18</v>
      </c>
      <c r="E142" s="19" t="s">
        <v>18</v>
      </c>
      <c r="F142">
        <v>2</v>
      </c>
      <c r="G142">
        <v>4</v>
      </c>
      <c r="H142">
        <v>0.80289999999999995</v>
      </c>
      <c r="I142" s="19" t="s">
        <v>249</v>
      </c>
      <c r="J142" s="19" t="s">
        <v>14</v>
      </c>
      <c r="K142">
        <v>3</v>
      </c>
      <c r="L142">
        <v>2</v>
      </c>
      <c r="M142">
        <v>0.01</v>
      </c>
      <c r="N142" s="19" t="s">
        <v>14</v>
      </c>
      <c r="O142" s="19" t="s">
        <v>289</v>
      </c>
      <c r="P142" s="19" t="s">
        <v>291</v>
      </c>
      <c r="Q142" s="19" t="s">
        <v>287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29</v>
      </c>
      <c r="D144" s="19" t="s">
        <v>15</v>
      </c>
      <c r="E144" s="19" t="s">
        <v>15</v>
      </c>
      <c r="F144">
        <v>2</v>
      </c>
      <c r="G144">
        <v>3</v>
      </c>
      <c r="H144">
        <v>0.60660000000000003</v>
      </c>
      <c r="I144" s="19" t="s">
        <v>249</v>
      </c>
      <c r="J144" s="19" t="s">
        <v>15</v>
      </c>
      <c r="K144">
        <v>3</v>
      </c>
      <c r="L144">
        <v>2</v>
      </c>
      <c r="M144">
        <v>-0.36</v>
      </c>
      <c r="N144" s="19" t="s">
        <v>29</v>
      </c>
      <c r="O144" s="19" t="s">
        <v>284</v>
      </c>
      <c r="P144" s="19" t="s">
        <v>287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0.54166666666666663</v>
      </c>
      <c r="C146" s="19" t="s">
        <v>26</v>
      </c>
      <c r="D146" s="19" t="s">
        <v>22</v>
      </c>
      <c r="E146" s="19" t="s">
        <v>26</v>
      </c>
      <c r="F146">
        <v>5</v>
      </c>
      <c r="G146">
        <v>4</v>
      </c>
      <c r="H146">
        <v>0.50509999999999999</v>
      </c>
      <c r="I146" s="19" t="s">
        <v>249</v>
      </c>
      <c r="J146" s="19" t="s">
        <v>22</v>
      </c>
      <c r="K146">
        <v>3</v>
      </c>
      <c r="L146">
        <v>2</v>
      </c>
      <c r="M146">
        <v>-0.73</v>
      </c>
      <c r="N146" s="19" t="s">
        <v>26</v>
      </c>
      <c r="O146" s="19" t="s">
        <v>291</v>
      </c>
      <c r="P146" s="19" t="s">
        <v>284</v>
      </c>
      <c r="Q146" s="19" t="s">
        <v>287</v>
      </c>
      <c r="R146" s="19" t="s">
        <v>248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31</v>
      </c>
      <c r="D148" s="19" t="s">
        <v>32</v>
      </c>
      <c r="E148" s="19" t="s">
        <v>31</v>
      </c>
      <c r="F148">
        <v>5</v>
      </c>
      <c r="G148">
        <v>1</v>
      </c>
      <c r="H148">
        <v>0.85919999999999996</v>
      </c>
      <c r="I148" s="19" t="s">
        <v>249</v>
      </c>
      <c r="J148" s="19" t="s">
        <v>31</v>
      </c>
      <c r="K148">
        <v>3</v>
      </c>
      <c r="L148">
        <v>2</v>
      </c>
      <c r="M148">
        <v>0.88</v>
      </c>
      <c r="N148" s="19" t="s">
        <v>32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13</v>
      </c>
      <c r="D149" s="19" t="s">
        <v>28</v>
      </c>
      <c r="E149" s="19" t="s">
        <v>13</v>
      </c>
      <c r="F149">
        <v>4</v>
      </c>
      <c r="G149">
        <v>2</v>
      </c>
      <c r="H149">
        <v>0.52090000000000003</v>
      </c>
      <c r="I149" s="19" t="s">
        <v>249</v>
      </c>
      <c r="J149" s="19" t="s">
        <v>13</v>
      </c>
      <c r="K149">
        <v>3</v>
      </c>
      <c r="L149">
        <v>2</v>
      </c>
      <c r="M149">
        <v>0.55000000000000004</v>
      </c>
      <c r="N149" s="19" t="s">
        <v>28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0.91666666666666663</v>
      </c>
      <c r="C151" s="19" t="s">
        <v>13</v>
      </c>
      <c r="D151" s="19" t="s">
        <v>32</v>
      </c>
      <c r="E151" s="19" t="s">
        <v>32</v>
      </c>
      <c r="F151">
        <v>2</v>
      </c>
      <c r="G151">
        <v>3</v>
      </c>
      <c r="H151">
        <v>0.58230000000000004</v>
      </c>
      <c r="I151" s="19" t="s">
        <v>249</v>
      </c>
      <c r="J151" s="19" t="s">
        <v>13</v>
      </c>
      <c r="K151">
        <v>3</v>
      </c>
      <c r="L151">
        <v>2</v>
      </c>
      <c r="M151">
        <v>0.54</v>
      </c>
      <c r="N151" s="19" t="s">
        <v>32</v>
      </c>
      <c r="O151" s="19" t="s">
        <v>284</v>
      </c>
      <c r="P151" s="19" t="s">
        <v>291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0.77083333333333337</v>
      </c>
      <c r="C152" s="19" t="s">
        <v>26</v>
      </c>
      <c r="D152" s="19" t="s">
        <v>39</v>
      </c>
      <c r="E152" s="19" t="s">
        <v>39</v>
      </c>
      <c r="F152">
        <v>3</v>
      </c>
      <c r="G152">
        <v>6</v>
      </c>
      <c r="H152">
        <v>0.59989999999999999</v>
      </c>
      <c r="I152" s="19" t="s">
        <v>249</v>
      </c>
      <c r="J152" s="19" t="s">
        <v>39</v>
      </c>
      <c r="K152">
        <v>3</v>
      </c>
      <c r="L152">
        <v>2</v>
      </c>
      <c r="M152">
        <v>-1.08</v>
      </c>
      <c r="N152" s="19" t="s">
        <v>26</v>
      </c>
      <c r="O152" s="19" t="s">
        <v>289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0.66666666666666663</v>
      </c>
      <c r="C154" s="19" t="s">
        <v>19</v>
      </c>
      <c r="D154" s="19" t="s">
        <v>14</v>
      </c>
      <c r="E154" s="19" t="s">
        <v>19</v>
      </c>
      <c r="F154">
        <v>4</v>
      </c>
      <c r="G154">
        <v>3</v>
      </c>
      <c r="H154">
        <v>0.72040000000000004</v>
      </c>
      <c r="I154" s="19" t="s">
        <v>249</v>
      </c>
      <c r="J154" s="19" t="s">
        <v>14</v>
      </c>
      <c r="K154">
        <v>3</v>
      </c>
      <c r="L154">
        <v>2</v>
      </c>
      <c r="M154">
        <v>-0.05</v>
      </c>
      <c r="N154" s="19" t="s">
        <v>19</v>
      </c>
      <c r="O154" s="19" t="s">
        <v>288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21</v>
      </c>
      <c r="D155" s="19" t="s">
        <v>18</v>
      </c>
      <c r="E155" s="19" t="s">
        <v>21</v>
      </c>
      <c r="F155">
        <v>4</v>
      </c>
      <c r="G155">
        <v>3</v>
      </c>
      <c r="H155">
        <v>0.67310000000000003</v>
      </c>
      <c r="I155" s="19" t="s">
        <v>249</v>
      </c>
      <c r="J155" s="19" t="s">
        <v>21</v>
      </c>
      <c r="K155">
        <v>3</v>
      </c>
      <c r="L155">
        <v>2</v>
      </c>
      <c r="M155">
        <v>0.36</v>
      </c>
      <c r="N155" s="19" t="s">
        <v>18</v>
      </c>
      <c r="O155" s="19" t="s">
        <v>284</v>
      </c>
      <c r="P155" s="19" t="s">
        <v>288</v>
      </c>
      <c r="Q155" s="19" t="s">
        <v>285</v>
      </c>
      <c r="R155" s="19" t="s">
        <v>249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30</v>
      </c>
      <c r="D156" s="19" t="s">
        <v>24</v>
      </c>
      <c r="E156" s="19" t="s">
        <v>24</v>
      </c>
      <c r="F156">
        <v>3</v>
      </c>
      <c r="G156">
        <v>4</v>
      </c>
      <c r="H156">
        <v>0.6946</v>
      </c>
      <c r="I156" s="19" t="s">
        <v>249</v>
      </c>
      <c r="J156" s="19" t="s">
        <v>30</v>
      </c>
      <c r="K156">
        <v>3</v>
      </c>
      <c r="L156">
        <v>2</v>
      </c>
      <c r="M156">
        <v>0.33</v>
      </c>
      <c r="N156" s="19" t="s">
        <v>30</v>
      </c>
      <c r="O156" s="19" t="s">
        <v>284</v>
      </c>
      <c r="P156" s="19" t="s">
        <v>287</v>
      </c>
      <c r="Q156" s="19" t="s">
        <v>285</v>
      </c>
      <c r="R156" s="19" t="s">
        <v>249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36</v>
      </c>
      <c r="D157" s="19" t="s">
        <v>23</v>
      </c>
      <c r="E157" s="19" t="s">
        <v>36</v>
      </c>
      <c r="F157">
        <v>4</v>
      </c>
      <c r="G157">
        <v>3</v>
      </c>
      <c r="H157">
        <v>0.72799999999999998</v>
      </c>
      <c r="I157" s="19" t="s">
        <v>249</v>
      </c>
      <c r="J157" s="19" t="s">
        <v>36</v>
      </c>
      <c r="K157">
        <v>3</v>
      </c>
      <c r="L157">
        <v>2</v>
      </c>
      <c r="M157">
        <v>0.38</v>
      </c>
      <c r="N157" s="19" t="s">
        <v>23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22</v>
      </c>
      <c r="D158" s="19" t="s">
        <v>15</v>
      </c>
      <c r="E158" s="19" t="s">
        <v>15</v>
      </c>
      <c r="F158">
        <v>3</v>
      </c>
      <c r="G158">
        <v>4</v>
      </c>
      <c r="H158">
        <v>0.76980000000000004</v>
      </c>
      <c r="I158" s="19" t="s">
        <v>249</v>
      </c>
      <c r="J158" s="19" t="s">
        <v>22</v>
      </c>
      <c r="K158">
        <v>3</v>
      </c>
      <c r="L158">
        <v>2</v>
      </c>
      <c r="M158">
        <v>0.68</v>
      </c>
      <c r="N158" s="19" t="s">
        <v>15</v>
      </c>
      <c r="O158" s="19" t="s">
        <v>291</v>
      </c>
      <c r="P158" s="19" t="s">
        <v>292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0.875</v>
      </c>
      <c r="C159" s="19" t="s">
        <v>17</v>
      </c>
      <c r="D159" s="19" t="s">
        <v>16</v>
      </c>
      <c r="E159" s="19" t="s">
        <v>16</v>
      </c>
      <c r="F159">
        <v>3</v>
      </c>
      <c r="G159">
        <v>4</v>
      </c>
      <c r="H159">
        <v>0.622</v>
      </c>
      <c r="I159" s="19" t="s">
        <v>248</v>
      </c>
      <c r="J159" s="19" t="s">
        <v>17</v>
      </c>
      <c r="K159">
        <v>3</v>
      </c>
      <c r="L159">
        <v>2</v>
      </c>
      <c r="M159">
        <v>0.43</v>
      </c>
      <c r="N159" s="19" t="s">
        <v>17</v>
      </c>
      <c r="O159" s="19" t="s">
        <v>283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10</v>
      </c>
      <c r="D160" s="19" t="s">
        <v>27</v>
      </c>
      <c r="E160" s="19" t="s">
        <v>27</v>
      </c>
      <c r="F160">
        <v>3</v>
      </c>
      <c r="G160">
        <v>4</v>
      </c>
      <c r="H160">
        <v>0.52180000000000004</v>
      </c>
      <c r="I160" s="19" t="s">
        <v>249</v>
      </c>
      <c r="J160" s="19" t="s">
        <v>27</v>
      </c>
      <c r="K160">
        <v>3</v>
      </c>
      <c r="L160">
        <v>2</v>
      </c>
      <c r="M160">
        <v>-0.59</v>
      </c>
      <c r="N160" s="19" t="s">
        <v>27</v>
      </c>
      <c r="O160" s="19" t="s">
        <v>287</v>
      </c>
      <c r="P160" s="19" t="s">
        <v>291</v>
      </c>
      <c r="Q160" s="19" t="s">
        <v>285</v>
      </c>
      <c r="R160" s="19" t="s">
        <v>248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12</v>
      </c>
      <c r="D161" s="19" t="s">
        <v>55</v>
      </c>
      <c r="E161" s="19" t="s">
        <v>12</v>
      </c>
      <c r="F161">
        <v>5</v>
      </c>
      <c r="G161">
        <v>1</v>
      </c>
      <c r="H161">
        <v>0.87890000000000001</v>
      </c>
      <c r="I161" s="19" t="s">
        <v>249</v>
      </c>
      <c r="J161" s="19" t="s">
        <v>12</v>
      </c>
      <c r="K161">
        <v>3</v>
      </c>
      <c r="L161">
        <v>2</v>
      </c>
      <c r="M161">
        <v>1.68</v>
      </c>
      <c r="N161" s="19" t="s">
        <v>12</v>
      </c>
      <c r="O161" s="19" t="s">
        <v>287</v>
      </c>
      <c r="P161" s="19" t="s">
        <v>285</v>
      </c>
      <c r="Q161" s="19" t="s">
        <v>285</v>
      </c>
      <c r="R161" s="19" t="s">
        <v>248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25</v>
      </c>
      <c r="D162" s="19" t="s">
        <v>11</v>
      </c>
      <c r="E162" s="19" t="s">
        <v>25</v>
      </c>
      <c r="F162">
        <v>4</v>
      </c>
      <c r="G162">
        <v>3</v>
      </c>
      <c r="H162">
        <v>0.5484</v>
      </c>
      <c r="I162" s="19" t="s">
        <v>249</v>
      </c>
      <c r="J162" s="19" t="s">
        <v>25</v>
      </c>
      <c r="K162">
        <v>3</v>
      </c>
      <c r="L162">
        <v>2</v>
      </c>
      <c r="M162">
        <v>0.6</v>
      </c>
      <c r="N162" s="19" t="s">
        <v>11</v>
      </c>
      <c r="O162" s="19" t="s">
        <v>284</v>
      </c>
      <c r="P162" s="19" t="s">
        <v>283</v>
      </c>
      <c r="Q162" s="19" t="s">
        <v>285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0.83333333333333337</v>
      </c>
      <c r="C163" s="19" t="s">
        <v>34</v>
      </c>
      <c r="D163" s="19" t="s">
        <v>29</v>
      </c>
      <c r="E163" s="19" t="s">
        <v>34</v>
      </c>
      <c r="F163">
        <v>4</v>
      </c>
      <c r="G163">
        <v>3</v>
      </c>
      <c r="H163">
        <v>0.87450000000000006</v>
      </c>
      <c r="I163" s="19" t="s">
        <v>248</v>
      </c>
      <c r="J163" s="19" t="s">
        <v>34</v>
      </c>
      <c r="K163">
        <v>3</v>
      </c>
      <c r="L163">
        <v>2</v>
      </c>
      <c r="M163">
        <v>1.08</v>
      </c>
      <c r="N163" s="19" t="s">
        <v>29</v>
      </c>
      <c r="O163" s="19" t="s">
        <v>284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24</v>
      </c>
      <c r="D164" s="19" t="s">
        <v>22</v>
      </c>
      <c r="E164" s="19" t="s">
        <v>24</v>
      </c>
      <c r="F164">
        <v>4</v>
      </c>
      <c r="G164">
        <v>3</v>
      </c>
      <c r="H164">
        <v>0.60270000000000001</v>
      </c>
      <c r="I164" s="19" t="s">
        <v>249</v>
      </c>
      <c r="J164" s="19" t="s">
        <v>22</v>
      </c>
      <c r="K164">
        <v>3</v>
      </c>
      <c r="L164">
        <v>2</v>
      </c>
      <c r="M164">
        <v>-0.38</v>
      </c>
      <c r="N164" s="19" t="s">
        <v>22</v>
      </c>
      <c r="O164" s="19" t="s">
        <v>291</v>
      </c>
      <c r="P164" s="19" t="s">
        <v>289</v>
      </c>
      <c r="Q164" s="19" t="s">
        <v>287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0.83333333333333337</v>
      </c>
      <c r="C165" s="19" t="s">
        <v>35</v>
      </c>
      <c r="D165" s="19" t="s">
        <v>29</v>
      </c>
      <c r="E165" s="19" t="s">
        <v>29</v>
      </c>
      <c r="F165">
        <v>3</v>
      </c>
      <c r="G165">
        <v>4</v>
      </c>
      <c r="H165">
        <v>0.75290000000000001</v>
      </c>
      <c r="I165" s="19" t="s">
        <v>249</v>
      </c>
      <c r="J165" s="19" t="s">
        <v>29</v>
      </c>
      <c r="K165">
        <v>3</v>
      </c>
      <c r="L165">
        <v>2</v>
      </c>
      <c r="M165">
        <v>-0.54</v>
      </c>
      <c r="N165" s="19" t="s">
        <v>35</v>
      </c>
      <c r="O165" s="19" t="s">
        <v>291</v>
      </c>
      <c r="P165" s="19" t="s">
        <v>284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40</v>
      </c>
      <c r="D166" s="19" t="s">
        <v>34</v>
      </c>
      <c r="E166" s="19" t="s">
        <v>34</v>
      </c>
      <c r="F166">
        <v>2</v>
      </c>
      <c r="G166">
        <v>3</v>
      </c>
      <c r="H166">
        <v>0.83430000000000004</v>
      </c>
      <c r="I166" s="19" t="s">
        <v>249</v>
      </c>
      <c r="J166" s="19" t="s">
        <v>34</v>
      </c>
      <c r="K166">
        <v>3</v>
      </c>
      <c r="L166">
        <v>2</v>
      </c>
      <c r="M166">
        <v>-0.52</v>
      </c>
      <c r="N166" s="19" t="s">
        <v>34</v>
      </c>
      <c r="O166" s="19" t="s">
        <v>291</v>
      </c>
      <c r="P166" s="19" t="s">
        <v>289</v>
      </c>
      <c r="Q166" s="19" t="s">
        <v>287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38</v>
      </c>
      <c r="D167" s="19" t="s">
        <v>33</v>
      </c>
      <c r="E167" s="19" t="s">
        <v>33</v>
      </c>
      <c r="F167">
        <v>3</v>
      </c>
      <c r="G167">
        <v>5</v>
      </c>
      <c r="H167">
        <v>0.71030000000000004</v>
      </c>
      <c r="I167" s="19" t="s">
        <v>249</v>
      </c>
      <c r="J167" s="19" t="s">
        <v>38</v>
      </c>
      <c r="K167">
        <v>3</v>
      </c>
      <c r="L167">
        <v>2</v>
      </c>
      <c r="M167">
        <v>0.02</v>
      </c>
      <c r="N167" s="19" t="s">
        <v>33</v>
      </c>
      <c r="O167" s="19" t="s">
        <v>291</v>
      </c>
      <c r="P167" s="19" t="s">
        <v>288</v>
      </c>
      <c r="Q167" s="19" t="s">
        <v>285</v>
      </c>
      <c r="R167" s="19" t="s">
        <v>248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11</v>
      </c>
      <c r="D169" s="19" t="s">
        <v>37</v>
      </c>
      <c r="E169" s="19" t="s">
        <v>37</v>
      </c>
      <c r="F169">
        <v>3</v>
      </c>
      <c r="G169">
        <v>4</v>
      </c>
      <c r="H169">
        <v>0.78510000000000002</v>
      </c>
      <c r="I169" s="19" t="s">
        <v>249</v>
      </c>
      <c r="J169" s="19" t="s">
        <v>37</v>
      </c>
      <c r="K169">
        <v>3</v>
      </c>
      <c r="L169">
        <v>2</v>
      </c>
      <c r="M169">
        <v>-0.45</v>
      </c>
      <c r="N169" s="19" t="s">
        <v>37</v>
      </c>
      <c r="O169" s="19" t="s">
        <v>284</v>
      </c>
      <c r="P169" s="19" t="s">
        <v>289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19</v>
      </c>
      <c r="D170" s="19" t="s">
        <v>36</v>
      </c>
      <c r="E170" s="19" t="s">
        <v>36</v>
      </c>
      <c r="F170">
        <v>4</v>
      </c>
      <c r="G170">
        <v>5</v>
      </c>
      <c r="H170">
        <v>0.73709999999999998</v>
      </c>
      <c r="I170" s="19" t="s">
        <v>249</v>
      </c>
      <c r="J170" s="19" t="s">
        <v>36</v>
      </c>
      <c r="K170">
        <v>3</v>
      </c>
      <c r="L170">
        <v>2</v>
      </c>
      <c r="M170">
        <v>-0.33</v>
      </c>
      <c r="N170" s="19" t="s">
        <v>19</v>
      </c>
      <c r="O170" s="19" t="s">
        <v>292</v>
      </c>
      <c r="P170" s="19" t="s">
        <v>283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0.875</v>
      </c>
      <c r="C171" s="19" t="s">
        <v>13</v>
      </c>
      <c r="D171" s="19" t="s">
        <v>31</v>
      </c>
      <c r="E171" s="19" t="s">
        <v>31</v>
      </c>
      <c r="F171">
        <v>4</v>
      </c>
      <c r="G171">
        <v>5</v>
      </c>
      <c r="H171">
        <v>0.62739999999999996</v>
      </c>
      <c r="I171" s="19" t="s">
        <v>249</v>
      </c>
      <c r="J171" s="19" t="s">
        <v>31</v>
      </c>
      <c r="K171">
        <v>3</v>
      </c>
      <c r="L171">
        <v>2</v>
      </c>
      <c r="M171">
        <v>-0.17</v>
      </c>
      <c r="N171" s="19" t="s">
        <v>13</v>
      </c>
      <c r="O171" s="19" t="s">
        <v>288</v>
      </c>
      <c r="P171" s="19" t="s">
        <v>287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16</v>
      </c>
      <c r="D172" s="19" t="s">
        <v>17</v>
      </c>
      <c r="E172" s="19" t="s">
        <v>16</v>
      </c>
      <c r="F172">
        <v>4</v>
      </c>
      <c r="G172">
        <v>3</v>
      </c>
      <c r="H172">
        <v>0.62190000000000001</v>
      </c>
      <c r="I172" s="19" t="s">
        <v>249</v>
      </c>
      <c r="J172" s="19" t="s">
        <v>17</v>
      </c>
      <c r="K172">
        <v>3</v>
      </c>
      <c r="L172">
        <v>2</v>
      </c>
      <c r="M172">
        <v>-0.48</v>
      </c>
      <c r="N172" s="19" t="s">
        <v>16</v>
      </c>
      <c r="O172" s="19" t="s">
        <v>291</v>
      </c>
      <c r="P172" s="19" t="s">
        <v>284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0.75</v>
      </c>
      <c r="C173" s="19" t="s">
        <v>30</v>
      </c>
      <c r="D173" s="19" t="s">
        <v>15</v>
      </c>
      <c r="E173" s="19" t="s">
        <v>15</v>
      </c>
      <c r="F173">
        <v>3</v>
      </c>
      <c r="G173">
        <v>4</v>
      </c>
      <c r="H173">
        <v>0.59319999999999995</v>
      </c>
      <c r="I173" s="19" t="s">
        <v>249</v>
      </c>
      <c r="J173" s="19" t="s">
        <v>30</v>
      </c>
      <c r="K173">
        <v>3</v>
      </c>
      <c r="L173">
        <v>2</v>
      </c>
      <c r="M173">
        <v>0.28000000000000003</v>
      </c>
      <c r="N173" s="19" t="s">
        <v>30</v>
      </c>
      <c r="O173" s="19" t="s">
        <v>284</v>
      </c>
      <c r="P173" s="19" t="s">
        <v>285</v>
      </c>
      <c r="Q173" s="19" t="s">
        <v>285</v>
      </c>
      <c r="R173" s="19" t="s">
        <v>249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23</v>
      </c>
      <c r="D174" s="19" t="s">
        <v>21</v>
      </c>
      <c r="E174" s="19" t="s">
        <v>23</v>
      </c>
      <c r="F174">
        <v>4</v>
      </c>
      <c r="G174">
        <v>3</v>
      </c>
      <c r="H174">
        <v>0.59740000000000004</v>
      </c>
      <c r="I174" s="19" t="s">
        <v>249</v>
      </c>
      <c r="J174" s="19" t="s">
        <v>21</v>
      </c>
      <c r="K174">
        <v>3</v>
      </c>
      <c r="L174">
        <v>2</v>
      </c>
      <c r="M174">
        <v>-0.01</v>
      </c>
      <c r="N174" s="19" t="s">
        <v>23</v>
      </c>
      <c r="O174" s="19" t="s">
        <v>289</v>
      </c>
      <c r="P174" s="19" t="s">
        <v>287</v>
      </c>
      <c r="Q174" s="19" t="s">
        <v>285</v>
      </c>
      <c r="R174" s="19" t="s">
        <v>248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20</v>
      </c>
      <c r="D175" s="19" t="s">
        <v>12</v>
      </c>
      <c r="E175" s="19" t="s">
        <v>12</v>
      </c>
      <c r="F175">
        <v>2</v>
      </c>
      <c r="G175">
        <v>4</v>
      </c>
      <c r="H175">
        <v>0.76419999999999999</v>
      </c>
      <c r="I175" s="19" t="s">
        <v>249</v>
      </c>
      <c r="J175" s="19" t="s">
        <v>12</v>
      </c>
      <c r="K175">
        <v>3</v>
      </c>
      <c r="L175">
        <v>2</v>
      </c>
      <c r="M175">
        <v>-1.46</v>
      </c>
      <c r="N175" s="19" t="s">
        <v>12</v>
      </c>
      <c r="O175" s="19" t="s">
        <v>283</v>
      </c>
      <c r="P175" s="19" t="s">
        <v>288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25</v>
      </c>
      <c r="D176" s="19" t="s">
        <v>26</v>
      </c>
      <c r="E176" s="19" t="s">
        <v>25</v>
      </c>
      <c r="F176">
        <v>4</v>
      </c>
      <c r="G176">
        <v>3</v>
      </c>
      <c r="H176">
        <v>0.75470000000000004</v>
      </c>
      <c r="I176" s="19" t="s">
        <v>249</v>
      </c>
      <c r="J176" s="19" t="s">
        <v>25</v>
      </c>
      <c r="K176">
        <v>3</v>
      </c>
      <c r="L176">
        <v>2</v>
      </c>
      <c r="M176">
        <v>0.69</v>
      </c>
      <c r="N176" s="19" t="s">
        <v>25</v>
      </c>
      <c r="O176" s="19" t="s">
        <v>283</v>
      </c>
      <c r="P176" s="19" t="s">
        <v>284</v>
      </c>
      <c r="Q176" s="19" t="s">
        <v>285</v>
      </c>
      <c r="R176" s="19" t="s">
        <v>248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0.875</v>
      </c>
      <c r="C182" s="19" t="s">
        <v>16</v>
      </c>
      <c r="D182" s="19" t="s">
        <v>21</v>
      </c>
      <c r="E182" s="19" t="s">
        <v>16</v>
      </c>
      <c r="F182">
        <v>4</v>
      </c>
      <c r="G182">
        <v>2</v>
      </c>
      <c r="H182">
        <v>0.67530000000000001</v>
      </c>
      <c r="I182" s="19" t="s">
        <v>249</v>
      </c>
      <c r="J182" s="19" t="s">
        <v>21</v>
      </c>
      <c r="K182">
        <v>3</v>
      </c>
      <c r="L182">
        <v>2</v>
      </c>
      <c r="M182">
        <v>-0.24</v>
      </c>
      <c r="N182" s="19" t="s">
        <v>16</v>
      </c>
      <c r="O182" s="19" t="s">
        <v>284</v>
      </c>
      <c r="P182" s="19" t="s">
        <v>287</v>
      </c>
      <c r="Q182" s="19" t="s">
        <v>287</v>
      </c>
      <c r="R182" s="19" t="s">
        <v>248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11</v>
      </c>
      <c r="D183" s="19" t="s">
        <v>22</v>
      </c>
      <c r="E183" s="19" t="s">
        <v>11</v>
      </c>
      <c r="F183">
        <v>4</v>
      </c>
      <c r="G183">
        <v>3</v>
      </c>
      <c r="H183">
        <v>0.65490000000000004</v>
      </c>
      <c r="I183" s="19" t="s">
        <v>249</v>
      </c>
      <c r="J183" s="19" t="s">
        <v>22</v>
      </c>
      <c r="K183">
        <v>3</v>
      </c>
      <c r="L183">
        <v>2</v>
      </c>
      <c r="M183">
        <v>-0.23</v>
      </c>
      <c r="N183" s="19" t="s">
        <v>11</v>
      </c>
      <c r="O183" s="19" t="s">
        <v>283</v>
      </c>
      <c r="P183" s="19" t="s">
        <v>291</v>
      </c>
      <c r="Q183" s="19" t="s">
        <v>285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31</v>
      </c>
      <c r="D184" s="19" t="s">
        <v>33</v>
      </c>
      <c r="E184" s="19" t="s">
        <v>31</v>
      </c>
      <c r="F184">
        <v>4</v>
      </c>
      <c r="G184">
        <v>3</v>
      </c>
      <c r="H184">
        <v>0.65629999999999999</v>
      </c>
      <c r="I184" s="19" t="s">
        <v>249</v>
      </c>
      <c r="J184" s="19" t="s">
        <v>31</v>
      </c>
      <c r="K184">
        <v>3</v>
      </c>
      <c r="L184">
        <v>2</v>
      </c>
      <c r="M184">
        <v>0.36</v>
      </c>
      <c r="N184" s="19" t="s">
        <v>33</v>
      </c>
      <c r="O184" s="19" t="s">
        <v>289</v>
      </c>
      <c r="P184" s="19" t="s">
        <v>283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25</v>
      </c>
      <c r="D185" s="19" t="s">
        <v>15</v>
      </c>
      <c r="E185" s="19" t="s">
        <v>15</v>
      </c>
      <c r="F185">
        <v>3</v>
      </c>
      <c r="G185">
        <v>4</v>
      </c>
      <c r="H185">
        <v>0.75149999999999995</v>
      </c>
      <c r="I185" s="19" t="s">
        <v>249</v>
      </c>
      <c r="J185" s="19" t="s">
        <v>25</v>
      </c>
      <c r="K185">
        <v>3</v>
      </c>
      <c r="L185">
        <v>2</v>
      </c>
      <c r="M185">
        <v>0.65</v>
      </c>
      <c r="N185" s="19" t="s">
        <v>25</v>
      </c>
      <c r="O185" s="19" t="s">
        <v>291</v>
      </c>
      <c r="P185" s="19" t="s">
        <v>284</v>
      </c>
      <c r="Q185" s="19" t="s">
        <v>287</v>
      </c>
      <c r="R185" s="19" t="s">
        <v>249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12</v>
      </c>
      <c r="O186" s="19" t="s">
        <v>283</v>
      </c>
      <c r="P186" s="19" t="s">
        <v>284</v>
      </c>
      <c r="Q186" s="19" t="s">
        <v>285</v>
      </c>
      <c r="R186" s="19" t="s">
        <v>248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0.8125</v>
      </c>
      <c r="C187" s="19" t="s">
        <v>40</v>
      </c>
      <c r="D187" s="19" t="s">
        <v>17</v>
      </c>
      <c r="E187" s="19" t="s">
        <v>17</v>
      </c>
      <c r="F187">
        <v>3</v>
      </c>
      <c r="G187">
        <v>4</v>
      </c>
      <c r="H187">
        <v>0.54410000000000003</v>
      </c>
      <c r="I187" s="19" t="s">
        <v>249</v>
      </c>
      <c r="J187" s="19" t="s">
        <v>17</v>
      </c>
      <c r="K187">
        <v>3</v>
      </c>
      <c r="L187">
        <v>2</v>
      </c>
      <c r="M187">
        <v>-0.05</v>
      </c>
      <c r="N187" s="19" t="s">
        <v>17</v>
      </c>
      <c r="O187" s="19" t="s">
        <v>287</v>
      </c>
      <c r="P187" s="19" t="s">
        <v>291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38</v>
      </c>
      <c r="O189" s="19" t="s">
        <v>284</v>
      </c>
      <c r="P189" s="19" t="s">
        <v>291</v>
      </c>
      <c r="Q189" s="19" t="s">
        <v>287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0.83333333333333337</v>
      </c>
      <c r="C190" s="19" t="s">
        <v>35</v>
      </c>
      <c r="D190" s="19" t="s">
        <v>23</v>
      </c>
      <c r="E190" s="19" t="s">
        <v>35</v>
      </c>
      <c r="F190">
        <v>4</v>
      </c>
      <c r="G190">
        <v>3</v>
      </c>
      <c r="H190">
        <v>0.57420000000000004</v>
      </c>
      <c r="I190" s="19" t="s">
        <v>249</v>
      </c>
      <c r="J190" s="19" t="s">
        <v>23</v>
      </c>
      <c r="K190">
        <v>3</v>
      </c>
      <c r="L190">
        <v>2</v>
      </c>
      <c r="M190">
        <v>-0.86</v>
      </c>
      <c r="N190" s="19" t="s">
        <v>23</v>
      </c>
      <c r="O190" s="19" t="s">
        <v>284</v>
      </c>
      <c r="P190" s="19" t="s">
        <v>289</v>
      </c>
      <c r="Q190" s="19" t="s">
        <v>285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55</v>
      </c>
      <c r="D191" s="19" t="s">
        <v>29</v>
      </c>
      <c r="E191" s="19" t="s">
        <v>55</v>
      </c>
      <c r="F191">
        <v>4</v>
      </c>
      <c r="G191">
        <v>2</v>
      </c>
      <c r="H191">
        <v>0.71530000000000005</v>
      </c>
      <c r="I191" s="19" t="s">
        <v>249</v>
      </c>
      <c r="J191" s="19" t="s">
        <v>55</v>
      </c>
      <c r="K191">
        <v>3</v>
      </c>
      <c r="L191">
        <v>2</v>
      </c>
      <c r="M191">
        <v>0.66</v>
      </c>
      <c r="N191" s="19" t="s">
        <v>29</v>
      </c>
      <c r="O191" s="19" t="s">
        <v>291</v>
      </c>
      <c r="P191" s="19" t="s">
        <v>289</v>
      </c>
      <c r="Q191" s="19" t="s">
        <v>285</v>
      </c>
      <c r="R191" s="19" t="s">
        <v>249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20</v>
      </c>
      <c r="D192" s="19" t="s">
        <v>34</v>
      </c>
      <c r="E192" s="19" t="s">
        <v>34</v>
      </c>
      <c r="F192">
        <v>3</v>
      </c>
      <c r="G192">
        <v>4</v>
      </c>
      <c r="H192">
        <v>0.59099999999999997</v>
      </c>
      <c r="I192" s="19" t="s">
        <v>249</v>
      </c>
      <c r="J192" s="19" t="s">
        <v>34</v>
      </c>
      <c r="K192">
        <v>3</v>
      </c>
      <c r="L192">
        <v>2</v>
      </c>
      <c r="M192">
        <v>-0.21</v>
      </c>
      <c r="N192" s="19" t="s">
        <v>34</v>
      </c>
      <c r="O192" s="19" t="s">
        <v>284</v>
      </c>
      <c r="P192" s="19" t="s">
        <v>283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0.85416666666666663</v>
      </c>
      <c r="C194" s="19" t="s">
        <v>10</v>
      </c>
      <c r="D194" s="19" t="s">
        <v>30</v>
      </c>
      <c r="E194" s="19" t="s">
        <v>30</v>
      </c>
      <c r="F194">
        <v>2</v>
      </c>
      <c r="G194">
        <v>3</v>
      </c>
      <c r="H194">
        <v>0.63029999999999997</v>
      </c>
      <c r="I194" s="19" t="s">
        <v>249</v>
      </c>
      <c r="J194" s="19" t="s">
        <v>30</v>
      </c>
      <c r="K194">
        <v>3</v>
      </c>
      <c r="L194">
        <v>2</v>
      </c>
      <c r="M194">
        <v>-0.67</v>
      </c>
      <c r="N194" s="19" t="s">
        <v>30</v>
      </c>
      <c r="O194" s="19" t="s">
        <v>284</v>
      </c>
      <c r="P194" s="19" t="s">
        <v>291</v>
      </c>
      <c r="Q194" s="19" t="s">
        <v>287</v>
      </c>
      <c r="R194" s="19" t="s">
        <v>248</v>
      </c>
      <c r="S194" s="19" t="s">
        <v>248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19</v>
      </c>
      <c r="D197" s="19" t="s">
        <v>24</v>
      </c>
      <c r="E197" s="19" t="s">
        <v>24</v>
      </c>
      <c r="F197">
        <v>3</v>
      </c>
      <c r="G197">
        <v>4</v>
      </c>
      <c r="H197">
        <v>0.66710000000000003</v>
      </c>
      <c r="I197" s="19" t="s">
        <v>249</v>
      </c>
      <c r="J197" s="19" t="s">
        <v>24</v>
      </c>
      <c r="K197">
        <v>3</v>
      </c>
      <c r="L197">
        <v>2</v>
      </c>
      <c r="M197">
        <v>-0.08</v>
      </c>
      <c r="N197" s="19" t="s">
        <v>19</v>
      </c>
      <c r="O197" s="19" t="s">
        <v>289</v>
      </c>
      <c r="P197" s="19" t="s">
        <v>285</v>
      </c>
      <c r="Q197" s="19" t="s">
        <v>285</v>
      </c>
      <c r="R197" s="19" t="s">
        <v>249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0.625</v>
      </c>
      <c r="C198" s="19" t="s">
        <v>20</v>
      </c>
      <c r="D198" s="19" t="s">
        <v>29</v>
      </c>
      <c r="E198" s="19" t="s">
        <v>20</v>
      </c>
      <c r="F198">
        <v>4</v>
      </c>
      <c r="G198">
        <v>3</v>
      </c>
      <c r="H198">
        <v>0.66679999999999995</v>
      </c>
      <c r="I198" s="19" t="s">
        <v>248</v>
      </c>
      <c r="J198" s="19" t="s">
        <v>20</v>
      </c>
      <c r="K198">
        <v>3</v>
      </c>
      <c r="L198">
        <v>2</v>
      </c>
      <c r="M198">
        <v>0.59</v>
      </c>
      <c r="N198" s="19" t="s">
        <v>60</v>
      </c>
      <c r="O198" s="19" t="s">
        <v>60</v>
      </c>
      <c r="P198" s="19" t="s">
        <v>60</v>
      </c>
      <c r="Q198" s="19" t="s">
        <v>60</v>
      </c>
      <c r="R198" s="19" t="s">
        <v>60</v>
      </c>
      <c r="S198" s="19" t="s">
        <v>60</v>
      </c>
      <c r="T198" s="19" t="s">
        <v>281</v>
      </c>
    </row>
    <row r="199" spans="1:20" x14ac:dyDescent="0.2">
      <c r="A199" s="1">
        <v>46022</v>
      </c>
      <c r="B199" s="2">
        <v>0.66666666666666663</v>
      </c>
      <c r="C199" s="19" t="s">
        <v>31</v>
      </c>
      <c r="D199" s="19" t="s">
        <v>37</v>
      </c>
      <c r="E199" s="19" t="s">
        <v>37</v>
      </c>
      <c r="F199">
        <v>2</v>
      </c>
      <c r="G199">
        <v>4</v>
      </c>
      <c r="H199">
        <v>0.76780000000000004</v>
      </c>
      <c r="I199" s="19" t="s">
        <v>249</v>
      </c>
      <c r="J199" s="19" t="s">
        <v>37</v>
      </c>
      <c r="K199">
        <v>3</v>
      </c>
      <c r="L199">
        <v>2</v>
      </c>
      <c r="M199">
        <v>-0.71</v>
      </c>
      <c r="N199" s="19" t="s">
        <v>60</v>
      </c>
      <c r="O199" s="19" t="s">
        <v>60</v>
      </c>
      <c r="P199" s="19" t="s">
        <v>60</v>
      </c>
      <c r="Q199" s="19" t="s">
        <v>60</v>
      </c>
      <c r="R199" s="19" t="s">
        <v>60</v>
      </c>
      <c r="S199" s="19" t="s">
        <v>60</v>
      </c>
      <c r="T199" s="19" t="s">
        <v>281</v>
      </c>
    </row>
    <row r="200" spans="1:20" x14ac:dyDescent="0.2">
      <c r="A200" s="1">
        <v>46022</v>
      </c>
      <c r="B200" s="2">
        <v>0.79166666666666663</v>
      </c>
      <c r="C200" s="19" t="s">
        <v>28</v>
      </c>
      <c r="D200" s="19" t="s">
        <v>24</v>
      </c>
      <c r="E200" s="19" t="s">
        <v>24</v>
      </c>
      <c r="F200">
        <v>3</v>
      </c>
      <c r="G200">
        <v>4</v>
      </c>
      <c r="H200">
        <v>0.67300000000000004</v>
      </c>
      <c r="I200" s="19" t="s">
        <v>249</v>
      </c>
      <c r="J200" s="19" t="s">
        <v>24</v>
      </c>
      <c r="K200">
        <v>3</v>
      </c>
      <c r="L200">
        <v>2</v>
      </c>
      <c r="M200">
        <v>-0.12</v>
      </c>
      <c r="N200" s="19" t="s">
        <v>60</v>
      </c>
      <c r="O200" s="19" t="s">
        <v>60</v>
      </c>
      <c r="P200" s="19" t="s">
        <v>60</v>
      </c>
      <c r="Q200" s="19" t="s">
        <v>60</v>
      </c>
      <c r="R200" s="19" t="s">
        <v>60</v>
      </c>
      <c r="S200" s="19" t="s">
        <v>60</v>
      </c>
      <c r="T200" s="19" t="s">
        <v>281</v>
      </c>
    </row>
    <row r="201" spans="1:20" x14ac:dyDescent="0.2">
      <c r="A201" s="1">
        <v>46022</v>
      </c>
      <c r="B201" s="2">
        <v>0.89583333333333337</v>
      </c>
      <c r="C201" s="19" t="s">
        <v>16</v>
      </c>
      <c r="D201" s="19" t="s">
        <v>27</v>
      </c>
      <c r="E201" s="19" t="s">
        <v>16</v>
      </c>
      <c r="F201">
        <v>5</v>
      </c>
      <c r="G201">
        <v>2</v>
      </c>
      <c r="H201">
        <v>0.67779999999999996</v>
      </c>
      <c r="I201" s="19" t="s">
        <v>249</v>
      </c>
      <c r="J201" s="19" t="s">
        <v>27</v>
      </c>
      <c r="K201">
        <v>3</v>
      </c>
      <c r="L201">
        <v>2</v>
      </c>
      <c r="M201">
        <v>-0.49</v>
      </c>
      <c r="N201" s="19" t="s">
        <v>60</v>
      </c>
      <c r="O201" s="19" t="s">
        <v>60</v>
      </c>
      <c r="P201" s="19" t="s">
        <v>60</v>
      </c>
      <c r="Q201" s="19" t="s">
        <v>60</v>
      </c>
      <c r="R201" s="19" t="s">
        <v>60</v>
      </c>
      <c r="S201" s="19" t="s">
        <v>60</v>
      </c>
      <c r="T201" s="19" t="s">
        <v>281</v>
      </c>
    </row>
    <row r="202" spans="1:20" x14ac:dyDescent="0.2">
      <c r="A202" s="1">
        <v>46022</v>
      </c>
      <c r="B202" s="2">
        <v>0.875</v>
      </c>
      <c r="C202" s="19" t="s">
        <v>12</v>
      </c>
      <c r="D202" s="19" t="s">
        <v>35</v>
      </c>
      <c r="E202" s="19" t="s">
        <v>12</v>
      </c>
      <c r="F202">
        <v>3</v>
      </c>
      <c r="G202">
        <v>2</v>
      </c>
      <c r="H202">
        <v>0.87290000000000001</v>
      </c>
      <c r="I202" s="19" t="s">
        <v>249</v>
      </c>
      <c r="J202" s="19" t="s">
        <v>12</v>
      </c>
      <c r="K202">
        <v>3</v>
      </c>
      <c r="L202">
        <v>2</v>
      </c>
      <c r="M202">
        <v>2.8</v>
      </c>
      <c r="N202" s="19" t="s">
        <v>60</v>
      </c>
      <c r="O202" s="19" t="s">
        <v>60</v>
      </c>
      <c r="P202" s="19" t="s">
        <v>60</v>
      </c>
      <c r="Q202" s="19" t="s">
        <v>60</v>
      </c>
      <c r="R202" s="19" t="s">
        <v>60</v>
      </c>
      <c r="S202" s="19" t="s">
        <v>60</v>
      </c>
      <c r="T202" s="19" t="s">
        <v>281</v>
      </c>
    </row>
    <row r="203" spans="1:20" x14ac:dyDescent="0.2">
      <c r="A203" s="1">
        <v>46022</v>
      </c>
      <c r="B203" s="2">
        <v>0.83333333333333337</v>
      </c>
      <c r="C203" s="19" t="s">
        <v>39</v>
      </c>
      <c r="D203" s="19" t="s">
        <v>23</v>
      </c>
      <c r="E203" s="19" t="s">
        <v>39</v>
      </c>
      <c r="F203">
        <v>4</v>
      </c>
      <c r="G203">
        <v>3</v>
      </c>
      <c r="H203">
        <v>0.78620000000000001</v>
      </c>
      <c r="I203" s="19" t="s">
        <v>249</v>
      </c>
      <c r="J203" s="19" t="s">
        <v>39</v>
      </c>
      <c r="K203">
        <v>3</v>
      </c>
      <c r="L203">
        <v>2</v>
      </c>
      <c r="M203">
        <v>0.91</v>
      </c>
      <c r="N203" s="19" t="s">
        <v>60</v>
      </c>
      <c r="O203" s="19" t="s">
        <v>60</v>
      </c>
      <c r="P203" s="19" t="s">
        <v>60</v>
      </c>
      <c r="Q203" s="19" t="s">
        <v>60</v>
      </c>
      <c r="R203" s="19" t="s">
        <v>60</v>
      </c>
      <c r="S203" s="19" t="s">
        <v>60</v>
      </c>
      <c r="T203" s="19" t="s">
        <v>281</v>
      </c>
    </row>
    <row r="204" spans="1:20" x14ac:dyDescent="0.2">
      <c r="A204" s="1">
        <v>46022</v>
      </c>
      <c r="B204" s="2">
        <v>0.77083333333333337</v>
      </c>
      <c r="C204" s="19" t="s">
        <v>26</v>
      </c>
      <c r="D204" s="19" t="s">
        <v>40</v>
      </c>
      <c r="E204" s="19" t="s">
        <v>26</v>
      </c>
      <c r="F204">
        <v>5</v>
      </c>
      <c r="G204">
        <v>4</v>
      </c>
      <c r="H204">
        <v>0.53749999999999998</v>
      </c>
      <c r="I204" s="19" t="s">
        <v>249</v>
      </c>
      <c r="J204" s="19" t="s">
        <v>26</v>
      </c>
      <c r="K204">
        <v>3</v>
      </c>
      <c r="L204">
        <v>2</v>
      </c>
      <c r="M204">
        <v>0.04</v>
      </c>
      <c r="N204" s="19" t="s">
        <v>60</v>
      </c>
      <c r="O204" s="19" t="s">
        <v>60</v>
      </c>
      <c r="P204" s="19" t="s">
        <v>60</v>
      </c>
      <c r="Q204" s="19" t="s">
        <v>60</v>
      </c>
      <c r="R204" s="19" t="s">
        <v>60</v>
      </c>
      <c r="S204" s="19" t="s">
        <v>60</v>
      </c>
      <c r="T204" s="19" t="s">
        <v>281</v>
      </c>
    </row>
    <row r="205" spans="1:20" x14ac:dyDescent="0.2">
      <c r="A205" s="1">
        <v>46022</v>
      </c>
      <c r="B205" s="2">
        <v>0.89583333333333337</v>
      </c>
      <c r="C205" s="19" t="s">
        <v>17</v>
      </c>
      <c r="D205" s="19" t="s">
        <v>21</v>
      </c>
      <c r="E205" s="19" t="s">
        <v>17</v>
      </c>
      <c r="F205">
        <v>4</v>
      </c>
      <c r="G205">
        <v>3</v>
      </c>
      <c r="H205">
        <v>0.6331</v>
      </c>
      <c r="I205" s="19" t="s">
        <v>249</v>
      </c>
      <c r="J205" s="19" t="s">
        <v>17</v>
      </c>
      <c r="K205">
        <v>3</v>
      </c>
      <c r="L205">
        <v>2</v>
      </c>
      <c r="M205">
        <v>0.3</v>
      </c>
      <c r="N205" s="19" t="s">
        <v>60</v>
      </c>
      <c r="O205" s="19" t="s">
        <v>60</v>
      </c>
      <c r="P205" s="19" t="s">
        <v>60</v>
      </c>
      <c r="Q205" s="19" t="s">
        <v>60</v>
      </c>
      <c r="R205" s="19" t="s">
        <v>60</v>
      </c>
      <c r="S205" s="19" t="s">
        <v>60</v>
      </c>
      <c r="T205" s="19" t="s">
        <v>281</v>
      </c>
    </row>
    <row r="206" spans="1:20" x14ac:dyDescent="0.2">
      <c r="A206" s="1">
        <v>46022</v>
      </c>
      <c r="B206" s="2">
        <v>0.66666666666666663</v>
      </c>
      <c r="C206" s="19" t="s">
        <v>33</v>
      </c>
      <c r="D206" s="19" t="s">
        <v>34</v>
      </c>
      <c r="E206" s="19" t="s">
        <v>34</v>
      </c>
      <c r="F206">
        <v>2</v>
      </c>
      <c r="G206">
        <v>3</v>
      </c>
      <c r="H206">
        <v>0.72799999999999998</v>
      </c>
      <c r="I206" s="19" t="s">
        <v>249</v>
      </c>
      <c r="J206" s="19" t="s">
        <v>34</v>
      </c>
      <c r="K206">
        <v>3</v>
      </c>
      <c r="L206">
        <v>2</v>
      </c>
      <c r="M206">
        <v>-0.8</v>
      </c>
      <c r="N206" s="19" t="s">
        <v>60</v>
      </c>
      <c r="O206" s="19" t="s">
        <v>60</v>
      </c>
      <c r="P206" s="19" t="s">
        <v>60</v>
      </c>
      <c r="Q206" s="19" t="s">
        <v>60</v>
      </c>
      <c r="R206" s="19" t="s">
        <v>60</v>
      </c>
      <c r="S206" s="19" t="s">
        <v>60</v>
      </c>
      <c r="T206" s="19" t="s">
        <v>281</v>
      </c>
    </row>
    <row r="207" spans="1:20" x14ac:dyDescent="0.2">
      <c r="A207" s="1">
        <v>46022</v>
      </c>
      <c r="B207" s="2">
        <v>0.52083333333333337</v>
      </c>
      <c r="C207" s="19" t="s">
        <v>22</v>
      </c>
      <c r="D207" s="19" t="s">
        <v>15</v>
      </c>
      <c r="E207" s="19" t="s">
        <v>15</v>
      </c>
      <c r="F207">
        <v>3</v>
      </c>
      <c r="G207">
        <v>5</v>
      </c>
      <c r="H207">
        <v>0.80369999999999997</v>
      </c>
      <c r="I207" s="19" t="s">
        <v>249</v>
      </c>
      <c r="J207" s="19" t="s">
        <v>22</v>
      </c>
      <c r="K207">
        <v>3</v>
      </c>
      <c r="L207">
        <v>2</v>
      </c>
      <c r="M207">
        <v>0.46</v>
      </c>
      <c r="N207" s="19" t="s">
        <v>60</v>
      </c>
      <c r="O207" s="19" t="s">
        <v>60</v>
      </c>
      <c r="P207" s="19" t="s">
        <v>60</v>
      </c>
      <c r="Q207" s="19" t="s">
        <v>60</v>
      </c>
      <c r="R207" s="19" t="s">
        <v>60</v>
      </c>
      <c r="S207" s="19" t="s">
        <v>60</v>
      </c>
      <c r="T20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2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t="s">
        <v>327</v>
      </c>
      <c r="C2">
        <v>29</v>
      </c>
      <c r="D2" t="s">
        <v>328</v>
      </c>
      <c r="E2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t="s">
        <v>2182</v>
      </c>
      <c r="W2" t="s">
        <v>1702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t="s">
        <v>60</v>
      </c>
    </row>
    <row r="3" spans="1:31" x14ac:dyDescent="0.2">
      <c r="A3">
        <v>2</v>
      </c>
      <c r="B3" t="s">
        <v>320</v>
      </c>
      <c r="C3">
        <v>30</v>
      </c>
      <c r="D3" t="s">
        <v>321</v>
      </c>
      <c r="E3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t="s">
        <v>2183</v>
      </c>
      <c r="W3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t="s">
        <v>60</v>
      </c>
    </row>
    <row r="4" spans="1:31" x14ac:dyDescent="0.2">
      <c r="A4">
        <v>3</v>
      </c>
      <c r="B4" t="s">
        <v>323</v>
      </c>
      <c r="C4">
        <v>19</v>
      </c>
      <c r="D4" t="s">
        <v>324</v>
      </c>
      <c r="E4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t="s">
        <v>2184</v>
      </c>
      <c r="W4" t="s">
        <v>366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t="s">
        <v>60</v>
      </c>
    </row>
    <row r="5" spans="1:31" x14ac:dyDescent="0.2">
      <c r="A5">
        <v>4</v>
      </c>
      <c r="B5" t="s">
        <v>342</v>
      </c>
      <c r="C5">
        <v>30</v>
      </c>
      <c r="D5" t="s">
        <v>328</v>
      </c>
      <c r="E5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t="s">
        <v>2185</v>
      </c>
      <c r="W5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t="s">
        <v>60</v>
      </c>
    </row>
    <row r="6" spans="1:31" x14ac:dyDescent="0.2">
      <c r="A6">
        <v>5</v>
      </c>
      <c r="B6" t="s">
        <v>333</v>
      </c>
      <c r="C6">
        <v>29</v>
      </c>
      <c r="D6" t="s">
        <v>334</v>
      </c>
      <c r="E6" t="s">
        <v>335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t="s">
        <v>2186</v>
      </c>
      <c r="W6" t="s">
        <v>1779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t="s">
        <v>60</v>
      </c>
    </row>
    <row r="7" spans="1:31" x14ac:dyDescent="0.2">
      <c r="A7">
        <v>6</v>
      </c>
      <c r="B7" t="s">
        <v>352</v>
      </c>
      <c r="C7">
        <v>32</v>
      </c>
      <c r="D7" t="s">
        <v>353</v>
      </c>
      <c r="E7" t="s">
        <v>335</v>
      </c>
      <c r="F7">
        <v>34</v>
      </c>
      <c r="G7">
        <v>17</v>
      </c>
      <c r="H7">
        <v>32</v>
      </c>
      <c r="I7">
        <v>49</v>
      </c>
      <c r="J7">
        <v>12</v>
      </c>
      <c r="K7">
        <v>18</v>
      </c>
      <c r="L7">
        <v>14</v>
      </c>
      <c r="M7">
        <v>3</v>
      </c>
      <c r="N7">
        <v>0</v>
      </c>
      <c r="O7">
        <v>4</v>
      </c>
      <c r="P7">
        <v>22</v>
      </c>
      <c r="Q7">
        <v>10</v>
      </c>
      <c r="R7">
        <v>0</v>
      </c>
      <c r="S7">
        <v>105</v>
      </c>
      <c r="T7">
        <v>16.2</v>
      </c>
      <c r="U7">
        <v>254</v>
      </c>
      <c r="V7" t="s">
        <v>2641</v>
      </c>
      <c r="W7" t="s">
        <v>1666</v>
      </c>
      <c r="X7">
        <v>0</v>
      </c>
      <c r="Y7">
        <v>1</v>
      </c>
      <c r="Z7">
        <v>0</v>
      </c>
      <c r="AA7">
        <v>12</v>
      </c>
      <c r="AB7">
        <v>14</v>
      </c>
      <c r="AC7">
        <v>10</v>
      </c>
      <c r="AD7">
        <v>56</v>
      </c>
      <c r="AE7" t="s">
        <v>60</v>
      </c>
    </row>
    <row r="8" spans="1:31" x14ac:dyDescent="0.2">
      <c r="A8">
        <v>7</v>
      </c>
      <c r="B8" t="s">
        <v>331</v>
      </c>
      <c r="C8">
        <v>27</v>
      </c>
      <c r="D8" t="s">
        <v>321</v>
      </c>
      <c r="E8" t="s">
        <v>322</v>
      </c>
      <c r="F8">
        <v>37</v>
      </c>
      <c r="G8">
        <v>18</v>
      </c>
      <c r="H8">
        <v>31</v>
      </c>
      <c r="I8">
        <v>49</v>
      </c>
      <c r="J8">
        <v>37</v>
      </c>
      <c r="K8">
        <v>22</v>
      </c>
      <c r="L8">
        <v>15</v>
      </c>
      <c r="M8">
        <v>3</v>
      </c>
      <c r="N8">
        <v>0</v>
      </c>
      <c r="O8">
        <v>0</v>
      </c>
      <c r="P8">
        <v>25</v>
      </c>
      <c r="Q8">
        <v>6</v>
      </c>
      <c r="R8">
        <v>0</v>
      </c>
      <c r="S8">
        <v>83</v>
      </c>
      <c r="T8">
        <v>21.7</v>
      </c>
      <c r="U8">
        <v>178</v>
      </c>
      <c r="V8" t="s">
        <v>2187</v>
      </c>
      <c r="W8" t="s">
        <v>2188</v>
      </c>
      <c r="X8">
        <v>9</v>
      </c>
      <c r="Y8">
        <v>9</v>
      </c>
      <c r="Z8">
        <v>50</v>
      </c>
      <c r="AA8">
        <v>12</v>
      </c>
      <c r="AB8">
        <v>35</v>
      </c>
      <c r="AC8">
        <v>10</v>
      </c>
      <c r="AD8">
        <v>65</v>
      </c>
      <c r="AE8" t="s">
        <v>60</v>
      </c>
    </row>
    <row r="9" spans="1:31" x14ac:dyDescent="0.2">
      <c r="A9">
        <v>8</v>
      </c>
      <c r="B9" t="s">
        <v>358</v>
      </c>
      <c r="C9">
        <v>28</v>
      </c>
      <c r="D9" t="s">
        <v>359</v>
      </c>
      <c r="E9" t="s">
        <v>340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t="s">
        <v>2189</v>
      </c>
      <c r="W9" t="s">
        <v>1939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t="s">
        <v>60</v>
      </c>
    </row>
    <row r="10" spans="1:31" x14ac:dyDescent="0.2">
      <c r="A10">
        <v>9</v>
      </c>
      <c r="B10" t="s">
        <v>369</v>
      </c>
      <c r="C10">
        <v>24</v>
      </c>
      <c r="D10" t="s">
        <v>359</v>
      </c>
      <c r="E10" t="s">
        <v>340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t="s">
        <v>2190</v>
      </c>
      <c r="W10" t="s">
        <v>2191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t="s">
        <v>60</v>
      </c>
    </row>
    <row r="11" spans="1:31" x14ac:dyDescent="0.2">
      <c r="A11">
        <v>10</v>
      </c>
      <c r="B11" t="s">
        <v>347</v>
      </c>
      <c r="C11">
        <v>29</v>
      </c>
      <c r="D11" t="s">
        <v>346</v>
      </c>
      <c r="E11" t="s">
        <v>340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t="s">
        <v>2192</v>
      </c>
      <c r="W11" t="s">
        <v>1653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t="s">
        <v>60</v>
      </c>
    </row>
    <row r="12" spans="1:31" x14ac:dyDescent="0.2">
      <c r="A12">
        <v>11</v>
      </c>
      <c r="B12" t="s">
        <v>350</v>
      </c>
      <c r="C12">
        <v>22</v>
      </c>
      <c r="D12" t="s">
        <v>334</v>
      </c>
      <c r="E12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t="s">
        <v>2193</v>
      </c>
      <c r="W12" t="s">
        <v>777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t="s">
        <v>60</v>
      </c>
    </row>
    <row r="13" spans="1:31" x14ac:dyDescent="0.2">
      <c r="A13">
        <v>12</v>
      </c>
      <c r="B13" t="s">
        <v>339</v>
      </c>
      <c r="C13">
        <v>26</v>
      </c>
      <c r="D13" t="s">
        <v>334</v>
      </c>
      <c r="E13" t="s">
        <v>340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t="s">
        <v>2194</v>
      </c>
      <c r="W13" t="s">
        <v>2102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t="s">
        <v>60</v>
      </c>
    </row>
    <row r="14" spans="1:31" x14ac:dyDescent="0.2">
      <c r="A14">
        <v>13</v>
      </c>
      <c r="B14" t="s">
        <v>345</v>
      </c>
      <c r="C14">
        <v>32</v>
      </c>
      <c r="D14" t="s">
        <v>346</v>
      </c>
      <c r="E14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t="s">
        <v>2195</v>
      </c>
      <c r="W14" t="s">
        <v>1673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t="s">
        <v>60</v>
      </c>
    </row>
    <row r="15" spans="1:31" x14ac:dyDescent="0.2">
      <c r="A15">
        <v>14</v>
      </c>
      <c r="B15" t="s">
        <v>329</v>
      </c>
      <c r="C15">
        <v>20</v>
      </c>
      <c r="D15" t="s">
        <v>330</v>
      </c>
      <c r="E15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t="s">
        <v>1759</v>
      </c>
      <c r="W15" t="s">
        <v>1682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t="s">
        <v>60</v>
      </c>
    </row>
    <row r="16" spans="1:31" x14ac:dyDescent="0.2">
      <c r="A16">
        <v>15</v>
      </c>
      <c r="B16" t="s">
        <v>348</v>
      </c>
      <c r="C16">
        <v>27</v>
      </c>
      <c r="D16" t="s">
        <v>321</v>
      </c>
      <c r="E16" t="s">
        <v>349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t="s">
        <v>2196</v>
      </c>
      <c r="W16" t="s">
        <v>2197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t="s">
        <v>60</v>
      </c>
    </row>
    <row r="17" spans="1:31" x14ac:dyDescent="0.2">
      <c r="A17">
        <v>16</v>
      </c>
      <c r="B17" t="s">
        <v>336</v>
      </c>
      <c r="C17">
        <v>21</v>
      </c>
      <c r="D17" t="s">
        <v>337</v>
      </c>
      <c r="E17" t="s">
        <v>322</v>
      </c>
      <c r="F17">
        <v>37</v>
      </c>
      <c r="G17">
        <v>17</v>
      </c>
      <c r="H17">
        <v>25</v>
      </c>
      <c r="I17">
        <v>42</v>
      </c>
      <c r="J17">
        <v>8</v>
      </c>
      <c r="K17">
        <v>25</v>
      </c>
      <c r="L17">
        <v>12</v>
      </c>
      <c r="M17">
        <v>3</v>
      </c>
      <c r="N17">
        <v>2</v>
      </c>
      <c r="O17">
        <v>3</v>
      </c>
      <c r="P17">
        <v>15</v>
      </c>
      <c r="Q17">
        <v>9</v>
      </c>
      <c r="R17">
        <v>1</v>
      </c>
      <c r="S17">
        <v>92</v>
      </c>
      <c r="T17">
        <v>18.5</v>
      </c>
      <c r="U17">
        <v>187</v>
      </c>
      <c r="V17" t="s">
        <v>2030</v>
      </c>
      <c r="W17" t="s">
        <v>561</v>
      </c>
      <c r="X17">
        <v>281</v>
      </c>
      <c r="Y17">
        <v>329</v>
      </c>
      <c r="Z17">
        <v>46.1</v>
      </c>
      <c r="AA17">
        <v>14</v>
      </c>
      <c r="AB17">
        <v>5</v>
      </c>
      <c r="AC17">
        <v>17</v>
      </c>
      <c r="AD17">
        <v>39</v>
      </c>
      <c r="AE17" t="s">
        <v>60</v>
      </c>
    </row>
    <row r="18" spans="1:31" x14ac:dyDescent="0.2">
      <c r="A18">
        <v>17</v>
      </c>
      <c r="B18" t="s">
        <v>374</v>
      </c>
      <c r="C18">
        <v>37</v>
      </c>
      <c r="D18" t="s">
        <v>375</v>
      </c>
      <c r="E18" t="s">
        <v>340</v>
      </c>
      <c r="F18">
        <v>36</v>
      </c>
      <c r="G18">
        <v>21</v>
      </c>
      <c r="H18">
        <v>21</v>
      </c>
      <c r="I18">
        <v>42</v>
      </c>
      <c r="J18">
        <v>-5</v>
      </c>
      <c r="K18">
        <v>30</v>
      </c>
      <c r="L18">
        <v>17</v>
      </c>
      <c r="M18">
        <v>4</v>
      </c>
      <c r="N18">
        <v>0</v>
      </c>
      <c r="O18">
        <v>2</v>
      </c>
      <c r="P18">
        <v>12</v>
      </c>
      <c r="Q18">
        <v>9</v>
      </c>
      <c r="R18">
        <v>0</v>
      </c>
      <c r="S18">
        <v>99</v>
      </c>
      <c r="T18">
        <v>21.2</v>
      </c>
      <c r="U18">
        <v>201</v>
      </c>
      <c r="V18" t="s">
        <v>2198</v>
      </c>
      <c r="W18" t="s">
        <v>505</v>
      </c>
      <c r="X18">
        <v>1</v>
      </c>
      <c r="Y18">
        <v>7</v>
      </c>
      <c r="Z18">
        <v>12.5</v>
      </c>
      <c r="AA18">
        <v>14</v>
      </c>
      <c r="AB18">
        <v>27</v>
      </c>
      <c r="AC18">
        <v>12</v>
      </c>
      <c r="AD18">
        <v>38</v>
      </c>
      <c r="AE18" t="s">
        <v>60</v>
      </c>
    </row>
    <row r="19" spans="1:31" x14ac:dyDescent="0.2">
      <c r="A19">
        <v>18</v>
      </c>
      <c r="B19" t="s">
        <v>376</v>
      </c>
      <c r="C19">
        <v>23</v>
      </c>
      <c r="D19" t="s">
        <v>373</v>
      </c>
      <c r="E19" t="s">
        <v>340</v>
      </c>
      <c r="F19">
        <v>38</v>
      </c>
      <c r="G19">
        <v>11</v>
      </c>
      <c r="H19">
        <v>31</v>
      </c>
      <c r="I19">
        <v>42</v>
      </c>
      <c r="J19">
        <v>4</v>
      </c>
      <c r="K19">
        <v>6</v>
      </c>
      <c r="L19">
        <v>7</v>
      </c>
      <c r="M19">
        <v>4</v>
      </c>
      <c r="N19">
        <v>0</v>
      </c>
      <c r="O19">
        <v>3</v>
      </c>
      <c r="P19">
        <v>19</v>
      </c>
      <c r="Q19">
        <v>12</v>
      </c>
      <c r="R19">
        <v>0</v>
      </c>
      <c r="S19">
        <v>85</v>
      </c>
      <c r="T19">
        <v>12.9</v>
      </c>
      <c r="U19">
        <v>169</v>
      </c>
      <c r="V19" t="s">
        <v>2642</v>
      </c>
      <c r="W19" t="s">
        <v>531</v>
      </c>
      <c r="X19">
        <v>1</v>
      </c>
      <c r="Y19">
        <v>0</v>
      </c>
      <c r="Z19">
        <v>100</v>
      </c>
      <c r="AA19">
        <v>16</v>
      </c>
      <c r="AB19">
        <v>17</v>
      </c>
      <c r="AC19">
        <v>16</v>
      </c>
      <c r="AD19">
        <v>42</v>
      </c>
      <c r="AE19" t="s">
        <v>60</v>
      </c>
    </row>
    <row r="20" spans="1:31" x14ac:dyDescent="0.2">
      <c r="A20">
        <v>19</v>
      </c>
      <c r="B20" t="s">
        <v>364</v>
      </c>
      <c r="C20">
        <v>26</v>
      </c>
      <c r="D20" t="s">
        <v>365</v>
      </c>
      <c r="E20" t="s">
        <v>322</v>
      </c>
      <c r="F20">
        <v>38</v>
      </c>
      <c r="G20">
        <v>11</v>
      </c>
      <c r="H20">
        <v>31</v>
      </c>
      <c r="I20">
        <v>42</v>
      </c>
      <c r="J20">
        <v>12</v>
      </c>
      <c r="K20">
        <v>6</v>
      </c>
      <c r="L20">
        <v>4</v>
      </c>
      <c r="M20">
        <v>7</v>
      </c>
      <c r="N20">
        <v>0</v>
      </c>
      <c r="O20">
        <v>0</v>
      </c>
      <c r="P20">
        <v>18</v>
      </c>
      <c r="Q20">
        <v>13</v>
      </c>
      <c r="R20">
        <v>0</v>
      </c>
      <c r="S20">
        <v>76</v>
      </c>
      <c r="T20">
        <v>14.5</v>
      </c>
      <c r="U20">
        <v>173</v>
      </c>
      <c r="V20" t="s">
        <v>2643</v>
      </c>
      <c r="W20" t="s">
        <v>2083</v>
      </c>
      <c r="X20">
        <v>328</v>
      </c>
      <c r="Y20">
        <v>337</v>
      </c>
      <c r="Z20">
        <v>49.3</v>
      </c>
      <c r="AA20">
        <v>35</v>
      </c>
      <c r="AB20">
        <v>28</v>
      </c>
      <c r="AC20">
        <v>10</v>
      </c>
      <c r="AD20">
        <v>30</v>
      </c>
      <c r="AE20" t="s">
        <v>60</v>
      </c>
    </row>
    <row r="21" spans="1:31" x14ac:dyDescent="0.2">
      <c r="A21">
        <v>20</v>
      </c>
      <c r="B21" t="s">
        <v>343</v>
      </c>
      <c r="C21">
        <v>29</v>
      </c>
      <c r="D21" t="s">
        <v>344</v>
      </c>
      <c r="E21" t="s">
        <v>322</v>
      </c>
      <c r="F21">
        <v>31</v>
      </c>
      <c r="G21">
        <v>12</v>
      </c>
      <c r="H21">
        <v>29</v>
      </c>
      <c r="I21">
        <v>41</v>
      </c>
      <c r="J21">
        <v>6</v>
      </c>
      <c r="K21">
        <v>2</v>
      </c>
      <c r="L21">
        <v>12</v>
      </c>
      <c r="M21">
        <v>0</v>
      </c>
      <c r="N21">
        <v>0</v>
      </c>
      <c r="O21">
        <v>3</v>
      </c>
      <c r="P21">
        <v>13</v>
      </c>
      <c r="Q21">
        <v>16</v>
      </c>
      <c r="R21">
        <v>0</v>
      </c>
      <c r="S21">
        <v>117</v>
      </c>
      <c r="T21">
        <v>10.3</v>
      </c>
      <c r="U21">
        <v>190</v>
      </c>
      <c r="V21" t="s">
        <v>1762</v>
      </c>
      <c r="W21" t="s">
        <v>1732</v>
      </c>
      <c r="X21">
        <v>232</v>
      </c>
      <c r="Y21">
        <v>256</v>
      </c>
      <c r="Z21">
        <v>47.5</v>
      </c>
      <c r="AA21">
        <v>21</v>
      </c>
      <c r="AB21">
        <v>16</v>
      </c>
      <c r="AC21">
        <v>16</v>
      </c>
      <c r="AD21">
        <v>54</v>
      </c>
      <c r="AE21" t="s">
        <v>60</v>
      </c>
    </row>
    <row r="22" spans="1:31" x14ac:dyDescent="0.2">
      <c r="A22">
        <v>21</v>
      </c>
      <c r="B22" t="s">
        <v>360</v>
      </c>
      <c r="C22">
        <v>29</v>
      </c>
      <c r="D22" t="s">
        <v>361</v>
      </c>
      <c r="E22" t="s">
        <v>322</v>
      </c>
      <c r="F22">
        <v>33</v>
      </c>
      <c r="G22">
        <v>14</v>
      </c>
      <c r="H22">
        <v>27</v>
      </c>
      <c r="I22">
        <v>41</v>
      </c>
      <c r="J22">
        <v>-1</v>
      </c>
      <c r="K22">
        <v>12</v>
      </c>
      <c r="L22">
        <v>11</v>
      </c>
      <c r="M22">
        <v>3</v>
      </c>
      <c r="N22">
        <v>0</v>
      </c>
      <c r="O22">
        <v>2</v>
      </c>
      <c r="P22">
        <v>22</v>
      </c>
      <c r="Q22">
        <v>5</v>
      </c>
      <c r="R22">
        <v>0</v>
      </c>
      <c r="S22">
        <v>68</v>
      </c>
      <c r="T22">
        <v>20.6</v>
      </c>
      <c r="U22">
        <v>149</v>
      </c>
      <c r="V22" t="s">
        <v>2199</v>
      </c>
      <c r="W22" t="s">
        <v>1699</v>
      </c>
      <c r="X22">
        <v>18</v>
      </c>
      <c r="Y22">
        <v>31</v>
      </c>
      <c r="Z22">
        <v>36.700000000000003</v>
      </c>
      <c r="AA22">
        <v>12</v>
      </c>
      <c r="AB22">
        <v>4</v>
      </c>
      <c r="AC22">
        <v>15</v>
      </c>
      <c r="AD22">
        <v>34</v>
      </c>
      <c r="AE22" t="s">
        <v>60</v>
      </c>
    </row>
    <row r="23" spans="1:31" x14ac:dyDescent="0.2">
      <c r="A23">
        <v>22</v>
      </c>
      <c r="B23" t="s">
        <v>392</v>
      </c>
      <c r="C23">
        <v>29</v>
      </c>
      <c r="D23" t="s">
        <v>356</v>
      </c>
      <c r="E23" t="s">
        <v>335</v>
      </c>
      <c r="F23">
        <v>34</v>
      </c>
      <c r="G23">
        <v>15</v>
      </c>
      <c r="H23">
        <v>26</v>
      </c>
      <c r="I23">
        <v>41</v>
      </c>
      <c r="J23">
        <v>-12</v>
      </c>
      <c r="K23">
        <v>28</v>
      </c>
      <c r="L23">
        <v>8</v>
      </c>
      <c r="M23">
        <v>7</v>
      </c>
      <c r="N23">
        <v>0</v>
      </c>
      <c r="O23">
        <v>2</v>
      </c>
      <c r="P23">
        <v>16</v>
      </c>
      <c r="Q23">
        <v>10</v>
      </c>
      <c r="R23">
        <v>0</v>
      </c>
      <c r="S23">
        <v>114</v>
      </c>
      <c r="T23">
        <v>13.2</v>
      </c>
      <c r="U23">
        <v>257</v>
      </c>
      <c r="V23" t="s">
        <v>2200</v>
      </c>
      <c r="W23" t="s">
        <v>1779</v>
      </c>
      <c r="X23">
        <v>1</v>
      </c>
      <c r="Y23">
        <v>1</v>
      </c>
      <c r="Z23">
        <v>50</v>
      </c>
      <c r="AA23">
        <v>13</v>
      </c>
      <c r="AB23">
        <v>45</v>
      </c>
      <c r="AC23">
        <v>12</v>
      </c>
      <c r="AD23">
        <v>59</v>
      </c>
      <c r="AE23" t="s">
        <v>60</v>
      </c>
    </row>
    <row r="24" spans="1:31" x14ac:dyDescent="0.2">
      <c r="A24">
        <v>23</v>
      </c>
      <c r="B24" t="s">
        <v>380</v>
      </c>
      <c r="C24">
        <v>28</v>
      </c>
      <c r="D24" t="s">
        <v>373</v>
      </c>
      <c r="E24" t="s">
        <v>335</v>
      </c>
      <c r="F24">
        <v>40</v>
      </c>
      <c r="G24">
        <v>20</v>
      </c>
      <c r="H24">
        <v>20</v>
      </c>
      <c r="I24">
        <v>40</v>
      </c>
      <c r="J24">
        <v>1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140</v>
      </c>
      <c r="T24">
        <v>14.3</v>
      </c>
      <c r="U24">
        <v>277</v>
      </c>
      <c r="V24" t="s">
        <v>2644</v>
      </c>
      <c r="W24" t="s">
        <v>2096</v>
      </c>
      <c r="X24">
        <v>7</v>
      </c>
      <c r="Y24">
        <v>16</v>
      </c>
      <c r="Z24">
        <v>30.4</v>
      </c>
      <c r="AA24">
        <v>18</v>
      </c>
      <c r="AB24">
        <v>17</v>
      </c>
      <c r="AC24">
        <v>19</v>
      </c>
      <c r="AD24">
        <v>38</v>
      </c>
      <c r="AE24" t="s">
        <v>60</v>
      </c>
    </row>
    <row r="25" spans="1:31" x14ac:dyDescent="0.2">
      <c r="A25">
        <v>24</v>
      </c>
      <c r="B25" t="s">
        <v>355</v>
      </c>
      <c r="C25">
        <v>27</v>
      </c>
      <c r="D25" t="s">
        <v>356</v>
      </c>
      <c r="E25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t="s">
        <v>1847</v>
      </c>
      <c r="W25" t="s">
        <v>2201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t="s">
        <v>60</v>
      </c>
    </row>
    <row r="26" spans="1:31" x14ac:dyDescent="0.2">
      <c r="A26">
        <v>25</v>
      </c>
      <c r="B26" t="s">
        <v>436</v>
      </c>
      <c r="C26">
        <v>24</v>
      </c>
      <c r="D26" t="s">
        <v>426</v>
      </c>
      <c r="E26" t="s">
        <v>340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t="s">
        <v>2202</v>
      </c>
      <c r="W26" t="s">
        <v>1673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t="s">
        <v>60</v>
      </c>
    </row>
    <row r="27" spans="1:31" x14ac:dyDescent="0.2">
      <c r="A27">
        <v>26</v>
      </c>
      <c r="B27" t="s">
        <v>383</v>
      </c>
      <c r="C27">
        <v>28</v>
      </c>
      <c r="D27" t="s">
        <v>384</v>
      </c>
      <c r="E27" t="s">
        <v>349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t="s">
        <v>1891</v>
      </c>
      <c r="W27" t="s">
        <v>1892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t="s">
        <v>60</v>
      </c>
    </row>
    <row r="28" spans="1:31" x14ac:dyDescent="0.2">
      <c r="A28">
        <v>27</v>
      </c>
      <c r="B28" t="s">
        <v>377</v>
      </c>
      <c r="C28">
        <v>38</v>
      </c>
      <c r="D28" t="s">
        <v>378</v>
      </c>
      <c r="E28" t="s">
        <v>322</v>
      </c>
      <c r="F28">
        <v>37</v>
      </c>
      <c r="G28">
        <v>20</v>
      </c>
      <c r="H28">
        <v>19</v>
      </c>
      <c r="I28">
        <v>39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12</v>
      </c>
      <c r="Q28">
        <v>7</v>
      </c>
      <c r="R28">
        <v>0</v>
      </c>
      <c r="S28">
        <v>88</v>
      </c>
      <c r="T28">
        <v>22.7</v>
      </c>
      <c r="U28">
        <v>162</v>
      </c>
      <c r="V28" t="s">
        <v>2645</v>
      </c>
      <c r="W28" t="s">
        <v>1096</v>
      </c>
      <c r="X28">
        <v>427</v>
      </c>
      <c r="Y28">
        <v>340</v>
      </c>
      <c r="Z28">
        <v>55.7</v>
      </c>
      <c r="AA28">
        <v>15</v>
      </c>
      <c r="AB28">
        <v>34</v>
      </c>
      <c r="AC28">
        <v>11</v>
      </c>
      <c r="AD28">
        <v>43</v>
      </c>
      <c r="AE28" t="s">
        <v>60</v>
      </c>
    </row>
    <row r="29" spans="1:31" x14ac:dyDescent="0.2">
      <c r="A29">
        <v>28</v>
      </c>
      <c r="B29" t="s">
        <v>395</v>
      </c>
      <c r="C29">
        <v>31</v>
      </c>
      <c r="D29" t="s">
        <v>353</v>
      </c>
      <c r="E29" t="s">
        <v>322</v>
      </c>
      <c r="F29">
        <v>38</v>
      </c>
      <c r="G29">
        <v>18</v>
      </c>
      <c r="H29">
        <v>21</v>
      </c>
      <c r="I29">
        <v>39</v>
      </c>
      <c r="J29">
        <v>5</v>
      </c>
      <c r="K29">
        <v>15</v>
      </c>
      <c r="L29">
        <v>12</v>
      </c>
      <c r="M29">
        <v>4</v>
      </c>
      <c r="N29">
        <v>2</v>
      </c>
      <c r="O29">
        <v>3</v>
      </c>
      <c r="P29">
        <v>12</v>
      </c>
      <c r="Q29">
        <v>9</v>
      </c>
      <c r="R29">
        <v>0</v>
      </c>
      <c r="S29">
        <v>102</v>
      </c>
      <c r="T29">
        <v>17.600000000000001</v>
      </c>
      <c r="U29">
        <v>178</v>
      </c>
      <c r="V29" t="s">
        <v>2646</v>
      </c>
      <c r="W29" t="s">
        <v>2098</v>
      </c>
      <c r="X29">
        <v>77</v>
      </c>
      <c r="Y29">
        <v>83</v>
      </c>
      <c r="Z29">
        <v>48.1</v>
      </c>
      <c r="AA29">
        <v>24</v>
      </c>
      <c r="AB29">
        <v>18</v>
      </c>
      <c r="AC29">
        <v>14</v>
      </c>
      <c r="AD29">
        <v>29</v>
      </c>
      <c r="AE29" t="s">
        <v>60</v>
      </c>
    </row>
    <row r="30" spans="1:31" x14ac:dyDescent="0.2">
      <c r="A30">
        <v>29</v>
      </c>
      <c r="B30" t="s">
        <v>399</v>
      </c>
      <c r="C30">
        <v>28</v>
      </c>
      <c r="D30" t="s">
        <v>344</v>
      </c>
      <c r="E30" t="s">
        <v>335</v>
      </c>
      <c r="F30">
        <v>36</v>
      </c>
      <c r="G30">
        <v>9</v>
      </c>
      <c r="H30">
        <v>30</v>
      </c>
      <c r="I30">
        <v>39</v>
      </c>
      <c r="J30">
        <v>9</v>
      </c>
      <c r="K30">
        <v>10</v>
      </c>
      <c r="L30">
        <v>7</v>
      </c>
      <c r="M30">
        <v>2</v>
      </c>
      <c r="N30">
        <v>0</v>
      </c>
      <c r="O30">
        <v>0</v>
      </c>
      <c r="P30">
        <v>21</v>
      </c>
      <c r="Q30">
        <v>9</v>
      </c>
      <c r="R30">
        <v>0</v>
      </c>
      <c r="S30">
        <v>68</v>
      </c>
      <c r="T30">
        <v>13.2</v>
      </c>
      <c r="U30">
        <v>165</v>
      </c>
      <c r="V30" t="s">
        <v>2203</v>
      </c>
      <c r="W30" t="s">
        <v>777</v>
      </c>
      <c r="X30">
        <v>25</v>
      </c>
      <c r="Y30">
        <v>34</v>
      </c>
      <c r="Z30">
        <v>42.4</v>
      </c>
      <c r="AA30">
        <v>23</v>
      </c>
      <c r="AB30">
        <v>14</v>
      </c>
      <c r="AC30">
        <v>15</v>
      </c>
      <c r="AD30">
        <v>51</v>
      </c>
      <c r="AE30" t="s">
        <v>60</v>
      </c>
    </row>
    <row r="31" spans="1:31" x14ac:dyDescent="0.2">
      <c r="A31">
        <v>30</v>
      </c>
      <c r="B31" t="s">
        <v>400</v>
      </c>
      <c r="C31">
        <v>30</v>
      </c>
      <c r="D31" t="s">
        <v>375</v>
      </c>
      <c r="E31" t="s">
        <v>322</v>
      </c>
      <c r="F31">
        <v>37</v>
      </c>
      <c r="G31">
        <v>19</v>
      </c>
      <c r="H31">
        <v>20</v>
      </c>
      <c r="I31">
        <v>39</v>
      </c>
      <c r="J31">
        <v>-9</v>
      </c>
      <c r="K31">
        <v>4</v>
      </c>
      <c r="L31">
        <v>10</v>
      </c>
      <c r="M31">
        <v>6</v>
      </c>
      <c r="N31">
        <v>3</v>
      </c>
      <c r="O31">
        <v>5</v>
      </c>
      <c r="P31">
        <v>12</v>
      </c>
      <c r="Q31">
        <v>8</v>
      </c>
      <c r="R31">
        <v>0</v>
      </c>
      <c r="S31">
        <v>94</v>
      </c>
      <c r="T31">
        <v>20.2</v>
      </c>
      <c r="U31">
        <v>212</v>
      </c>
      <c r="V31" t="s">
        <v>2204</v>
      </c>
      <c r="W31" t="s">
        <v>332</v>
      </c>
      <c r="X31">
        <v>34</v>
      </c>
      <c r="Y31">
        <v>61</v>
      </c>
      <c r="Z31">
        <v>35.799999999999997</v>
      </c>
      <c r="AA31">
        <v>25</v>
      </c>
      <c r="AB31">
        <v>33</v>
      </c>
      <c r="AC31">
        <v>9</v>
      </c>
      <c r="AD31">
        <v>25</v>
      </c>
      <c r="AE31" t="s">
        <v>60</v>
      </c>
    </row>
    <row r="32" spans="1:31" x14ac:dyDescent="0.2">
      <c r="A32">
        <v>31</v>
      </c>
      <c r="B32" t="s">
        <v>362</v>
      </c>
      <c r="C32">
        <v>34</v>
      </c>
      <c r="D32" t="s">
        <v>363</v>
      </c>
      <c r="E32" t="s">
        <v>340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t="s">
        <v>2205</v>
      </c>
      <c r="W32" t="s">
        <v>2206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t="s">
        <v>60</v>
      </c>
    </row>
    <row r="33" spans="1:31" x14ac:dyDescent="0.2">
      <c r="A33">
        <v>32</v>
      </c>
      <c r="B33" t="s">
        <v>425</v>
      </c>
      <c r="C33">
        <v>27</v>
      </c>
      <c r="D33" t="s">
        <v>426</v>
      </c>
      <c r="E33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t="s">
        <v>2207</v>
      </c>
      <c r="W33" t="s">
        <v>2027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t="s">
        <v>60</v>
      </c>
    </row>
    <row r="34" spans="1:31" x14ac:dyDescent="0.2">
      <c r="A34">
        <v>33</v>
      </c>
      <c r="B34" t="s">
        <v>398</v>
      </c>
      <c r="C34">
        <v>26</v>
      </c>
      <c r="D34" t="s">
        <v>328</v>
      </c>
      <c r="E34" t="s">
        <v>349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t="s">
        <v>2208</v>
      </c>
      <c r="W34" t="s">
        <v>1796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t="s">
        <v>60</v>
      </c>
    </row>
    <row r="35" spans="1:31" x14ac:dyDescent="0.2">
      <c r="A35">
        <v>34</v>
      </c>
      <c r="B35" t="s">
        <v>370</v>
      </c>
      <c r="C35">
        <v>25</v>
      </c>
      <c r="D35" t="s">
        <v>365</v>
      </c>
      <c r="E35" t="s">
        <v>335</v>
      </c>
      <c r="F35">
        <v>38</v>
      </c>
      <c r="G35">
        <v>18</v>
      </c>
      <c r="H35">
        <v>19</v>
      </c>
      <c r="I35">
        <v>37</v>
      </c>
      <c r="J35">
        <v>8</v>
      </c>
      <c r="K35">
        <v>8</v>
      </c>
      <c r="L35">
        <v>14</v>
      </c>
      <c r="M35">
        <v>4</v>
      </c>
      <c r="N35">
        <v>0</v>
      </c>
      <c r="O35">
        <v>5</v>
      </c>
      <c r="P35">
        <v>9</v>
      </c>
      <c r="Q35">
        <v>10</v>
      </c>
      <c r="R35">
        <v>0</v>
      </c>
      <c r="S35">
        <v>105</v>
      </c>
      <c r="T35">
        <v>17.100000000000001</v>
      </c>
      <c r="U35">
        <v>204</v>
      </c>
      <c r="V35" t="s">
        <v>2647</v>
      </c>
      <c r="W35" t="s">
        <v>1718</v>
      </c>
      <c r="X35">
        <v>3</v>
      </c>
      <c r="Y35">
        <v>7</v>
      </c>
      <c r="Z35">
        <v>30</v>
      </c>
      <c r="AA35">
        <v>11</v>
      </c>
      <c r="AB35">
        <v>32</v>
      </c>
      <c r="AC35">
        <v>14</v>
      </c>
      <c r="AD35">
        <v>21</v>
      </c>
      <c r="AE35" t="s">
        <v>60</v>
      </c>
    </row>
    <row r="36" spans="1:31" x14ac:dyDescent="0.2">
      <c r="A36">
        <v>35</v>
      </c>
      <c r="B36" t="s">
        <v>414</v>
      </c>
      <c r="C36">
        <v>24</v>
      </c>
      <c r="D36" t="s">
        <v>415</v>
      </c>
      <c r="E36" t="s">
        <v>322</v>
      </c>
      <c r="F36">
        <v>37</v>
      </c>
      <c r="G36">
        <v>15</v>
      </c>
      <c r="H36">
        <v>22</v>
      </c>
      <c r="I36">
        <v>37</v>
      </c>
      <c r="J36">
        <v>0</v>
      </c>
      <c r="K36">
        <v>30</v>
      </c>
      <c r="L36">
        <v>10</v>
      </c>
      <c r="M36">
        <v>5</v>
      </c>
      <c r="N36">
        <v>0</v>
      </c>
      <c r="O36">
        <v>2</v>
      </c>
      <c r="P36">
        <v>15</v>
      </c>
      <c r="Q36">
        <v>7</v>
      </c>
      <c r="R36">
        <v>0</v>
      </c>
      <c r="S36">
        <v>83</v>
      </c>
      <c r="T36">
        <v>18.100000000000001</v>
      </c>
      <c r="U36">
        <v>176</v>
      </c>
      <c r="V36" t="s">
        <v>2648</v>
      </c>
      <c r="W36" t="s">
        <v>2111</v>
      </c>
      <c r="X36">
        <v>52</v>
      </c>
      <c r="Y36">
        <v>80</v>
      </c>
      <c r="Z36">
        <v>39.4</v>
      </c>
      <c r="AA36">
        <v>9</v>
      </c>
      <c r="AB36">
        <v>11</v>
      </c>
      <c r="AC36">
        <v>11</v>
      </c>
      <c r="AD36">
        <v>38</v>
      </c>
      <c r="AE36" t="s">
        <v>60</v>
      </c>
    </row>
    <row r="37" spans="1:31" x14ac:dyDescent="0.2">
      <c r="A37">
        <v>36</v>
      </c>
      <c r="B37" t="s">
        <v>354</v>
      </c>
      <c r="C37">
        <v>22</v>
      </c>
      <c r="D37" t="s">
        <v>337</v>
      </c>
      <c r="E37" t="s">
        <v>340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t="s">
        <v>2209</v>
      </c>
      <c r="W37" t="s">
        <v>1641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t="s">
        <v>60</v>
      </c>
    </row>
    <row r="38" spans="1:31" x14ac:dyDescent="0.2">
      <c r="A38">
        <v>37</v>
      </c>
      <c r="B38" t="s">
        <v>462</v>
      </c>
      <c r="C38">
        <v>21</v>
      </c>
      <c r="D38" t="s">
        <v>365</v>
      </c>
      <c r="E38" t="s">
        <v>349</v>
      </c>
      <c r="F38">
        <v>38</v>
      </c>
      <c r="G38">
        <v>5</v>
      </c>
      <c r="H38">
        <v>31</v>
      </c>
      <c r="I38">
        <v>36</v>
      </c>
      <c r="J38">
        <v>8</v>
      </c>
      <c r="K38">
        <v>4</v>
      </c>
      <c r="L38">
        <v>4</v>
      </c>
      <c r="M38">
        <v>1</v>
      </c>
      <c r="N38">
        <v>0</v>
      </c>
      <c r="O38">
        <v>1</v>
      </c>
      <c r="P38">
        <v>23</v>
      </c>
      <c r="Q38">
        <v>8</v>
      </c>
      <c r="R38">
        <v>0</v>
      </c>
      <c r="S38">
        <v>66</v>
      </c>
      <c r="T38">
        <v>7.6</v>
      </c>
      <c r="U38">
        <v>146</v>
      </c>
      <c r="V38" t="s">
        <v>2649</v>
      </c>
      <c r="W38" t="s">
        <v>2650</v>
      </c>
      <c r="X38">
        <v>0</v>
      </c>
      <c r="Y38">
        <v>0</v>
      </c>
      <c r="AA38">
        <v>59</v>
      </c>
      <c r="AB38">
        <v>18</v>
      </c>
      <c r="AC38">
        <v>17</v>
      </c>
      <c r="AD38">
        <v>46</v>
      </c>
      <c r="AE38" t="s">
        <v>60</v>
      </c>
    </row>
    <row r="39" spans="1:31" x14ac:dyDescent="0.2">
      <c r="A39">
        <v>38</v>
      </c>
      <c r="B39" t="s">
        <v>372</v>
      </c>
      <c r="C39">
        <v>29</v>
      </c>
      <c r="D39" t="s">
        <v>373</v>
      </c>
      <c r="E39" t="s">
        <v>322</v>
      </c>
      <c r="F39">
        <v>40</v>
      </c>
      <c r="G39">
        <v>20</v>
      </c>
      <c r="H39">
        <v>16</v>
      </c>
      <c r="I39">
        <v>36</v>
      </c>
      <c r="J39">
        <v>5</v>
      </c>
      <c r="K39">
        <v>28</v>
      </c>
      <c r="L39">
        <v>15</v>
      </c>
      <c r="M39">
        <v>5</v>
      </c>
      <c r="N39">
        <v>0</v>
      </c>
      <c r="O39">
        <v>5</v>
      </c>
      <c r="P39">
        <v>13</v>
      </c>
      <c r="Q39">
        <v>3</v>
      </c>
      <c r="R39">
        <v>0</v>
      </c>
      <c r="S39">
        <v>118</v>
      </c>
      <c r="T39">
        <v>16.899999999999999</v>
      </c>
      <c r="U39">
        <v>242</v>
      </c>
      <c r="V39" t="s">
        <v>2651</v>
      </c>
      <c r="W39" t="s">
        <v>1889</v>
      </c>
      <c r="X39">
        <v>445</v>
      </c>
      <c r="Y39">
        <v>381</v>
      </c>
      <c r="Z39">
        <v>53.9</v>
      </c>
      <c r="AA39">
        <v>25</v>
      </c>
      <c r="AB39">
        <v>20</v>
      </c>
      <c r="AC39">
        <v>11</v>
      </c>
      <c r="AD39">
        <v>35</v>
      </c>
      <c r="AE39" t="s">
        <v>60</v>
      </c>
    </row>
    <row r="40" spans="1:31" x14ac:dyDescent="0.2">
      <c r="A40">
        <v>39</v>
      </c>
      <c r="B40" t="s">
        <v>394</v>
      </c>
      <c r="C40">
        <v>35</v>
      </c>
      <c r="D40" t="s">
        <v>361</v>
      </c>
      <c r="E40" t="s">
        <v>322</v>
      </c>
      <c r="F40">
        <v>38</v>
      </c>
      <c r="G40">
        <v>15</v>
      </c>
      <c r="H40">
        <v>20</v>
      </c>
      <c r="I40">
        <v>35</v>
      </c>
      <c r="J40">
        <v>-5</v>
      </c>
      <c r="K40">
        <v>16</v>
      </c>
      <c r="L40">
        <v>13</v>
      </c>
      <c r="M40">
        <v>2</v>
      </c>
      <c r="N40">
        <v>0</v>
      </c>
      <c r="O40">
        <v>1</v>
      </c>
      <c r="P40">
        <v>17</v>
      </c>
      <c r="Q40">
        <v>3</v>
      </c>
      <c r="R40">
        <v>0</v>
      </c>
      <c r="S40">
        <v>103</v>
      </c>
      <c r="T40">
        <v>14.6</v>
      </c>
      <c r="U40">
        <v>199</v>
      </c>
      <c r="V40" t="s">
        <v>2652</v>
      </c>
      <c r="W40" t="s">
        <v>1725</v>
      </c>
      <c r="X40">
        <v>357</v>
      </c>
      <c r="Y40">
        <v>243</v>
      </c>
      <c r="Z40">
        <v>59.5</v>
      </c>
      <c r="AA40">
        <v>7</v>
      </c>
      <c r="AB40">
        <v>36</v>
      </c>
      <c r="AC40">
        <v>18</v>
      </c>
      <c r="AD40">
        <v>37</v>
      </c>
      <c r="AE40" t="s">
        <v>60</v>
      </c>
    </row>
    <row r="41" spans="1:31" x14ac:dyDescent="0.2">
      <c r="A41">
        <v>40</v>
      </c>
      <c r="B41" t="s">
        <v>381</v>
      </c>
      <c r="C41">
        <v>28</v>
      </c>
      <c r="D41" t="s">
        <v>337</v>
      </c>
      <c r="E41" t="s">
        <v>322</v>
      </c>
      <c r="F41">
        <v>38</v>
      </c>
      <c r="G41">
        <v>10</v>
      </c>
      <c r="H41">
        <v>25</v>
      </c>
      <c r="I41">
        <v>35</v>
      </c>
      <c r="J41">
        <v>8</v>
      </c>
      <c r="K41">
        <v>8</v>
      </c>
      <c r="L41">
        <v>8</v>
      </c>
      <c r="M41">
        <v>0</v>
      </c>
      <c r="N41">
        <v>2</v>
      </c>
      <c r="O41">
        <v>1</v>
      </c>
      <c r="P41">
        <v>16</v>
      </c>
      <c r="Q41">
        <v>7</v>
      </c>
      <c r="R41">
        <v>2</v>
      </c>
      <c r="S41">
        <v>93</v>
      </c>
      <c r="T41">
        <v>10.8</v>
      </c>
      <c r="U41">
        <v>194</v>
      </c>
      <c r="V41" t="s">
        <v>2210</v>
      </c>
      <c r="W41" t="s">
        <v>1938</v>
      </c>
      <c r="X41">
        <v>2</v>
      </c>
      <c r="Y41">
        <v>3</v>
      </c>
      <c r="Z41">
        <v>40</v>
      </c>
      <c r="AA41">
        <v>11</v>
      </c>
      <c r="AB41">
        <v>0</v>
      </c>
      <c r="AC41">
        <v>12</v>
      </c>
      <c r="AD41">
        <v>29</v>
      </c>
      <c r="AE41" t="s">
        <v>60</v>
      </c>
    </row>
    <row r="42" spans="1:31" x14ac:dyDescent="0.2">
      <c r="A42">
        <v>41</v>
      </c>
      <c r="B42" t="s">
        <v>409</v>
      </c>
      <c r="C42">
        <v>26</v>
      </c>
      <c r="D42" t="s">
        <v>334</v>
      </c>
      <c r="E42" t="s">
        <v>349</v>
      </c>
      <c r="F42">
        <v>39</v>
      </c>
      <c r="G42">
        <v>7</v>
      </c>
      <c r="H42">
        <v>27</v>
      </c>
      <c r="I42">
        <v>34</v>
      </c>
      <c r="J42">
        <v>6</v>
      </c>
      <c r="K42">
        <v>12</v>
      </c>
      <c r="L42">
        <v>5</v>
      </c>
      <c r="M42">
        <v>1</v>
      </c>
      <c r="N42">
        <v>1</v>
      </c>
      <c r="O42">
        <v>2</v>
      </c>
      <c r="P42">
        <v>14</v>
      </c>
      <c r="Q42">
        <v>13</v>
      </c>
      <c r="R42">
        <v>0</v>
      </c>
      <c r="S42">
        <v>82</v>
      </c>
      <c r="T42">
        <v>8.5</v>
      </c>
      <c r="U42">
        <v>172</v>
      </c>
      <c r="V42" t="s">
        <v>2211</v>
      </c>
      <c r="W42" t="s">
        <v>2212</v>
      </c>
      <c r="X42">
        <v>0</v>
      </c>
      <c r="Y42">
        <v>0</v>
      </c>
      <c r="AA42">
        <v>70</v>
      </c>
      <c r="AB42">
        <v>6</v>
      </c>
      <c r="AC42">
        <v>28</v>
      </c>
      <c r="AD42">
        <v>43</v>
      </c>
      <c r="AE42" t="s">
        <v>60</v>
      </c>
    </row>
    <row r="43" spans="1:31" x14ac:dyDescent="0.2">
      <c r="A43">
        <v>42</v>
      </c>
      <c r="B43" t="s">
        <v>396</v>
      </c>
      <c r="C43">
        <v>23</v>
      </c>
      <c r="D43" t="s">
        <v>361</v>
      </c>
      <c r="E43" t="s">
        <v>340</v>
      </c>
      <c r="F43">
        <v>35</v>
      </c>
      <c r="G43">
        <v>10</v>
      </c>
      <c r="H43">
        <v>24</v>
      </c>
      <c r="I43">
        <v>34</v>
      </c>
      <c r="J43">
        <v>-2</v>
      </c>
      <c r="K43">
        <v>8</v>
      </c>
      <c r="L43">
        <v>6</v>
      </c>
      <c r="M43">
        <v>4</v>
      </c>
      <c r="N43">
        <v>0</v>
      </c>
      <c r="O43">
        <v>1</v>
      </c>
      <c r="P43">
        <v>24</v>
      </c>
      <c r="Q43">
        <v>0</v>
      </c>
      <c r="R43">
        <v>0</v>
      </c>
      <c r="S43">
        <v>76</v>
      </c>
      <c r="T43">
        <v>13.2</v>
      </c>
      <c r="U43">
        <v>118</v>
      </c>
      <c r="V43" t="s">
        <v>2653</v>
      </c>
      <c r="W43" t="s">
        <v>1897</v>
      </c>
      <c r="X43">
        <v>0</v>
      </c>
      <c r="Y43">
        <v>0</v>
      </c>
      <c r="AA43">
        <v>15</v>
      </c>
      <c r="AB43">
        <v>87</v>
      </c>
      <c r="AC43">
        <v>8</v>
      </c>
      <c r="AD43">
        <v>34</v>
      </c>
      <c r="AE43" t="s">
        <v>60</v>
      </c>
    </row>
    <row r="44" spans="1:31" x14ac:dyDescent="0.2">
      <c r="A44">
        <v>43</v>
      </c>
      <c r="B44" t="s">
        <v>470</v>
      </c>
      <c r="C44">
        <v>28</v>
      </c>
      <c r="D44" t="s">
        <v>439</v>
      </c>
      <c r="E44" t="s">
        <v>322</v>
      </c>
      <c r="F44">
        <v>37</v>
      </c>
      <c r="G44">
        <v>18</v>
      </c>
      <c r="H44">
        <v>16</v>
      </c>
      <c r="I44">
        <v>34</v>
      </c>
      <c r="J44">
        <v>-11</v>
      </c>
      <c r="K44">
        <v>17</v>
      </c>
      <c r="L44">
        <v>15</v>
      </c>
      <c r="M44">
        <v>3</v>
      </c>
      <c r="N44">
        <v>0</v>
      </c>
      <c r="O44">
        <v>1</v>
      </c>
      <c r="P44">
        <v>10</v>
      </c>
      <c r="Q44">
        <v>6</v>
      </c>
      <c r="R44">
        <v>0</v>
      </c>
      <c r="S44">
        <v>129</v>
      </c>
      <c r="T44">
        <v>14</v>
      </c>
      <c r="U44">
        <v>253</v>
      </c>
      <c r="V44" t="s">
        <v>2213</v>
      </c>
      <c r="W44" t="s">
        <v>405</v>
      </c>
      <c r="X44">
        <v>168</v>
      </c>
      <c r="Y44">
        <v>187</v>
      </c>
      <c r="Z44">
        <v>47.3</v>
      </c>
      <c r="AA44">
        <v>22</v>
      </c>
      <c r="AB44">
        <v>38</v>
      </c>
      <c r="AC44">
        <v>14</v>
      </c>
      <c r="AD44">
        <v>32</v>
      </c>
      <c r="AE44" t="s">
        <v>60</v>
      </c>
    </row>
    <row r="45" spans="1:31" x14ac:dyDescent="0.2">
      <c r="A45">
        <v>44</v>
      </c>
      <c r="B45" t="s">
        <v>367</v>
      </c>
      <c r="C45">
        <v>31</v>
      </c>
      <c r="D45" t="s">
        <v>368</v>
      </c>
      <c r="E45" t="s">
        <v>335</v>
      </c>
      <c r="F45">
        <v>37</v>
      </c>
      <c r="G45">
        <v>17</v>
      </c>
      <c r="H45">
        <v>17</v>
      </c>
      <c r="I45">
        <v>34</v>
      </c>
      <c r="J45">
        <v>15</v>
      </c>
      <c r="K45">
        <v>54</v>
      </c>
      <c r="L45">
        <v>11</v>
      </c>
      <c r="M45">
        <v>6</v>
      </c>
      <c r="N45">
        <v>0</v>
      </c>
      <c r="O45">
        <v>2</v>
      </c>
      <c r="P45">
        <v>15</v>
      </c>
      <c r="Q45">
        <v>2</v>
      </c>
      <c r="R45">
        <v>0</v>
      </c>
      <c r="S45">
        <v>84</v>
      </c>
      <c r="T45">
        <v>20.2</v>
      </c>
      <c r="U45">
        <v>160</v>
      </c>
      <c r="V45" t="s">
        <v>2214</v>
      </c>
      <c r="W45" t="s">
        <v>2007</v>
      </c>
      <c r="X45">
        <v>11</v>
      </c>
      <c r="Y45">
        <v>11</v>
      </c>
      <c r="Z45">
        <v>50</v>
      </c>
      <c r="AA45">
        <v>23</v>
      </c>
      <c r="AB45">
        <v>99</v>
      </c>
      <c r="AC45">
        <v>9</v>
      </c>
      <c r="AD45">
        <v>44</v>
      </c>
      <c r="AE45" t="s">
        <v>60</v>
      </c>
    </row>
    <row r="46" spans="1:31" x14ac:dyDescent="0.2">
      <c r="A46">
        <v>45</v>
      </c>
      <c r="B46" t="s">
        <v>401</v>
      </c>
      <c r="C46">
        <v>28</v>
      </c>
      <c r="D46" t="s">
        <v>402</v>
      </c>
      <c r="E46" t="s">
        <v>325</v>
      </c>
      <c r="F46">
        <v>37</v>
      </c>
      <c r="G46">
        <v>13</v>
      </c>
      <c r="H46">
        <v>20</v>
      </c>
      <c r="I46">
        <v>33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14</v>
      </c>
      <c r="Q46">
        <v>5</v>
      </c>
      <c r="R46">
        <v>1</v>
      </c>
      <c r="S46">
        <v>84</v>
      </c>
      <c r="T46">
        <v>15.5</v>
      </c>
      <c r="U46">
        <v>190</v>
      </c>
      <c r="V46" t="s">
        <v>2215</v>
      </c>
      <c r="W46" t="s">
        <v>2216</v>
      </c>
      <c r="X46">
        <v>283</v>
      </c>
      <c r="Y46">
        <v>297</v>
      </c>
      <c r="Z46">
        <v>48.8</v>
      </c>
      <c r="AA46">
        <v>12</v>
      </c>
      <c r="AB46">
        <v>34</v>
      </c>
      <c r="AC46">
        <v>17</v>
      </c>
      <c r="AD46">
        <v>45</v>
      </c>
      <c r="AE46" t="s">
        <v>60</v>
      </c>
    </row>
    <row r="47" spans="1:31" x14ac:dyDescent="0.2">
      <c r="A47">
        <v>46</v>
      </c>
      <c r="B47" t="s">
        <v>449</v>
      </c>
      <c r="C47">
        <v>28</v>
      </c>
      <c r="D47" t="s">
        <v>415</v>
      </c>
      <c r="E47" t="s">
        <v>335</v>
      </c>
      <c r="F47">
        <v>37</v>
      </c>
      <c r="G47">
        <v>11</v>
      </c>
      <c r="H47">
        <v>22</v>
      </c>
      <c r="I47">
        <v>33</v>
      </c>
      <c r="J47">
        <v>9</v>
      </c>
      <c r="K47">
        <v>21</v>
      </c>
      <c r="L47">
        <v>10</v>
      </c>
      <c r="M47">
        <v>1</v>
      </c>
      <c r="N47">
        <v>0</v>
      </c>
      <c r="O47">
        <v>1</v>
      </c>
      <c r="P47">
        <v>16</v>
      </c>
      <c r="Q47">
        <v>6</v>
      </c>
      <c r="R47">
        <v>0</v>
      </c>
      <c r="S47">
        <v>83</v>
      </c>
      <c r="T47">
        <v>13.3</v>
      </c>
      <c r="U47">
        <v>148</v>
      </c>
      <c r="V47" t="s">
        <v>2654</v>
      </c>
      <c r="W47" t="s">
        <v>450</v>
      </c>
      <c r="X47">
        <v>10</v>
      </c>
      <c r="Y47">
        <v>27</v>
      </c>
      <c r="Z47">
        <v>27</v>
      </c>
      <c r="AA47">
        <v>22</v>
      </c>
      <c r="AB47">
        <v>47</v>
      </c>
      <c r="AC47">
        <v>10</v>
      </c>
      <c r="AD47">
        <v>56</v>
      </c>
      <c r="AE47" t="s">
        <v>60</v>
      </c>
    </row>
    <row r="48" spans="1:31" x14ac:dyDescent="0.2">
      <c r="A48">
        <v>47</v>
      </c>
      <c r="B48" t="s">
        <v>391</v>
      </c>
      <c r="C48">
        <v>40</v>
      </c>
      <c r="D48" t="s">
        <v>368</v>
      </c>
      <c r="E48" t="s">
        <v>340</v>
      </c>
      <c r="F48">
        <v>38</v>
      </c>
      <c r="G48">
        <v>15</v>
      </c>
      <c r="H48">
        <v>18</v>
      </c>
      <c r="I48">
        <v>33</v>
      </c>
      <c r="J48">
        <v>5</v>
      </c>
      <c r="K48">
        <v>6</v>
      </c>
      <c r="L48">
        <v>13</v>
      </c>
      <c r="M48">
        <v>2</v>
      </c>
      <c r="N48">
        <v>0</v>
      </c>
      <c r="O48">
        <v>3</v>
      </c>
      <c r="P48">
        <v>12</v>
      </c>
      <c r="Q48">
        <v>6</v>
      </c>
      <c r="R48">
        <v>0</v>
      </c>
      <c r="S48">
        <v>99</v>
      </c>
      <c r="T48">
        <v>15.2</v>
      </c>
      <c r="U48">
        <v>251</v>
      </c>
      <c r="V48" t="s">
        <v>2217</v>
      </c>
      <c r="W48" t="s">
        <v>419</v>
      </c>
      <c r="X48">
        <v>2</v>
      </c>
      <c r="Y48">
        <v>0</v>
      </c>
      <c r="Z48">
        <v>100</v>
      </c>
      <c r="AA48">
        <v>6</v>
      </c>
      <c r="AB48">
        <v>57</v>
      </c>
      <c r="AC48">
        <v>2</v>
      </c>
      <c r="AD48">
        <v>33</v>
      </c>
      <c r="AE48" t="s">
        <v>60</v>
      </c>
    </row>
    <row r="49" spans="1:31" x14ac:dyDescent="0.2">
      <c r="A49">
        <v>48</v>
      </c>
      <c r="B49" t="s">
        <v>423</v>
      </c>
      <c r="C49">
        <v>26</v>
      </c>
      <c r="D49" t="s">
        <v>346</v>
      </c>
      <c r="E4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t="s">
        <v>2218</v>
      </c>
      <c r="W49" t="s">
        <v>1926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t="s">
        <v>60</v>
      </c>
    </row>
    <row r="50" spans="1:31" x14ac:dyDescent="0.2">
      <c r="A50">
        <v>49</v>
      </c>
      <c r="B50" t="s">
        <v>457</v>
      </c>
      <c r="C50">
        <v>20</v>
      </c>
      <c r="D50" t="s">
        <v>365</v>
      </c>
      <c r="E50" t="s">
        <v>335</v>
      </c>
      <c r="F50">
        <v>38</v>
      </c>
      <c r="G50">
        <v>10</v>
      </c>
      <c r="H50">
        <v>22</v>
      </c>
      <c r="I50">
        <v>32</v>
      </c>
      <c r="J50">
        <v>2</v>
      </c>
      <c r="K50">
        <v>20</v>
      </c>
      <c r="L50">
        <v>8</v>
      </c>
      <c r="M50">
        <v>2</v>
      </c>
      <c r="N50">
        <v>0</v>
      </c>
      <c r="O50">
        <v>2</v>
      </c>
      <c r="P50">
        <v>14</v>
      </c>
      <c r="Q50">
        <v>8</v>
      </c>
      <c r="R50">
        <v>0</v>
      </c>
      <c r="S50">
        <v>52</v>
      </c>
      <c r="T50">
        <v>19.2</v>
      </c>
      <c r="U50">
        <v>120</v>
      </c>
      <c r="V50" t="s">
        <v>2655</v>
      </c>
      <c r="W50" t="s">
        <v>573</v>
      </c>
      <c r="X50">
        <v>0</v>
      </c>
      <c r="Y50">
        <v>0</v>
      </c>
      <c r="AA50">
        <v>14</v>
      </c>
      <c r="AB50">
        <v>16</v>
      </c>
      <c r="AC50">
        <v>10</v>
      </c>
      <c r="AD50">
        <v>32</v>
      </c>
      <c r="AE50" t="s">
        <v>60</v>
      </c>
    </row>
    <row r="51" spans="1:31" x14ac:dyDescent="0.2">
      <c r="A51">
        <v>50</v>
      </c>
      <c r="B51" t="s">
        <v>386</v>
      </c>
      <c r="C51">
        <v>30</v>
      </c>
      <c r="D51" t="s">
        <v>387</v>
      </c>
      <c r="E51" t="s">
        <v>322</v>
      </c>
      <c r="F51">
        <v>34</v>
      </c>
      <c r="G51">
        <v>20</v>
      </c>
      <c r="H51">
        <v>12</v>
      </c>
      <c r="I51">
        <v>32</v>
      </c>
      <c r="J51">
        <v>5</v>
      </c>
      <c r="K51">
        <v>28</v>
      </c>
      <c r="L51">
        <v>14</v>
      </c>
      <c r="M51">
        <v>5</v>
      </c>
      <c r="N51">
        <v>1</v>
      </c>
      <c r="O51">
        <v>3</v>
      </c>
      <c r="P51">
        <v>6</v>
      </c>
      <c r="Q51">
        <v>6</v>
      </c>
      <c r="R51">
        <v>0</v>
      </c>
      <c r="S51">
        <v>117</v>
      </c>
      <c r="T51">
        <v>17.100000000000001</v>
      </c>
      <c r="U51">
        <v>205</v>
      </c>
      <c r="V51" t="s">
        <v>2656</v>
      </c>
      <c r="W51" t="s">
        <v>1673</v>
      </c>
      <c r="X51">
        <v>357</v>
      </c>
      <c r="Y51">
        <v>261</v>
      </c>
      <c r="Z51">
        <v>57.8</v>
      </c>
      <c r="AA51">
        <v>18</v>
      </c>
      <c r="AB51">
        <v>22</v>
      </c>
      <c r="AC51">
        <v>8</v>
      </c>
      <c r="AD51">
        <v>40</v>
      </c>
      <c r="AE51" t="s">
        <v>60</v>
      </c>
    </row>
    <row r="52" spans="1:31" x14ac:dyDescent="0.2">
      <c r="A52">
        <v>51</v>
      </c>
      <c r="B52" t="s">
        <v>411</v>
      </c>
      <c r="C52">
        <v>27</v>
      </c>
      <c r="D52" t="s">
        <v>412</v>
      </c>
      <c r="E52" t="s">
        <v>322</v>
      </c>
      <c r="F52">
        <v>39</v>
      </c>
      <c r="G52">
        <v>12</v>
      </c>
      <c r="H52">
        <v>20</v>
      </c>
      <c r="I52">
        <v>32</v>
      </c>
      <c r="J52">
        <v>1</v>
      </c>
      <c r="K52">
        <v>10</v>
      </c>
      <c r="L52">
        <v>12</v>
      </c>
      <c r="M52">
        <v>0</v>
      </c>
      <c r="N52">
        <v>0</v>
      </c>
      <c r="O52">
        <v>3</v>
      </c>
      <c r="P52">
        <v>10</v>
      </c>
      <c r="Q52">
        <v>10</v>
      </c>
      <c r="R52">
        <v>0</v>
      </c>
      <c r="S52">
        <v>111</v>
      </c>
      <c r="T52">
        <v>10.8</v>
      </c>
      <c r="U52">
        <v>188</v>
      </c>
      <c r="V52" t="s">
        <v>2099</v>
      </c>
      <c r="W52" t="s">
        <v>382</v>
      </c>
      <c r="X52">
        <v>10</v>
      </c>
      <c r="Y52">
        <v>13</v>
      </c>
      <c r="Z52">
        <v>43.5</v>
      </c>
      <c r="AA52">
        <v>18</v>
      </c>
      <c r="AB52">
        <v>7</v>
      </c>
      <c r="AC52">
        <v>12</v>
      </c>
      <c r="AD52">
        <v>49</v>
      </c>
      <c r="AE52" t="s">
        <v>60</v>
      </c>
    </row>
    <row r="53" spans="1:31" x14ac:dyDescent="0.2">
      <c r="A53">
        <v>52</v>
      </c>
      <c r="B53" t="s">
        <v>465</v>
      </c>
      <c r="C53">
        <v>32</v>
      </c>
      <c r="D53" t="s">
        <v>328</v>
      </c>
      <c r="E53" t="s">
        <v>322</v>
      </c>
      <c r="F53">
        <v>30</v>
      </c>
      <c r="G53">
        <v>11</v>
      </c>
      <c r="H53">
        <v>21</v>
      </c>
      <c r="I53">
        <v>32</v>
      </c>
      <c r="J53">
        <v>-7</v>
      </c>
      <c r="K53">
        <v>8</v>
      </c>
      <c r="L53">
        <v>5</v>
      </c>
      <c r="M53">
        <v>6</v>
      </c>
      <c r="N53">
        <v>0</v>
      </c>
      <c r="O53">
        <v>1</v>
      </c>
      <c r="P53">
        <v>9</v>
      </c>
      <c r="Q53">
        <v>11</v>
      </c>
      <c r="R53">
        <v>1</v>
      </c>
      <c r="S53">
        <v>53</v>
      </c>
      <c r="T53">
        <v>20.8</v>
      </c>
      <c r="U53">
        <v>104</v>
      </c>
      <c r="V53" t="s">
        <v>2136</v>
      </c>
      <c r="W53" t="s">
        <v>450</v>
      </c>
      <c r="X53">
        <v>67</v>
      </c>
      <c r="Y53">
        <v>79</v>
      </c>
      <c r="Z53">
        <v>45.9</v>
      </c>
      <c r="AA53">
        <v>12</v>
      </c>
      <c r="AB53">
        <v>13</v>
      </c>
      <c r="AC53">
        <v>6</v>
      </c>
      <c r="AD53">
        <v>17</v>
      </c>
      <c r="AE53" t="s">
        <v>60</v>
      </c>
    </row>
    <row r="54" spans="1:31" x14ac:dyDescent="0.2">
      <c r="A54">
        <v>53</v>
      </c>
      <c r="B54" t="s">
        <v>475</v>
      </c>
      <c r="C54">
        <v>34</v>
      </c>
      <c r="D54" t="s">
        <v>476</v>
      </c>
      <c r="E54" t="s">
        <v>322</v>
      </c>
      <c r="F54">
        <v>37</v>
      </c>
      <c r="G54">
        <v>11</v>
      </c>
      <c r="H54">
        <v>21</v>
      </c>
      <c r="I54">
        <v>32</v>
      </c>
      <c r="J54">
        <v>2</v>
      </c>
      <c r="K54">
        <v>8</v>
      </c>
      <c r="L54">
        <v>8</v>
      </c>
      <c r="M54">
        <v>2</v>
      </c>
      <c r="N54">
        <v>1</v>
      </c>
      <c r="O54">
        <v>5</v>
      </c>
      <c r="P54">
        <v>17</v>
      </c>
      <c r="Q54">
        <v>4</v>
      </c>
      <c r="R54">
        <v>0</v>
      </c>
      <c r="S54">
        <v>62</v>
      </c>
      <c r="T54">
        <v>17.7</v>
      </c>
      <c r="U54">
        <v>111</v>
      </c>
      <c r="V54" t="s">
        <v>2219</v>
      </c>
      <c r="W54" t="s">
        <v>1096</v>
      </c>
      <c r="X54">
        <v>347</v>
      </c>
      <c r="Y54">
        <v>274</v>
      </c>
      <c r="Z54">
        <v>55.9</v>
      </c>
      <c r="AA54">
        <v>24</v>
      </c>
      <c r="AB54">
        <v>9</v>
      </c>
      <c r="AC54">
        <v>28</v>
      </c>
      <c r="AD54">
        <v>20</v>
      </c>
      <c r="AE54" t="s">
        <v>60</v>
      </c>
    </row>
    <row r="55" spans="1:31" x14ac:dyDescent="0.2">
      <c r="A55">
        <v>54</v>
      </c>
      <c r="B55" t="s">
        <v>478</v>
      </c>
      <c r="C55">
        <v>33</v>
      </c>
      <c r="D55" t="s">
        <v>378</v>
      </c>
      <c r="E55" t="s">
        <v>335</v>
      </c>
      <c r="F55">
        <v>35</v>
      </c>
      <c r="G55">
        <v>15</v>
      </c>
      <c r="H55">
        <v>17</v>
      </c>
      <c r="I55">
        <v>32</v>
      </c>
      <c r="J55">
        <v>-8</v>
      </c>
      <c r="K55">
        <v>14</v>
      </c>
      <c r="L55">
        <v>12</v>
      </c>
      <c r="M55">
        <v>3</v>
      </c>
      <c r="N55">
        <v>0</v>
      </c>
      <c r="O55">
        <v>4</v>
      </c>
      <c r="P55">
        <v>5</v>
      </c>
      <c r="Q55">
        <v>12</v>
      </c>
      <c r="R55">
        <v>0</v>
      </c>
      <c r="S55">
        <v>90</v>
      </c>
      <c r="T55">
        <v>16.7</v>
      </c>
      <c r="U55">
        <v>172</v>
      </c>
      <c r="V55" t="s">
        <v>2657</v>
      </c>
      <c r="W55" t="s">
        <v>2075</v>
      </c>
      <c r="X55">
        <v>0</v>
      </c>
      <c r="Y55">
        <v>3</v>
      </c>
      <c r="Z55">
        <v>0</v>
      </c>
      <c r="AA55">
        <v>37</v>
      </c>
      <c r="AB55">
        <v>10</v>
      </c>
      <c r="AC55">
        <v>5</v>
      </c>
      <c r="AD55">
        <v>38</v>
      </c>
      <c r="AE55" t="s">
        <v>60</v>
      </c>
    </row>
    <row r="56" spans="1:31" x14ac:dyDescent="0.2">
      <c r="A56">
        <v>55</v>
      </c>
      <c r="B56" t="s">
        <v>422</v>
      </c>
      <c r="C56">
        <v>29</v>
      </c>
      <c r="D56" t="s">
        <v>412</v>
      </c>
      <c r="E56" t="s">
        <v>322</v>
      </c>
      <c r="F56">
        <v>39</v>
      </c>
      <c r="G56">
        <v>12</v>
      </c>
      <c r="H56">
        <v>20</v>
      </c>
      <c r="I56">
        <v>32</v>
      </c>
      <c r="J56">
        <v>-1</v>
      </c>
      <c r="K56">
        <v>8</v>
      </c>
      <c r="L56">
        <v>9</v>
      </c>
      <c r="M56">
        <v>3</v>
      </c>
      <c r="N56">
        <v>0</v>
      </c>
      <c r="O56">
        <v>3</v>
      </c>
      <c r="P56">
        <v>16</v>
      </c>
      <c r="Q56">
        <v>4</v>
      </c>
      <c r="R56">
        <v>0</v>
      </c>
      <c r="S56">
        <v>92</v>
      </c>
      <c r="T56">
        <v>13</v>
      </c>
      <c r="U56">
        <v>179</v>
      </c>
      <c r="V56" t="s">
        <v>2100</v>
      </c>
      <c r="W56" t="s">
        <v>1245</v>
      </c>
      <c r="X56">
        <v>152</v>
      </c>
      <c r="Y56">
        <v>178</v>
      </c>
      <c r="Z56">
        <v>46.1</v>
      </c>
      <c r="AA56">
        <v>28</v>
      </c>
      <c r="AB56">
        <v>11</v>
      </c>
      <c r="AC56">
        <v>18</v>
      </c>
      <c r="AD56">
        <v>42</v>
      </c>
      <c r="AE56" t="s">
        <v>60</v>
      </c>
    </row>
    <row r="57" spans="1:31" x14ac:dyDescent="0.2">
      <c r="A57">
        <v>56</v>
      </c>
      <c r="B57" t="s">
        <v>403</v>
      </c>
      <c r="C57">
        <v>27</v>
      </c>
      <c r="D57" t="s">
        <v>404</v>
      </c>
      <c r="E57" t="s">
        <v>58</v>
      </c>
      <c r="F57">
        <v>38</v>
      </c>
      <c r="G57">
        <v>8</v>
      </c>
      <c r="H57">
        <v>23</v>
      </c>
      <c r="I57">
        <v>31</v>
      </c>
      <c r="J57">
        <v>-8</v>
      </c>
      <c r="K57">
        <v>8</v>
      </c>
      <c r="L57">
        <v>4</v>
      </c>
      <c r="M57">
        <v>3</v>
      </c>
      <c r="N57">
        <v>1</v>
      </c>
      <c r="O57">
        <v>2</v>
      </c>
      <c r="P57">
        <v>15</v>
      </c>
      <c r="Q57">
        <v>8</v>
      </c>
      <c r="R57">
        <v>0</v>
      </c>
      <c r="S57">
        <v>86</v>
      </c>
      <c r="T57">
        <v>9.3000000000000007</v>
      </c>
      <c r="U57">
        <v>178</v>
      </c>
      <c r="V57" t="s">
        <v>2220</v>
      </c>
      <c r="W57" t="s">
        <v>452</v>
      </c>
      <c r="X57">
        <v>0</v>
      </c>
      <c r="Y57">
        <v>1</v>
      </c>
      <c r="Z57">
        <v>0</v>
      </c>
      <c r="AA57">
        <v>13</v>
      </c>
      <c r="AB57">
        <v>37</v>
      </c>
      <c r="AC57">
        <v>17</v>
      </c>
      <c r="AD57">
        <v>32</v>
      </c>
      <c r="AE57" t="s">
        <v>60</v>
      </c>
    </row>
    <row r="58" spans="1:31" x14ac:dyDescent="0.2">
      <c r="A58">
        <v>57</v>
      </c>
      <c r="B58" t="s">
        <v>385</v>
      </c>
      <c r="C58">
        <v>27</v>
      </c>
      <c r="D58" t="s">
        <v>353</v>
      </c>
      <c r="E58" t="s">
        <v>340</v>
      </c>
      <c r="F58">
        <v>33</v>
      </c>
      <c r="G58">
        <v>18</v>
      </c>
      <c r="H58">
        <v>13</v>
      </c>
      <c r="I58">
        <v>31</v>
      </c>
      <c r="J58">
        <v>16</v>
      </c>
      <c r="K58">
        <v>20</v>
      </c>
      <c r="L58">
        <v>15</v>
      </c>
      <c r="M58">
        <v>2</v>
      </c>
      <c r="N58">
        <v>1</v>
      </c>
      <c r="O58">
        <v>4</v>
      </c>
      <c r="P58">
        <v>11</v>
      </c>
      <c r="Q58">
        <v>2</v>
      </c>
      <c r="R58">
        <v>0</v>
      </c>
      <c r="S58">
        <v>96</v>
      </c>
      <c r="T58">
        <v>18.8</v>
      </c>
      <c r="U58">
        <v>215</v>
      </c>
      <c r="V58" t="s">
        <v>1813</v>
      </c>
      <c r="W58" t="s">
        <v>379</v>
      </c>
      <c r="X58">
        <v>16</v>
      </c>
      <c r="Y58">
        <v>20</v>
      </c>
      <c r="Z58">
        <v>44.4</v>
      </c>
      <c r="AA58">
        <v>20</v>
      </c>
      <c r="AB58">
        <v>26</v>
      </c>
      <c r="AC58">
        <v>15</v>
      </c>
      <c r="AD58">
        <v>41</v>
      </c>
      <c r="AE58" t="s">
        <v>60</v>
      </c>
    </row>
    <row r="59" spans="1:31" x14ac:dyDescent="0.2">
      <c r="A59">
        <v>58</v>
      </c>
      <c r="B59" t="s">
        <v>418</v>
      </c>
      <c r="C59">
        <v>29</v>
      </c>
      <c r="D59" t="s">
        <v>334</v>
      </c>
      <c r="E59" t="s">
        <v>340</v>
      </c>
      <c r="F59">
        <v>34</v>
      </c>
      <c r="G59">
        <v>12</v>
      </c>
      <c r="H59">
        <v>19</v>
      </c>
      <c r="I59">
        <v>31</v>
      </c>
      <c r="J59">
        <v>10</v>
      </c>
      <c r="K59">
        <v>10</v>
      </c>
      <c r="L59">
        <v>7</v>
      </c>
      <c r="M59">
        <v>5</v>
      </c>
      <c r="N59">
        <v>0</v>
      </c>
      <c r="O59">
        <v>1</v>
      </c>
      <c r="P59">
        <v>9</v>
      </c>
      <c r="Q59">
        <v>10</v>
      </c>
      <c r="R59">
        <v>0</v>
      </c>
      <c r="S59">
        <v>76</v>
      </c>
      <c r="T59">
        <v>15.8</v>
      </c>
      <c r="U59">
        <v>127</v>
      </c>
      <c r="V59" t="s">
        <v>2221</v>
      </c>
      <c r="W59" t="s">
        <v>1905</v>
      </c>
      <c r="X59">
        <v>274</v>
      </c>
      <c r="Y59">
        <v>200</v>
      </c>
      <c r="Z59">
        <v>57.8</v>
      </c>
      <c r="AA59">
        <v>9</v>
      </c>
      <c r="AB59">
        <v>29</v>
      </c>
      <c r="AC59">
        <v>1</v>
      </c>
      <c r="AD59">
        <v>27</v>
      </c>
      <c r="AE59" t="s">
        <v>60</v>
      </c>
    </row>
    <row r="60" spans="1:31" x14ac:dyDescent="0.2">
      <c r="A60">
        <v>59</v>
      </c>
      <c r="B60" t="s">
        <v>447</v>
      </c>
      <c r="C60">
        <v>35</v>
      </c>
      <c r="D60" t="s">
        <v>448</v>
      </c>
      <c r="E60" t="s">
        <v>322</v>
      </c>
      <c r="F60">
        <v>38</v>
      </c>
      <c r="G60">
        <v>8</v>
      </c>
      <c r="H60">
        <v>23</v>
      </c>
      <c r="I60">
        <v>31</v>
      </c>
      <c r="J60">
        <v>-8</v>
      </c>
      <c r="K60">
        <v>18</v>
      </c>
      <c r="L60">
        <v>6</v>
      </c>
      <c r="M60">
        <v>2</v>
      </c>
      <c r="N60">
        <v>0</v>
      </c>
      <c r="O60">
        <v>1</v>
      </c>
      <c r="P60">
        <v>14</v>
      </c>
      <c r="Q60">
        <v>9</v>
      </c>
      <c r="R60">
        <v>0</v>
      </c>
      <c r="S60">
        <v>118</v>
      </c>
      <c r="T60">
        <v>6.8</v>
      </c>
      <c r="U60">
        <v>247</v>
      </c>
      <c r="V60" t="s">
        <v>2222</v>
      </c>
      <c r="W60" t="s">
        <v>927</v>
      </c>
      <c r="X60">
        <v>256</v>
      </c>
      <c r="Y60">
        <v>248</v>
      </c>
      <c r="Z60">
        <v>50.8</v>
      </c>
      <c r="AA60">
        <v>15</v>
      </c>
      <c r="AB60">
        <v>25</v>
      </c>
      <c r="AC60">
        <v>9</v>
      </c>
      <c r="AD60">
        <v>43</v>
      </c>
      <c r="AE60" t="s">
        <v>60</v>
      </c>
    </row>
    <row r="61" spans="1:31" x14ac:dyDescent="0.2">
      <c r="A61">
        <v>60</v>
      </c>
      <c r="B61" t="s">
        <v>428</v>
      </c>
      <c r="C61">
        <v>29</v>
      </c>
      <c r="D61" t="s">
        <v>429</v>
      </c>
      <c r="E61" t="s">
        <v>340</v>
      </c>
      <c r="F61">
        <v>37</v>
      </c>
      <c r="G61">
        <v>13</v>
      </c>
      <c r="H61">
        <v>18</v>
      </c>
      <c r="I61">
        <v>31</v>
      </c>
      <c r="J61">
        <v>11</v>
      </c>
      <c r="K61">
        <v>30</v>
      </c>
      <c r="L61">
        <v>12</v>
      </c>
      <c r="M61">
        <v>1</v>
      </c>
      <c r="N61">
        <v>0</v>
      </c>
      <c r="O61">
        <v>5</v>
      </c>
      <c r="P61">
        <v>12</v>
      </c>
      <c r="Q61">
        <v>5</v>
      </c>
      <c r="R61">
        <v>1</v>
      </c>
      <c r="S61">
        <v>104</v>
      </c>
      <c r="T61">
        <v>12.5</v>
      </c>
      <c r="U61">
        <v>242</v>
      </c>
      <c r="V61" t="s">
        <v>2223</v>
      </c>
      <c r="W61" t="s">
        <v>2224</v>
      </c>
      <c r="X61">
        <v>17</v>
      </c>
      <c r="Y61">
        <v>27</v>
      </c>
      <c r="Z61">
        <v>38.6</v>
      </c>
      <c r="AA61">
        <v>21</v>
      </c>
      <c r="AB61">
        <v>75</v>
      </c>
      <c r="AC61">
        <v>11</v>
      </c>
      <c r="AD61">
        <v>30</v>
      </c>
      <c r="AE61" t="s">
        <v>60</v>
      </c>
    </row>
    <row r="62" spans="1:31" x14ac:dyDescent="0.2">
      <c r="A62">
        <v>61</v>
      </c>
      <c r="B62" t="s">
        <v>458</v>
      </c>
      <c r="C62">
        <v>22</v>
      </c>
      <c r="D62" t="s">
        <v>412</v>
      </c>
      <c r="E62" t="s">
        <v>335</v>
      </c>
      <c r="F62">
        <v>39</v>
      </c>
      <c r="G62">
        <v>16</v>
      </c>
      <c r="H62">
        <v>14</v>
      </c>
      <c r="I62">
        <v>30</v>
      </c>
      <c r="J62">
        <v>0</v>
      </c>
      <c r="K62">
        <v>10</v>
      </c>
      <c r="L62">
        <v>12</v>
      </c>
      <c r="M62">
        <v>4</v>
      </c>
      <c r="N62">
        <v>0</v>
      </c>
      <c r="O62">
        <v>5</v>
      </c>
      <c r="P62">
        <v>10</v>
      </c>
      <c r="Q62">
        <v>4</v>
      </c>
      <c r="R62">
        <v>0</v>
      </c>
      <c r="S62">
        <v>126</v>
      </c>
      <c r="T62">
        <v>12.7</v>
      </c>
      <c r="U62">
        <v>246</v>
      </c>
      <c r="V62" t="s">
        <v>2101</v>
      </c>
      <c r="W62" t="s">
        <v>514</v>
      </c>
      <c r="X62">
        <v>17</v>
      </c>
      <c r="Y62">
        <v>22</v>
      </c>
      <c r="Z62">
        <v>43.6</v>
      </c>
      <c r="AA62">
        <v>13</v>
      </c>
      <c r="AB62">
        <v>34</v>
      </c>
      <c r="AC62">
        <v>8</v>
      </c>
      <c r="AD62">
        <v>37</v>
      </c>
      <c r="AE62" t="s">
        <v>60</v>
      </c>
    </row>
    <row r="63" spans="1:31" x14ac:dyDescent="0.2">
      <c r="A63">
        <v>62</v>
      </c>
      <c r="B63" t="s">
        <v>410</v>
      </c>
      <c r="C63">
        <v>27</v>
      </c>
      <c r="D63" t="s">
        <v>404</v>
      </c>
      <c r="E63" t="s">
        <v>322</v>
      </c>
      <c r="F63">
        <v>38</v>
      </c>
      <c r="G63">
        <v>10</v>
      </c>
      <c r="H63">
        <v>20</v>
      </c>
      <c r="I63">
        <v>30</v>
      </c>
      <c r="J63">
        <v>-3</v>
      </c>
      <c r="K63">
        <v>14</v>
      </c>
      <c r="L63">
        <v>8</v>
      </c>
      <c r="M63">
        <v>2</v>
      </c>
      <c r="N63">
        <v>0</v>
      </c>
      <c r="O63">
        <v>1</v>
      </c>
      <c r="P63">
        <v>13</v>
      </c>
      <c r="Q63">
        <v>7</v>
      </c>
      <c r="R63">
        <v>0</v>
      </c>
      <c r="S63">
        <v>94</v>
      </c>
      <c r="T63">
        <v>10.6</v>
      </c>
      <c r="U63">
        <v>187</v>
      </c>
      <c r="V63" t="s">
        <v>2225</v>
      </c>
      <c r="W63" t="s">
        <v>1091</v>
      </c>
      <c r="X63">
        <v>434</v>
      </c>
      <c r="Y63">
        <v>366</v>
      </c>
      <c r="Z63">
        <v>54.3</v>
      </c>
      <c r="AA63">
        <v>39</v>
      </c>
      <c r="AB63">
        <v>29</v>
      </c>
      <c r="AC63">
        <v>16</v>
      </c>
      <c r="AD63">
        <v>36</v>
      </c>
      <c r="AE63" t="s">
        <v>60</v>
      </c>
    </row>
    <row r="64" spans="1:31" x14ac:dyDescent="0.2">
      <c r="A64">
        <v>63</v>
      </c>
      <c r="B64" t="s">
        <v>420</v>
      </c>
      <c r="C64">
        <v>30</v>
      </c>
      <c r="D64" t="s">
        <v>321</v>
      </c>
      <c r="E64" t="s">
        <v>340</v>
      </c>
      <c r="F64">
        <v>37</v>
      </c>
      <c r="G64">
        <v>14</v>
      </c>
      <c r="H64">
        <v>16</v>
      </c>
      <c r="I64">
        <v>30</v>
      </c>
      <c r="J64">
        <v>33</v>
      </c>
      <c r="K64">
        <v>6</v>
      </c>
      <c r="L64">
        <v>13</v>
      </c>
      <c r="M64">
        <v>1</v>
      </c>
      <c r="N64">
        <v>0</v>
      </c>
      <c r="O64">
        <v>0</v>
      </c>
      <c r="P64">
        <v>15</v>
      </c>
      <c r="Q64">
        <v>1</v>
      </c>
      <c r="R64">
        <v>0</v>
      </c>
      <c r="S64">
        <v>93</v>
      </c>
      <c r="T64">
        <v>15.1</v>
      </c>
      <c r="U64">
        <v>167</v>
      </c>
      <c r="V64" t="s">
        <v>2226</v>
      </c>
      <c r="W64" t="s">
        <v>1897</v>
      </c>
      <c r="X64">
        <v>1</v>
      </c>
      <c r="Y64">
        <v>5</v>
      </c>
      <c r="Z64">
        <v>16.7</v>
      </c>
      <c r="AA64">
        <v>22</v>
      </c>
      <c r="AB64">
        <v>27</v>
      </c>
      <c r="AC64">
        <v>10</v>
      </c>
      <c r="AD64">
        <v>26</v>
      </c>
      <c r="AE64" t="s">
        <v>60</v>
      </c>
    </row>
    <row r="65" spans="1:31" x14ac:dyDescent="0.2">
      <c r="A65">
        <v>64</v>
      </c>
      <c r="B65" t="s">
        <v>433</v>
      </c>
      <c r="C65">
        <v>30</v>
      </c>
      <c r="D65" t="s">
        <v>346</v>
      </c>
      <c r="E65" t="s">
        <v>349</v>
      </c>
      <c r="F65">
        <v>36</v>
      </c>
      <c r="G65">
        <v>6</v>
      </c>
      <c r="H65">
        <v>24</v>
      </c>
      <c r="I65">
        <v>30</v>
      </c>
      <c r="J65">
        <v>9</v>
      </c>
      <c r="K65">
        <v>12</v>
      </c>
      <c r="L65">
        <v>5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67</v>
      </c>
      <c r="T65">
        <v>9</v>
      </c>
      <c r="U65">
        <v>145</v>
      </c>
      <c r="V65" t="s">
        <v>2227</v>
      </c>
      <c r="W65" t="s">
        <v>1797</v>
      </c>
      <c r="X65">
        <v>0</v>
      </c>
      <c r="Y65">
        <v>0</v>
      </c>
      <c r="AA65">
        <v>68</v>
      </c>
      <c r="AB65">
        <v>21</v>
      </c>
      <c r="AC65">
        <v>10</v>
      </c>
      <c r="AD65">
        <v>42</v>
      </c>
      <c r="AE65" t="s">
        <v>60</v>
      </c>
    </row>
    <row r="66" spans="1:31" x14ac:dyDescent="0.2">
      <c r="A66">
        <v>65</v>
      </c>
      <c r="B66" t="s">
        <v>469</v>
      </c>
      <c r="C66">
        <v>24</v>
      </c>
      <c r="D66" t="s">
        <v>373</v>
      </c>
      <c r="E66" t="s">
        <v>349</v>
      </c>
      <c r="F66">
        <v>40</v>
      </c>
      <c r="G66">
        <v>7</v>
      </c>
      <c r="H66">
        <v>23</v>
      </c>
      <c r="I66">
        <v>30</v>
      </c>
      <c r="J66">
        <v>12</v>
      </c>
      <c r="K66">
        <v>37</v>
      </c>
      <c r="L66">
        <v>6</v>
      </c>
      <c r="M66">
        <v>1</v>
      </c>
      <c r="N66">
        <v>0</v>
      </c>
      <c r="O66">
        <v>1</v>
      </c>
      <c r="P66">
        <v>11</v>
      </c>
      <c r="Q66">
        <v>12</v>
      </c>
      <c r="R66">
        <v>0</v>
      </c>
      <c r="S66">
        <v>97</v>
      </c>
      <c r="T66">
        <v>7.2</v>
      </c>
      <c r="U66">
        <v>207</v>
      </c>
      <c r="V66" t="s">
        <v>2658</v>
      </c>
      <c r="W66" t="s">
        <v>1901</v>
      </c>
      <c r="X66">
        <v>0</v>
      </c>
      <c r="Y66">
        <v>0</v>
      </c>
      <c r="AA66">
        <v>87</v>
      </c>
      <c r="AB66">
        <v>69</v>
      </c>
      <c r="AC66">
        <v>15</v>
      </c>
      <c r="AD66">
        <v>46</v>
      </c>
      <c r="AE66" t="s">
        <v>60</v>
      </c>
    </row>
    <row r="67" spans="1:31" x14ac:dyDescent="0.2">
      <c r="A67">
        <v>66</v>
      </c>
      <c r="B67" t="s">
        <v>438</v>
      </c>
      <c r="C67">
        <v>29</v>
      </c>
      <c r="D67" t="s">
        <v>439</v>
      </c>
      <c r="E67" t="s">
        <v>335</v>
      </c>
      <c r="F67">
        <v>36</v>
      </c>
      <c r="G67">
        <v>11</v>
      </c>
      <c r="H67">
        <v>19</v>
      </c>
      <c r="I67">
        <v>30</v>
      </c>
      <c r="J67">
        <v>6</v>
      </c>
      <c r="K67">
        <v>43</v>
      </c>
      <c r="L67">
        <v>8</v>
      </c>
      <c r="M67">
        <v>2</v>
      </c>
      <c r="N67">
        <v>1</v>
      </c>
      <c r="O67">
        <v>1</v>
      </c>
      <c r="P67">
        <v>18</v>
      </c>
      <c r="Q67">
        <v>1</v>
      </c>
      <c r="R67">
        <v>0</v>
      </c>
      <c r="S67">
        <v>92</v>
      </c>
      <c r="T67">
        <v>12</v>
      </c>
      <c r="U67">
        <v>183</v>
      </c>
      <c r="V67" t="s">
        <v>2228</v>
      </c>
      <c r="W67" t="s">
        <v>371</v>
      </c>
      <c r="X67">
        <v>14</v>
      </c>
      <c r="Y67">
        <v>20</v>
      </c>
      <c r="Z67">
        <v>41.2</v>
      </c>
      <c r="AA67">
        <v>41</v>
      </c>
      <c r="AB67">
        <v>39</v>
      </c>
      <c r="AC67">
        <v>14</v>
      </c>
      <c r="AD67">
        <v>26</v>
      </c>
      <c r="AE67" t="s">
        <v>60</v>
      </c>
    </row>
    <row r="68" spans="1:31" x14ac:dyDescent="0.2">
      <c r="A68">
        <v>67</v>
      </c>
      <c r="B68" t="s">
        <v>460</v>
      </c>
      <c r="C68">
        <v>26</v>
      </c>
      <c r="D68" t="s">
        <v>1022</v>
      </c>
      <c r="E68" t="s">
        <v>349</v>
      </c>
      <c r="F68">
        <v>33</v>
      </c>
      <c r="G68">
        <v>3</v>
      </c>
      <c r="H68">
        <v>27</v>
      </c>
      <c r="I68">
        <v>30</v>
      </c>
      <c r="J68">
        <v>-6</v>
      </c>
      <c r="K68">
        <v>12</v>
      </c>
      <c r="L68">
        <v>1</v>
      </c>
      <c r="M68">
        <v>2</v>
      </c>
      <c r="N68">
        <v>0</v>
      </c>
      <c r="O68">
        <v>0</v>
      </c>
      <c r="P68">
        <v>14</v>
      </c>
      <c r="Q68">
        <v>13</v>
      </c>
      <c r="R68">
        <v>0</v>
      </c>
      <c r="S68">
        <v>86</v>
      </c>
      <c r="T68">
        <v>3.5</v>
      </c>
      <c r="U68">
        <v>220</v>
      </c>
      <c r="V68" t="s">
        <v>2229</v>
      </c>
      <c r="W68" t="s">
        <v>2013</v>
      </c>
      <c r="X68">
        <v>0</v>
      </c>
      <c r="Y68">
        <v>0</v>
      </c>
      <c r="AA68">
        <v>39</v>
      </c>
      <c r="AB68">
        <v>4</v>
      </c>
      <c r="AC68">
        <v>11</v>
      </c>
      <c r="AD68">
        <v>48</v>
      </c>
      <c r="AE68" t="s">
        <v>60</v>
      </c>
    </row>
    <row r="69" spans="1:31" x14ac:dyDescent="0.2">
      <c r="A69">
        <v>67</v>
      </c>
      <c r="B69" t="s">
        <v>460</v>
      </c>
      <c r="C69">
        <v>26</v>
      </c>
      <c r="D69" t="s">
        <v>461</v>
      </c>
      <c r="E69" t="s">
        <v>349</v>
      </c>
      <c r="F69">
        <v>26</v>
      </c>
      <c r="G69">
        <v>2</v>
      </c>
      <c r="H69">
        <v>21</v>
      </c>
      <c r="I69">
        <v>23</v>
      </c>
      <c r="J69">
        <v>-10</v>
      </c>
      <c r="K69">
        <v>12</v>
      </c>
      <c r="L69">
        <v>0</v>
      </c>
      <c r="M69">
        <v>2</v>
      </c>
      <c r="N69">
        <v>0</v>
      </c>
      <c r="O69">
        <v>0</v>
      </c>
      <c r="P69">
        <v>11</v>
      </c>
      <c r="Q69">
        <v>10</v>
      </c>
      <c r="R69">
        <v>0</v>
      </c>
      <c r="S69">
        <v>74</v>
      </c>
      <c r="T69">
        <v>2.7</v>
      </c>
      <c r="U69">
        <v>190</v>
      </c>
      <c r="V69" t="s">
        <v>1720</v>
      </c>
      <c r="W69" t="s">
        <v>1721</v>
      </c>
      <c r="X69">
        <v>0</v>
      </c>
      <c r="Y69">
        <v>0</v>
      </c>
      <c r="AA69">
        <v>32</v>
      </c>
      <c r="AB69">
        <v>1</v>
      </c>
      <c r="AC69">
        <v>10</v>
      </c>
      <c r="AD69">
        <v>41</v>
      </c>
      <c r="AE69" t="s">
        <v>60</v>
      </c>
    </row>
    <row r="70" spans="1:31" x14ac:dyDescent="0.2">
      <c r="A70">
        <v>67</v>
      </c>
      <c r="B70" t="s">
        <v>460</v>
      </c>
      <c r="C70">
        <v>26</v>
      </c>
      <c r="D70" t="s">
        <v>359</v>
      </c>
      <c r="E70" t="s">
        <v>349</v>
      </c>
      <c r="F70">
        <v>7</v>
      </c>
      <c r="G70">
        <v>1</v>
      </c>
      <c r="H70">
        <v>6</v>
      </c>
      <c r="I70">
        <v>7</v>
      </c>
      <c r="J70">
        <v>4</v>
      </c>
      <c r="K70">
        <v>0</v>
      </c>
      <c r="L70">
        <v>1</v>
      </c>
      <c r="M70">
        <v>0</v>
      </c>
      <c r="N70">
        <v>0</v>
      </c>
      <c r="O70">
        <v>0</v>
      </c>
      <c r="P70">
        <v>3</v>
      </c>
      <c r="Q70">
        <v>3</v>
      </c>
      <c r="R70">
        <v>0</v>
      </c>
      <c r="S70">
        <v>12</v>
      </c>
      <c r="T70">
        <v>8.3000000000000007</v>
      </c>
      <c r="U70">
        <v>30</v>
      </c>
      <c r="V70" t="s">
        <v>2230</v>
      </c>
      <c r="W70" t="s">
        <v>2231</v>
      </c>
      <c r="X70">
        <v>0</v>
      </c>
      <c r="Y70">
        <v>0</v>
      </c>
      <c r="AA70">
        <v>7</v>
      </c>
      <c r="AB70">
        <v>3</v>
      </c>
      <c r="AC70">
        <v>1</v>
      </c>
      <c r="AD70">
        <v>7</v>
      </c>
      <c r="AE70" t="s">
        <v>60</v>
      </c>
    </row>
    <row r="71" spans="1:31" x14ac:dyDescent="0.2">
      <c r="A71">
        <v>68</v>
      </c>
      <c r="B71" t="s">
        <v>456</v>
      </c>
      <c r="C71">
        <v>28</v>
      </c>
      <c r="D71" t="s">
        <v>387</v>
      </c>
      <c r="E71" t="s">
        <v>322</v>
      </c>
      <c r="F71">
        <v>38</v>
      </c>
      <c r="G71">
        <v>10</v>
      </c>
      <c r="H71">
        <v>19</v>
      </c>
      <c r="I71">
        <v>29</v>
      </c>
      <c r="J71">
        <v>9</v>
      </c>
      <c r="K71">
        <v>37</v>
      </c>
      <c r="L71">
        <v>9</v>
      </c>
      <c r="M71">
        <v>1</v>
      </c>
      <c r="N71">
        <v>0</v>
      </c>
      <c r="O71">
        <v>1</v>
      </c>
      <c r="P71">
        <v>12</v>
      </c>
      <c r="Q71">
        <v>7</v>
      </c>
      <c r="R71">
        <v>0</v>
      </c>
      <c r="S71">
        <v>89</v>
      </c>
      <c r="T71">
        <v>11.2</v>
      </c>
      <c r="U71">
        <v>170</v>
      </c>
      <c r="V71" t="s">
        <v>2659</v>
      </c>
      <c r="W71" t="s">
        <v>1896</v>
      </c>
      <c r="X71">
        <v>126</v>
      </c>
      <c r="Y71">
        <v>209</v>
      </c>
      <c r="Z71">
        <v>37.6</v>
      </c>
      <c r="AA71">
        <v>25</v>
      </c>
      <c r="AB71">
        <v>16</v>
      </c>
      <c r="AC71">
        <v>20</v>
      </c>
      <c r="AD71">
        <v>41</v>
      </c>
      <c r="AE71" t="s">
        <v>60</v>
      </c>
    </row>
    <row r="72" spans="1:31" x14ac:dyDescent="0.2">
      <c r="A72">
        <v>69</v>
      </c>
      <c r="B72" t="s">
        <v>416</v>
      </c>
      <c r="C72">
        <v>30</v>
      </c>
      <c r="D72" t="s">
        <v>330</v>
      </c>
      <c r="E72" t="s">
        <v>340</v>
      </c>
      <c r="F72">
        <v>35</v>
      </c>
      <c r="G72">
        <v>19</v>
      </c>
      <c r="H72">
        <v>10</v>
      </c>
      <c r="I72">
        <v>29</v>
      </c>
      <c r="J72">
        <v>-10</v>
      </c>
      <c r="K72">
        <v>22</v>
      </c>
      <c r="L72">
        <v>11</v>
      </c>
      <c r="M72">
        <v>8</v>
      </c>
      <c r="N72">
        <v>0</v>
      </c>
      <c r="O72">
        <v>1</v>
      </c>
      <c r="P72">
        <v>5</v>
      </c>
      <c r="Q72">
        <v>5</v>
      </c>
      <c r="R72">
        <v>0</v>
      </c>
      <c r="S72">
        <v>73</v>
      </c>
      <c r="T72">
        <v>26</v>
      </c>
      <c r="U72">
        <v>130</v>
      </c>
      <c r="V72" t="s">
        <v>2660</v>
      </c>
      <c r="W72" t="s">
        <v>1963</v>
      </c>
      <c r="X72">
        <v>35</v>
      </c>
      <c r="Y72">
        <v>33</v>
      </c>
      <c r="Z72">
        <v>51.5</v>
      </c>
      <c r="AA72">
        <v>10</v>
      </c>
      <c r="AB72">
        <v>31</v>
      </c>
      <c r="AC72">
        <v>6</v>
      </c>
      <c r="AD72">
        <v>32</v>
      </c>
      <c r="AE72" t="s">
        <v>60</v>
      </c>
    </row>
    <row r="73" spans="1:31" x14ac:dyDescent="0.2">
      <c r="A73">
        <v>70</v>
      </c>
      <c r="B73" t="s">
        <v>443</v>
      </c>
      <c r="C73">
        <v>36</v>
      </c>
      <c r="D73" t="s">
        <v>368</v>
      </c>
      <c r="E73" t="s">
        <v>349</v>
      </c>
      <c r="F73">
        <v>34</v>
      </c>
      <c r="G73">
        <v>8</v>
      </c>
      <c r="H73">
        <v>21</v>
      </c>
      <c r="I73">
        <v>29</v>
      </c>
      <c r="J73">
        <v>8</v>
      </c>
      <c r="K73">
        <v>12</v>
      </c>
      <c r="L73">
        <v>8</v>
      </c>
      <c r="M73">
        <v>0</v>
      </c>
      <c r="N73">
        <v>0</v>
      </c>
      <c r="O73">
        <v>0</v>
      </c>
      <c r="P73">
        <v>15</v>
      </c>
      <c r="Q73">
        <v>6</v>
      </c>
      <c r="R73">
        <v>0</v>
      </c>
      <c r="S73">
        <v>70</v>
      </c>
      <c r="T73">
        <v>11.4</v>
      </c>
      <c r="U73">
        <v>173</v>
      </c>
      <c r="V73" t="s">
        <v>2232</v>
      </c>
      <c r="W73" t="s">
        <v>2233</v>
      </c>
      <c r="X73">
        <v>0</v>
      </c>
      <c r="Y73">
        <v>0</v>
      </c>
      <c r="AA73">
        <v>46</v>
      </c>
      <c r="AB73">
        <v>13</v>
      </c>
      <c r="AC73">
        <v>23</v>
      </c>
      <c r="AD73">
        <v>57</v>
      </c>
      <c r="AE73" t="s">
        <v>60</v>
      </c>
    </row>
    <row r="74" spans="1:31" x14ac:dyDescent="0.2">
      <c r="A74">
        <v>71</v>
      </c>
      <c r="B74" t="s">
        <v>417</v>
      </c>
      <c r="C74">
        <v>27</v>
      </c>
      <c r="D74" t="s">
        <v>368</v>
      </c>
      <c r="E74" t="s">
        <v>349</v>
      </c>
      <c r="F74">
        <v>38</v>
      </c>
      <c r="G74">
        <v>15</v>
      </c>
      <c r="H74">
        <v>14</v>
      </c>
      <c r="I74">
        <v>29</v>
      </c>
      <c r="J74">
        <v>22</v>
      </c>
      <c r="K74">
        <v>33</v>
      </c>
      <c r="L74">
        <v>11</v>
      </c>
      <c r="M74">
        <v>4</v>
      </c>
      <c r="N74">
        <v>0</v>
      </c>
      <c r="O74">
        <v>4</v>
      </c>
      <c r="P74">
        <v>12</v>
      </c>
      <c r="Q74">
        <v>2</v>
      </c>
      <c r="R74">
        <v>0</v>
      </c>
      <c r="S74">
        <v>131</v>
      </c>
      <c r="T74">
        <v>11.5</v>
      </c>
      <c r="U74">
        <v>289</v>
      </c>
      <c r="V74" t="s">
        <v>2234</v>
      </c>
      <c r="W74" t="s">
        <v>1933</v>
      </c>
      <c r="X74">
        <v>0</v>
      </c>
      <c r="Y74">
        <v>0</v>
      </c>
      <c r="AA74">
        <v>46</v>
      </c>
      <c r="AB74">
        <v>35</v>
      </c>
      <c r="AC74">
        <v>16</v>
      </c>
      <c r="AD74">
        <v>46</v>
      </c>
      <c r="AE74" t="s">
        <v>60</v>
      </c>
    </row>
    <row r="75" spans="1:31" x14ac:dyDescent="0.2">
      <c r="A75">
        <v>72</v>
      </c>
      <c r="B75" t="s">
        <v>542</v>
      </c>
      <c r="C75">
        <v>24</v>
      </c>
      <c r="D75" t="s">
        <v>426</v>
      </c>
      <c r="E75" t="s">
        <v>322</v>
      </c>
      <c r="F75">
        <v>37</v>
      </c>
      <c r="G75">
        <v>11</v>
      </c>
      <c r="H75">
        <v>18</v>
      </c>
      <c r="I75">
        <v>29</v>
      </c>
      <c r="J75">
        <v>-9</v>
      </c>
      <c r="K75">
        <v>34</v>
      </c>
      <c r="L75">
        <v>5</v>
      </c>
      <c r="M75">
        <v>6</v>
      </c>
      <c r="N75">
        <v>0</v>
      </c>
      <c r="O75">
        <v>0</v>
      </c>
      <c r="P75">
        <v>8</v>
      </c>
      <c r="Q75">
        <v>10</v>
      </c>
      <c r="R75">
        <v>0</v>
      </c>
      <c r="S75">
        <v>83</v>
      </c>
      <c r="T75">
        <v>13.3</v>
      </c>
      <c r="U75">
        <v>154</v>
      </c>
      <c r="V75" t="s">
        <v>2235</v>
      </c>
      <c r="W75" t="s">
        <v>2201</v>
      </c>
      <c r="X75">
        <v>227</v>
      </c>
      <c r="Y75">
        <v>187</v>
      </c>
      <c r="Z75">
        <v>54.8</v>
      </c>
      <c r="AA75">
        <v>13</v>
      </c>
      <c r="AB75">
        <v>109</v>
      </c>
      <c r="AC75">
        <v>8</v>
      </c>
      <c r="AD75">
        <v>26</v>
      </c>
      <c r="AE75" t="s">
        <v>60</v>
      </c>
    </row>
    <row r="76" spans="1:31" x14ac:dyDescent="0.2">
      <c r="A76">
        <v>73</v>
      </c>
      <c r="B76" t="s">
        <v>504</v>
      </c>
      <c r="C76">
        <v>31</v>
      </c>
      <c r="D76" t="s">
        <v>476</v>
      </c>
      <c r="E76" t="s">
        <v>322</v>
      </c>
      <c r="F76">
        <v>37</v>
      </c>
      <c r="G76">
        <v>16</v>
      </c>
      <c r="H76">
        <v>13</v>
      </c>
      <c r="I76">
        <v>29</v>
      </c>
      <c r="J76">
        <v>-2</v>
      </c>
      <c r="K76">
        <v>20</v>
      </c>
      <c r="L76">
        <v>15</v>
      </c>
      <c r="M76">
        <v>1</v>
      </c>
      <c r="N76">
        <v>0</v>
      </c>
      <c r="O76">
        <v>1</v>
      </c>
      <c r="P76">
        <v>7</v>
      </c>
      <c r="Q76">
        <v>6</v>
      </c>
      <c r="R76">
        <v>0</v>
      </c>
      <c r="S76">
        <v>117</v>
      </c>
      <c r="T76">
        <v>13.7</v>
      </c>
      <c r="U76">
        <v>248</v>
      </c>
      <c r="V76" t="s">
        <v>2236</v>
      </c>
      <c r="W76" t="s">
        <v>1643</v>
      </c>
      <c r="X76">
        <v>6</v>
      </c>
      <c r="Y76">
        <v>12</v>
      </c>
      <c r="Z76">
        <v>33.299999999999997</v>
      </c>
      <c r="AA76">
        <v>14</v>
      </c>
      <c r="AB76">
        <v>74</v>
      </c>
      <c r="AC76">
        <v>22</v>
      </c>
      <c r="AD76">
        <v>48</v>
      </c>
      <c r="AE76" t="s">
        <v>60</v>
      </c>
    </row>
    <row r="77" spans="1:31" x14ac:dyDescent="0.2">
      <c r="A77">
        <v>74</v>
      </c>
      <c r="B77" t="s">
        <v>472</v>
      </c>
      <c r="C77">
        <v>32</v>
      </c>
      <c r="D77" t="s">
        <v>402</v>
      </c>
      <c r="E77" t="s">
        <v>349</v>
      </c>
      <c r="F77">
        <v>28</v>
      </c>
      <c r="G77">
        <v>4</v>
      </c>
      <c r="H77">
        <v>25</v>
      </c>
      <c r="I77">
        <v>29</v>
      </c>
      <c r="J77">
        <v>12</v>
      </c>
      <c r="K77">
        <v>4</v>
      </c>
      <c r="L77">
        <v>2</v>
      </c>
      <c r="M77">
        <v>2</v>
      </c>
      <c r="N77">
        <v>0</v>
      </c>
      <c r="O77">
        <v>1</v>
      </c>
      <c r="P77">
        <v>19</v>
      </c>
      <c r="Q77">
        <v>6</v>
      </c>
      <c r="R77">
        <v>0</v>
      </c>
      <c r="S77">
        <v>48</v>
      </c>
      <c r="T77">
        <v>8.3000000000000007</v>
      </c>
      <c r="U77">
        <v>129</v>
      </c>
      <c r="V77" t="s">
        <v>2237</v>
      </c>
      <c r="W77" t="s">
        <v>421</v>
      </c>
      <c r="X77">
        <v>0</v>
      </c>
      <c r="Y77">
        <v>0</v>
      </c>
      <c r="AA77">
        <v>26</v>
      </c>
      <c r="AB77">
        <v>11</v>
      </c>
      <c r="AC77">
        <v>9</v>
      </c>
      <c r="AD77">
        <v>30</v>
      </c>
      <c r="AE77" t="s">
        <v>60</v>
      </c>
    </row>
    <row r="78" spans="1:31" x14ac:dyDescent="0.2">
      <c r="A78">
        <v>75</v>
      </c>
      <c r="B78" t="s">
        <v>459</v>
      </c>
      <c r="C78">
        <v>32</v>
      </c>
      <c r="D78" t="s">
        <v>344</v>
      </c>
      <c r="E78" t="s">
        <v>322</v>
      </c>
      <c r="F78">
        <v>36</v>
      </c>
      <c r="G78">
        <v>15</v>
      </c>
      <c r="H78">
        <v>14</v>
      </c>
      <c r="I78">
        <v>29</v>
      </c>
      <c r="J78">
        <v>-6</v>
      </c>
      <c r="K78">
        <v>8</v>
      </c>
      <c r="L78">
        <v>8</v>
      </c>
      <c r="M78">
        <v>7</v>
      </c>
      <c r="N78">
        <v>0</v>
      </c>
      <c r="O78">
        <v>2</v>
      </c>
      <c r="P78">
        <v>9</v>
      </c>
      <c r="Q78">
        <v>5</v>
      </c>
      <c r="R78">
        <v>0</v>
      </c>
      <c r="S78">
        <v>101</v>
      </c>
      <c r="T78">
        <v>14.9</v>
      </c>
      <c r="U78">
        <v>201</v>
      </c>
      <c r="V78" t="s">
        <v>2238</v>
      </c>
      <c r="W78" t="s">
        <v>581</v>
      </c>
      <c r="X78">
        <v>339</v>
      </c>
      <c r="Y78">
        <v>245</v>
      </c>
      <c r="Z78">
        <v>58</v>
      </c>
      <c r="AA78">
        <v>16</v>
      </c>
      <c r="AB78">
        <v>46</v>
      </c>
      <c r="AC78">
        <v>10</v>
      </c>
      <c r="AD78">
        <v>27</v>
      </c>
      <c r="AE78" t="s">
        <v>60</v>
      </c>
    </row>
    <row r="79" spans="1:31" x14ac:dyDescent="0.2">
      <c r="A79">
        <v>76</v>
      </c>
      <c r="B79" t="s">
        <v>427</v>
      </c>
      <c r="C79">
        <v>23</v>
      </c>
      <c r="D79" t="s">
        <v>402</v>
      </c>
      <c r="E79" t="s">
        <v>322</v>
      </c>
      <c r="F79">
        <v>34</v>
      </c>
      <c r="G79">
        <v>19</v>
      </c>
      <c r="H79">
        <v>10</v>
      </c>
      <c r="I79">
        <v>29</v>
      </c>
      <c r="J79">
        <v>0</v>
      </c>
      <c r="K79">
        <v>6</v>
      </c>
      <c r="L79">
        <v>16</v>
      </c>
      <c r="M79">
        <v>1</v>
      </c>
      <c r="N79">
        <v>2</v>
      </c>
      <c r="O79">
        <v>4</v>
      </c>
      <c r="P79">
        <v>8</v>
      </c>
      <c r="Q79">
        <v>2</v>
      </c>
      <c r="R79">
        <v>0</v>
      </c>
      <c r="S79">
        <v>110</v>
      </c>
      <c r="T79">
        <v>17.3</v>
      </c>
      <c r="U79">
        <v>171</v>
      </c>
      <c r="V79" t="s">
        <v>1871</v>
      </c>
      <c r="W79" t="s">
        <v>432</v>
      </c>
      <c r="X79">
        <v>20</v>
      </c>
      <c r="Y79">
        <v>30</v>
      </c>
      <c r="Z79">
        <v>40</v>
      </c>
      <c r="AA79">
        <v>13</v>
      </c>
      <c r="AB79">
        <v>43</v>
      </c>
      <c r="AC79">
        <v>19</v>
      </c>
      <c r="AD79">
        <v>33</v>
      </c>
      <c r="AE79" t="s">
        <v>60</v>
      </c>
    </row>
    <row r="80" spans="1:31" x14ac:dyDescent="0.2">
      <c r="A80">
        <v>77</v>
      </c>
      <c r="B80" t="s">
        <v>388</v>
      </c>
      <c r="C80">
        <v>39</v>
      </c>
      <c r="D80" t="s">
        <v>378</v>
      </c>
      <c r="E80" t="s">
        <v>322</v>
      </c>
      <c r="F80">
        <v>26</v>
      </c>
      <c r="G80">
        <v>8</v>
      </c>
      <c r="H80">
        <v>21</v>
      </c>
      <c r="I80">
        <v>29</v>
      </c>
      <c r="J80">
        <v>5</v>
      </c>
      <c r="K80">
        <v>20</v>
      </c>
      <c r="L80">
        <v>6</v>
      </c>
      <c r="M80">
        <v>2</v>
      </c>
      <c r="N80">
        <v>0</v>
      </c>
      <c r="O80">
        <v>1</v>
      </c>
      <c r="P80">
        <v>10</v>
      </c>
      <c r="Q80">
        <v>11</v>
      </c>
      <c r="R80">
        <v>0</v>
      </c>
      <c r="S80">
        <v>66</v>
      </c>
      <c r="T80">
        <v>12.1</v>
      </c>
      <c r="U80">
        <v>111</v>
      </c>
      <c r="V80" t="s">
        <v>389</v>
      </c>
      <c r="W80" t="s">
        <v>390</v>
      </c>
      <c r="X80">
        <v>94</v>
      </c>
      <c r="Y80">
        <v>114</v>
      </c>
      <c r="Z80">
        <v>45.2</v>
      </c>
      <c r="AA80">
        <v>7</v>
      </c>
      <c r="AB80">
        <v>10</v>
      </c>
      <c r="AC80">
        <v>8</v>
      </c>
      <c r="AD80">
        <v>28</v>
      </c>
      <c r="AE80" t="s">
        <v>60</v>
      </c>
    </row>
    <row r="81" spans="1:31" x14ac:dyDescent="0.2">
      <c r="A81">
        <v>78</v>
      </c>
      <c r="B81" t="s">
        <v>431</v>
      </c>
      <c r="C81">
        <v>25</v>
      </c>
      <c r="D81" t="s">
        <v>384</v>
      </c>
      <c r="E81" t="s">
        <v>335</v>
      </c>
      <c r="F81">
        <v>33</v>
      </c>
      <c r="G81">
        <v>13</v>
      </c>
      <c r="H81">
        <v>16</v>
      </c>
      <c r="I81">
        <v>29</v>
      </c>
      <c r="J81">
        <v>5</v>
      </c>
      <c r="K81">
        <v>14</v>
      </c>
      <c r="L81">
        <v>9</v>
      </c>
      <c r="M81">
        <v>3</v>
      </c>
      <c r="N81">
        <v>1</v>
      </c>
      <c r="O81">
        <v>3</v>
      </c>
      <c r="P81">
        <v>8</v>
      </c>
      <c r="Q81">
        <v>8</v>
      </c>
      <c r="R81">
        <v>0</v>
      </c>
      <c r="S81">
        <v>99</v>
      </c>
      <c r="T81">
        <v>13.1</v>
      </c>
      <c r="U81">
        <v>219</v>
      </c>
      <c r="V81" t="s">
        <v>2661</v>
      </c>
      <c r="W81" t="s">
        <v>413</v>
      </c>
      <c r="X81">
        <v>0</v>
      </c>
      <c r="Y81">
        <v>2</v>
      </c>
      <c r="Z81">
        <v>0</v>
      </c>
      <c r="AA81">
        <v>19</v>
      </c>
      <c r="AB81">
        <v>29</v>
      </c>
      <c r="AC81">
        <v>19</v>
      </c>
      <c r="AD81">
        <v>41</v>
      </c>
      <c r="AE81" t="s">
        <v>60</v>
      </c>
    </row>
    <row r="82" spans="1:31" x14ac:dyDescent="0.2">
      <c r="A82">
        <v>79</v>
      </c>
      <c r="B82" t="s">
        <v>434</v>
      </c>
      <c r="C82">
        <v>20</v>
      </c>
      <c r="D82" t="s">
        <v>337</v>
      </c>
      <c r="E82" t="s">
        <v>325</v>
      </c>
      <c r="F82">
        <v>38</v>
      </c>
      <c r="G82">
        <v>11</v>
      </c>
      <c r="H82">
        <v>18</v>
      </c>
      <c r="I82">
        <v>29</v>
      </c>
      <c r="J82">
        <v>-2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4</v>
      </c>
      <c r="R82">
        <v>0</v>
      </c>
      <c r="S82">
        <v>73</v>
      </c>
      <c r="T82">
        <v>15.1</v>
      </c>
      <c r="U82">
        <v>137</v>
      </c>
      <c r="V82" t="s">
        <v>2239</v>
      </c>
      <c r="W82" t="s">
        <v>435</v>
      </c>
      <c r="X82">
        <v>2</v>
      </c>
      <c r="Y82">
        <v>2</v>
      </c>
      <c r="Z82">
        <v>50</v>
      </c>
      <c r="AA82">
        <v>12</v>
      </c>
      <c r="AB82">
        <v>37</v>
      </c>
      <c r="AC82">
        <v>9</v>
      </c>
      <c r="AD82">
        <v>39</v>
      </c>
      <c r="AE82" t="s">
        <v>60</v>
      </c>
    </row>
    <row r="83" spans="1:31" x14ac:dyDescent="0.2">
      <c r="A83">
        <v>80</v>
      </c>
      <c r="B83" t="s">
        <v>397</v>
      </c>
      <c r="C83">
        <v>20</v>
      </c>
      <c r="D83" t="s">
        <v>324</v>
      </c>
      <c r="E83" t="s">
        <v>322</v>
      </c>
      <c r="F83">
        <v>33</v>
      </c>
      <c r="G83">
        <v>12</v>
      </c>
      <c r="H83">
        <v>17</v>
      </c>
      <c r="I83">
        <v>29</v>
      </c>
      <c r="J83">
        <v>5</v>
      </c>
      <c r="K83">
        <v>12</v>
      </c>
      <c r="L83">
        <v>9</v>
      </c>
      <c r="M83">
        <v>3</v>
      </c>
      <c r="N83">
        <v>0</v>
      </c>
      <c r="O83">
        <v>3</v>
      </c>
      <c r="P83">
        <v>12</v>
      </c>
      <c r="Q83">
        <v>5</v>
      </c>
      <c r="R83">
        <v>0</v>
      </c>
      <c r="S83">
        <v>80</v>
      </c>
      <c r="T83">
        <v>15</v>
      </c>
      <c r="U83">
        <v>162</v>
      </c>
      <c r="V83" t="s">
        <v>1764</v>
      </c>
      <c r="W83" t="s">
        <v>948</v>
      </c>
      <c r="X83">
        <v>8</v>
      </c>
      <c r="Y83">
        <v>21</v>
      </c>
      <c r="Z83">
        <v>27.6</v>
      </c>
      <c r="AA83">
        <v>7</v>
      </c>
      <c r="AB83">
        <v>7</v>
      </c>
      <c r="AC83">
        <v>8</v>
      </c>
      <c r="AD83">
        <v>29</v>
      </c>
      <c r="AE83" t="s">
        <v>60</v>
      </c>
    </row>
    <row r="84" spans="1:31" x14ac:dyDescent="0.2">
      <c r="A84">
        <v>81</v>
      </c>
      <c r="B84" t="s">
        <v>493</v>
      </c>
      <c r="C84">
        <v>33</v>
      </c>
      <c r="D84" t="s">
        <v>344</v>
      </c>
      <c r="E84" t="s">
        <v>335</v>
      </c>
      <c r="F84">
        <v>20</v>
      </c>
      <c r="G84">
        <v>8</v>
      </c>
      <c r="H84">
        <v>21</v>
      </c>
      <c r="I84">
        <v>29</v>
      </c>
      <c r="J84">
        <v>6</v>
      </c>
      <c r="K84">
        <v>0</v>
      </c>
      <c r="L84">
        <v>4</v>
      </c>
      <c r="M84">
        <v>4</v>
      </c>
      <c r="N84">
        <v>0</v>
      </c>
      <c r="O84">
        <v>1</v>
      </c>
      <c r="P84">
        <v>11</v>
      </c>
      <c r="Q84">
        <v>9</v>
      </c>
      <c r="R84">
        <v>1</v>
      </c>
      <c r="S84">
        <v>50</v>
      </c>
      <c r="T84">
        <v>16</v>
      </c>
      <c r="U84">
        <v>83</v>
      </c>
      <c r="V84" t="s">
        <v>2240</v>
      </c>
      <c r="W84" t="s">
        <v>1204</v>
      </c>
      <c r="X84">
        <v>1</v>
      </c>
      <c r="Y84">
        <v>2</v>
      </c>
      <c r="Z84">
        <v>33.299999999999997</v>
      </c>
      <c r="AA84">
        <v>12</v>
      </c>
      <c r="AB84">
        <v>9</v>
      </c>
      <c r="AC84">
        <v>10</v>
      </c>
      <c r="AD84">
        <v>24</v>
      </c>
      <c r="AE84" t="s">
        <v>60</v>
      </c>
    </row>
    <row r="85" spans="1:31" x14ac:dyDescent="0.2">
      <c r="A85">
        <v>82</v>
      </c>
      <c r="B85" t="s">
        <v>535</v>
      </c>
      <c r="C85">
        <v>26</v>
      </c>
      <c r="D85" t="s">
        <v>536</v>
      </c>
      <c r="E85" t="s">
        <v>322</v>
      </c>
      <c r="F85">
        <v>35</v>
      </c>
      <c r="G85">
        <v>9</v>
      </c>
      <c r="H85">
        <v>20</v>
      </c>
      <c r="I85">
        <v>29</v>
      </c>
      <c r="J85">
        <v>2</v>
      </c>
      <c r="K85">
        <v>10</v>
      </c>
      <c r="L85">
        <v>5</v>
      </c>
      <c r="M85">
        <v>3</v>
      </c>
      <c r="N85">
        <v>1</v>
      </c>
      <c r="O85">
        <v>0</v>
      </c>
      <c r="P85">
        <v>15</v>
      </c>
      <c r="Q85">
        <v>5</v>
      </c>
      <c r="R85">
        <v>0</v>
      </c>
      <c r="S85">
        <v>54</v>
      </c>
      <c r="T85">
        <v>16.7</v>
      </c>
      <c r="U85">
        <v>103</v>
      </c>
      <c r="V85" t="s">
        <v>2241</v>
      </c>
      <c r="W85" t="s">
        <v>1900</v>
      </c>
      <c r="X85">
        <v>322</v>
      </c>
      <c r="Y85">
        <v>278</v>
      </c>
      <c r="Z85">
        <v>53.7</v>
      </c>
      <c r="AA85">
        <v>21</v>
      </c>
      <c r="AB85">
        <v>7</v>
      </c>
      <c r="AC85">
        <v>19</v>
      </c>
      <c r="AD85">
        <v>52</v>
      </c>
      <c r="AE85" t="s">
        <v>60</v>
      </c>
    </row>
    <row r="86" spans="1:31" x14ac:dyDescent="0.2">
      <c r="A86">
        <v>83</v>
      </c>
      <c r="B86" t="s">
        <v>440</v>
      </c>
      <c r="C86">
        <v>32</v>
      </c>
      <c r="D86" t="s">
        <v>363</v>
      </c>
      <c r="E86" t="s">
        <v>322</v>
      </c>
      <c r="F86">
        <v>39</v>
      </c>
      <c r="G86">
        <v>12</v>
      </c>
      <c r="H86">
        <v>17</v>
      </c>
      <c r="I86">
        <v>29</v>
      </c>
      <c r="J86">
        <v>-9</v>
      </c>
      <c r="K86">
        <v>6</v>
      </c>
      <c r="L86">
        <v>4</v>
      </c>
      <c r="M86">
        <v>7</v>
      </c>
      <c r="N86">
        <v>1</v>
      </c>
      <c r="O86">
        <v>2</v>
      </c>
      <c r="P86">
        <v>12</v>
      </c>
      <c r="Q86">
        <v>5</v>
      </c>
      <c r="R86">
        <v>0</v>
      </c>
      <c r="S86">
        <v>107</v>
      </c>
      <c r="T86">
        <v>11.2</v>
      </c>
      <c r="U86">
        <v>201</v>
      </c>
      <c r="V86" t="s">
        <v>2242</v>
      </c>
      <c r="W86" t="s">
        <v>1642</v>
      </c>
      <c r="X86">
        <v>265</v>
      </c>
      <c r="Y86">
        <v>253</v>
      </c>
      <c r="Z86">
        <v>51.2</v>
      </c>
      <c r="AA86">
        <v>27</v>
      </c>
      <c r="AB86">
        <v>59</v>
      </c>
      <c r="AC86">
        <v>15</v>
      </c>
      <c r="AD86">
        <v>51</v>
      </c>
      <c r="AE86" t="s">
        <v>60</v>
      </c>
    </row>
    <row r="87" spans="1:31" x14ac:dyDescent="0.2">
      <c r="A87">
        <v>84</v>
      </c>
      <c r="B87" t="s">
        <v>441</v>
      </c>
      <c r="C87">
        <v>30</v>
      </c>
      <c r="D87" t="s">
        <v>344</v>
      </c>
      <c r="E87" t="s">
        <v>322</v>
      </c>
      <c r="F87">
        <v>36</v>
      </c>
      <c r="G87">
        <v>12</v>
      </c>
      <c r="H87">
        <v>16</v>
      </c>
      <c r="I87">
        <v>28</v>
      </c>
      <c r="J87">
        <v>5</v>
      </c>
      <c r="K87">
        <v>6</v>
      </c>
      <c r="L87">
        <v>11</v>
      </c>
      <c r="M87">
        <v>1</v>
      </c>
      <c r="N87">
        <v>0</v>
      </c>
      <c r="O87">
        <v>1</v>
      </c>
      <c r="P87">
        <v>15</v>
      </c>
      <c r="Q87">
        <v>1</v>
      </c>
      <c r="R87">
        <v>0</v>
      </c>
      <c r="S87">
        <v>58</v>
      </c>
      <c r="T87">
        <v>20.7</v>
      </c>
      <c r="U87">
        <v>100</v>
      </c>
      <c r="V87" t="s">
        <v>2243</v>
      </c>
      <c r="W87" t="s">
        <v>1920</v>
      </c>
      <c r="X87">
        <v>5</v>
      </c>
      <c r="Y87">
        <v>21</v>
      </c>
      <c r="Z87">
        <v>19.2</v>
      </c>
      <c r="AA87">
        <v>18</v>
      </c>
      <c r="AB87">
        <v>56</v>
      </c>
      <c r="AC87">
        <v>7</v>
      </c>
      <c r="AD87">
        <v>37</v>
      </c>
      <c r="AE87" t="s">
        <v>60</v>
      </c>
    </row>
    <row r="88" spans="1:31" x14ac:dyDescent="0.2">
      <c r="A88">
        <v>85</v>
      </c>
      <c r="B88" t="s">
        <v>515</v>
      </c>
      <c r="C88">
        <v>25</v>
      </c>
      <c r="D88" t="s">
        <v>439</v>
      </c>
      <c r="E88" t="s">
        <v>349</v>
      </c>
      <c r="F88">
        <v>33</v>
      </c>
      <c r="G88">
        <v>4</v>
      </c>
      <c r="H88">
        <v>24</v>
      </c>
      <c r="I88">
        <v>28</v>
      </c>
      <c r="J88">
        <v>-6</v>
      </c>
      <c r="K88">
        <v>37</v>
      </c>
      <c r="L88">
        <v>2</v>
      </c>
      <c r="M88">
        <v>2</v>
      </c>
      <c r="N88">
        <v>0</v>
      </c>
      <c r="O88">
        <v>0</v>
      </c>
      <c r="P88">
        <v>15</v>
      </c>
      <c r="Q88">
        <v>9</v>
      </c>
      <c r="R88">
        <v>0</v>
      </c>
      <c r="S88">
        <v>88</v>
      </c>
      <c r="T88">
        <v>4.5</v>
      </c>
      <c r="U88">
        <v>206</v>
      </c>
      <c r="V88" t="s">
        <v>2104</v>
      </c>
      <c r="W88" t="s">
        <v>1839</v>
      </c>
      <c r="X88">
        <v>0</v>
      </c>
      <c r="Y88">
        <v>0</v>
      </c>
      <c r="AA88">
        <v>41</v>
      </c>
      <c r="AB88">
        <v>27</v>
      </c>
      <c r="AC88">
        <v>16</v>
      </c>
      <c r="AD88">
        <v>60</v>
      </c>
      <c r="AE88" t="s">
        <v>60</v>
      </c>
    </row>
    <row r="89" spans="1:31" x14ac:dyDescent="0.2">
      <c r="A89">
        <v>86</v>
      </c>
      <c r="B89" t="s">
        <v>487</v>
      </c>
      <c r="C89">
        <v>35</v>
      </c>
      <c r="D89" t="s">
        <v>359</v>
      </c>
      <c r="E89" t="s">
        <v>322</v>
      </c>
      <c r="F89">
        <v>37</v>
      </c>
      <c r="G89">
        <v>11</v>
      </c>
      <c r="H89">
        <v>17</v>
      </c>
      <c r="I89">
        <v>28</v>
      </c>
      <c r="J89">
        <v>17</v>
      </c>
      <c r="K89">
        <v>8</v>
      </c>
      <c r="L89">
        <v>8</v>
      </c>
      <c r="M89">
        <v>3</v>
      </c>
      <c r="N89">
        <v>0</v>
      </c>
      <c r="O89">
        <v>4</v>
      </c>
      <c r="P89">
        <v>12</v>
      </c>
      <c r="Q89">
        <v>4</v>
      </c>
      <c r="R89">
        <v>1</v>
      </c>
      <c r="S89">
        <v>55</v>
      </c>
      <c r="T89">
        <v>20</v>
      </c>
      <c r="U89">
        <v>101</v>
      </c>
      <c r="V89" t="s">
        <v>2244</v>
      </c>
      <c r="W89" t="s">
        <v>1910</v>
      </c>
      <c r="X89">
        <v>5</v>
      </c>
      <c r="Y89">
        <v>7</v>
      </c>
      <c r="Z89">
        <v>41.7</v>
      </c>
      <c r="AA89">
        <v>10</v>
      </c>
      <c r="AB89">
        <v>16</v>
      </c>
      <c r="AC89">
        <v>12</v>
      </c>
      <c r="AD89">
        <v>30</v>
      </c>
      <c r="AE89" t="s">
        <v>60</v>
      </c>
    </row>
    <row r="90" spans="1:31" x14ac:dyDescent="0.2">
      <c r="A90">
        <v>87</v>
      </c>
      <c r="B90" t="s">
        <v>463</v>
      </c>
      <c r="C90">
        <v>24</v>
      </c>
      <c r="D90" t="s">
        <v>375</v>
      </c>
      <c r="E90" t="s">
        <v>322</v>
      </c>
      <c r="F90">
        <v>37</v>
      </c>
      <c r="G90">
        <v>12</v>
      </c>
      <c r="H90">
        <v>16</v>
      </c>
      <c r="I90">
        <v>28</v>
      </c>
      <c r="J90">
        <v>-6</v>
      </c>
      <c r="K90">
        <v>18</v>
      </c>
      <c r="L90">
        <v>8</v>
      </c>
      <c r="M90">
        <v>3</v>
      </c>
      <c r="N90">
        <v>1</v>
      </c>
      <c r="O90">
        <v>3</v>
      </c>
      <c r="P90">
        <v>9</v>
      </c>
      <c r="Q90">
        <v>5</v>
      </c>
      <c r="R90">
        <v>2</v>
      </c>
      <c r="S90">
        <v>82</v>
      </c>
      <c r="T90">
        <v>14.6</v>
      </c>
      <c r="U90">
        <v>157</v>
      </c>
      <c r="V90" t="s">
        <v>2245</v>
      </c>
      <c r="W90" t="s">
        <v>450</v>
      </c>
      <c r="X90">
        <v>344</v>
      </c>
      <c r="Y90">
        <v>321</v>
      </c>
      <c r="Z90">
        <v>51.7</v>
      </c>
      <c r="AA90">
        <v>28</v>
      </c>
      <c r="AB90">
        <v>43</v>
      </c>
      <c r="AC90">
        <v>6</v>
      </c>
      <c r="AD90">
        <v>37</v>
      </c>
      <c r="AE90" t="s">
        <v>60</v>
      </c>
    </row>
    <row r="91" spans="1:31" x14ac:dyDescent="0.2">
      <c r="A91">
        <v>88</v>
      </c>
      <c r="B91" t="s">
        <v>580</v>
      </c>
      <c r="C91">
        <v>21</v>
      </c>
      <c r="D91" t="s">
        <v>365</v>
      </c>
      <c r="E91" t="s">
        <v>340</v>
      </c>
      <c r="F91">
        <v>38</v>
      </c>
      <c r="G91">
        <v>13</v>
      </c>
      <c r="H91">
        <v>15</v>
      </c>
      <c r="I91">
        <v>28</v>
      </c>
      <c r="J91">
        <v>5</v>
      </c>
      <c r="K91">
        <v>36</v>
      </c>
      <c r="L91">
        <v>6</v>
      </c>
      <c r="M91">
        <v>7</v>
      </c>
      <c r="N91">
        <v>0</v>
      </c>
      <c r="O91">
        <v>1</v>
      </c>
      <c r="P91">
        <v>9</v>
      </c>
      <c r="Q91">
        <v>6</v>
      </c>
      <c r="R91">
        <v>0</v>
      </c>
      <c r="S91">
        <v>78</v>
      </c>
      <c r="T91">
        <v>16.7</v>
      </c>
      <c r="U91">
        <v>159</v>
      </c>
      <c r="V91" t="s">
        <v>2662</v>
      </c>
      <c r="W91" t="s">
        <v>1907</v>
      </c>
      <c r="X91">
        <v>11</v>
      </c>
      <c r="Y91">
        <v>25</v>
      </c>
      <c r="Z91">
        <v>30.6</v>
      </c>
      <c r="AA91">
        <v>32</v>
      </c>
      <c r="AB91">
        <v>60</v>
      </c>
      <c r="AC91">
        <v>3</v>
      </c>
      <c r="AD91">
        <v>24</v>
      </c>
      <c r="AE91" t="s">
        <v>60</v>
      </c>
    </row>
    <row r="92" spans="1:31" x14ac:dyDescent="0.2">
      <c r="A92">
        <v>89</v>
      </c>
      <c r="B92" t="s">
        <v>454</v>
      </c>
      <c r="C92">
        <v>28</v>
      </c>
      <c r="D92" t="s">
        <v>368</v>
      </c>
      <c r="E92" t="s">
        <v>322</v>
      </c>
      <c r="F92">
        <v>36</v>
      </c>
      <c r="G92">
        <v>7</v>
      </c>
      <c r="H92">
        <v>21</v>
      </c>
      <c r="I92">
        <v>28</v>
      </c>
      <c r="J92">
        <v>14</v>
      </c>
      <c r="K92">
        <v>20</v>
      </c>
      <c r="L92">
        <v>6</v>
      </c>
      <c r="M92">
        <v>1</v>
      </c>
      <c r="N92">
        <v>0</v>
      </c>
      <c r="O92">
        <v>1</v>
      </c>
      <c r="P92">
        <v>15</v>
      </c>
      <c r="Q92">
        <v>6</v>
      </c>
      <c r="R92">
        <v>0</v>
      </c>
      <c r="S92">
        <v>62</v>
      </c>
      <c r="T92">
        <v>11.3</v>
      </c>
      <c r="U92">
        <v>110</v>
      </c>
      <c r="V92" t="s">
        <v>2246</v>
      </c>
      <c r="W92" t="s">
        <v>1717</v>
      </c>
      <c r="X92">
        <v>352</v>
      </c>
      <c r="Y92">
        <v>259</v>
      </c>
      <c r="Z92">
        <v>57.6</v>
      </c>
      <c r="AA92">
        <v>26</v>
      </c>
      <c r="AB92">
        <v>8</v>
      </c>
      <c r="AC92">
        <v>7</v>
      </c>
      <c r="AD92">
        <v>28</v>
      </c>
      <c r="AE92" t="s">
        <v>60</v>
      </c>
    </row>
    <row r="93" spans="1:31" x14ac:dyDescent="0.2">
      <c r="A93">
        <v>90</v>
      </c>
      <c r="B93" t="s">
        <v>480</v>
      </c>
      <c r="C93">
        <v>30</v>
      </c>
      <c r="D93" t="s">
        <v>375</v>
      </c>
      <c r="E93" t="s">
        <v>322</v>
      </c>
      <c r="F93">
        <v>36</v>
      </c>
      <c r="G93">
        <v>11</v>
      </c>
      <c r="H93">
        <v>17</v>
      </c>
      <c r="I93">
        <v>28</v>
      </c>
      <c r="J93">
        <v>1</v>
      </c>
      <c r="K93">
        <v>14</v>
      </c>
      <c r="L93">
        <v>9</v>
      </c>
      <c r="M93">
        <v>2</v>
      </c>
      <c r="N93">
        <v>0</v>
      </c>
      <c r="O93">
        <v>2</v>
      </c>
      <c r="P93">
        <v>14</v>
      </c>
      <c r="Q93">
        <v>3</v>
      </c>
      <c r="R93">
        <v>0</v>
      </c>
      <c r="S93">
        <v>87</v>
      </c>
      <c r="T93">
        <v>12.6</v>
      </c>
      <c r="U93">
        <v>173</v>
      </c>
      <c r="V93" t="s">
        <v>2247</v>
      </c>
      <c r="W93" t="s">
        <v>482</v>
      </c>
      <c r="X93">
        <v>18</v>
      </c>
      <c r="Y93">
        <v>28</v>
      </c>
      <c r="Z93">
        <v>39.1</v>
      </c>
      <c r="AA93">
        <v>12</v>
      </c>
      <c r="AB93">
        <v>40</v>
      </c>
      <c r="AC93">
        <v>9</v>
      </c>
      <c r="AD93">
        <v>27</v>
      </c>
      <c r="AE93" t="s">
        <v>60</v>
      </c>
    </row>
    <row r="94" spans="1:31" x14ac:dyDescent="0.2">
      <c r="A94">
        <v>91</v>
      </c>
      <c r="B94" t="s">
        <v>538</v>
      </c>
      <c r="C94">
        <v>29</v>
      </c>
      <c r="D94" t="s">
        <v>375</v>
      </c>
      <c r="E94" t="s">
        <v>322</v>
      </c>
      <c r="F94">
        <v>37</v>
      </c>
      <c r="G94">
        <v>13</v>
      </c>
      <c r="H94">
        <v>14</v>
      </c>
      <c r="I94">
        <v>27</v>
      </c>
      <c r="J94">
        <v>0</v>
      </c>
      <c r="K94">
        <v>38</v>
      </c>
      <c r="L94">
        <v>12</v>
      </c>
      <c r="M94">
        <v>1</v>
      </c>
      <c r="N94">
        <v>0</v>
      </c>
      <c r="O94">
        <v>4</v>
      </c>
      <c r="P94">
        <v>9</v>
      </c>
      <c r="Q94">
        <v>5</v>
      </c>
      <c r="R94">
        <v>0</v>
      </c>
      <c r="S94">
        <v>94</v>
      </c>
      <c r="T94">
        <v>13.8</v>
      </c>
      <c r="U94">
        <v>195</v>
      </c>
      <c r="V94" t="s">
        <v>2248</v>
      </c>
      <c r="W94" t="s">
        <v>1716</v>
      </c>
      <c r="X94">
        <v>255</v>
      </c>
      <c r="Y94">
        <v>259</v>
      </c>
      <c r="Z94">
        <v>49.6</v>
      </c>
      <c r="AA94">
        <v>15</v>
      </c>
      <c r="AB94">
        <v>77</v>
      </c>
      <c r="AC94">
        <v>13</v>
      </c>
      <c r="AD94">
        <v>36</v>
      </c>
      <c r="AE94" t="s">
        <v>60</v>
      </c>
    </row>
    <row r="95" spans="1:31" x14ac:dyDescent="0.2">
      <c r="A95">
        <v>92</v>
      </c>
      <c r="B95" t="s">
        <v>562</v>
      </c>
      <c r="C95">
        <v>29</v>
      </c>
      <c r="D95" t="s">
        <v>359</v>
      </c>
      <c r="E95" t="s">
        <v>322</v>
      </c>
      <c r="F95">
        <v>39</v>
      </c>
      <c r="G95">
        <v>9</v>
      </c>
      <c r="H95">
        <v>18</v>
      </c>
      <c r="I95">
        <v>27</v>
      </c>
      <c r="J95">
        <v>8</v>
      </c>
      <c r="K95">
        <v>18</v>
      </c>
      <c r="L95">
        <v>7</v>
      </c>
      <c r="M95">
        <v>2</v>
      </c>
      <c r="N95">
        <v>0</v>
      </c>
      <c r="O95">
        <v>2</v>
      </c>
      <c r="P95">
        <v>12</v>
      </c>
      <c r="Q95">
        <v>6</v>
      </c>
      <c r="R95">
        <v>0</v>
      </c>
      <c r="S95">
        <v>114</v>
      </c>
      <c r="T95">
        <v>7.9</v>
      </c>
      <c r="U95">
        <v>187</v>
      </c>
      <c r="V95" t="s">
        <v>2249</v>
      </c>
      <c r="W95" t="s">
        <v>1977</v>
      </c>
      <c r="X95">
        <v>414</v>
      </c>
      <c r="Y95">
        <v>422</v>
      </c>
      <c r="Z95">
        <v>49.5</v>
      </c>
      <c r="AA95">
        <v>18</v>
      </c>
      <c r="AB95">
        <v>63</v>
      </c>
      <c r="AC95">
        <v>11</v>
      </c>
      <c r="AD95">
        <v>28</v>
      </c>
      <c r="AE95" t="s">
        <v>60</v>
      </c>
    </row>
    <row r="96" spans="1:31" x14ac:dyDescent="0.2">
      <c r="A96">
        <v>93</v>
      </c>
      <c r="B96" t="s">
        <v>544</v>
      </c>
      <c r="C96">
        <v>38</v>
      </c>
      <c r="D96" t="s">
        <v>426</v>
      </c>
      <c r="E96" t="s">
        <v>322</v>
      </c>
      <c r="F96">
        <v>37</v>
      </c>
      <c r="G96">
        <v>7</v>
      </c>
      <c r="H96">
        <v>20</v>
      </c>
      <c r="I96">
        <v>27</v>
      </c>
      <c r="J96">
        <v>8</v>
      </c>
      <c r="K96">
        <v>10</v>
      </c>
      <c r="L96">
        <v>6</v>
      </c>
      <c r="M96">
        <v>1</v>
      </c>
      <c r="N96">
        <v>0</v>
      </c>
      <c r="O96">
        <v>1</v>
      </c>
      <c r="P96">
        <v>13</v>
      </c>
      <c r="Q96">
        <v>7</v>
      </c>
      <c r="R96">
        <v>0</v>
      </c>
      <c r="S96">
        <v>61</v>
      </c>
      <c r="T96">
        <v>11.5</v>
      </c>
      <c r="U96">
        <v>108</v>
      </c>
      <c r="V96" t="s">
        <v>2250</v>
      </c>
      <c r="W96" t="s">
        <v>498</v>
      </c>
      <c r="X96">
        <v>236</v>
      </c>
      <c r="Y96">
        <v>122</v>
      </c>
      <c r="Z96">
        <v>65.900000000000006</v>
      </c>
      <c r="AA96">
        <v>14</v>
      </c>
      <c r="AB96">
        <v>32</v>
      </c>
      <c r="AC96">
        <v>8</v>
      </c>
      <c r="AD96">
        <v>28</v>
      </c>
      <c r="AE96" t="s">
        <v>60</v>
      </c>
    </row>
    <row r="97" spans="1:31" x14ac:dyDescent="0.2">
      <c r="A97">
        <v>94</v>
      </c>
      <c r="B97" t="s">
        <v>508</v>
      </c>
      <c r="C97">
        <v>28</v>
      </c>
      <c r="D97" t="s">
        <v>361</v>
      </c>
      <c r="E97" t="s">
        <v>322</v>
      </c>
      <c r="F97">
        <v>33</v>
      </c>
      <c r="G97">
        <v>15</v>
      </c>
      <c r="H97">
        <v>12</v>
      </c>
      <c r="I97">
        <v>27</v>
      </c>
      <c r="J97">
        <v>4</v>
      </c>
      <c r="K97">
        <v>12</v>
      </c>
      <c r="L97">
        <v>12</v>
      </c>
      <c r="M97">
        <v>3</v>
      </c>
      <c r="N97">
        <v>0</v>
      </c>
      <c r="O97">
        <v>2</v>
      </c>
      <c r="P97">
        <v>9</v>
      </c>
      <c r="Q97">
        <v>3</v>
      </c>
      <c r="R97">
        <v>0</v>
      </c>
      <c r="S97">
        <v>128</v>
      </c>
      <c r="T97">
        <v>11.7</v>
      </c>
      <c r="U97">
        <v>222</v>
      </c>
      <c r="V97" t="s">
        <v>2663</v>
      </c>
      <c r="W97" t="s">
        <v>2083</v>
      </c>
      <c r="X97">
        <v>328</v>
      </c>
      <c r="Y97">
        <v>230</v>
      </c>
      <c r="Z97">
        <v>58.8</v>
      </c>
      <c r="AA97">
        <v>52</v>
      </c>
      <c r="AB97">
        <v>19</v>
      </c>
      <c r="AC97">
        <v>15</v>
      </c>
      <c r="AD97">
        <v>32</v>
      </c>
      <c r="AE97" t="s">
        <v>60</v>
      </c>
    </row>
    <row r="98" spans="1:31" x14ac:dyDescent="0.2">
      <c r="A98">
        <v>95</v>
      </c>
      <c r="B98" t="s">
        <v>466</v>
      </c>
      <c r="C98">
        <v>24</v>
      </c>
      <c r="D98" t="s">
        <v>412</v>
      </c>
      <c r="E98" t="s">
        <v>335</v>
      </c>
      <c r="F98">
        <v>39</v>
      </c>
      <c r="G98">
        <v>14</v>
      </c>
      <c r="H98">
        <v>13</v>
      </c>
      <c r="I98">
        <v>27</v>
      </c>
      <c r="J98">
        <v>4</v>
      </c>
      <c r="K98">
        <v>18</v>
      </c>
      <c r="L98">
        <v>13</v>
      </c>
      <c r="M98">
        <v>1</v>
      </c>
      <c r="N98">
        <v>0</v>
      </c>
      <c r="O98">
        <v>2</v>
      </c>
      <c r="P98">
        <v>13</v>
      </c>
      <c r="Q98">
        <v>0</v>
      </c>
      <c r="R98">
        <v>0</v>
      </c>
      <c r="S98">
        <v>83</v>
      </c>
      <c r="T98">
        <v>16.899999999999999</v>
      </c>
      <c r="U98">
        <v>160</v>
      </c>
      <c r="V98" t="s">
        <v>2105</v>
      </c>
      <c r="W98" t="s">
        <v>1691</v>
      </c>
      <c r="X98">
        <v>4</v>
      </c>
      <c r="Y98">
        <v>7</v>
      </c>
      <c r="Z98">
        <v>36.4</v>
      </c>
      <c r="AA98">
        <v>10</v>
      </c>
      <c r="AB98">
        <v>10</v>
      </c>
      <c r="AC98">
        <v>10</v>
      </c>
      <c r="AD98">
        <v>41</v>
      </c>
      <c r="AE98" t="s">
        <v>60</v>
      </c>
    </row>
    <row r="99" spans="1:31" x14ac:dyDescent="0.2">
      <c r="A99">
        <v>96</v>
      </c>
      <c r="B99" t="s">
        <v>492</v>
      </c>
      <c r="C99">
        <v>25</v>
      </c>
      <c r="D99" t="s">
        <v>368</v>
      </c>
      <c r="E99" t="s">
        <v>322</v>
      </c>
      <c r="F99">
        <v>38</v>
      </c>
      <c r="G99">
        <v>14</v>
      </c>
      <c r="H99">
        <v>13</v>
      </c>
      <c r="I99">
        <v>27</v>
      </c>
      <c r="J99">
        <v>23</v>
      </c>
      <c r="K99">
        <v>14</v>
      </c>
      <c r="L99">
        <v>14</v>
      </c>
      <c r="M99">
        <v>0</v>
      </c>
      <c r="N99">
        <v>0</v>
      </c>
      <c r="O99">
        <v>2</v>
      </c>
      <c r="P99">
        <v>11</v>
      </c>
      <c r="Q99">
        <v>1</v>
      </c>
      <c r="R99">
        <v>1</v>
      </c>
      <c r="S99">
        <v>82</v>
      </c>
      <c r="T99">
        <v>17.100000000000001</v>
      </c>
      <c r="U99">
        <v>161</v>
      </c>
      <c r="V99" t="s">
        <v>2251</v>
      </c>
      <c r="W99" t="s">
        <v>1895</v>
      </c>
      <c r="X99">
        <v>9</v>
      </c>
      <c r="Y99">
        <v>16</v>
      </c>
      <c r="Z99">
        <v>36</v>
      </c>
      <c r="AA99">
        <v>25</v>
      </c>
      <c r="AB99">
        <v>18</v>
      </c>
      <c r="AC99">
        <v>12</v>
      </c>
      <c r="AD99">
        <v>45</v>
      </c>
      <c r="AE99" t="s">
        <v>60</v>
      </c>
    </row>
    <row r="100" spans="1:31" x14ac:dyDescent="0.2">
      <c r="A100">
        <v>97</v>
      </c>
      <c r="B100" t="s">
        <v>532</v>
      </c>
      <c r="C100">
        <v>29</v>
      </c>
      <c r="D100" t="s">
        <v>353</v>
      </c>
      <c r="E100" t="s">
        <v>349</v>
      </c>
      <c r="F100">
        <v>32</v>
      </c>
      <c r="G100">
        <v>8</v>
      </c>
      <c r="H100">
        <v>19</v>
      </c>
      <c r="I100">
        <v>27</v>
      </c>
      <c r="J100">
        <v>7</v>
      </c>
      <c r="K100">
        <v>17</v>
      </c>
      <c r="L100">
        <v>4</v>
      </c>
      <c r="M100">
        <v>4</v>
      </c>
      <c r="N100">
        <v>0</v>
      </c>
      <c r="O100">
        <v>1</v>
      </c>
      <c r="P100">
        <v>14</v>
      </c>
      <c r="Q100">
        <v>5</v>
      </c>
      <c r="R100">
        <v>0</v>
      </c>
      <c r="S100">
        <v>72</v>
      </c>
      <c r="T100">
        <v>11.1</v>
      </c>
      <c r="U100">
        <v>165</v>
      </c>
      <c r="V100" t="s">
        <v>2664</v>
      </c>
      <c r="W100" t="s">
        <v>2665</v>
      </c>
      <c r="X100">
        <v>0</v>
      </c>
      <c r="Y100">
        <v>0</v>
      </c>
      <c r="AA100">
        <v>27</v>
      </c>
      <c r="AB100">
        <v>31</v>
      </c>
      <c r="AC100">
        <v>6</v>
      </c>
      <c r="AD100">
        <v>30</v>
      </c>
      <c r="AE100" t="s">
        <v>60</v>
      </c>
    </row>
    <row r="101" spans="1:31" x14ac:dyDescent="0.2">
      <c r="A101">
        <v>98</v>
      </c>
      <c r="B101" t="s">
        <v>603</v>
      </c>
      <c r="C101">
        <v>25</v>
      </c>
      <c r="D101" t="s">
        <v>402</v>
      </c>
      <c r="E101" t="s">
        <v>335</v>
      </c>
      <c r="F101">
        <v>37</v>
      </c>
      <c r="G101">
        <v>10</v>
      </c>
      <c r="H101">
        <v>17</v>
      </c>
      <c r="I101">
        <v>27</v>
      </c>
      <c r="J101">
        <v>0</v>
      </c>
      <c r="K101">
        <v>28</v>
      </c>
      <c r="L101">
        <v>6</v>
      </c>
      <c r="M101">
        <v>4</v>
      </c>
      <c r="N101">
        <v>0</v>
      </c>
      <c r="O101">
        <v>1</v>
      </c>
      <c r="P101">
        <v>13</v>
      </c>
      <c r="Q101">
        <v>4</v>
      </c>
      <c r="R101">
        <v>0</v>
      </c>
      <c r="S101">
        <v>103</v>
      </c>
      <c r="T101">
        <v>9.6999999999999993</v>
      </c>
      <c r="U101">
        <v>225</v>
      </c>
      <c r="V101" t="s">
        <v>2252</v>
      </c>
      <c r="W101" t="s">
        <v>1923</v>
      </c>
      <c r="X101">
        <v>5</v>
      </c>
      <c r="Y101">
        <v>4</v>
      </c>
      <c r="Z101">
        <v>55.6</v>
      </c>
      <c r="AA101">
        <v>7</v>
      </c>
      <c r="AB101">
        <v>63</v>
      </c>
      <c r="AC101">
        <v>9</v>
      </c>
      <c r="AD101">
        <v>40</v>
      </c>
      <c r="AE101" t="s">
        <v>60</v>
      </c>
    </row>
    <row r="102" spans="1:31" x14ac:dyDescent="0.2">
      <c r="A102">
        <v>99</v>
      </c>
      <c r="B102" t="s">
        <v>406</v>
      </c>
      <c r="C102">
        <v>27</v>
      </c>
      <c r="D102" t="s">
        <v>363</v>
      </c>
      <c r="E102" t="s">
        <v>349</v>
      </c>
      <c r="F102">
        <v>27</v>
      </c>
      <c r="G102">
        <v>3</v>
      </c>
      <c r="H102">
        <v>23</v>
      </c>
      <c r="I102">
        <v>26</v>
      </c>
      <c r="J102">
        <v>4</v>
      </c>
      <c r="K102">
        <v>10</v>
      </c>
      <c r="L102">
        <v>2</v>
      </c>
      <c r="M102">
        <v>1</v>
      </c>
      <c r="N102">
        <v>0</v>
      </c>
      <c r="O102">
        <v>1</v>
      </c>
      <c r="P102">
        <v>15</v>
      </c>
      <c r="Q102">
        <v>7</v>
      </c>
      <c r="R102">
        <v>1</v>
      </c>
      <c r="S102">
        <v>51</v>
      </c>
      <c r="T102">
        <v>5.9</v>
      </c>
      <c r="U102">
        <v>148</v>
      </c>
      <c r="V102" t="s">
        <v>407</v>
      </c>
      <c r="W102" t="s">
        <v>408</v>
      </c>
      <c r="X102">
        <v>0</v>
      </c>
      <c r="Y102">
        <v>0</v>
      </c>
      <c r="AA102">
        <v>41</v>
      </c>
      <c r="AB102">
        <v>15</v>
      </c>
      <c r="AC102">
        <v>18</v>
      </c>
      <c r="AD102">
        <v>31</v>
      </c>
      <c r="AE102" t="s">
        <v>60</v>
      </c>
    </row>
    <row r="103" spans="1:31" x14ac:dyDescent="0.2">
      <c r="A103">
        <v>100</v>
      </c>
      <c r="B103" t="s">
        <v>520</v>
      </c>
      <c r="C103">
        <v>35</v>
      </c>
      <c r="D103" t="s">
        <v>378</v>
      </c>
      <c r="E103" t="s">
        <v>349</v>
      </c>
      <c r="F103">
        <v>37</v>
      </c>
      <c r="G103">
        <v>3</v>
      </c>
      <c r="H103">
        <v>23</v>
      </c>
      <c r="I103">
        <v>26</v>
      </c>
      <c r="J103">
        <v>-8</v>
      </c>
      <c r="K103">
        <v>14</v>
      </c>
      <c r="L103">
        <v>1</v>
      </c>
      <c r="M103">
        <v>2</v>
      </c>
      <c r="N103">
        <v>0</v>
      </c>
      <c r="O103">
        <v>0</v>
      </c>
      <c r="P103">
        <v>15</v>
      </c>
      <c r="Q103">
        <v>8</v>
      </c>
      <c r="R103">
        <v>0</v>
      </c>
      <c r="S103">
        <v>84</v>
      </c>
      <c r="T103">
        <v>3.6</v>
      </c>
      <c r="U103">
        <v>219</v>
      </c>
      <c r="V103" t="s">
        <v>2666</v>
      </c>
      <c r="W103" t="s">
        <v>2022</v>
      </c>
      <c r="X103">
        <v>0</v>
      </c>
      <c r="Y103">
        <v>0</v>
      </c>
      <c r="AA103">
        <v>35</v>
      </c>
      <c r="AB103">
        <v>7</v>
      </c>
      <c r="AC103">
        <v>17</v>
      </c>
      <c r="AD103">
        <v>56</v>
      </c>
      <c r="AE103" t="s">
        <v>60</v>
      </c>
    </row>
    <row r="104" spans="1:31" x14ac:dyDescent="0.2">
      <c r="A104">
        <v>101</v>
      </c>
      <c r="B104" t="s">
        <v>509</v>
      </c>
      <c r="C104">
        <v>34</v>
      </c>
      <c r="D104" t="s">
        <v>321</v>
      </c>
      <c r="E104" t="s">
        <v>322</v>
      </c>
      <c r="F104">
        <v>37</v>
      </c>
      <c r="G104">
        <v>14</v>
      </c>
      <c r="H104">
        <v>12</v>
      </c>
      <c r="I104">
        <v>26</v>
      </c>
      <c r="J104">
        <v>11</v>
      </c>
      <c r="K104">
        <v>16</v>
      </c>
      <c r="L104">
        <v>11</v>
      </c>
      <c r="M104">
        <v>3</v>
      </c>
      <c r="N104">
        <v>0</v>
      </c>
      <c r="O104">
        <v>3</v>
      </c>
      <c r="P104">
        <v>9</v>
      </c>
      <c r="Q104">
        <v>3</v>
      </c>
      <c r="R104">
        <v>0</v>
      </c>
      <c r="S104">
        <v>74</v>
      </c>
      <c r="T104">
        <v>18.899999999999999</v>
      </c>
      <c r="U104">
        <v>133</v>
      </c>
      <c r="V104" t="s">
        <v>2253</v>
      </c>
      <c r="W104" t="s">
        <v>1926</v>
      </c>
      <c r="X104">
        <v>319</v>
      </c>
      <c r="Y104">
        <v>327</v>
      </c>
      <c r="Z104">
        <v>49.4</v>
      </c>
      <c r="AA104">
        <v>31</v>
      </c>
      <c r="AB104">
        <v>20</v>
      </c>
      <c r="AC104">
        <v>10</v>
      </c>
      <c r="AD104">
        <v>26</v>
      </c>
      <c r="AE104" t="s">
        <v>60</v>
      </c>
    </row>
    <row r="105" spans="1:31" x14ac:dyDescent="0.2">
      <c r="A105">
        <v>102</v>
      </c>
      <c r="B105" t="s">
        <v>453</v>
      </c>
      <c r="C105">
        <v>23</v>
      </c>
      <c r="D105" t="s">
        <v>426</v>
      </c>
      <c r="E105" t="s">
        <v>349</v>
      </c>
      <c r="F105">
        <v>37</v>
      </c>
      <c r="G105">
        <v>7</v>
      </c>
      <c r="H105">
        <v>19</v>
      </c>
      <c r="I105">
        <v>26</v>
      </c>
      <c r="J105">
        <v>4</v>
      </c>
      <c r="K105">
        <v>4</v>
      </c>
      <c r="L105">
        <v>5</v>
      </c>
      <c r="M105">
        <v>2</v>
      </c>
      <c r="N105">
        <v>0</v>
      </c>
      <c r="O105">
        <v>1</v>
      </c>
      <c r="P105">
        <v>10</v>
      </c>
      <c r="Q105">
        <v>9</v>
      </c>
      <c r="R105">
        <v>0</v>
      </c>
      <c r="S105">
        <v>79</v>
      </c>
      <c r="T105">
        <v>8.9</v>
      </c>
      <c r="U105">
        <v>221</v>
      </c>
      <c r="V105" t="s">
        <v>2254</v>
      </c>
      <c r="W105" t="s">
        <v>2255</v>
      </c>
      <c r="X105">
        <v>0</v>
      </c>
      <c r="Y105">
        <v>0</v>
      </c>
      <c r="AA105">
        <v>65</v>
      </c>
      <c r="AB105">
        <v>13</v>
      </c>
      <c r="AC105">
        <v>23</v>
      </c>
      <c r="AD105">
        <v>45</v>
      </c>
      <c r="AE105" t="s">
        <v>60</v>
      </c>
    </row>
    <row r="106" spans="1:31" x14ac:dyDescent="0.2">
      <c r="A106">
        <v>103</v>
      </c>
      <c r="B106" t="s">
        <v>481</v>
      </c>
      <c r="C106">
        <v>28</v>
      </c>
      <c r="D106" t="s">
        <v>356</v>
      </c>
      <c r="E106" t="s">
        <v>322</v>
      </c>
      <c r="F106">
        <v>38</v>
      </c>
      <c r="G106">
        <v>10</v>
      </c>
      <c r="H106">
        <v>16</v>
      </c>
      <c r="I106">
        <v>26</v>
      </c>
      <c r="J106">
        <v>-8</v>
      </c>
      <c r="K106">
        <v>22</v>
      </c>
      <c r="L106">
        <v>6</v>
      </c>
      <c r="M106">
        <v>4</v>
      </c>
      <c r="N106">
        <v>0</v>
      </c>
      <c r="O106">
        <v>1</v>
      </c>
      <c r="P106">
        <v>7</v>
      </c>
      <c r="Q106">
        <v>9</v>
      </c>
      <c r="R106">
        <v>0</v>
      </c>
      <c r="S106">
        <v>60</v>
      </c>
      <c r="T106">
        <v>16.7</v>
      </c>
      <c r="U106">
        <v>107</v>
      </c>
      <c r="V106" t="s">
        <v>2256</v>
      </c>
      <c r="W106" t="s">
        <v>390</v>
      </c>
      <c r="X106">
        <v>241</v>
      </c>
      <c r="Y106">
        <v>211</v>
      </c>
      <c r="Z106">
        <v>53.3</v>
      </c>
      <c r="AA106">
        <v>14</v>
      </c>
      <c r="AB106">
        <v>36</v>
      </c>
      <c r="AC106">
        <v>11</v>
      </c>
      <c r="AD106">
        <v>27</v>
      </c>
      <c r="AE106" t="s">
        <v>60</v>
      </c>
    </row>
    <row r="107" spans="1:31" x14ac:dyDescent="0.2">
      <c r="A107">
        <v>104</v>
      </c>
      <c r="B107" t="s">
        <v>483</v>
      </c>
      <c r="C107">
        <v>29</v>
      </c>
      <c r="D107" t="s">
        <v>448</v>
      </c>
      <c r="E107" t="s">
        <v>349</v>
      </c>
      <c r="F107">
        <v>38</v>
      </c>
      <c r="G107">
        <v>7</v>
      </c>
      <c r="H107">
        <v>18</v>
      </c>
      <c r="I107">
        <v>25</v>
      </c>
      <c r="J107">
        <v>2</v>
      </c>
      <c r="K107">
        <v>42</v>
      </c>
      <c r="L107">
        <v>5</v>
      </c>
      <c r="M107">
        <v>2</v>
      </c>
      <c r="N107">
        <v>0</v>
      </c>
      <c r="O107">
        <v>0</v>
      </c>
      <c r="P107">
        <v>12</v>
      </c>
      <c r="Q107">
        <v>6</v>
      </c>
      <c r="R107">
        <v>0</v>
      </c>
      <c r="S107">
        <v>93</v>
      </c>
      <c r="T107">
        <v>7.5</v>
      </c>
      <c r="U107">
        <v>212</v>
      </c>
      <c r="V107" t="s">
        <v>2257</v>
      </c>
      <c r="W107" t="s">
        <v>2258</v>
      </c>
      <c r="X107">
        <v>0</v>
      </c>
      <c r="Y107">
        <v>0</v>
      </c>
      <c r="AA107">
        <v>71</v>
      </c>
      <c r="AB107">
        <v>20</v>
      </c>
      <c r="AC107">
        <v>12</v>
      </c>
      <c r="AD107">
        <v>55</v>
      </c>
      <c r="AE107" t="s">
        <v>60</v>
      </c>
    </row>
    <row r="108" spans="1:31" x14ac:dyDescent="0.2">
      <c r="A108">
        <v>105</v>
      </c>
      <c r="B108" t="s">
        <v>516</v>
      </c>
      <c r="C108">
        <v>26</v>
      </c>
      <c r="D108" t="s">
        <v>365</v>
      </c>
      <c r="E108" t="s">
        <v>349</v>
      </c>
      <c r="F108">
        <v>38</v>
      </c>
      <c r="G108">
        <v>7</v>
      </c>
      <c r="H108">
        <v>18</v>
      </c>
      <c r="I108">
        <v>25</v>
      </c>
      <c r="J108">
        <v>2</v>
      </c>
      <c r="K108">
        <v>20</v>
      </c>
      <c r="L108">
        <v>7</v>
      </c>
      <c r="M108">
        <v>0</v>
      </c>
      <c r="N108">
        <v>0</v>
      </c>
      <c r="O108">
        <v>1</v>
      </c>
      <c r="P108">
        <v>14</v>
      </c>
      <c r="Q108">
        <v>4</v>
      </c>
      <c r="R108">
        <v>0</v>
      </c>
      <c r="S108">
        <v>71</v>
      </c>
      <c r="T108">
        <v>9.9</v>
      </c>
      <c r="U108">
        <v>159</v>
      </c>
      <c r="V108" t="s">
        <v>1873</v>
      </c>
      <c r="W108" t="s">
        <v>1766</v>
      </c>
      <c r="X108">
        <v>0</v>
      </c>
      <c r="Y108">
        <v>0</v>
      </c>
      <c r="AA108">
        <v>90</v>
      </c>
      <c r="AB108">
        <v>16</v>
      </c>
      <c r="AC108">
        <v>16</v>
      </c>
      <c r="AD108">
        <v>47</v>
      </c>
      <c r="AE108" t="s">
        <v>60</v>
      </c>
    </row>
    <row r="109" spans="1:31" x14ac:dyDescent="0.2">
      <c r="A109">
        <v>106</v>
      </c>
      <c r="B109" t="s">
        <v>517</v>
      </c>
      <c r="C109">
        <v>25</v>
      </c>
      <c r="D109" t="s">
        <v>344</v>
      </c>
      <c r="E109" t="s">
        <v>340</v>
      </c>
      <c r="F109">
        <v>36</v>
      </c>
      <c r="G109">
        <v>15</v>
      </c>
      <c r="H109">
        <v>10</v>
      </c>
      <c r="I109">
        <v>25</v>
      </c>
      <c r="J109">
        <v>-7</v>
      </c>
      <c r="K109">
        <v>10</v>
      </c>
      <c r="L109">
        <v>5</v>
      </c>
      <c r="M109">
        <v>10</v>
      </c>
      <c r="N109">
        <v>0</v>
      </c>
      <c r="O109">
        <v>1</v>
      </c>
      <c r="P109">
        <v>5</v>
      </c>
      <c r="Q109">
        <v>5</v>
      </c>
      <c r="R109">
        <v>0</v>
      </c>
      <c r="S109">
        <v>101</v>
      </c>
      <c r="T109">
        <v>14.9</v>
      </c>
      <c r="U109">
        <v>210</v>
      </c>
      <c r="V109" t="s">
        <v>2259</v>
      </c>
      <c r="W109" t="s">
        <v>357</v>
      </c>
      <c r="X109">
        <v>0</v>
      </c>
      <c r="Y109">
        <v>0</v>
      </c>
      <c r="AA109">
        <v>17</v>
      </c>
      <c r="AB109">
        <v>15</v>
      </c>
      <c r="AC109">
        <v>5</v>
      </c>
      <c r="AD109">
        <v>26</v>
      </c>
      <c r="AE109" t="s">
        <v>60</v>
      </c>
    </row>
    <row r="110" spans="1:31" x14ac:dyDescent="0.2">
      <c r="A110">
        <v>107</v>
      </c>
      <c r="B110" t="s">
        <v>502</v>
      </c>
      <c r="C110">
        <v>23</v>
      </c>
      <c r="D110" t="s">
        <v>476</v>
      </c>
      <c r="E110" t="s">
        <v>335</v>
      </c>
      <c r="F110">
        <v>36</v>
      </c>
      <c r="G110">
        <v>5</v>
      </c>
      <c r="H110">
        <v>20</v>
      </c>
      <c r="I110">
        <v>25</v>
      </c>
      <c r="J110">
        <v>6</v>
      </c>
      <c r="K110">
        <v>8</v>
      </c>
      <c r="L110">
        <v>4</v>
      </c>
      <c r="M110">
        <v>1</v>
      </c>
      <c r="N110">
        <v>0</v>
      </c>
      <c r="O110">
        <v>0</v>
      </c>
      <c r="P110">
        <v>13</v>
      </c>
      <c r="Q110">
        <v>7</v>
      </c>
      <c r="R110">
        <v>0</v>
      </c>
      <c r="S110">
        <v>84</v>
      </c>
      <c r="T110">
        <v>6</v>
      </c>
      <c r="U110">
        <v>149</v>
      </c>
      <c r="V110" t="s">
        <v>2260</v>
      </c>
      <c r="W110" t="s">
        <v>1912</v>
      </c>
      <c r="X110">
        <v>0</v>
      </c>
      <c r="Y110">
        <v>1</v>
      </c>
      <c r="Z110">
        <v>0</v>
      </c>
      <c r="AA110">
        <v>6</v>
      </c>
      <c r="AB110">
        <v>7</v>
      </c>
      <c r="AC110">
        <v>11</v>
      </c>
      <c r="AD110">
        <v>29</v>
      </c>
      <c r="AE110" t="s">
        <v>60</v>
      </c>
    </row>
    <row r="111" spans="1:31" x14ac:dyDescent="0.2">
      <c r="A111">
        <v>108</v>
      </c>
      <c r="B111" t="s">
        <v>571</v>
      </c>
      <c r="C111">
        <v>35</v>
      </c>
      <c r="D111" t="s">
        <v>387</v>
      </c>
      <c r="E111" t="s">
        <v>340</v>
      </c>
      <c r="F111">
        <v>39</v>
      </c>
      <c r="G111">
        <v>10</v>
      </c>
      <c r="H111">
        <v>15</v>
      </c>
      <c r="I111">
        <v>25</v>
      </c>
      <c r="J111">
        <v>3</v>
      </c>
      <c r="K111">
        <v>23</v>
      </c>
      <c r="L111">
        <v>7</v>
      </c>
      <c r="M111">
        <v>3</v>
      </c>
      <c r="N111">
        <v>0</v>
      </c>
      <c r="O111">
        <v>3</v>
      </c>
      <c r="P111">
        <v>13</v>
      </c>
      <c r="Q111">
        <v>2</v>
      </c>
      <c r="R111">
        <v>0</v>
      </c>
      <c r="S111">
        <v>94</v>
      </c>
      <c r="T111">
        <v>10.6</v>
      </c>
      <c r="U111">
        <v>169</v>
      </c>
      <c r="V111" t="s">
        <v>2667</v>
      </c>
      <c r="W111" t="s">
        <v>2114</v>
      </c>
      <c r="X111">
        <v>32</v>
      </c>
      <c r="Y111">
        <v>29</v>
      </c>
      <c r="Z111">
        <v>52.5</v>
      </c>
      <c r="AA111">
        <v>22</v>
      </c>
      <c r="AB111">
        <v>31</v>
      </c>
      <c r="AC111">
        <v>8</v>
      </c>
      <c r="AD111">
        <v>19</v>
      </c>
      <c r="AE111" t="s">
        <v>60</v>
      </c>
    </row>
    <row r="112" spans="1:31" x14ac:dyDescent="0.2">
      <c r="A112">
        <v>109</v>
      </c>
      <c r="B112" t="s">
        <v>572</v>
      </c>
      <c r="C112">
        <v>31</v>
      </c>
      <c r="D112" t="s">
        <v>378</v>
      </c>
      <c r="E112" t="s">
        <v>335</v>
      </c>
      <c r="F112">
        <v>37</v>
      </c>
      <c r="G112">
        <v>12</v>
      </c>
      <c r="H112">
        <v>13</v>
      </c>
      <c r="I112">
        <v>25</v>
      </c>
      <c r="J112">
        <v>6</v>
      </c>
      <c r="K112">
        <v>15</v>
      </c>
      <c r="L112">
        <v>9</v>
      </c>
      <c r="M112">
        <v>3</v>
      </c>
      <c r="N112">
        <v>0</v>
      </c>
      <c r="O112">
        <v>0</v>
      </c>
      <c r="P112">
        <v>10</v>
      </c>
      <c r="Q112">
        <v>3</v>
      </c>
      <c r="R112">
        <v>0</v>
      </c>
      <c r="S112">
        <v>68</v>
      </c>
      <c r="T112">
        <v>17.600000000000001</v>
      </c>
      <c r="U112">
        <v>138</v>
      </c>
      <c r="V112" t="s">
        <v>2668</v>
      </c>
      <c r="W112" t="s">
        <v>566</v>
      </c>
      <c r="X112">
        <v>1</v>
      </c>
      <c r="Y112">
        <v>13</v>
      </c>
      <c r="Z112">
        <v>7.1</v>
      </c>
      <c r="AA112">
        <v>21</v>
      </c>
      <c r="AB112">
        <v>18</v>
      </c>
      <c r="AC112">
        <v>6</v>
      </c>
      <c r="AD112">
        <v>39</v>
      </c>
      <c r="AE112" t="s">
        <v>60</v>
      </c>
    </row>
    <row r="113" spans="1:31" x14ac:dyDescent="0.2">
      <c r="A113">
        <v>110</v>
      </c>
      <c r="B113" t="s">
        <v>477</v>
      </c>
      <c r="C113">
        <v>31</v>
      </c>
      <c r="D113" t="s">
        <v>361</v>
      </c>
      <c r="E113" t="s">
        <v>349</v>
      </c>
      <c r="F113">
        <v>37</v>
      </c>
      <c r="G113">
        <v>5</v>
      </c>
      <c r="H113">
        <v>20</v>
      </c>
      <c r="I113">
        <v>25</v>
      </c>
      <c r="J113">
        <v>-10</v>
      </c>
      <c r="K113">
        <v>6</v>
      </c>
      <c r="L113">
        <v>5</v>
      </c>
      <c r="M113">
        <v>0</v>
      </c>
      <c r="N113">
        <v>0</v>
      </c>
      <c r="O113">
        <v>2</v>
      </c>
      <c r="P113">
        <v>16</v>
      </c>
      <c r="Q113">
        <v>4</v>
      </c>
      <c r="R113">
        <v>0</v>
      </c>
      <c r="S113">
        <v>74</v>
      </c>
      <c r="T113">
        <v>6.8</v>
      </c>
      <c r="U113">
        <v>178</v>
      </c>
      <c r="V113" t="s">
        <v>2669</v>
      </c>
      <c r="W113" t="s">
        <v>2014</v>
      </c>
      <c r="X113">
        <v>0</v>
      </c>
      <c r="Y113">
        <v>0</v>
      </c>
      <c r="AA113">
        <v>54</v>
      </c>
      <c r="AB113">
        <v>15</v>
      </c>
      <c r="AC113">
        <v>10</v>
      </c>
      <c r="AD113">
        <v>55</v>
      </c>
      <c r="AE113" t="s">
        <v>60</v>
      </c>
    </row>
    <row r="114" spans="1:31" x14ac:dyDescent="0.2">
      <c r="A114">
        <v>111</v>
      </c>
      <c r="B114" t="s">
        <v>510</v>
      </c>
      <c r="C114">
        <v>27</v>
      </c>
      <c r="D114" t="s">
        <v>412</v>
      </c>
      <c r="E114" t="s">
        <v>349</v>
      </c>
      <c r="F114">
        <v>39</v>
      </c>
      <c r="G114">
        <v>4</v>
      </c>
      <c r="H114">
        <v>21</v>
      </c>
      <c r="I114">
        <v>25</v>
      </c>
      <c r="J114">
        <v>-8</v>
      </c>
      <c r="K114">
        <v>24</v>
      </c>
      <c r="L114">
        <v>2</v>
      </c>
      <c r="M114">
        <v>2</v>
      </c>
      <c r="N114">
        <v>0</v>
      </c>
      <c r="O114">
        <v>0</v>
      </c>
      <c r="P114">
        <v>12</v>
      </c>
      <c r="Q114">
        <v>8</v>
      </c>
      <c r="R114">
        <v>1</v>
      </c>
      <c r="S114">
        <v>83</v>
      </c>
      <c r="T114">
        <v>4.8</v>
      </c>
      <c r="U114">
        <v>182</v>
      </c>
      <c r="V114" t="s">
        <v>2106</v>
      </c>
      <c r="W114" t="s">
        <v>2107</v>
      </c>
      <c r="X114">
        <v>0</v>
      </c>
      <c r="Y114">
        <v>0</v>
      </c>
      <c r="AA114">
        <v>71</v>
      </c>
      <c r="AB114">
        <v>20</v>
      </c>
      <c r="AC114">
        <v>15</v>
      </c>
      <c r="AD114">
        <v>56</v>
      </c>
      <c r="AE114" t="s">
        <v>60</v>
      </c>
    </row>
    <row r="115" spans="1:31" x14ac:dyDescent="0.2">
      <c r="A115">
        <v>112</v>
      </c>
      <c r="B115" t="s">
        <v>537</v>
      </c>
      <c r="C115">
        <v>33</v>
      </c>
      <c r="D115" t="s">
        <v>324</v>
      </c>
      <c r="E115" t="s">
        <v>322</v>
      </c>
      <c r="F115">
        <v>38</v>
      </c>
      <c r="G115">
        <v>10</v>
      </c>
      <c r="H115">
        <v>15</v>
      </c>
      <c r="I115">
        <v>25</v>
      </c>
      <c r="J115">
        <v>-3</v>
      </c>
      <c r="K115">
        <v>2</v>
      </c>
      <c r="L115">
        <v>8</v>
      </c>
      <c r="M115">
        <v>2</v>
      </c>
      <c r="N115">
        <v>0</v>
      </c>
      <c r="O115">
        <v>0</v>
      </c>
      <c r="P115">
        <v>12</v>
      </c>
      <c r="Q115">
        <v>3</v>
      </c>
      <c r="R115">
        <v>0</v>
      </c>
      <c r="S115">
        <v>85</v>
      </c>
      <c r="T115">
        <v>11.8</v>
      </c>
      <c r="U115">
        <v>181</v>
      </c>
      <c r="V115" t="s">
        <v>2261</v>
      </c>
      <c r="W115" t="s">
        <v>2108</v>
      </c>
      <c r="X115">
        <v>3</v>
      </c>
      <c r="Y115">
        <v>7</v>
      </c>
      <c r="Z115">
        <v>30</v>
      </c>
      <c r="AA115">
        <v>18</v>
      </c>
      <c r="AB115">
        <v>24</v>
      </c>
      <c r="AC115">
        <v>7</v>
      </c>
      <c r="AD115">
        <v>27</v>
      </c>
      <c r="AE115" t="s">
        <v>60</v>
      </c>
    </row>
    <row r="116" spans="1:31" x14ac:dyDescent="0.2">
      <c r="A116">
        <v>113</v>
      </c>
      <c r="B116" t="s">
        <v>663</v>
      </c>
      <c r="C116">
        <v>26</v>
      </c>
      <c r="D116" t="s">
        <v>555</v>
      </c>
      <c r="E116" t="s">
        <v>335</v>
      </c>
      <c r="F116">
        <v>36</v>
      </c>
      <c r="G116">
        <v>7</v>
      </c>
      <c r="H116">
        <v>18</v>
      </c>
      <c r="I116">
        <v>25</v>
      </c>
      <c r="J116">
        <v>-8</v>
      </c>
      <c r="K116">
        <v>12</v>
      </c>
      <c r="L116">
        <v>4</v>
      </c>
      <c r="M116">
        <v>3</v>
      </c>
      <c r="N116">
        <v>0</v>
      </c>
      <c r="O116">
        <v>0</v>
      </c>
      <c r="P116">
        <v>12</v>
      </c>
      <c r="Q116">
        <v>6</v>
      </c>
      <c r="R116">
        <v>0</v>
      </c>
      <c r="S116">
        <v>58</v>
      </c>
      <c r="T116">
        <v>12.1</v>
      </c>
      <c r="U116">
        <v>137</v>
      </c>
      <c r="V116" t="s">
        <v>2670</v>
      </c>
      <c r="W116" t="s">
        <v>442</v>
      </c>
      <c r="X116">
        <v>0</v>
      </c>
      <c r="Y116">
        <v>0</v>
      </c>
      <c r="AA116">
        <v>33</v>
      </c>
      <c r="AB116">
        <v>95</v>
      </c>
      <c r="AC116">
        <v>10</v>
      </c>
      <c r="AD116">
        <v>26</v>
      </c>
      <c r="AE116" t="s">
        <v>60</v>
      </c>
    </row>
    <row r="117" spans="1:31" x14ac:dyDescent="0.2">
      <c r="A117">
        <v>114</v>
      </c>
      <c r="B117" t="s">
        <v>499</v>
      </c>
      <c r="C117">
        <v>23</v>
      </c>
      <c r="D117" t="s">
        <v>439</v>
      </c>
      <c r="E117" t="s">
        <v>335</v>
      </c>
      <c r="F117">
        <v>37</v>
      </c>
      <c r="G117">
        <v>10</v>
      </c>
      <c r="H117">
        <v>14</v>
      </c>
      <c r="I117">
        <v>24</v>
      </c>
      <c r="J117">
        <v>-7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9</v>
      </c>
      <c r="Q117">
        <v>5</v>
      </c>
      <c r="R117">
        <v>0</v>
      </c>
      <c r="S117">
        <v>92</v>
      </c>
      <c r="T117">
        <v>10.9</v>
      </c>
      <c r="U117">
        <v>158</v>
      </c>
      <c r="V117" t="s">
        <v>2262</v>
      </c>
      <c r="W117" t="s">
        <v>1512</v>
      </c>
      <c r="X117">
        <v>4</v>
      </c>
      <c r="Y117">
        <v>5</v>
      </c>
      <c r="Z117">
        <v>44.4</v>
      </c>
      <c r="AA117">
        <v>12</v>
      </c>
      <c r="AB117">
        <v>30</v>
      </c>
      <c r="AC117">
        <v>29</v>
      </c>
      <c r="AD117">
        <v>31</v>
      </c>
      <c r="AE117" t="s">
        <v>60</v>
      </c>
    </row>
    <row r="118" spans="1:31" x14ac:dyDescent="0.2">
      <c r="A118">
        <v>115</v>
      </c>
      <c r="B118" t="s">
        <v>543</v>
      </c>
      <c r="C118">
        <v>29</v>
      </c>
      <c r="D118" t="s">
        <v>415</v>
      </c>
      <c r="E118" t="s">
        <v>322</v>
      </c>
      <c r="F118">
        <v>36</v>
      </c>
      <c r="G118">
        <v>8</v>
      </c>
      <c r="H118">
        <v>16</v>
      </c>
      <c r="I118">
        <v>24</v>
      </c>
      <c r="J118">
        <v>6</v>
      </c>
      <c r="K118">
        <v>10</v>
      </c>
      <c r="L118">
        <v>8</v>
      </c>
      <c r="M118">
        <v>0</v>
      </c>
      <c r="N118">
        <v>0</v>
      </c>
      <c r="O118">
        <v>1</v>
      </c>
      <c r="P118">
        <v>16</v>
      </c>
      <c r="Q118">
        <v>0</v>
      </c>
      <c r="R118">
        <v>0</v>
      </c>
      <c r="S118">
        <v>65</v>
      </c>
      <c r="T118">
        <v>12.3</v>
      </c>
      <c r="U118">
        <v>103</v>
      </c>
      <c r="V118" t="s">
        <v>2671</v>
      </c>
      <c r="W118" t="s">
        <v>2037</v>
      </c>
      <c r="X118">
        <v>229</v>
      </c>
      <c r="Y118">
        <v>192</v>
      </c>
      <c r="Z118">
        <v>54.4</v>
      </c>
      <c r="AA118">
        <v>21</v>
      </c>
      <c r="AB118">
        <v>16</v>
      </c>
      <c r="AC118">
        <v>7</v>
      </c>
      <c r="AD118">
        <v>22</v>
      </c>
      <c r="AE118" t="s">
        <v>60</v>
      </c>
    </row>
    <row r="119" spans="1:31" x14ac:dyDescent="0.2">
      <c r="A119">
        <v>116</v>
      </c>
      <c r="B119" t="s">
        <v>560</v>
      </c>
      <c r="C119">
        <v>35</v>
      </c>
      <c r="D119" t="s">
        <v>555</v>
      </c>
      <c r="E119" t="s">
        <v>335</v>
      </c>
      <c r="F119">
        <v>36</v>
      </c>
      <c r="G119">
        <v>14</v>
      </c>
      <c r="H119">
        <v>10</v>
      </c>
      <c r="I119">
        <v>24</v>
      </c>
      <c r="J119">
        <v>4</v>
      </c>
      <c r="K119">
        <v>14</v>
      </c>
      <c r="L119">
        <v>11</v>
      </c>
      <c r="M119">
        <v>3</v>
      </c>
      <c r="N119">
        <v>0</v>
      </c>
      <c r="O119">
        <v>3</v>
      </c>
      <c r="P119">
        <v>4</v>
      </c>
      <c r="Q119">
        <v>6</v>
      </c>
      <c r="R119">
        <v>0</v>
      </c>
      <c r="S119">
        <v>89</v>
      </c>
      <c r="T119">
        <v>15.7</v>
      </c>
      <c r="U119">
        <v>165</v>
      </c>
      <c r="V119" t="s">
        <v>2672</v>
      </c>
      <c r="W119" t="s">
        <v>464</v>
      </c>
      <c r="X119">
        <v>9</v>
      </c>
      <c r="Y119">
        <v>14</v>
      </c>
      <c r="Z119">
        <v>39.1</v>
      </c>
      <c r="AA119">
        <v>17</v>
      </c>
      <c r="AB119">
        <v>30</v>
      </c>
      <c r="AC119">
        <v>10</v>
      </c>
      <c r="AD119">
        <v>30</v>
      </c>
      <c r="AE119" t="s">
        <v>60</v>
      </c>
    </row>
    <row r="120" spans="1:31" x14ac:dyDescent="0.2">
      <c r="A120">
        <v>117</v>
      </c>
      <c r="B120" t="s">
        <v>501</v>
      </c>
      <c r="C120">
        <v>29</v>
      </c>
      <c r="D120" t="s">
        <v>402</v>
      </c>
      <c r="E120" t="s">
        <v>340</v>
      </c>
      <c r="F120">
        <v>37</v>
      </c>
      <c r="G120">
        <v>8</v>
      </c>
      <c r="H120">
        <v>16</v>
      </c>
      <c r="I120">
        <v>24</v>
      </c>
      <c r="J120">
        <v>2</v>
      </c>
      <c r="K120">
        <v>8</v>
      </c>
      <c r="L120">
        <v>6</v>
      </c>
      <c r="M120">
        <v>2</v>
      </c>
      <c r="N120">
        <v>0</v>
      </c>
      <c r="O120">
        <v>3</v>
      </c>
      <c r="P120">
        <v>10</v>
      </c>
      <c r="Q120">
        <v>6</v>
      </c>
      <c r="R120">
        <v>0</v>
      </c>
      <c r="S120">
        <v>92</v>
      </c>
      <c r="T120">
        <v>8.6999999999999993</v>
      </c>
      <c r="U120">
        <v>202</v>
      </c>
      <c r="V120" t="s">
        <v>2263</v>
      </c>
      <c r="W120" t="s">
        <v>660</v>
      </c>
      <c r="X120">
        <v>10</v>
      </c>
      <c r="Y120">
        <v>16</v>
      </c>
      <c r="Z120">
        <v>38.5</v>
      </c>
      <c r="AA120">
        <v>8</v>
      </c>
      <c r="AB120">
        <v>6</v>
      </c>
      <c r="AC120">
        <v>14</v>
      </c>
      <c r="AD120">
        <v>39</v>
      </c>
      <c r="AE120" t="s">
        <v>60</v>
      </c>
    </row>
    <row r="121" spans="1:31" x14ac:dyDescent="0.2">
      <c r="A121">
        <v>118</v>
      </c>
      <c r="B121" t="s">
        <v>518</v>
      </c>
      <c r="C121">
        <v>23</v>
      </c>
      <c r="D121" t="s">
        <v>324</v>
      </c>
      <c r="E121" t="s">
        <v>340</v>
      </c>
      <c r="F121">
        <v>34</v>
      </c>
      <c r="G121">
        <v>9</v>
      </c>
      <c r="H121">
        <v>15</v>
      </c>
      <c r="I121">
        <v>24</v>
      </c>
      <c r="J121">
        <v>-17</v>
      </c>
      <c r="K121">
        <v>18</v>
      </c>
      <c r="L121">
        <v>6</v>
      </c>
      <c r="M121">
        <v>3</v>
      </c>
      <c r="N121">
        <v>0</v>
      </c>
      <c r="O121">
        <v>0</v>
      </c>
      <c r="P121">
        <v>8</v>
      </c>
      <c r="Q121">
        <v>7</v>
      </c>
      <c r="R121">
        <v>0</v>
      </c>
      <c r="S121">
        <v>91</v>
      </c>
      <c r="T121">
        <v>9.9</v>
      </c>
      <c r="U121">
        <v>171</v>
      </c>
      <c r="V121" t="s">
        <v>2264</v>
      </c>
      <c r="W121" t="s">
        <v>1648</v>
      </c>
      <c r="X121">
        <v>0</v>
      </c>
      <c r="Y121">
        <v>8</v>
      </c>
      <c r="Z121">
        <v>0</v>
      </c>
      <c r="AA121">
        <v>25</v>
      </c>
      <c r="AB121">
        <v>24</v>
      </c>
      <c r="AC121">
        <v>8</v>
      </c>
      <c r="AD121">
        <v>36</v>
      </c>
      <c r="AE121" t="s">
        <v>60</v>
      </c>
    </row>
    <row r="122" spans="1:31" x14ac:dyDescent="0.2">
      <c r="A122">
        <v>119</v>
      </c>
      <c r="B122" t="s">
        <v>485</v>
      </c>
      <c r="C122">
        <v>21</v>
      </c>
      <c r="D122" t="s">
        <v>384</v>
      </c>
      <c r="E122" t="s">
        <v>322</v>
      </c>
      <c r="F122">
        <v>37</v>
      </c>
      <c r="G122">
        <v>12</v>
      </c>
      <c r="H122">
        <v>12</v>
      </c>
      <c r="I122">
        <v>24</v>
      </c>
      <c r="J122">
        <v>-10</v>
      </c>
      <c r="K122">
        <v>13</v>
      </c>
      <c r="L122">
        <v>9</v>
      </c>
      <c r="M122">
        <v>3</v>
      </c>
      <c r="N122">
        <v>0</v>
      </c>
      <c r="O122">
        <v>2</v>
      </c>
      <c r="P122">
        <v>11</v>
      </c>
      <c r="Q122">
        <v>1</v>
      </c>
      <c r="R122">
        <v>0</v>
      </c>
      <c r="S122">
        <v>103</v>
      </c>
      <c r="T122">
        <v>11.7</v>
      </c>
      <c r="U122">
        <v>224</v>
      </c>
      <c r="V122" t="s">
        <v>2673</v>
      </c>
      <c r="W122" t="s">
        <v>2009</v>
      </c>
      <c r="X122">
        <v>215</v>
      </c>
      <c r="Y122">
        <v>209</v>
      </c>
      <c r="Z122">
        <v>50.7</v>
      </c>
      <c r="AA122">
        <v>27</v>
      </c>
      <c r="AB122">
        <v>37</v>
      </c>
      <c r="AC122">
        <v>15</v>
      </c>
      <c r="AD122">
        <v>41</v>
      </c>
      <c r="AE122" t="s">
        <v>60</v>
      </c>
    </row>
    <row r="123" spans="1:31" x14ac:dyDescent="0.2">
      <c r="A123">
        <v>120</v>
      </c>
      <c r="B123" t="s">
        <v>503</v>
      </c>
      <c r="C123">
        <v>29</v>
      </c>
      <c r="D123" t="s">
        <v>429</v>
      </c>
      <c r="E123" t="s">
        <v>340</v>
      </c>
      <c r="F123">
        <v>37</v>
      </c>
      <c r="G123">
        <v>13</v>
      </c>
      <c r="H123">
        <v>11</v>
      </c>
      <c r="I123">
        <v>24</v>
      </c>
      <c r="J123">
        <v>-5</v>
      </c>
      <c r="K123">
        <v>24</v>
      </c>
      <c r="L123">
        <v>10</v>
      </c>
      <c r="M123">
        <v>3</v>
      </c>
      <c r="N123">
        <v>0</v>
      </c>
      <c r="O123">
        <v>2</v>
      </c>
      <c r="P123">
        <v>5</v>
      </c>
      <c r="Q123">
        <v>6</v>
      </c>
      <c r="R123">
        <v>0</v>
      </c>
      <c r="S123">
        <v>104</v>
      </c>
      <c r="T123">
        <v>12.5</v>
      </c>
      <c r="U123">
        <v>221</v>
      </c>
      <c r="V123" t="s">
        <v>2265</v>
      </c>
      <c r="W123" t="s">
        <v>745</v>
      </c>
      <c r="X123">
        <v>3</v>
      </c>
      <c r="Y123">
        <v>11</v>
      </c>
      <c r="Z123">
        <v>21.4</v>
      </c>
      <c r="AA123">
        <v>15</v>
      </c>
      <c r="AB123">
        <v>20</v>
      </c>
      <c r="AC123">
        <v>10</v>
      </c>
      <c r="AD123">
        <v>49</v>
      </c>
      <c r="AE123" t="s">
        <v>60</v>
      </c>
    </row>
    <row r="124" spans="1:31" x14ac:dyDescent="0.2">
      <c r="A124">
        <v>121</v>
      </c>
      <c r="B124" t="s">
        <v>474</v>
      </c>
      <c r="C124">
        <v>24</v>
      </c>
      <c r="D124" t="s">
        <v>404</v>
      </c>
      <c r="E124" t="s">
        <v>322</v>
      </c>
      <c r="F124">
        <v>38</v>
      </c>
      <c r="G124">
        <v>10</v>
      </c>
      <c r="H124">
        <v>14</v>
      </c>
      <c r="I124">
        <v>24</v>
      </c>
      <c r="J124">
        <v>10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11</v>
      </c>
      <c r="Q124">
        <v>3</v>
      </c>
      <c r="R124">
        <v>0</v>
      </c>
      <c r="S124">
        <v>79</v>
      </c>
      <c r="T124">
        <v>12.7</v>
      </c>
      <c r="U124">
        <v>159</v>
      </c>
      <c r="V124" t="s">
        <v>2210</v>
      </c>
      <c r="W124" t="s">
        <v>1938</v>
      </c>
      <c r="X124">
        <v>77</v>
      </c>
      <c r="Y124">
        <v>111</v>
      </c>
      <c r="Z124">
        <v>41</v>
      </c>
      <c r="AA124">
        <v>29</v>
      </c>
      <c r="AB124">
        <v>19</v>
      </c>
      <c r="AC124">
        <v>14</v>
      </c>
      <c r="AD124">
        <v>33</v>
      </c>
      <c r="AE124" t="s">
        <v>60</v>
      </c>
    </row>
    <row r="125" spans="1:31" x14ac:dyDescent="0.2">
      <c r="A125">
        <v>122</v>
      </c>
      <c r="B125" t="s">
        <v>479</v>
      </c>
      <c r="C125">
        <v>18</v>
      </c>
      <c r="D125" t="s">
        <v>387</v>
      </c>
      <c r="E125" t="s">
        <v>349</v>
      </c>
      <c r="F125">
        <v>39</v>
      </c>
      <c r="G125">
        <v>9</v>
      </c>
      <c r="H125">
        <v>15</v>
      </c>
      <c r="I125">
        <v>24</v>
      </c>
      <c r="J125">
        <v>8</v>
      </c>
      <c r="K125">
        <v>18</v>
      </c>
      <c r="L125">
        <v>4</v>
      </c>
      <c r="M125">
        <v>5</v>
      </c>
      <c r="N125">
        <v>0</v>
      </c>
      <c r="O125">
        <v>2</v>
      </c>
      <c r="P125">
        <v>9</v>
      </c>
      <c r="Q125">
        <v>6</v>
      </c>
      <c r="R125">
        <v>0</v>
      </c>
      <c r="S125">
        <v>107</v>
      </c>
      <c r="T125">
        <v>8.4</v>
      </c>
      <c r="U125">
        <v>240</v>
      </c>
      <c r="V125" t="s">
        <v>2674</v>
      </c>
      <c r="W125" t="s">
        <v>2675</v>
      </c>
      <c r="X125">
        <v>0</v>
      </c>
      <c r="Y125">
        <v>0</v>
      </c>
      <c r="AA125">
        <v>57</v>
      </c>
      <c r="AB125">
        <v>17</v>
      </c>
      <c r="AC125">
        <v>20</v>
      </c>
      <c r="AD125">
        <v>49</v>
      </c>
      <c r="AE125" t="s">
        <v>60</v>
      </c>
    </row>
    <row r="126" spans="1:31" x14ac:dyDescent="0.2">
      <c r="A126">
        <v>123</v>
      </c>
      <c r="B126" t="s">
        <v>661</v>
      </c>
      <c r="C126">
        <v>31</v>
      </c>
      <c r="D126" t="s">
        <v>555</v>
      </c>
      <c r="E126" t="s">
        <v>322</v>
      </c>
      <c r="F126">
        <v>36</v>
      </c>
      <c r="G126">
        <v>10</v>
      </c>
      <c r="H126">
        <v>14</v>
      </c>
      <c r="I126">
        <v>24</v>
      </c>
      <c r="J126">
        <v>-6</v>
      </c>
      <c r="K126">
        <v>6</v>
      </c>
      <c r="L126">
        <v>6</v>
      </c>
      <c r="M126">
        <v>4</v>
      </c>
      <c r="N126">
        <v>0</v>
      </c>
      <c r="O126">
        <v>1</v>
      </c>
      <c r="P126">
        <v>8</v>
      </c>
      <c r="Q126">
        <v>5</v>
      </c>
      <c r="R126">
        <v>1</v>
      </c>
      <c r="S126">
        <v>58</v>
      </c>
      <c r="T126">
        <v>17.2</v>
      </c>
      <c r="U126">
        <v>92</v>
      </c>
      <c r="V126" t="s">
        <v>2676</v>
      </c>
      <c r="W126" t="s">
        <v>421</v>
      </c>
      <c r="X126">
        <v>373</v>
      </c>
      <c r="Y126">
        <v>345</v>
      </c>
      <c r="Z126">
        <v>51.9</v>
      </c>
      <c r="AA126">
        <v>28</v>
      </c>
      <c r="AB126">
        <v>9</v>
      </c>
      <c r="AC126">
        <v>15</v>
      </c>
      <c r="AD126">
        <v>29</v>
      </c>
      <c r="AE126" t="s">
        <v>60</v>
      </c>
    </row>
    <row r="127" spans="1:31" x14ac:dyDescent="0.2">
      <c r="A127">
        <v>124</v>
      </c>
      <c r="B127" t="s">
        <v>494</v>
      </c>
      <c r="C127">
        <v>25</v>
      </c>
      <c r="D127" t="s">
        <v>384</v>
      </c>
      <c r="E127" t="s">
        <v>340</v>
      </c>
      <c r="F127">
        <v>37</v>
      </c>
      <c r="G127">
        <v>13</v>
      </c>
      <c r="H127">
        <v>11</v>
      </c>
      <c r="I127">
        <v>24</v>
      </c>
      <c r="J127">
        <v>0</v>
      </c>
      <c r="K127">
        <v>42</v>
      </c>
      <c r="L127">
        <v>7</v>
      </c>
      <c r="M127">
        <v>6</v>
      </c>
      <c r="N127">
        <v>0</v>
      </c>
      <c r="O127">
        <v>0</v>
      </c>
      <c r="P127">
        <v>10</v>
      </c>
      <c r="Q127">
        <v>1</v>
      </c>
      <c r="R127">
        <v>0</v>
      </c>
      <c r="S127">
        <v>76</v>
      </c>
      <c r="T127">
        <v>17.100000000000001</v>
      </c>
      <c r="U127">
        <v>133</v>
      </c>
      <c r="V127" t="s">
        <v>2677</v>
      </c>
      <c r="W127" t="s">
        <v>1733</v>
      </c>
      <c r="X127">
        <v>4</v>
      </c>
      <c r="Y127">
        <v>16</v>
      </c>
      <c r="Z127">
        <v>20</v>
      </c>
      <c r="AA127">
        <v>11</v>
      </c>
      <c r="AB127">
        <v>57</v>
      </c>
      <c r="AC127">
        <v>6</v>
      </c>
      <c r="AD127">
        <v>32</v>
      </c>
      <c r="AE127" t="s">
        <v>60</v>
      </c>
    </row>
    <row r="128" spans="1:31" x14ac:dyDescent="0.2">
      <c r="A128">
        <v>125</v>
      </c>
      <c r="B128" t="s">
        <v>604</v>
      </c>
      <c r="C128">
        <v>31</v>
      </c>
      <c r="D128" t="s">
        <v>324</v>
      </c>
      <c r="E128" t="s">
        <v>322</v>
      </c>
      <c r="F128">
        <v>38</v>
      </c>
      <c r="G128">
        <v>7</v>
      </c>
      <c r="H128">
        <v>17</v>
      </c>
      <c r="I128">
        <v>24</v>
      </c>
      <c r="J128">
        <v>-13</v>
      </c>
      <c r="K128">
        <v>10</v>
      </c>
      <c r="L128">
        <v>4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47</v>
      </c>
      <c r="T128">
        <v>14.9</v>
      </c>
      <c r="U128">
        <v>81</v>
      </c>
      <c r="V128" t="s">
        <v>2266</v>
      </c>
      <c r="W128" t="s">
        <v>1889</v>
      </c>
      <c r="X128">
        <v>284</v>
      </c>
      <c r="Y128">
        <v>345</v>
      </c>
      <c r="Z128">
        <v>45.2</v>
      </c>
      <c r="AA128">
        <v>47</v>
      </c>
      <c r="AB128">
        <v>12</v>
      </c>
      <c r="AC128">
        <v>18</v>
      </c>
      <c r="AD128">
        <v>27</v>
      </c>
      <c r="AE128" t="s">
        <v>60</v>
      </c>
    </row>
    <row r="129" spans="1:31" x14ac:dyDescent="0.2">
      <c r="A129">
        <v>126</v>
      </c>
      <c r="B129" t="s">
        <v>583</v>
      </c>
      <c r="C129">
        <v>36</v>
      </c>
      <c r="D129" t="s">
        <v>448</v>
      </c>
      <c r="E129" t="s">
        <v>322</v>
      </c>
      <c r="F129">
        <v>38</v>
      </c>
      <c r="G129">
        <v>9</v>
      </c>
      <c r="H129">
        <v>14</v>
      </c>
      <c r="I129">
        <v>23</v>
      </c>
      <c r="J129">
        <v>14</v>
      </c>
      <c r="K129">
        <v>8</v>
      </c>
      <c r="L129">
        <v>9</v>
      </c>
      <c r="M129">
        <v>0</v>
      </c>
      <c r="N129">
        <v>0</v>
      </c>
      <c r="O129">
        <v>1</v>
      </c>
      <c r="P129">
        <v>12</v>
      </c>
      <c r="Q129">
        <v>0</v>
      </c>
      <c r="R129">
        <v>2</v>
      </c>
      <c r="S129">
        <v>90</v>
      </c>
      <c r="T129">
        <v>10</v>
      </c>
      <c r="U129">
        <v>155</v>
      </c>
      <c r="V129" t="s">
        <v>2267</v>
      </c>
      <c r="W129" t="s">
        <v>1093</v>
      </c>
      <c r="X129">
        <v>354</v>
      </c>
      <c r="Y129">
        <v>338</v>
      </c>
      <c r="Z129">
        <v>51.2</v>
      </c>
      <c r="AA129">
        <v>13</v>
      </c>
      <c r="AB129">
        <v>16</v>
      </c>
      <c r="AC129">
        <v>12</v>
      </c>
      <c r="AD129">
        <v>31</v>
      </c>
      <c r="AE129" t="s">
        <v>60</v>
      </c>
    </row>
    <row r="130" spans="1:31" x14ac:dyDescent="0.2">
      <c r="A130">
        <v>127</v>
      </c>
      <c r="B130" t="s">
        <v>512</v>
      </c>
      <c r="C130">
        <v>22</v>
      </c>
      <c r="D130" t="s">
        <v>402</v>
      </c>
      <c r="E130" t="s">
        <v>335</v>
      </c>
      <c r="F130">
        <v>37</v>
      </c>
      <c r="G130">
        <v>11</v>
      </c>
      <c r="H130">
        <v>12</v>
      </c>
      <c r="I130">
        <v>23</v>
      </c>
      <c r="J130">
        <v>-3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79</v>
      </c>
      <c r="T130">
        <v>13.9</v>
      </c>
      <c r="U130">
        <v>153</v>
      </c>
      <c r="V130" t="s">
        <v>2268</v>
      </c>
      <c r="W130" t="s">
        <v>1769</v>
      </c>
      <c r="X130">
        <v>0</v>
      </c>
      <c r="Y130">
        <v>7</v>
      </c>
      <c r="Z130">
        <v>0</v>
      </c>
      <c r="AA130">
        <v>11</v>
      </c>
      <c r="AB130">
        <v>8</v>
      </c>
      <c r="AC130">
        <v>16</v>
      </c>
      <c r="AD130">
        <v>42</v>
      </c>
      <c r="AE130" t="s">
        <v>60</v>
      </c>
    </row>
    <row r="131" spans="1:31" x14ac:dyDescent="0.2">
      <c r="A131">
        <v>128</v>
      </c>
      <c r="B131" t="s">
        <v>513</v>
      </c>
      <c r="C131">
        <v>30</v>
      </c>
      <c r="D131" t="s">
        <v>330</v>
      </c>
      <c r="E131" t="s">
        <v>340</v>
      </c>
      <c r="F131">
        <v>33</v>
      </c>
      <c r="G131">
        <v>9</v>
      </c>
      <c r="H131">
        <v>14</v>
      </c>
      <c r="I131">
        <v>23</v>
      </c>
      <c r="J131">
        <v>-10</v>
      </c>
      <c r="K131">
        <v>8</v>
      </c>
      <c r="L131">
        <v>7</v>
      </c>
      <c r="M131">
        <v>2</v>
      </c>
      <c r="N131">
        <v>0</v>
      </c>
      <c r="O131">
        <v>1</v>
      </c>
      <c r="P131">
        <v>10</v>
      </c>
      <c r="Q131">
        <v>4</v>
      </c>
      <c r="R131">
        <v>0</v>
      </c>
      <c r="S131">
        <v>43</v>
      </c>
      <c r="T131">
        <v>20.9</v>
      </c>
      <c r="U131">
        <v>97</v>
      </c>
      <c r="V131" t="s">
        <v>2678</v>
      </c>
      <c r="W131" t="s">
        <v>559</v>
      </c>
      <c r="X131">
        <v>0</v>
      </c>
      <c r="Y131">
        <v>4</v>
      </c>
      <c r="Z131">
        <v>0</v>
      </c>
      <c r="AA131">
        <v>14</v>
      </c>
      <c r="AB131">
        <v>9</v>
      </c>
      <c r="AC131">
        <v>18</v>
      </c>
      <c r="AD131">
        <v>29</v>
      </c>
      <c r="AE131" t="s">
        <v>60</v>
      </c>
    </row>
    <row r="132" spans="1:31" x14ac:dyDescent="0.2">
      <c r="A132">
        <v>129</v>
      </c>
      <c r="B132" t="s">
        <v>444</v>
      </c>
      <c r="C132">
        <v>21</v>
      </c>
      <c r="D132" t="s">
        <v>412</v>
      </c>
      <c r="E132" t="s">
        <v>322</v>
      </c>
      <c r="F132">
        <v>29</v>
      </c>
      <c r="G132">
        <v>14</v>
      </c>
      <c r="H132">
        <v>9</v>
      </c>
      <c r="I132">
        <v>23</v>
      </c>
      <c r="J132">
        <v>6</v>
      </c>
      <c r="K132">
        <v>22</v>
      </c>
      <c r="L132">
        <v>10</v>
      </c>
      <c r="M132">
        <v>3</v>
      </c>
      <c r="N132">
        <v>1</v>
      </c>
      <c r="O132">
        <v>1</v>
      </c>
      <c r="P132">
        <v>8</v>
      </c>
      <c r="Q132">
        <v>1</v>
      </c>
      <c r="R132">
        <v>0</v>
      </c>
      <c r="S132">
        <v>59</v>
      </c>
      <c r="T132">
        <v>23.7</v>
      </c>
      <c r="U132">
        <v>101</v>
      </c>
      <c r="V132" t="s">
        <v>445</v>
      </c>
      <c r="W132" t="s">
        <v>446</v>
      </c>
      <c r="X132">
        <v>133</v>
      </c>
      <c r="Y132">
        <v>189</v>
      </c>
      <c r="Z132">
        <v>41.3</v>
      </c>
      <c r="AA132">
        <v>13</v>
      </c>
      <c r="AB132">
        <v>34</v>
      </c>
      <c r="AC132">
        <v>11</v>
      </c>
      <c r="AD132">
        <v>37</v>
      </c>
      <c r="AE132" t="s">
        <v>60</v>
      </c>
    </row>
    <row r="133" spans="1:31" x14ac:dyDescent="0.2">
      <c r="A133">
        <v>130</v>
      </c>
      <c r="B133" t="s">
        <v>558</v>
      </c>
      <c r="C133">
        <v>23</v>
      </c>
      <c r="D133" t="s">
        <v>363</v>
      </c>
      <c r="E133" t="s">
        <v>340</v>
      </c>
      <c r="F133">
        <v>40</v>
      </c>
      <c r="G133">
        <v>10</v>
      </c>
      <c r="H133">
        <v>13</v>
      </c>
      <c r="I133">
        <v>23</v>
      </c>
      <c r="J133">
        <v>-11</v>
      </c>
      <c r="K133">
        <v>24</v>
      </c>
      <c r="L133">
        <v>6</v>
      </c>
      <c r="M133">
        <v>4</v>
      </c>
      <c r="N133">
        <v>0</v>
      </c>
      <c r="O133">
        <v>1</v>
      </c>
      <c r="P133">
        <v>9</v>
      </c>
      <c r="Q133">
        <v>4</v>
      </c>
      <c r="R133">
        <v>0</v>
      </c>
      <c r="S133">
        <v>79</v>
      </c>
      <c r="T133">
        <v>12.7</v>
      </c>
      <c r="U133">
        <v>169</v>
      </c>
      <c r="V133" t="s">
        <v>2269</v>
      </c>
      <c r="W133" t="s">
        <v>1700</v>
      </c>
      <c r="X133">
        <v>23</v>
      </c>
      <c r="Y133">
        <v>21</v>
      </c>
      <c r="Z133">
        <v>52.3</v>
      </c>
      <c r="AA133">
        <v>41</v>
      </c>
      <c r="AB133">
        <v>136</v>
      </c>
      <c r="AC133">
        <v>7</v>
      </c>
      <c r="AD133">
        <v>23</v>
      </c>
      <c r="AE133" t="s">
        <v>60</v>
      </c>
    </row>
    <row r="134" spans="1:31" x14ac:dyDescent="0.2">
      <c r="A134">
        <v>131</v>
      </c>
      <c r="B134" t="s">
        <v>484</v>
      </c>
      <c r="C134">
        <v>34</v>
      </c>
      <c r="D134" t="s">
        <v>361</v>
      </c>
      <c r="E134" t="s">
        <v>349</v>
      </c>
      <c r="F134">
        <v>38</v>
      </c>
      <c r="G134">
        <v>6</v>
      </c>
      <c r="H134">
        <v>17</v>
      </c>
      <c r="I134">
        <v>23</v>
      </c>
      <c r="J134">
        <v>-4</v>
      </c>
      <c r="K134">
        <v>28</v>
      </c>
      <c r="L134">
        <v>6</v>
      </c>
      <c r="M134">
        <v>0</v>
      </c>
      <c r="N134">
        <v>0</v>
      </c>
      <c r="O134">
        <v>0</v>
      </c>
      <c r="P134">
        <v>14</v>
      </c>
      <c r="Q134">
        <v>3</v>
      </c>
      <c r="R134">
        <v>0</v>
      </c>
      <c r="S134">
        <v>56</v>
      </c>
      <c r="T134">
        <v>10.7</v>
      </c>
      <c r="U134">
        <v>136</v>
      </c>
      <c r="V134" t="s">
        <v>2679</v>
      </c>
      <c r="W134" t="s">
        <v>1673</v>
      </c>
      <c r="X134">
        <v>0</v>
      </c>
      <c r="Y134">
        <v>0</v>
      </c>
      <c r="AA134">
        <v>33</v>
      </c>
      <c r="AB134">
        <v>55</v>
      </c>
      <c r="AC134">
        <v>9</v>
      </c>
      <c r="AD134">
        <v>54</v>
      </c>
      <c r="AE134" t="s">
        <v>60</v>
      </c>
    </row>
    <row r="135" spans="1:31" x14ac:dyDescent="0.2">
      <c r="A135">
        <v>132</v>
      </c>
      <c r="B135" t="s">
        <v>506</v>
      </c>
      <c r="C135">
        <v>37</v>
      </c>
      <c r="D135" t="s">
        <v>373</v>
      </c>
      <c r="E135" t="s">
        <v>335</v>
      </c>
      <c r="F135">
        <v>25</v>
      </c>
      <c r="G135">
        <v>6</v>
      </c>
      <c r="H135">
        <v>17</v>
      </c>
      <c r="I135">
        <v>23</v>
      </c>
      <c r="J135">
        <v>-1</v>
      </c>
      <c r="K135">
        <v>8</v>
      </c>
      <c r="L135">
        <v>5</v>
      </c>
      <c r="M135">
        <v>1</v>
      </c>
      <c r="N135">
        <v>0</v>
      </c>
      <c r="O135">
        <v>2</v>
      </c>
      <c r="P135">
        <v>9</v>
      </c>
      <c r="Q135">
        <v>8</v>
      </c>
      <c r="R135">
        <v>0</v>
      </c>
      <c r="S135">
        <v>74</v>
      </c>
      <c r="T135">
        <v>8.1</v>
      </c>
      <c r="U135">
        <v>123</v>
      </c>
      <c r="V135" t="s">
        <v>2680</v>
      </c>
      <c r="W135" t="s">
        <v>514</v>
      </c>
      <c r="X135">
        <v>0</v>
      </c>
      <c r="Y135">
        <v>1</v>
      </c>
      <c r="Z135">
        <v>0</v>
      </c>
      <c r="AA135">
        <v>10</v>
      </c>
      <c r="AB135">
        <v>7</v>
      </c>
      <c r="AC135">
        <v>1</v>
      </c>
      <c r="AD135">
        <v>29</v>
      </c>
      <c r="AE135" t="s">
        <v>60</v>
      </c>
    </row>
    <row r="136" spans="1:31" x14ac:dyDescent="0.2">
      <c r="A136">
        <v>133</v>
      </c>
      <c r="B136" t="s">
        <v>549</v>
      </c>
      <c r="C136">
        <v>31</v>
      </c>
      <c r="D136" t="s">
        <v>356</v>
      </c>
      <c r="E136" t="s">
        <v>322</v>
      </c>
      <c r="F136">
        <v>29</v>
      </c>
      <c r="G136">
        <v>5</v>
      </c>
      <c r="H136">
        <v>18</v>
      </c>
      <c r="I136">
        <v>23</v>
      </c>
      <c r="J136">
        <v>-3</v>
      </c>
      <c r="K136">
        <v>28</v>
      </c>
      <c r="L136">
        <v>1</v>
      </c>
      <c r="M136">
        <v>4</v>
      </c>
      <c r="N136">
        <v>0</v>
      </c>
      <c r="O136">
        <v>1</v>
      </c>
      <c r="P136">
        <v>10</v>
      </c>
      <c r="Q136">
        <v>8</v>
      </c>
      <c r="R136">
        <v>0</v>
      </c>
      <c r="S136">
        <v>48</v>
      </c>
      <c r="T136">
        <v>10.4</v>
      </c>
      <c r="U136">
        <v>105</v>
      </c>
      <c r="V136" t="s">
        <v>2270</v>
      </c>
      <c r="W136" t="s">
        <v>545</v>
      </c>
      <c r="X136">
        <v>255</v>
      </c>
      <c r="Y136">
        <v>211</v>
      </c>
      <c r="Z136">
        <v>54.7</v>
      </c>
      <c r="AA136">
        <v>25</v>
      </c>
      <c r="AB136">
        <v>26</v>
      </c>
      <c r="AC136">
        <v>6</v>
      </c>
      <c r="AD136">
        <v>24</v>
      </c>
      <c r="AE136" t="s">
        <v>60</v>
      </c>
    </row>
    <row r="137" spans="1:31" x14ac:dyDescent="0.2">
      <c r="A137">
        <v>134</v>
      </c>
      <c r="B137" t="s">
        <v>489</v>
      </c>
      <c r="C137">
        <v>23</v>
      </c>
      <c r="D137" t="s">
        <v>337</v>
      </c>
      <c r="E137" t="s">
        <v>322</v>
      </c>
      <c r="F137">
        <v>38</v>
      </c>
      <c r="G137">
        <v>9</v>
      </c>
      <c r="H137">
        <v>14</v>
      </c>
      <c r="I137">
        <v>23</v>
      </c>
      <c r="J137">
        <v>-4</v>
      </c>
      <c r="K137">
        <v>34</v>
      </c>
      <c r="L137">
        <v>6</v>
      </c>
      <c r="M137">
        <v>3</v>
      </c>
      <c r="N137">
        <v>0</v>
      </c>
      <c r="O137">
        <v>2</v>
      </c>
      <c r="P137">
        <v>12</v>
      </c>
      <c r="Q137">
        <v>2</v>
      </c>
      <c r="R137">
        <v>0</v>
      </c>
      <c r="S137">
        <v>74</v>
      </c>
      <c r="T137">
        <v>12.2</v>
      </c>
      <c r="U137">
        <v>169</v>
      </c>
      <c r="V137" t="s">
        <v>2271</v>
      </c>
      <c r="W137" t="s">
        <v>1798</v>
      </c>
      <c r="X137">
        <v>242</v>
      </c>
      <c r="Y137">
        <v>248</v>
      </c>
      <c r="Z137">
        <v>49.4</v>
      </c>
      <c r="AA137">
        <v>21</v>
      </c>
      <c r="AB137">
        <v>39</v>
      </c>
      <c r="AC137">
        <v>10</v>
      </c>
      <c r="AD137">
        <v>30</v>
      </c>
      <c r="AE137" t="s">
        <v>60</v>
      </c>
    </row>
    <row r="138" spans="1:31" x14ac:dyDescent="0.2">
      <c r="A138">
        <v>135</v>
      </c>
      <c r="B138" t="s">
        <v>451</v>
      </c>
      <c r="C138">
        <v>29</v>
      </c>
      <c r="D138" t="s">
        <v>404</v>
      </c>
      <c r="E138" t="s">
        <v>335</v>
      </c>
      <c r="F138">
        <v>33</v>
      </c>
      <c r="G138">
        <v>11</v>
      </c>
      <c r="H138">
        <v>12</v>
      </c>
      <c r="I138">
        <v>23</v>
      </c>
      <c r="J138">
        <v>-5</v>
      </c>
      <c r="K138">
        <v>10</v>
      </c>
      <c r="L138">
        <v>6</v>
      </c>
      <c r="M138">
        <v>5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109</v>
      </c>
      <c r="T138">
        <v>10.1</v>
      </c>
      <c r="U138">
        <v>230</v>
      </c>
      <c r="V138" t="s">
        <v>2272</v>
      </c>
      <c r="W138" t="s">
        <v>413</v>
      </c>
      <c r="X138">
        <v>22</v>
      </c>
      <c r="Y138">
        <v>24</v>
      </c>
      <c r="Z138">
        <v>47.8</v>
      </c>
      <c r="AA138">
        <v>22</v>
      </c>
      <c r="AB138">
        <v>64</v>
      </c>
      <c r="AC138">
        <v>10</v>
      </c>
      <c r="AD138">
        <v>35</v>
      </c>
      <c r="AE138" t="s">
        <v>60</v>
      </c>
    </row>
    <row r="139" spans="1:31" x14ac:dyDescent="0.2">
      <c r="A139">
        <v>136</v>
      </c>
      <c r="B139" t="s">
        <v>540</v>
      </c>
      <c r="C139">
        <v>28</v>
      </c>
      <c r="D139" t="s">
        <v>353</v>
      </c>
      <c r="E139" t="s">
        <v>322</v>
      </c>
      <c r="F139">
        <v>34</v>
      </c>
      <c r="G139">
        <v>10</v>
      </c>
      <c r="H139">
        <v>12</v>
      </c>
      <c r="I139">
        <v>22</v>
      </c>
      <c r="J139">
        <v>18</v>
      </c>
      <c r="K139">
        <v>10</v>
      </c>
      <c r="L139">
        <v>8</v>
      </c>
      <c r="M139">
        <v>2</v>
      </c>
      <c r="N139">
        <v>0</v>
      </c>
      <c r="O139">
        <v>2</v>
      </c>
      <c r="P139">
        <v>9</v>
      </c>
      <c r="Q139">
        <v>1</v>
      </c>
      <c r="R139">
        <v>2</v>
      </c>
      <c r="S139">
        <v>63</v>
      </c>
      <c r="T139">
        <v>15.9</v>
      </c>
      <c r="U139">
        <v>118</v>
      </c>
      <c r="V139" t="s">
        <v>2681</v>
      </c>
      <c r="W139" t="s">
        <v>1717</v>
      </c>
      <c r="X139">
        <v>259</v>
      </c>
      <c r="Y139">
        <v>272</v>
      </c>
      <c r="Z139">
        <v>48.8</v>
      </c>
      <c r="AA139">
        <v>22</v>
      </c>
      <c r="AB139">
        <v>23</v>
      </c>
      <c r="AC139">
        <v>14</v>
      </c>
      <c r="AD139">
        <v>22</v>
      </c>
      <c r="AE139" t="s">
        <v>60</v>
      </c>
    </row>
    <row r="140" spans="1:31" x14ac:dyDescent="0.2">
      <c r="A140">
        <v>137</v>
      </c>
      <c r="B140" t="s">
        <v>497</v>
      </c>
      <c r="C140">
        <v>33</v>
      </c>
      <c r="D140" t="s">
        <v>384</v>
      </c>
      <c r="E140" t="s">
        <v>322</v>
      </c>
      <c r="F140">
        <v>37</v>
      </c>
      <c r="G140">
        <v>5</v>
      </c>
      <c r="H140">
        <v>17</v>
      </c>
      <c r="I140">
        <v>22</v>
      </c>
      <c r="J140">
        <v>-5</v>
      </c>
      <c r="K140">
        <v>6</v>
      </c>
      <c r="L140">
        <v>5</v>
      </c>
      <c r="M140">
        <v>0</v>
      </c>
      <c r="N140">
        <v>0</v>
      </c>
      <c r="O140">
        <v>0</v>
      </c>
      <c r="P140">
        <v>14</v>
      </c>
      <c r="Q140">
        <v>3</v>
      </c>
      <c r="R140">
        <v>0</v>
      </c>
      <c r="S140">
        <v>47</v>
      </c>
      <c r="T140">
        <v>10.6</v>
      </c>
      <c r="U140">
        <v>90</v>
      </c>
      <c r="V140" t="s">
        <v>2682</v>
      </c>
      <c r="W140" t="s">
        <v>1946</v>
      </c>
      <c r="X140">
        <v>292</v>
      </c>
      <c r="Y140">
        <v>288</v>
      </c>
      <c r="Z140">
        <v>50.3</v>
      </c>
      <c r="AA140">
        <v>23</v>
      </c>
      <c r="AB140">
        <v>57</v>
      </c>
      <c r="AC140">
        <v>17</v>
      </c>
      <c r="AD140">
        <v>24</v>
      </c>
      <c r="AE140" t="s">
        <v>60</v>
      </c>
    </row>
    <row r="141" spans="1:31" x14ac:dyDescent="0.2">
      <c r="A141">
        <v>138</v>
      </c>
      <c r="B141" t="s">
        <v>587</v>
      </c>
      <c r="C141">
        <v>29</v>
      </c>
      <c r="D141" t="s">
        <v>461</v>
      </c>
      <c r="E141" t="s">
        <v>335</v>
      </c>
      <c r="F141">
        <v>31</v>
      </c>
      <c r="G141">
        <v>7</v>
      </c>
      <c r="H141">
        <v>15</v>
      </c>
      <c r="I141">
        <v>22</v>
      </c>
      <c r="J141">
        <v>-6</v>
      </c>
      <c r="K141">
        <v>13</v>
      </c>
      <c r="L141">
        <v>5</v>
      </c>
      <c r="M141">
        <v>1</v>
      </c>
      <c r="N141">
        <v>1</v>
      </c>
      <c r="O141">
        <v>1</v>
      </c>
      <c r="P141">
        <v>7</v>
      </c>
      <c r="Q141">
        <v>8</v>
      </c>
      <c r="R141">
        <v>0</v>
      </c>
      <c r="S141">
        <v>74</v>
      </c>
      <c r="T141">
        <v>9.5</v>
      </c>
      <c r="U141">
        <v>139</v>
      </c>
      <c r="V141" t="s">
        <v>2273</v>
      </c>
      <c r="W141" t="s">
        <v>1072</v>
      </c>
      <c r="X141">
        <v>5</v>
      </c>
      <c r="Y141">
        <v>15</v>
      </c>
      <c r="Z141">
        <v>25</v>
      </c>
      <c r="AA141">
        <v>16</v>
      </c>
      <c r="AB141">
        <v>20</v>
      </c>
      <c r="AC141">
        <v>12</v>
      </c>
      <c r="AD141">
        <v>41</v>
      </c>
      <c r="AE141" t="s">
        <v>60</v>
      </c>
    </row>
    <row r="142" spans="1:31" x14ac:dyDescent="0.2">
      <c r="A142">
        <v>139</v>
      </c>
      <c r="B142" t="s">
        <v>567</v>
      </c>
      <c r="C142">
        <v>28</v>
      </c>
      <c r="D142" t="s">
        <v>461</v>
      </c>
      <c r="E142" t="s">
        <v>349</v>
      </c>
      <c r="F142">
        <v>37</v>
      </c>
      <c r="G142">
        <v>2</v>
      </c>
      <c r="H142">
        <v>20</v>
      </c>
      <c r="I142">
        <v>22</v>
      </c>
      <c r="J142">
        <v>2</v>
      </c>
      <c r="K142">
        <v>10</v>
      </c>
      <c r="L142">
        <v>1</v>
      </c>
      <c r="M142">
        <v>1</v>
      </c>
      <c r="N142">
        <v>0</v>
      </c>
      <c r="O142">
        <v>0</v>
      </c>
      <c r="P142">
        <v>12</v>
      </c>
      <c r="Q142">
        <v>7</v>
      </c>
      <c r="R142">
        <v>1</v>
      </c>
      <c r="S142">
        <v>53</v>
      </c>
      <c r="T142">
        <v>3.8</v>
      </c>
      <c r="U142">
        <v>124</v>
      </c>
      <c r="V142" t="s">
        <v>2274</v>
      </c>
      <c r="W142" t="s">
        <v>2008</v>
      </c>
      <c r="X142">
        <v>0</v>
      </c>
      <c r="Y142">
        <v>0</v>
      </c>
      <c r="AA142">
        <v>49</v>
      </c>
      <c r="AB142">
        <v>66</v>
      </c>
      <c r="AC142">
        <v>14</v>
      </c>
      <c r="AD142">
        <v>42</v>
      </c>
      <c r="AE142" t="s">
        <v>60</v>
      </c>
    </row>
    <row r="143" spans="1:31" x14ac:dyDescent="0.2">
      <c r="A143">
        <v>140</v>
      </c>
      <c r="B143" t="s">
        <v>473</v>
      </c>
      <c r="C143">
        <v>34</v>
      </c>
      <c r="D143" t="s">
        <v>337</v>
      </c>
      <c r="E143" t="s">
        <v>340</v>
      </c>
      <c r="F143">
        <v>34</v>
      </c>
      <c r="G143">
        <v>13</v>
      </c>
      <c r="H143">
        <v>9</v>
      </c>
      <c r="I143">
        <v>22</v>
      </c>
      <c r="J143">
        <v>-2</v>
      </c>
      <c r="K143">
        <v>16</v>
      </c>
      <c r="L143">
        <v>7</v>
      </c>
      <c r="M143">
        <v>6</v>
      </c>
      <c r="N143">
        <v>0</v>
      </c>
      <c r="O143">
        <v>1</v>
      </c>
      <c r="P143">
        <v>6</v>
      </c>
      <c r="Q143">
        <v>3</v>
      </c>
      <c r="R143">
        <v>0</v>
      </c>
      <c r="S143">
        <v>71</v>
      </c>
      <c r="T143">
        <v>18.3</v>
      </c>
      <c r="U143">
        <v>142</v>
      </c>
      <c r="V143" t="s">
        <v>2275</v>
      </c>
      <c r="W143" t="s">
        <v>507</v>
      </c>
      <c r="X143">
        <v>7</v>
      </c>
      <c r="Y143">
        <v>18</v>
      </c>
      <c r="Z143">
        <v>28</v>
      </c>
      <c r="AA143">
        <v>13</v>
      </c>
      <c r="AB143">
        <v>29</v>
      </c>
      <c r="AC143">
        <v>5</v>
      </c>
      <c r="AD143">
        <v>29</v>
      </c>
      <c r="AE143" t="s">
        <v>60</v>
      </c>
    </row>
    <row r="144" spans="1:31" x14ac:dyDescent="0.2">
      <c r="A144">
        <v>141</v>
      </c>
      <c r="B144" t="s">
        <v>570</v>
      </c>
      <c r="C144">
        <v>25</v>
      </c>
      <c r="D144" t="s">
        <v>337</v>
      </c>
      <c r="E144" t="s">
        <v>349</v>
      </c>
      <c r="F144">
        <v>38</v>
      </c>
      <c r="G144">
        <v>6</v>
      </c>
      <c r="H144">
        <v>16</v>
      </c>
      <c r="I144">
        <v>22</v>
      </c>
      <c r="J144">
        <v>1</v>
      </c>
      <c r="K144">
        <v>8</v>
      </c>
      <c r="L144">
        <v>4</v>
      </c>
      <c r="M144">
        <v>1</v>
      </c>
      <c r="N144">
        <v>1</v>
      </c>
      <c r="O144">
        <v>0</v>
      </c>
      <c r="P144">
        <v>10</v>
      </c>
      <c r="Q144">
        <v>5</v>
      </c>
      <c r="R144">
        <v>1</v>
      </c>
      <c r="S144">
        <v>82</v>
      </c>
      <c r="T144">
        <v>7.3</v>
      </c>
      <c r="U144">
        <v>192</v>
      </c>
      <c r="V144" t="s">
        <v>2276</v>
      </c>
      <c r="W144" t="s">
        <v>2277</v>
      </c>
      <c r="X144">
        <v>0</v>
      </c>
      <c r="Y144">
        <v>0</v>
      </c>
      <c r="AA144">
        <v>68</v>
      </c>
      <c r="AB144">
        <v>33</v>
      </c>
      <c r="AC144">
        <v>27</v>
      </c>
      <c r="AD144">
        <v>56</v>
      </c>
      <c r="AE144" t="s">
        <v>60</v>
      </c>
    </row>
    <row r="145" spans="1:31" x14ac:dyDescent="0.2">
      <c r="A145">
        <v>142</v>
      </c>
      <c r="B145" t="s">
        <v>523</v>
      </c>
      <c r="C145">
        <v>32</v>
      </c>
      <c r="D145" t="s">
        <v>363</v>
      </c>
      <c r="E145" t="s">
        <v>322</v>
      </c>
      <c r="F145">
        <v>35</v>
      </c>
      <c r="G145">
        <v>10</v>
      </c>
      <c r="H145">
        <v>12</v>
      </c>
      <c r="I145">
        <v>22</v>
      </c>
      <c r="J145">
        <v>-11</v>
      </c>
      <c r="K145">
        <v>10</v>
      </c>
      <c r="L145">
        <v>7</v>
      </c>
      <c r="M145">
        <v>3</v>
      </c>
      <c r="N145">
        <v>0</v>
      </c>
      <c r="O145">
        <v>3</v>
      </c>
      <c r="P145">
        <v>10</v>
      </c>
      <c r="Q145">
        <v>2</v>
      </c>
      <c r="R145">
        <v>0</v>
      </c>
      <c r="S145">
        <v>77</v>
      </c>
      <c r="T145">
        <v>13</v>
      </c>
      <c r="U145">
        <v>153</v>
      </c>
      <c r="V145" t="s">
        <v>1913</v>
      </c>
      <c r="W145" t="s">
        <v>1763</v>
      </c>
      <c r="X145">
        <v>294</v>
      </c>
      <c r="Y145">
        <v>197</v>
      </c>
      <c r="Z145">
        <v>59.9</v>
      </c>
      <c r="AA145">
        <v>12</v>
      </c>
      <c r="AB145">
        <v>74</v>
      </c>
      <c r="AC145">
        <v>5</v>
      </c>
      <c r="AD145">
        <v>35</v>
      </c>
      <c r="AE145" t="s">
        <v>60</v>
      </c>
    </row>
    <row r="146" spans="1:31" x14ac:dyDescent="0.2">
      <c r="A146">
        <v>143</v>
      </c>
      <c r="B146" t="s">
        <v>628</v>
      </c>
      <c r="C146">
        <v>30</v>
      </c>
      <c r="D146" t="s">
        <v>321</v>
      </c>
      <c r="E146" t="s">
        <v>335</v>
      </c>
      <c r="F146">
        <v>29</v>
      </c>
      <c r="G146">
        <v>8</v>
      </c>
      <c r="H146">
        <v>14</v>
      </c>
      <c r="I146">
        <v>22</v>
      </c>
      <c r="J146">
        <v>5</v>
      </c>
      <c r="K146">
        <v>8</v>
      </c>
      <c r="L146">
        <v>7</v>
      </c>
      <c r="M146">
        <v>1</v>
      </c>
      <c r="N146">
        <v>0</v>
      </c>
      <c r="O146">
        <v>1</v>
      </c>
      <c r="P146">
        <v>12</v>
      </c>
      <c r="Q146">
        <v>2</v>
      </c>
      <c r="R146">
        <v>0</v>
      </c>
      <c r="S146">
        <v>75</v>
      </c>
      <c r="T146">
        <v>10.7</v>
      </c>
      <c r="U146">
        <v>141</v>
      </c>
      <c r="V146" t="s">
        <v>1773</v>
      </c>
      <c r="W146" t="s">
        <v>1894</v>
      </c>
      <c r="X146">
        <v>2</v>
      </c>
      <c r="Y146">
        <v>1</v>
      </c>
      <c r="Z146">
        <v>66.7</v>
      </c>
      <c r="AA146">
        <v>7</v>
      </c>
      <c r="AB146">
        <v>24</v>
      </c>
      <c r="AC146">
        <v>11</v>
      </c>
      <c r="AD146">
        <v>24</v>
      </c>
      <c r="AE146" t="s">
        <v>60</v>
      </c>
    </row>
    <row r="147" spans="1:31" x14ac:dyDescent="0.2">
      <c r="A147">
        <v>144</v>
      </c>
      <c r="B147" t="s">
        <v>467</v>
      </c>
      <c r="C147">
        <v>27</v>
      </c>
      <c r="D147" t="s">
        <v>461</v>
      </c>
      <c r="E147" t="s">
        <v>322</v>
      </c>
      <c r="F147">
        <v>29</v>
      </c>
      <c r="G147">
        <v>8</v>
      </c>
      <c r="H147">
        <v>14</v>
      </c>
      <c r="I147">
        <v>22</v>
      </c>
      <c r="J147">
        <v>-11</v>
      </c>
      <c r="K147">
        <v>10</v>
      </c>
      <c r="L147">
        <v>5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57</v>
      </c>
      <c r="T147">
        <v>14</v>
      </c>
      <c r="U147">
        <v>127</v>
      </c>
      <c r="V147" t="s">
        <v>2278</v>
      </c>
      <c r="W147" t="s">
        <v>1915</v>
      </c>
      <c r="X147">
        <v>309</v>
      </c>
      <c r="Y147">
        <v>335</v>
      </c>
      <c r="Z147">
        <v>48</v>
      </c>
      <c r="AA147">
        <v>52</v>
      </c>
      <c r="AB147">
        <v>29</v>
      </c>
      <c r="AC147">
        <v>15</v>
      </c>
      <c r="AD147">
        <v>29</v>
      </c>
      <c r="AE147" t="s">
        <v>60</v>
      </c>
    </row>
    <row r="148" spans="1:31" x14ac:dyDescent="0.2">
      <c r="A148">
        <v>145</v>
      </c>
      <c r="B148" t="s">
        <v>731</v>
      </c>
      <c r="C148">
        <v>35</v>
      </c>
      <c r="D148" t="s">
        <v>476</v>
      </c>
      <c r="E148" t="s">
        <v>322</v>
      </c>
      <c r="F148">
        <v>37</v>
      </c>
      <c r="G148">
        <v>15</v>
      </c>
      <c r="H148">
        <v>7</v>
      </c>
      <c r="I148">
        <v>22</v>
      </c>
      <c r="J148">
        <v>-10</v>
      </c>
      <c r="K148">
        <v>22</v>
      </c>
      <c r="L148">
        <v>13</v>
      </c>
      <c r="M148">
        <v>2</v>
      </c>
      <c r="N148">
        <v>0</v>
      </c>
      <c r="O148">
        <v>6</v>
      </c>
      <c r="P148">
        <v>4</v>
      </c>
      <c r="Q148">
        <v>3</v>
      </c>
      <c r="R148">
        <v>0</v>
      </c>
      <c r="S148">
        <v>88</v>
      </c>
      <c r="T148">
        <v>17</v>
      </c>
      <c r="U148">
        <v>170</v>
      </c>
      <c r="V148" t="s">
        <v>2279</v>
      </c>
      <c r="W148" t="s">
        <v>1399</v>
      </c>
      <c r="X148">
        <v>133</v>
      </c>
      <c r="Y148">
        <v>104</v>
      </c>
      <c r="Z148">
        <v>56.1</v>
      </c>
      <c r="AA148">
        <v>13</v>
      </c>
      <c r="AB148">
        <v>32</v>
      </c>
      <c r="AC148">
        <v>13</v>
      </c>
      <c r="AD148">
        <v>33</v>
      </c>
      <c r="AE148" t="s">
        <v>60</v>
      </c>
    </row>
    <row r="149" spans="1:31" x14ac:dyDescent="0.2">
      <c r="A149">
        <v>146</v>
      </c>
      <c r="B149" t="s">
        <v>511</v>
      </c>
      <c r="C149">
        <v>26</v>
      </c>
      <c r="D149" t="s">
        <v>415</v>
      </c>
      <c r="E149" t="s">
        <v>335</v>
      </c>
      <c r="F149">
        <v>37</v>
      </c>
      <c r="G149">
        <v>11</v>
      </c>
      <c r="H149">
        <v>11</v>
      </c>
      <c r="I149">
        <v>22</v>
      </c>
      <c r="J149">
        <v>-2</v>
      </c>
      <c r="K149">
        <v>20</v>
      </c>
      <c r="L149">
        <v>10</v>
      </c>
      <c r="M149">
        <v>1</v>
      </c>
      <c r="N149">
        <v>0</v>
      </c>
      <c r="O149">
        <v>0</v>
      </c>
      <c r="P149">
        <v>11</v>
      </c>
      <c r="Q149">
        <v>0</v>
      </c>
      <c r="R149">
        <v>0</v>
      </c>
      <c r="S149">
        <v>88</v>
      </c>
      <c r="T149">
        <v>12.5</v>
      </c>
      <c r="U149">
        <v>171</v>
      </c>
      <c r="V149" t="s">
        <v>2683</v>
      </c>
      <c r="W149" t="s">
        <v>2074</v>
      </c>
      <c r="X149">
        <v>4</v>
      </c>
      <c r="Y149">
        <v>7</v>
      </c>
      <c r="Z149">
        <v>36.4</v>
      </c>
      <c r="AA149">
        <v>20</v>
      </c>
      <c r="AB149">
        <v>67</v>
      </c>
      <c r="AC149">
        <v>6</v>
      </c>
      <c r="AD149">
        <v>40</v>
      </c>
      <c r="AE149" t="s">
        <v>60</v>
      </c>
    </row>
    <row r="150" spans="1:31" x14ac:dyDescent="0.2">
      <c r="A150">
        <v>147</v>
      </c>
      <c r="B150" t="s">
        <v>554</v>
      </c>
      <c r="C150">
        <v>23</v>
      </c>
      <c r="D150" t="s">
        <v>555</v>
      </c>
      <c r="E150" t="s">
        <v>322</v>
      </c>
      <c r="F150">
        <v>36</v>
      </c>
      <c r="G150">
        <v>4</v>
      </c>
      <c r="H150">
        <v>17</v>
      </c>
      <c r="I150">
        <v>21</v>
      </c>
      <c r="J150">
        <v>-2</v>
      </c>
      <c r="K150">
        <v>10</v>
      </c>
      <c r="L150">
        <v>1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65</v>
      </c>
      <c r="T150">
        <v>6.2</v>
      </c>
      <c r="U150">
        <v>148</v>
      </c>
      <c r="V150" t="s">
        <v>2684</v>
      </c>
      <c r="W150" t="s">
        <v>2005</v>
      </c>
      <c r="X150">
        <v>236</v>
      </c>
      <c r="Y150">
        <v>246</v>
      </c>
      <c r="Z150">
        <v>49</v>
      </c>
      <c r="AA150">
        <v>31</v>
      </c>
      <c r="AB150">
        <v>14</v>
      </c>
      <c r="AC150">
        <v>5</v>
      </c>
      <c r="AD150">
        <v>35</v>
      </c>
      <c r="AE150" t="s">
        <v>60</v>
      </c>
    </row>
    <row r="151" spans="1:31" x14ac:dyDescent="0.2">
      <c r="A151">
        <v>148</v>
      </c>
      <c r="B151" t="s">
        <v>605</v>
      </c>
      <c r="C151">
        <v>30</v>
      </c>
      <c r="D151" t="s">
        <v>536</v>
      </c>
      <c r="E151" t="s">
        <v>340</v>
      </c>
      <c r="F151">
        <v>39</v>
      </c>
      <c r="G151">
        <v>7</v>
      </c>
      <c r="H151">
        <v>14</v>
      </c>
      <c r="I151">
        <v>21</v>
      </c>
      <c r="J151">
        <v>-8</v>
      </c>
      <c r="K151">
        <v>10</v>
      </c>
      <c r="L151">
        <v>5</v>
      </c>
      <c r="M151">
        <v>2</v>
      </c>
      <c r="N151">
        <v>0</v>
      </c>
      <c r="O151">
        <v>1</v>
      </c>
      <c r="P151">
        <v>8</v>
      </c>
      <c r="Q151">
        <v>6</v>
      </c>
      <c r="R151">
        <v>0</v>
      </c>
      <c r="S151">
        <v>67</v>
      </c>
      <c r="T151">
        <v>10.4</v>
      </c>
      <c r="U151">
        <v>138</v>
      </c>
      <c r="V151" t="s">
        <v>2280</v>
      </c>
      <c r="W151" t="s">
        <v>1667</v>
      </c>
      <c r="X151">
        <v>6</v>
      </c>
      <c r="Y151">
        <v>13</v>
      </c>
      <c r="Z151">
        <v>31.6</v>
      </c>
      <c r="AA151">
        <v>14</v>
      </c>
      <c r="AB151">
        <v>21</v>
      </c>
      <c r="AC151">
        <v>12</v>
      </c>
      <c r="AD151">
        <v>30</v>
      </c>
      <c r="AE151" t="s">
        <v>60</v>
      </c>
    </row>
    <row r="152" spans="1:31" x14ac:dyDescent="0.2">
      <c r="A152">
        <v>149</v>
      </c>
      <c r="B152" t="s">
        <v>496</v>
      </c>
      <c r="C152">
        <v>23</v>
      </c>
      <c r="D152" t="s">
        <v>429</v>
      </c>
      <c r="E152" t="s">
        <v>322</v>
      </c>
      <c r="F152">
        <v>36</v>
      </c>
      <c r="G152">
        <v>5</v>
      </c>
      <c r="H152">
        <v>16</v>
      </c>
      <c r="I152">
        <v>21</v>
      </c>
      <c r="J152">
        <v>1</v>
      </c>
      <c r="K152">
        <v>14</v>
      </c>
      <c r="L152">
        <v>3</v>
      </c>
      <c r="M152">
        <v>2</v>
      </c>
      <c r="N152">
        <v>0</v>
      </c>
      <c r="O152">
        <v>2</v>
      </c>
      <c r="P152">
        <v>11</v>
      </c>
      <c r="Q152">
        <v>4</v>
      </c>
      <c r="R152">
        <v>1</v>
      </c>
      <c r="S152">
        <v>81</v>
      </c>
      <c r="T152">
        <v>6.2</v>
      </c>
      <c r="U152">
        <v>154</v>
      </c>
      <c r="V152" t="s">
        <v>2281</v>
      </c>
      <c r="W152" t="s">
        <v>1779</v>
      </c>
      <c r="X152">
        <v>203</v>
      </c>
      <c r="Y152">
        <v>312</v>
      </c>
      <c r="Z152">
        <v>39.4</v>
      </c>
      <c r="AA152">
        <v>18</v>
      </c>
      <c r="AB152">
        <v>28</v>
      </c>
      <c r="AC152">
        <v>17</v>
      </c>
      <c r="AD152">
        <v>39</v>
      </c>
      <c r="AE152" t="s">
        <v>60</v>
      </c>
    </row>
    <row r="153" spans="1:31" x14ac:dyDescent="0.2">
      <c r="A153">
        <v>150</v>
      </c>
      <c r="B153" t="s">
        <v>669</v>
      </c>
      <c r="C153">
        <v>31</v>
      </c>
      <c r="D153" t="s">
        <v>373</v>
      </c>
      <c r="E153" t="s">
        <v>322</v>
      </c>
      <c r="F153">
        <v>40</v>
      </c>
      <c r="G153">
        <v>4</v>
      </c>
      <c r="H153">
        <v>17</v>
      </c>
      <c r="I153">
        <v>21</v>
      </c>
      <c r="J153">
        <v>-4</v>
      </c>
      <c r="K153">
        <v>14</v>
      </c>
      <c r="L153">
        <v>3</v>
      </c>
      <c r="M153">
        <v>1</v>
      </c>
      <c r="N153">
        <v>0</v>
      </c>
      <c r="O153">
        <v>0</v>
      </c>
      <c r="P153">
        <v>12</v>
      </c>
      <c r="Q153">
        <v>5</v>
      </c>
      <c r="R153">
        <v>0</v>
      </c>
      <c r="S153">
        <v>55</v>
      </c>
      <c r="T153">
        <v>7.3</v>
      </c>
      <c r="U153">
        <v>100</v>
      </c>
      <c r="V153" t="s">
        <v>2016</v>
      </c>
      <c r="W153" t="s">
        <v>730</v>
      </c>
      <c r="X153">
        <v>213</v>
      </c>
      <c r="Y153">
        <v>173</v>
      </c>
      <c r="Z153">
        <v>55.2</v>
      </c>
      <c r="AA153">
        <v>26</v>
      </c>
      <c r="AB153">
        <v>23</v>
      </c>
      <c r="AC153">
        <v>9</v>
      </c>
      <c r="AD153">
        <v>34</v>
      </c>
      <c r="AE153" t="s">
        <v>60</v>
      </c>
    </row>
    <row r="154" spans="1:31" x14ac:dyDescent="0.2">
      <c r="A154">
        <v>151</v>
      </c>
      <c r="B154" t="s">
        <v>541</v>
      </c>
      <c r="C154">
        <v>33</v>
      </c>
      <c r="D154" t="s">
        <v>415</v>
      </c>
      <c r="E154" t="s">
        <v>322</v>
      </c>
      <c r="F154">
        <v>36</v>
      </c>
      <c r="G154">
        <v>5</v>
      </c>
      <c r="H154">
        <v>16</v>
      </c>
      <c r="I154">
        <v>21</v>
      </c>
      <c r="J154">
        <v>3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16</v>
      </c>
      <c r="Q154">
        <v>0</v>
      </c>
      <c r="R154">
        <v>0</v>
      </c>
      <c r="S154">
        <v>55</v>
      </c>
      <c r="T154">
        <v>9.1</v>
      </c>
      <c r="U154">
        <v>106</v>
      </c>
      <c r="V154" t="s">
        <v>2685</v>
      </c>
      <c r="W154" t="s">
        <v>482</v>
      </c>
      <c r="X154">
        <v>329</v>
      </c>
      <c r="Y154">
        <v>275</v>
      </c>
      <c r="Z154">
        <v>54.5</v>
      </c>
      <c r="AA154">
        <v>26</v>
      </c>
      <c r="AB154">
        <v>37</v>
      </c>
      <c r="AC154">
        <v>13</v>
      </c>
      <c r="AD154">
        <v>36</v>
      </c>
      <c r="AE154" t="s">
        <v>60</v>
      </c>
    </row>
    <row r="155" spans="1:31" x14ac:dyDescent="0.2">
      <c r="A155">
        <v>152</v>
      </c>
      <c r="B155" t="s">
        <v>674</v>
      </c>
      <c r="C155">
        <v>23</v>
      </c>
      <c r="D155" t="s">
        <v>324</v>
      </c>
      <c r="E155" t="s">
        <v>325</v>
      </c>
      <c r="F155">
        <v>37</v>
      </c>
      <c r="G155">
        <v>11</v>
      </c>
      <c r="H155">
        <v>10</v>
      </c>
      <c r="I155">
        <v>21</v>
      </c>
      <c r="J155">
        <v>4</v>
      </c>
      <c r="K155">
        <v>2</v>
      </c>
      <c r="L155">
        <v>10</v>
      </c>
      <c r="M155">
        <v>0</v>
      </c>
      <c r="N155">
        <v>1</v>
      </c>
      <c r="O155">
        <v>1</v>
      </c>
      <c r="P155">
        <v>9</v>
      </c>
      <c r="Q155">
        <v>0</v>
      </c>
      <c r="R155">
        <v>1</v>
      </c>
      <c r="S155">
        <v>43</v>
      </c>
      <c r="T155">
        <v>25.6</v>
      </c>
      <c r="U155">
        <v>87</v>
      </c>
      <c r="V155" t="s">
        <v>2282</v>
      </c>
      <c r="W155" t="s">
        <v>1903</v>
      </c>
      <c r="X155">
        <v>3</v>
      </c>
      <c r="Y155">
        <v>6</v>
      </c>
      <c r="Z155">
        <v>33.299999999999997</v>
      </c>
      <c r="AA155">
        <v>31</v>
      </c>
      <c r="AB155">
        <v>36</v>
      </c>
      <c r="AC155">
        <v>13</v>
      </c>
      <c r="AD155">
        <v>21</v>
      </c>
      <c r="AE155" t="s">
        <v>60</v>
      </c>
    </row>
    <row r="156" spans="1:31" x14ac:dyDescent="0.2">
      <c r="A156">
        <v>153</v>
      </c>
      <c r="B156" t="s">
        <v>486</v>
      </c>
      <c r="C156">
        <v>24</v>
      </c>
      <c r="D156" t="s">
        <v>404</v>
      </c>
      <c r="E156" t="s">
        <v>322</v>
      </c>
      <c r="F156">
        <v>20</v>
      </c>
      <c r="G156">
        <v>11</v>
      </c>
      <c r="H156">
        <v>10</v>
      </c>
      <c r="I156">
        <v>21</v>
      </c>
      <c r="J156">
        <v>-1</v>
      </c>
      <c r="K156">
        <v>0</v>
      </c>
      <c r="L156">
        <v>10</v>
      </c>
      <c r="M156">
        <v>1</v>
      </c>
      <c r="N156">
        <v>0</v>
      </c>
      <c r="O156">
        <v>2</v>
      </c>
      <c r="P156">
        <v>6</v>
      </c>
      <c r="Q156">
        <v>4</v>
      </c>
      <c r="R156">
        <v>0</v>
      </c>
      <c r="S156">
        <v>75</v>
      </c>
      <c r="T156">
        <v>14.7</v>
      </c>
      <c r="U156">
        <v>143</v>
      </c>
      <c r="V156" t="s">
        <v>2283</v>
      </c>
      <c r="W156" t="s">
        <v>2052</v>
      </c>
      <c r="X156">
        <v>52</v>
      </c>
      <c r="Y156">
        <v>101</v>
      </c>
      <c r="Z156">
        <v>34</v>
      </c>
      <c r="AA156">
        <v>11</v>
      </c>
      <c r="AB156">
        <v>2</v>
      </c>
      <c r="AC156">
        <v>14</v>
      </c>
      <c r="AD156">
        <v>41</v>
      </c>
      <c r="AE156" t="s">
        <v>60</v>
      </c>
    </row>
    <row r="157" spans="1:31" x14ac:dyDescent="0.2">
      <c r="A157">
        <v>154</v>
      </c>
      <c r="B157" t="s">
        <v>568</v>
      </c>
      <c r="C157">
        <v>31</v>
      </c>
      <c r="D157" t="s">
        <v>375</v>
      </c>
      <c r="E157" t="s">
        <v>349</v>
      </c>
      <c r="F157">
        <v>37</v>
      </c>
      <c r="G157">
        <v>6</v>
      </c>
      <c r="H157">
        <v>15</v>
      </c>
      <c r="I157">
        <v>21</v>
      </c>
      <c r="J157">
        <v>-1</v>
      </c>
      <c r="K157">
        <v>12</v>
      </c>
      <c r="L157">
        <v>1</v>
      </c>
      <c r="M157">
        <v>5</v>
      </c>
      <c r="N157">
        <v>0</v>
      </c>
      <c r="O157">
        <v>0</v>
      </c>
      <c r="P157">
        <v>9</v>
      </c>
      <c r="Q157">
        <v>6</v>
      </c>
      <c r="R157">
        <v>0</v>
      </c>
      <c r="S157">
        <v>73</v>
      </c>
      <c r="T157">
        <v>8.1999999999999993</v>
      </c>
      <c r="U157">
        <v>181</v>
      </c>
      <c r="V157" t="s">
        <v>2284</v>
      </c>
      <c r="W157" t="s">
        <v>2285</v>
      </c>
      <c r="X157">
        <v>0</v>
      </c>
      <c r="Y157">
        <v>0</v>
      </c>
      <c r="AA157">
        <v>45</v>
      </c>
      <c r="AB157">
        <v>37</v>
      </c>
      <c r="AC157">
        <v>10</v>
      </c>
      <c r="AD157">
        <v>49</v>
      </c>
      <c r="AE157" t="s">
        <v>60</v>
      </c>
    </row>
    <row r="158" spans="1:31" x14ac:dyDescent="0.2">
      <c r="A158">
        <v>155</v>
      </c>
      <c r="B158" t="s">
        <v>592</v>
      </c>
      <c r="C158">
        <v>27</v>
      </c>
      <c r="D158" t="s">
        <v>321</v>
      </c>
      <c r="E158" t="s">
        <v>349</v>
      </c>
      <c r="F158">
        <v>37</v>
      </c>
      <c r="G158">
        <v>3</v>
      </c>
      <c r="H158">
        <v>18</v>
      </c>
      <c r="I158">
        <v>21</v>
      </c>
      <c r="J158">
        <v>19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17</v>
      </c>
      <c r="Q158">
        <v>1</v>
      </c>
      <c r="R158">
        <v>0</v>
      </c>
      <c r="S158">
        <v>64</v>
      </c>
      <c r="T158">
        <v>4.7</v>
      </c>
      <c r="U158">
        <v>165</v>
      </c>
      <c r="V158" t="s">
        <v>2286</v>
      </c>
      <c r="W158" t="s">
        <v>2108</v>
      </c>
      <c r="X158">
        <v>0</v>
      </c>
      <c r="Y158">
        <v>0</v>
      </c>
      <c r="AA158">
        <v>39</v>
      </c>
      <c r="AB158">
        <v>19</v>
      </c>
      <c r="AC158">
        <v>12</v>
      </c>
      <c r="AD158">
        <v>30</v>
      </c>
      <c r="AE158" t="s">
        <v>60</v>
      </c>
    </row>
    <row r="159" spans="1:31" x14ac:dyDescent="0.2">
      <c r="A159">
        <v>156</v>
      </c>
      <c r="B159" t="s">
        <v>626</v>
      </c>
      <c r="C159">
        <v>26</v>
      </c>
      <c r="D159" t="s">
        <v>439</v>
      </c>
      <c r="E159" t="s">
        <v>322</v>
      </c>
      <c r="F159">
        <v>37</v>
      </c>
      <c r="G159">
        <v>7</v>
      </c>
      <c r="H159">
        <v>14</v>
      </c>
      <c r="I159">
        <v>21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11</v>
      </c>
      <c r="Q159">
        <v>3</v>
      </c>
      <c r="R159">
        <v>0</v>
      </c>
      <c r="S159">
        <v>45</v>
      </c>
      <c r="T159">
        <v>15.6</v>
      </c>
      <c r="U159">
        <v>90</v>
      </c>
      <c r="V159" t="s">
        <v>2287</v>
      </c>
      <c r="W159" t="s">
        <v>1907</v>
      </c>
      <c r="X159">
        <v>253</v>
      </c>
      <c r="Y159">
        <v>332</v>
      </c>
      <c r="Z159">
        <v>43.2</v>
      </c>
      <c r="AA159">
        <v>14</v>
      </c>
      <c r="AB159">
        <v>9</v>
      </c>
      <c r="AC159">
        <v>15</v>
      </c>
      <c r="AD159">
        <v>35</v>
      </c>
      <c r="AE159" t="s">
        <v>60</v>
      </c>
    </row>
    <row r="160" spans="1:31" x14ac:dyDescent="0.2">
      <c r="A160">
        <v>157</v>
      </c>
      <c r="B160" t="s">
        <v>491</v>
      </c>
      <c r="C160">
        <v>22</v>
      </c>
      <c r="D160" t="s">
        <v>330</v>
      </c>
      <c r="E160" t="s">
        <v>322</v>
      </c>
      <c r="F160">
        <v>33</v>
      </c>
      <c r="G160">
        <v>6</v>
      </c>
      <c r="H160">
        <v>15</v>
      </c>
      <c r="I160">
        <v>21</v>
      </c>
      <c r="J160">
        <v>-7</v>
      </c>
      <c r="K160">
        <v>20</v>
      </c>
      <c r="L160">
        <v>4</v>
      </c>
      <c r="M160">
        <v>1</v>
      </c>
      <c r="N160">
        <v>1</v>
      </c>
      <c r="O160">
        <v>1</v>
      </c>
      <c r="P160">
        <v>10</v>
      </c>
      <c r="Q160">
        <v>5</v>
      </c>
      <c r="R160">
        <v>0</v>
      </c>
      <c r="S160">
        <v>66</v>
      </c>
      <c r="T160">
        <v>9.1</v>
      </c>
      <c r="U160">
        <v>135</v>
      </c>
      <c r="V160" t="s">
        <v>1916</v>
      </c>
      <c r="W160" t="s">
        <v>1898</v>
      </c>
      <c r="X160">
        <v>178</v>
      </c>
      <c r="Y160">
        <v>235</v>
      </c>
      <c r="Z160">
        <v>43.1</v>
      </c>
      <c r="AA160">
        <v>25</v>
      </c>
      <c r="AB160">
        <v>20</v>
      </c>
      <c r="AC160">
        <v>11</v>
      </c>
      <c r="AD160">
        <v>36</v>
      </c>
      <c r="AE160" t="s">
        <v>60</v>
      </c>
    </row>
    <row r="161" spans="1:31" x14ac:dyDescent="0.2">
      <c r="A161">
        <v>158</v>
      </c>
      <c r="B161" t="s">
        <v>723</v>
      </c>
      <c r="C161">
        <v>29</v>
      </c>
      <c r="D161" t="s">
        <v>353</v>
      </c>
      <c r="E161" t="s">
        <v>322</v>
      </c>
      <c r="F161">
        <v>31</v>
      </c>
      <c r="G161">
        <v>6</v>
      </c>
      <c r="H161">
        <v>15</v>
      </c>
      <c r="I161">
        <v>21</v>
      </c>
      <c r="J161">
        <v>-5</v>
      </c>
      <c r="K161">
        <v>8</v>
      </c>
      <c r="L161">
        <v>5</v>
      </c>
      <c r="M161">
        <v>1</v>
      </c>
      <c r="N161">
        <v>0</v>
      </c>
      <c r="O161">
        <v>0</v>
      </c>
      <c r="P161">
        <v>12</v>
      </c>
      <c r="Q161">
        <v>3</v>
      </c>
      <c r="R161">
        <v>0</v>
      </c>
      <c r="S161">
        <v>67</v>
      </c>
      <c r="T161">
        <v>9</v>
      </c>
      <c r="U161">
        <v>119</v>
      </c>
      <c r="V161" t="s">
        <v>2686</v>
      </c>
      <c r="W161" t="s">
        <v>1918</v>
      </c>
      <c r="X161">
        <v>143</v>
      </c>
      <c r="Y161">
        <v>179</v>
      </c>
      <c r="Z161">
        <v>44.4</v>
      </c>
      <c r="AA161">
        <v>12</v>
      </c>
      <c r="AB161">
        <v>4</v>
      </c>
      <c r="AC161">
        <v>3</v>
      </c>
      <c r="AD161">
        <v>20</v>
      </c>
      <c r="AE161" t="s">
        <v>60</v>
      </c>
    </row>
    <row r="162" spans="1:31" x14ac:dyDescent="0.2">
      <c r="A162">
        <v>159</v>
      </c>
      <c r="B162" t="s">
        <v>599</v>
      </c>
      <c r="C162">
        <v>24</v>
      </c>
      <c r="D162" t="s">
        <v>439</v>
      </c>
      <c r="E162" t="s">
        <v>335</v>
      </c>
      <c r="F162">
        <v>37</v>
      </c>
      <c r="G162">
        <v>7</v>
      </c>
      <c r="H162">
        <v>14</v>
      </c>
      <c r="I162">
        <v>21</v>
      </c>
      <c r="J162">
        <v>-4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14</v>
      </c>
      <c r="Q162">
        <v>0</v>
      </c>
      <c r="R162">
        <v>0</v>
      </c>
      <c r="S162">
        <v>66</v>
      </c>
      <c r="T162">
        <v>10.6</v>
      </c>
      <c r="U162">
        <v>143</v>
      </c>
      <c r="V162" t="s">
        <v>2288</v>
      </c>
      <c r="W162" t="s">
        <v>1185</v>
      </c>
      <c r="X162">
        <v>3</v>
      </c>
      <c r="Y162">
        <v>8</v>
      </c>
      <c r="Z162">
        <v>27.3</v>
      </c>
      <c r="AA162">
        <v>18</v>
      </c>
      <c r="AB162">
        <v>20</v>
      </c>
      <c r="AC162">
        <v>7</v>
      </c>
      <c r="AD162">
        <v>32</v>
      </c>
      <c r="AE162" t="s">
        <v>60</v>
      </c>
    </row>
    <row r="163" spans="1:31" x14ac:dyDescent="0.2">
      <c r="A163">
        <v>160</v>
      </c>
      <c r="B163" t="s">
        <v>584</v>
      </c>
      <c r="C163">
        <v>26</v>
      </c>
      <c r="D163" t="s">
        <v>415</v>
      </c>
      <c r="E163" t="s">
        <v>340</v>
      </c>
      <c r="F163">
        <v>37</v>
      </c>
      <c r="G163">
        <v>9</v>
      </c>
      <c r="H163">
        <v>11</v>
      </c>
      <c r="I163">
        <v>20</v>
      </c>
      <c r="J163">
        <v>11</v>
      </c>
      <c r="K163">
        <v>10</v>
      </c>
      <c r="L163">
        <v>7</v>
      </c>
      <c r="M163">
        <v>2</v>
      </c>
      <c r="N163">
        <v>0</v>
      </c>
      <c r="O163">
        <v>3</v>
      </c>
      <c r="P163">
        <v>7</v>
      </c>
      <c r="Q163">
        <v>4</v>
      </c>
      <c r="R163">
        <v>0</v>
      </c>
      <c r="S163">
        <v>67</v>
      </c>
      <c r="T163">
        <v>13.4</v>
      </c>
      <c r="U163">
        <v>107</v>
      </c>
      <c r="V163" t="s">
        <v>2687</v>
      </c>
      <c r="W163" t="s">
        <v>1930</v>
      </c>
      <c r="X163">
        <v>212</v>
      </c>
      <c r="Y163">
        <v>275</v>
      </c>
      <c r="Z163">
        <v>43.5</v>
      </c>
      <c r="AA163">
        <v>30</v>
      </c>
      <c r="AB163">
        <v>38</v>
      </c>
      <c r="AC163">
        <v>13</v>
      </c>
      <c r="AD163">
        <v>16</v>
      </c>
      <c r="AE163" t="s">
        <v>60</v>
      </c>
    </row>
    <row r="164" spans="1:31" x14ac:dyDescent="0.2">
      <c r="A164">
        <v>161</v>
      </c>
      <c r="B164" t="s">
        <v>557</v>
      </c>
      <c r="C164">
        <v>23</v>
      </c>
      <c r="D164" t="s">
        <v>448</v>
      </c>
      <c r="E164" t="s">
        <v>335</v>
      </c>
      <c r="F164">
        <v>37</v>
      </c>
      <c r="G164">
        <v>11</v>
      </c>
      <c r="H164">
        <v>9</v>
      </c>
      <c r="I164">
        <v>20</v>
      </c>
      <c r="J164">
        <v>-18</v>
      </c>
      <c r="K164">
        <v>16</v>
      </c>
      <c r="L164">
        <v>6</v>
      </c>
      <c r="M164">
        <v>5</v>
      </c>
      <c r="N164">
        <v>0</v>
      </c>
      <c r="O164">
        <v>2</v>
      </c>
      <c r="P164">
        <v>7</v>
      </c>
      <c r="Q164">
        <v>2</v>
      </c>
      <c r="R164">
        <v>0</v>
      </c>
      <c r="S164">
        <v>97</v>
      </c>
      <c r="T164">
        <v>11.3</v>
      </c>
      <c r="U164">
        <v>188</v>
      </c>
      <c r="V164" t="s">
        <v>2289</v>
      </c>
      <c r="W164" t="s">
        <v>594</v>
      </c>
      <c r="X164">
        <v>32</v>
      </c>
      <c r="Y164">
        <v>57</v>
      </c>
      <c r="Z164">
        <v>36</v>
      </c>
      <c r="AA164">
        <v>12</v>
      </c>
      <c r="AB164">
        <v>7</v>
      </c>
      <c r="AC164">
        <v>8</v>
      </c>
      <c r="AD164">
        <v>25</v>
      </c>
      <c r="AE164" t="s">
        <v>60</v>
      </c>
    </row>
    <row r="165" spans="1:31" x14ac:dyDescent="0.2">
      <c r="A165">
        <v>162</v>
      </c>
      <c r="B165" t="s">
        <v>586</v>
      </c>
      <c r="C165">
        <v>23</v>
      </c>
      <c r="D165" t="s">
        <v>359</v>
      </c>
      <c r="E165" t="s">
        <v>349</v>
      </c>
      <c r="F165">
        <v>39</v>
      </c>
      <c r="G165">
        <v>7</v>
      </c>
      <c r="H165">
        <v>13</v>
      </c>
      <c r="I165">
        <v>20</v>
      </c>
      <c r="J165">
        <v>7</v>
      </c>
      <c r="K165">
        <v>6</v>
      </c>
      <c r="L165">
        <v>6</v>
      </c>
      <c r="M165">
        <v>0</v>
      </c>
      <c r="N165">
        <v>1</v>
      </c>
      <c r="O165">
        <v>1</v>
      </c>
      <c r="P165">
        <v>6</v>
      </c>
      <c r="Q165">
        <v>7</v>
      </c>
      <c r="R165">
        <v>0</v>
      </c>
      <c r="S165">
        <v>84</v>
      </c>
      <c r="T165">
        <v>8.3000000000000007</v>
      </c>
      <c r="U165">
        <v>171</v>
      </c>
      <c r="V165" t="s">
        <v>2290</v>
      </c>
      <c r="W165" t="s">
        <v>2291</v>
      </c>
      <c r="X165">
        <v>0</v>
      </c>
      <c r="Y165">
        <v>0</v>
      </c>
      <c r="AA165">
        <v>83</v>
      </c>
      <c r="AB165">
        <v>15</v>
      </c>
      <c r="AC165">
        <v>23</v>
      </c>
      <c r="AD165">
        <v>56</v>
      </c>
      <c r="AE165" t="s">
        <v>60</v>
      </c>
    </row>
    <row r="166" spans="1:31" x14ac:dyDescent="0.2">
      <c r="A166">
        <v>163</v>
      </c>
      <c r="B166" t="s">
        <v>613</v>
      </c>
      <c r="C166">
        <v>33</v>
      </c>
      <c r="D166" t="s">
        <v>536</v>
      </c>
      <c r="E166" t="s">
        <v>349</v>
      </c>
      <c r="F166">
        <v>39</v>
      </c>
      <c r="G166">
        <v>10</v>
      </c>
      <c r="H166">
        <v>10</v>
      </c>
      <c r="I166">
        <v>20</v>
      </c>
      <c r="J166">
        <v>-2</v>
      </c>
      <c r="K166">
        <v>22</v>
      </c>
      <c r="L166">
        <v>8</v>
      </c>
      <c r="M166">
        <v>2</v>
      </c>
      <c r="N166">
        <v>0</v>
      </c>
      <c r="O166">
        <v>3</v>
      </c>
      <c r="P166">
        <v>5</v>
      </c>
      <c r="Q166">
        <v>5</v>
      </c>
      <c r="R166">
        <v>0</v>
      </c>
      <c r="S166">
        <v>73</v>
      </c>
      <c r="T166">
        <v>13.7</v>
      </c>
      <c r="U166">
        <v>147</v>
      </c>
      <c r="V166" t="s">
        <v>2292</v>
      </c>
      <c r="W166" t="s">
        <v>1846</v>
      </c>
      <c r="X166">
        <v>0</v>
      </c>
      <c r="Y166">
        <v>0</v>
      </c>
      <c r="AA166">
        <v>77</v>
      </c>
      <c r="AB166">
        <v>33</v>
      </c>
      <c r="AC166">
        <v>11</v>
      </c>
      <c r="AD166">
        <v>30</v>
      </c>
      <c r="AE166" t="s">
        <v>60</v>
      </c>
    </row>
    <row r="167" spans="1:31" x14ac:dyDescent="0.2">
      <c r="A167">
        <v>164</v>
      </c>
      <c r="B167" t="s">
        <v>564</v>
      </c>
      <c r="C167">
        <v>34</v>
      </c>
      <c r="D167" t="s">
        <v>476</v>
      </c>
      <c r="E167" t="s">
        <v>340</v>
      </c>
      <c r="F167">
        <v>37</v>
      </c>
      <c r="G167">
        <v>5</v>
      </c>
      <c r="H167">
        <v>15</v>
      </c>
      <c r="I167">
        <v>20</v>
      </c>
      <c r="J167">
        <v>-11</v>
      </c>
      <c r="K167">
        <v>20</v>
      </c>
      <c r="L167">
        <v>3</v>
      </c>
      <c r="M167">
        <v>2</v>
      </c>
      <c r="N167">
        <v>0</v>
      </c>
      <c r="O167">
        <v>0</v>
      </c>
      <c r="P167">
        <v>8</v>
      </c>
      <c r="Q167">
        <v>6</v>
      </c>
      <c r="R167">
        <v>1</v>
      </c>
      <c r="S167">
        <v>54</v>
      </c>
      <c r="T167">
        <v>9.3000000000000007</v>
      </c>
      <c r="U167">
        <v>110</v>
      </c>
      <c r="V167" t="s">
        <v>2293</v>
      </c>
      <c r="W167" t="s">
        <v>623</v>
      </c>
      <c r="X167">
        <v>228</v>
      </c>
      <c r="Y167">
        <v>205</v>
      </c>
      <c r="Z167">
        <v>52.7</v>
      </c>
      <c r="AA167">
        <v>21</v>
      </c>
      <c r="AB167">
        <v>47</v>
      </c>
      <c r="AC167">
        <v>10</v>
      </c>
      <c r="AD167">
        <v>23</v>
      </c>
      <c r="AE167" t="s">
        <v>60</v>
      </c>
    </row>
    <row r="168" spans="1:31" x14ac:dyDescent="0.2">
      <c r="A168">
        <v>165</v>
      </c>
      <c r="B168" t="s">
        <v>938</v>
      </c>
      <c r="C168">
        <v>33</v>
      </c>
      <c r="D168" t="s">
        <v>328</v>
      </c>
      <c r="E168" t="s">
        <v>340</v>
      </c>
      <c r="F168">
        <v>20</v>
      </c>
      <c r="G168">
        <v>10</v>
      </c>
      <c r="H168">
        <v>10</v>
      </c>
      <c r="I168">
        <v>20</v>
      </c>
      <c r="J168">
        <v>3</v>
      </c>
      <c r="K168">
        <v>10</v>
      </c>
      <c r="L168">
        <v>6</v>
      </c>
      <c r="M168">
        <v>4</v>
      </c>
      <c r="N168">
        <v>0</v>
      </c>
      <c r="O168">
        <v>1</v>
      </c>
      <c r="P168">
        <v>6</v>
      </c>
      <c r="Q168">
        <v>4</v>
      </c>
      <c r="R168">
        <v>0</v>
      </c>
      <c r="S168">
        <v>58</v>
      </c>
      <c r="T168">
        <v>17.2</v>
      </c>
      <c r="U168">
        <v>102</v>
      </c>
      <c r="V168" t="s">
        <v>2294</v>
      </c>
      <c r="W168" t="s">
        <v>2216</v>
      </c>
      <c r="X168">
        <v>0</v>
      </c>
      <c r="Y168">
        <v>1</v>
      </c>
      <c r="Z168">
        <v>0</v>
      </c>
      <c r="AA168">
        <v>4</v>
      </c>
      <c r="AB168">
        <v>31</v>
      </c>
      <c r="AC168">
        <v>2</v>
      </c>
      <c r="AD168">
        <v>7</v>
      </c>
      <c r="AE168" t="s">
        <v>60</v>
      </c>
    </row>
    <row r="169" spans="1:31" x14ac:dyDescent="0.2">
      <c r="A169">
        <v>166</v>
      </c>
      <c r="B169" t="s">
        <v>619</v>
      </c>
      <c r="C169">
        <v>22</v>
      </c>
      <c r="D169" t="s">
        <v>365</v>
      </c>
      <c r="E169" t="s">
        <v>322</v>
      </c>
      <c r="F169">
        <v>38</v>
      </c>
      <c r="G169">
        <v>11</v>
      </c>
      <c r="H169">
        <v>9</v>
      </c>
      <c r="I169">
        <v>20</v>
      </c>
      <c r="J169">
        <v>2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8</v>
      </c>
      <c r="Q169">
        <v>0</v>
      </c>
      <c r="R169">
        <v>1</v>
      </c>
      <c r="S169">
        <v>69</v>
      </c>
      <c r="T169">
        <v>15.9</v>
      </c>
      <c r="U169">
        <v>113</v>
      </c>
      <c r="V169" t="s">
        <v>2688</v>
      </c>
      <c r="W169" t="s">
        <v>1774</v>
      </c>
      <c r="X169">
        <v>160</v>
      </c>
      <c r="Y169">
        <v>172</v>
      </c>
      <c r="Z169">
        <v>48.2</v>
      </c>
      <c r="AA169">
        <v>34</v>
      </c>
      <c r="AB169">
        <v>15</v>
      </c>
      <c r="AC169">
        <v>7</v>
      </c>
      <c r="AD169">
        <v>15</v>
      </c>
      <c r="AE169" t="s">
        <v>60</v>
      </c>
    </row>
    <row r="170" spans="1:31" x14ac:dyDescent="0.2">
      <c r="A170">
        <v>167</v>
      </c>
      <c r="B170" t="s">
        <v>620</v>
      </c>
      <c r="C170">
        <v>38</v>
      </c>
      <c r="D170" t="s">
        <v>429</v>
      </c>
      <c r="E170" t="s">
        <v>322</v>
      </c>
      <c r="F170">
        <v>33</v>
      </c>
      <c r="G170">
        <v>6</v>
      </c>
      <c r="H170">
        <v>14</v>
      </c>
      <c r="I170">
        <v>20</v>
      </c>
      <c r="J170">
        <v>14</v>
      </c>
      <c r="K170">
        <v>6</v>
      </c>
      <c r="L170">
        <v>3</v>
      </c>
      <c r="M170">
        <v>3</v>
      </c>
      <c r="N170">
        <v>0</v>
      </c>
      <c r="O170">
        <v>1</v>
      </c>
      <c r="P170">
        <v>10</v>
      </c>
      <c r="Q170">
        <v>4</v>
      </c>
      <c r="R170">
        <v>0</v>
      </c>
      <c r="S170">
        <v>48</v>
      </c>
      <c r="T170">
        <v>12.5</v>
      </c>
      <c r="U170">
        <v>103</v>
      </c>
      <c r="V170" t="s">
        <v>2295</v>
      </c>
      <c r="W170" t="s">
        <v>413</v>
      </c>
      <c r="X170">
        <v>373</v>
      </c>
      <c r="Y170">
        <v>273</v>
      </c>
      <c r="Z170">
        <v>57.7</v>
      </c>
      <c r="AA170">
        <v>28</v>
      </c>
      <c r="AB170">
        <v>18</v>
      </c>
      <c r="AC170">
        <v>10</v>
      </c>
      <c r="AD170">
        <v>32</v>
      </c>
      <c r="AE170" t="s">
        <v>60</v>
      </c>
    </row>
    <row r="171" spans="1:31" x14ac:dyDescent="0.2">
      <c r="A171">
        <v>168</v>
      </c>
      <c r="B171" t="s">
        <v>547</v>
      </c>
      <c r="C171">
        <v>24</v>
      </c>
      <c r="D171" t="s">
        <v>363</v>
      </c>
      <c r="E171" t="s">
        <v>340</v>
      </c>
      <c r="F171">
        <v>40</v>
      </c>
      <c r="G171">
        <v>8</v>
      </c>
      <c r="H171">
        <v>12</v>
      </c>
      <c r="I171">
        <v>20</v>
      </c>
      <c r="J171">
        <v>-7</v>
      </c>
      <c r="K171">
        <v>10</v>
      </c>
      <c r="L171">
        <v>7</v>
      </c>
      <c r="M171">
        <v>1</v>
      </c>
      <c r="N171">
        <v>0</v>
      </c>
      <c r="O171">
        <v>2</v>
      </c>
      <c r="P171">
        <v>11</v>
      </c>
      <c r="Q171">
        <v>1</v>
      </c>
      <c r="R171">
        <v>0</v>
      </c>
      <c r="S171">
        <v>73</v>
      </c>
      <c r="T171">
        <v>11</v>
      </c>
      <c r="U171">
        <v>150</v>
      </c>
      <c r="V171" t="s">
        <v>2296</v>
      </c>
      <c r="W171" t="s">
        <v>1399</v>
      </c>
      <c r="X171">
        <v>4</v>
      </c>
      <c r="Y171">
        <v>19</v>
      </c>
      <c r="Z171">
        <v>17.399999999999999</v>
      </c>
      <c r="AA171">
        <v>25</v>
      </c>
      <c r="AB171">
        <v>59</v>
      </c>
      <c r="AC171">
        <v>13</v>
      </c>
      <c r="AD171">
        <v>24</v>
      </c>
      <c r="AE171" t="s">
        <v>60</v>
      </c>
    </row>
    <row r="172" spans="1:31" x14ac:dyDescent="0.2">
      <c r="A172">
        <v>169</v>
      </c>
      <c r="B172" t="s">
        <v>521</v>
      </c>
      <c r="C172">
        <v>21</v>
      </c>
      <c r="D172" t="s">
        <v>368</v>
      </c>
      <c r="E172" t="s">
        <v>335</v>
      </c>
      <c r="F172">
        <v>31</v>
      </c>
      <c r="G172">
        <v>7</v>
      </c>
      <c r="H172">
        <v>13</v>
      </c>
      <c r="I172">
        <v>20</v>
      </c>
      <c r="J172">
        <v>8</v>
      </c>
      <c r="K172">
        <v>16</v>
      </c>
      <c r="L172">
        <v>6</v>
      </c>
      <c r="M172">
        <v>1</v>
      </c>
      <c r="N172">
        <v>0</v>
      </c>
      <c r="O172">
        <v>2</v>
      </c>
      <c r="P172">
        <v>8</v>
      </c>
      <c r="Q172">
        <v>5</v>
      </c>
      <c r="R172">
        <v>0</v>
      </c>
      <c r="S172">
        <v>66</v>
      </c>
      <c r="T172">
        <v>10.6</v>
      </c>
      <c r="U172">
        <v>138</v>
      </c>
      <c r="V172" t="s">
        <v>2297</v>
      </c>
      <c r="W172" t="s">
        <v>2298</v>
      </c>
      <c r="X172">
        <v>5</v>
      </c>
      <c r="Y172">
        <v>4</v>
      </c>
      <c r="Z172">
        <v>55.6</v>
      </c>
      <c r="AA172">
        <v>11</v>
      </c>
      <c r="AB172">
        <v>44</v>
      </c>
      <c r="AC172">
        <v>8</v>
      </c>
      <c r="AD172">
        <v>31</v>
      </c>
      <c r="AE172" t="s">
        <v>60</v>
      </c>
    </row>
    <row r="173" spans="1:31" x14ac:dyDescent="0.2">
      <c r="A173">
        <v>170</v>
      </c>
      <c r="B173" t="s">
        <v>575</v>
      </c>
      <c r="C173">
        <v>21</v>
      </c>
      <c r="D173" t="s">
        <v>415</v>
      </c>
      <c r="E173" t="s">
        <v>335</v>
      </c>
      <c r="F173">
        <v>37</v>
      </c>
      <c r="G173">
        <v>9</v>
      </c>
      <c r="H173">
        <v>11</v>
      </c>
      <c r="I173">
        <v>20</v>
      </c>
      <c r="J173">
        <v>-2</v>
      </c>
      <c r="K173">
        <v>36</v>
      </c>
      <c r="L173">
        <v>8</v>
      </c>
      <c r="M173">
        <v>1</v>
      </c>
      <c r="N173">
        <v>0</v>
      </c>
      <c r="O173">
        <v>0</v>
      </c>
      <c r="P173">
        <v>7</v>
      </c>
      <c r="Q173">
        <v>4</v>
      </c>
      <c r="R173">
        <v>0</v>
      </c>
      <c r="S173">
        <v>74</v>
      </c>
      <c r="T173">
        <v>12.2</v>
      </c>
      <c r="U173">
        <v>142</v>
      </c>
      <c r="V173" t="s">
        <v>2689</v>
      </c>
      <c r="W173" t="s">
        <v>2110</v>
      </c>
      <c r="X173">
        <v>0</v>
      </c>
      <c r="Y173">
        <v>5</v>
      </c>
      <c r="Z173">
        <v>0</v>
      </c>
      <c r="AA173">
        <v>10</v>
      </c>
      <c r="AB173">
        <v>17</v>
      </c>
      <c r="AC173">
        <v>10</v>
      </c>
      <c r="AD173">
        <v>42</v>
      </c>
      <c r="AE173" t="s">
        <v>60</v>
      </c>
    </row>
    <row r="174" spans="1:31" x14ac:dyDescent="0.2">
      <c r="A174">
        <v>171</v>
      </c>
      <c r="B174" t="s">
        <v>653</v>
      </c>
      <c r="C174">
        <v>37</v>
      </c>
      <c r="D174" t="s">
        <v>426</v>
      </c>
      <c r="E174" t="s">
        <v>340</v>
      </c>
      <c r="F174">
        <v>37</v>
      </c>
      <c r="G174">
        <v>7</v>
      </c>
      <c r="H174">
        <v>13</v>
      </c>
      <c r="I174">
        <v>20</v>
      </c>
      <c r="J174">
        <v>1</v>
      </c>
      <c r="K174">
        <v>10</v>
      </c>
      <c r="L174">
        <v>4</v>
      </c>
      <c r="M174">
        <v>3</v>
      </c>
      <c r="N174">
        <v>0</v>
      </c>
      <c r="O174">
        <v>1</v>
      </c>
      <c r="P174">
        <v>9</v>
      </c>
      <c r="Q174">
        <v>4</v>
      </c>
      <c r="R174">
        <v>0</v>
      </c>
      <c r="S174">
        <v>51</v>
      </c>
      <c r="T174">
        <v>13.7</v>
      </c>
      <c r="U174">
        <v>90</v>
      </c>
      <c r="V174" t="s">
        <v>2299</v>
      </c>
      <c r="W174" t="s">
        <v>1453</v>
      </c>
      <c r="X174">
        <v>2</v>
      </c>
      <c r="Y174">
        <v>5</v>
      </c>
      <c r="Z174">
        <v>28.6</v>
      </c>
      <c r="AA174">
        <v>16</v>
      </c>
      <c r="AB174">
        <v>47</v>
      </c>
      <c r="AC174">
        <v>9</v>
      </c>
      <c r="AD174">
        <v>20</v>
      </c>
      <c r="AE174" t="s">
        <v>60</v>
      </c>
    </row>
    <row r="175" spans="1:31" x14ac:dyDescent="0.2">
      <c r="A175">
        <v>172</v>
      </c>
      <c r="B175" t="s">
        <v>578</v>
      </c>
      <c r="C175">
        <v>30</v>
      </c>
      <c r="D175" t="s">
        <v>461</v>
      </c>
      <c r="E175" t="s">
        <v>335</v>
      </c>
      <c r="F175">
        <v>37</v>
      </c>
      <c r="G175">
        <v>16</v>
      </c>
      <c r="H175">
        <v>4</v>
      </c>
      <c r="I175">
        <v>20</v>
      </c>
      <c r="J175">
        <v>-7</v>
      </c>
      <c r="K175">
        <v>20</v>
      </c>
      <c r="L175">
        <v>10</v>
      </c>
      <c r="M175">
        <v>5</v>
      </c>
      <c r="N175">
        <v>1</v>
      </c>
      <c r="O175">
        <v>2</v>
      </c>
      <c r="P175">
        <v>2</v>
      </c>
      <c r="Q175">
        <v>2</v>
      </c>
      <c r="R175">
        <v>0</v>
      </c>
      <c r="S175">
        <v>85</v>
      </c>
      <c r="T175">
        <v>18.8</v>
      </c>
      <c r="U175">
        <v>173</v>
      </c>
      <c r="V175" t="s">
        <v>2300</v>
      </c>
      <c r="W175" t="s">
        <v>648</v>
      </c>
      <c r="X175">
        <v>10</v>
      </c>
      <c r="Y175">
        <v>18</v>
      </c>
      <c r="Z175">
        <v>35.700000000000003</v>
      </c>
      <c r="AA175">
        <v>18</v>
      </c>
      <c r="AB175">
        <v>169</v>
      </c>
      <c r="AC175">
        <v>17</v>
      </c>
      <c r="AD175">
        <v>37</v>
      </c>
      <c r="AE175" t="s">
        <v>60</v>
      </c>
    </row>
    <row r="176" spans="1:31" x14ac:dyDescent="0.2">
      <c r="A176">
        <v>173</v>
      </c>
      <c r="B176" t="s">
        <v>534</v>
      </c>
      <c r="C176">
        <v>30</v>
      </c>
      <c r="D176" t="s">
        <v>344</v>
      </c>
      <c r="E176" t="s">
        <v>349</v>
      </c>
      <c r="F176">
        <v>31</v>
      </c>
      <c r="G176">
        <v>4</v>
      </c>
      <c r="H176">
        <v>16</v>
      </c>
      <c r="I176">
        <v>20</v>
      </c>
      <c r="J176">
        <v>5</v>
      </c>
      <c r="K176">
        <v>6</v>
      </c>
      <c r="L176">
        <v>3</v>
      </c>
      <c r="M176">
        <v>1</v>
      </c>
      <c r="N176">
        <v>0</v>
      </c>
      <c r="O176">
        <v>2</v>
      </c>
      <c r="P176">
        <v>13</v>
      </c>
      <c r="Q176">
        <v>3</v>
      </c>
      <c r="R176">
        <v>0</v>
      </c>
      <c r="S176">
        <v>74</v>
      </c>
      <c r="T176">
        <v>5.4</v>
      </c>
      <c r="U176">
        <v>165</v>
      </c>
      <c r="V176" t="s">
        <v>1767</v>
      </c>
      <c r="W176" t="s">
        <v>1768</v>
      </c>
      <c r="X176">
        <v>0</v>
      </c>
      <c r="Y176">
        <v>0</v>
      </c>
      <c r="AA176">
        <v>48</v>
      </c>
      <c r="AB176">
        <v>1</v>
      </c>
      <c r="AC176">
        <v>12</v>
      </c>
      <c r="AD176">
        <v>39</v>
      </c>
      <c r="AE176" t="s">
        <v>60</v>
      </c>
    </row>
    <row r="177" spans="1:31" x14ac:dyDescent="0.2">
      <c r="A177">
        <v>174</v>
      </c>
      <c r="B177" t="s">
        <v>635</v>
      </c>
      <c r="C177">
        <v>32</v>
      </c>
      <c r="D177" t="s">
        <v>363</v>
      </c>
      <c r="E177" t="s">
        <v>322</v>
      </c>
      <c r="F177">
        <v>26</v>
      </c>
      <c r="G177">
        <v>8</v>
      </c>
      <c r="H177">
        <v>12</v>
      </c>
      <c r="I177">
        <v>20</v>
      </c>
      <c r="J177">
        <v>-7</v>
      </c>
      <c r="K177">
        <v>14</v>
      </c>
      <c r="L177">
        <v>8</v>
      </c>
      <c r="M177">
        <v>0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45</v>
      </c>
      <c r="T177">
        <v>17.8</v>
      </c>
      <c r="U177">
        <v>105</v>
      </c>
      <c r="V177" t="s">
        <v>2301</v>
      </c>
      <c r="W177" t="s">
        <v>1682</v>
      </c>
      <c r="X177">
        <v>238</v>
      </c>
      <c r="Y177">
        <v>185</v>
      </c>
      <c r="Z177">
        <v>56.3</v>
      </c>
      <c r="AA177">
        <v>22</v>
      </c>
      <c r="AB177">
        <v>92</v>
      </c>
      <c r="AC177">
        <v>11</v>
      </c>
      <c r="AD177">
        <v>28</v>
      </c>
      <c r="AE177" t="s">
        <v>60</v>
      </c>
    </row>
    <row r="178" spans="1:31" x14ac:dyDescent="0.2">
      <c r="A178">
        <v>175</v>
      </c>
      <c r="B178" t="s">
        <v>539</v>
      </c>
      <c r="C178">
        <v>30</v>
      </c>
      <c r="D178" t="s">
        <v>476</v>
      </c>
      <c r="E178" t="s">
        <v>340</v>
      </c>
      <c r="F178">
        <v>37</v>
      </c>
      <c r="G178">
        <v>9</v>
      </c>
      <c r="H178">
        <v>10</v>
      </c>
      <c r="I178">
        <v>19</v>
      </c>
      <c r="J178">
        <v>-9</v>
      </c>
      <c r="K178">
        <v>6</v>
      </c>
      <c r="L178">
        <v>6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62</v>
      </c>
      <c r="T178">
        <v>14.5</v>
      </c>
      <c r="U178">
        <v>146</v>
      </c>
      <c r="V178" t="s">
        <v>2302</v>
      </c>
      <c r="W178" t="s">
        <v>1304</v>
      </c>
      <c r="X178">
        <v>3</v>
      </c>
      <c r="Y178">
        <v>12</v>
      </c>
      <c r="Z178">
        <v>20</v>
      </c>
      <c r="AA178">
        <v>14</v>
      </c>
      <c r="AB178">
        <v>23</v>
      </c>
      <c r="AC178">
        <v>2</v>
      </c>
      <c r="AD178">
        <v>23</v>
      </c>
      <c r="AE178" t="s">
        <v>60</v>
      </c>
    </row>
    <row r="179" spans="1:31" x14ac:dyDescent="0.2">
      <c r="A179">
        <v>176</v>
      </c>
      <c r="B179" t="s">
        <v>606</v>
      </c>
      <c r="C179">
        <v>40</v>
      </c>
      <c r="D179" t="s">
        <v>321</v>
      </c>
      <c r="E179" t="s">
        <v>349</v>
      </c>
      <c r="F179">
        <v>37</v>
      </c>
      <c r="G179">
        <v>5</v>
      </c>
      <c r="H179">
        <v>14</v>
      </c>
      <c r="I179">
        <v>19</v>
      </c>
      <c r="J179">
        <v>18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13</v>
      </c>
      <c r="Q179">
        <v>1</v>
      </c>
      <c r="R179">
        <v>0</v>
      </c>
      <c r="S179">
        <v>75</v>
      </c>
      <c r="T179">
        <v>6.7</v>
      </c>
      <c r="U179">
        <v>182</v>
      </c>
      <c r="V179" t="s">
        <v>2303</v>
      </c>
      <c r="W179" t="s">
        <v>2097</v>
      </c>
      <c r="X179">
        <v>0</v>
      </c>
      <c r="Y179">
        <v>0</v>
      </c>
      <c r="AA179">
        <v>48</v>
      </c>
      <c r="AB179">
        <v>7</v>
      </c>
      <c r="AC179">
        <v>9</v>
      </c>
      <c r="AD179">
        <v>41</v>
      </c>
      <c r="AE179" t="s">
        <v>60</v>
      </c>
    </row>
    <row r="180" spans="1:31" x14ac:dyDescent="0.2">
      <c r="A180">
        <v>177</v>
      </c>
      <c r="B180" t="s">
        <v>610</v>
      </c>
      <c r="C180">
        <v>29</v>
      </c>
      <c r="D180" t="s">
        <v>555</v>
      </c>
      <c r="E180" t="s">
        <v>349</v>
      </c>
      <c r="F180">
        <v>35</v>
      </c>
      <c r="G180">
        <v>5</v>
      </c>
      <c r="H180">
        <v>14</v>
      </c>
      <c r="I180">
        <v>19</v>
      </c>
      <c r="J180">
        <v>-14</v>
      </c>
      <c r="K180">
        <v>30</v>
      </c>
      <c r="L180">
        <v>4</v>
      </c>
      <c r="M180">
        <v>1</v>
      </c>
      <c r="N180">
        <v>0</v>
      </c>
      <c r="O180">
        <v>1</v>
      </c>
      <c r="P180">
        <v>5</v>
      </c>
      <c r="Q180">
        <v>9</v>
      </c>
      <c r="R180">
        <v>0</v>
      </c>
      <c r="S180">
        <v>81</v>
      </c>
      <c r="T180">
        <v>6.2</v>
      </c>
      <c r="U180">
        <v>173</v>
      </c>
      <c r="V180" t="s">
        <v>2690</v>
      </c>
      <c r="W180" t="s">
        <v>2691</v>
      </c>
      <c r="X180">
        <v>0</v>
      </c>
      <c r="Y180">
        <v>0</v>
      </c>
      <c r="AA180">
        <v>38</v>
      </c>
      <c r="AB180">
        <v>10</v>
      </c>
      <c r="AC180">
        <v>11</v>
      </c>
      <c r="AD180">
        <v>48</v>
      </c>
      <c r="AE180" t="s">
        <v>60</v>
      </c>
    </row>
    <row r="181" spans="1:31" x14ac:dyDescent="0.2">
      <c r="A181">
        <v>178</v>
      </c>
      <c r="B181" t="s">
        <v>614</v>
      </c>
      <c r="C181">
        <v>20</v>
      </c>
      <c r="D181" t="s">
        <v>373</v>
      </c>
      <c r="E181" t="s">
        <v>322</v>
      </c>
      <c r="F181">
        <v>40</v>
      </c>
      <c r="G181">
        <v>9</v>
      </c>
      <c r="H181">
        <v>10</v>
      </c>
      <c r="I181">
        <v>19</v>
      </c>
      <c r="J181">
        <v>1</v>
      </c>
      <c r="K181">
        <v>4</v>
      </c>
      <c r="L181">
        <v>5</v>
      </c>
      <c r="M181">
        <v>4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75</v>
      </c>
      <c r="T181">
        <v>12</v>
      </c>
      <c r="U181">
        <v>115</v>
      </c>
      <c r="V181" t="s">
        <v>2692</v>
      </c>
      <c r="W181" t="s">
        <v>2693</v>
      </c>
      <c r="X181">
        <v>10</v>
      </c>
      <c r="Y181">
        <v>19</v>
      </c>
      <c r="Z181">
        <v>34.5</v>
      </c>
      <c r="AA181">
        <v>27</v>
      </c>
      <c r="AB181">
        <v>64</v>
      </c>
      <c r="AC181">
        <v>14</v>
      </c>
      <c r="AD181">
        <v>43</v>
      </c>
      <c r="AE181" t="s">
        <v>60</v>
      </c>
    </row>
    <row r="182" spans="1:31" x14ac:dyDescent="0.2">
      <c r="A182">
        <v>179</v>
      </c>
      <c r="B182" t="s">
        <v>563</v>
      </c>
      <c r="C182">
        <v>26</v>
      </c>
      <c r="D182" t="s">
        <v>448</v>
      </c>
      <c r="E182" t="s">
        <v>322</v>
      </c>
      <c r="F182">
        <v>38</v>
      </c>
      <c r="G182">
        <v>8</v>
      </c>
      <c r="H182">
        <v>11</v>
      </c>
      <c r="I182">
        <v>19</v>
      </c>
      <c r="J182">
        <v>-7</v>
      </c>
      <c r="K182">
        <v>18</v>
      </c>
      <c r="L182">
        <v>6</v>
      </c>
      <c r="M182">
        <v>2</v>
      </c>
      <c r="N182">
        <v>0</v>
      </c>
      <c r="O182">
        <v>2</v>
      </c>
      <c r="P182">
        <v>6</v>
      </c>
      <c r="Q182">
        <v>5</v>
      </c>
      <c r="R182">
        <v>0</v>
      </c>
      <c r="S182">
        <v>69</v>
      </c>
      <c r="T182">
        <v>11.6</v>
      </c>
      <c r="U182">
        <v>118</v>
      </c>
      <c r="V182" t="s">
        <v>2304</v>
      </c>
      <c r="W182" t="s">
        <v>1112</v>
      </c>
      <c r="X182">
        <v>274</v>
      </c>
      <c r="Y182">
        <v>224</v>
      </c>
      <c r="Z182">
        <v>55</v>
      </c>
      <c r="AA182">
        <v>19</v>
      </c>
      <c r="AB182">
        <v>24</v>
      </c>
      <c r="AC182">
        <v>9</v>
      </c>
      <c r="AD182">
        <v>22</v>
      </c>
      <c r="AE182" t="s">
        <v>60</v>
      </c>
    </row>
    <row r="183" spans="1:31" x14ac:dyDescent="0.2">
      <c r="A183">
        <v>180</v>
      </c>
      <c r="B183" t="s">
        <v>618</v>
      </c>
      <c r="C183">
        <v>32</v>
      </c>
      <c r="D183" t="s">
        <v>448</v>
      </c>
      <c r="E183" t="s">
        <v>340</v>
      </c>
      <c r="F183">
        <v>33</v>
      </c>
      <c r="G183">
        <v>7</v>
      </c>
      <c r="H183">
        <v>12</v>
      </c>
      <c r="I183">
        <v>19</v>
      </c>
      <c r="J183">
        <v>-2</v>
      </c>
      <c r="K183">
        <v>33</v>
      </c>
      <c r="L183">
        <v>5</v>
      </c>
      <c r="M183">
        <v>2</v>
      </c>
      <c r="N183">
        <v>0</v>
      </c>
      <c r="O183">
        <v>1</v>
      </c>
      <c r="P183">
        <v>9</v>
      </c>
      <c r="Q183">
        <v>3</v>
      </c>
      <c r="R183">
        <v>0</v>
      </c>
      <c r="S183">
        <v>52</v>
      </c>
      <c r="T183">
        <v>13.5</v>
      </c>
      <c r="U183">
        <v>107</v>
      </c>
      <c r="V183" t="s">
        <v>2305</v>
      </c>
      <c r="W183" t="s">
        <v>1926</v>
      </c>
      <c r="X183">
        <v>3</v>
      </c>
      <c r="Y183">
        <v>5</v>
      </c>
      <c r="Z183">
        <v>37.5</v>
      </c>
      <c r="AA183">
        <v>21</v>
      </c>
      <c r="AB183">
        <v>19</v>
      </c>
      <c r="AC183">
        <v>8</v>
      </c>
      <c r="AD183">
        <v>39</v>
      </c>
      <c r="AE183" t="s">
        <v>60</v>
      </c>
    </row>
    <row r="184" spans="1:31" x14ac:dyDescent="0.2">
      <c r="A184">
        <v>181</v>
      </c>
      <c r="B184" t="s">
        <v>588</v>
      </c>
      <c r="C184">
        <v>22</v>
      </c>
      <c r="D184" t="s">
        <v>404</v>
      </c>
      <c r="E184" t="s">
        <v>349</v>
      </c>
      <c r="F184">
        <v>38</v>
      </c>
      <c r="G184">
        <v>3</v>
      </c>
      <c r="H184">
        <v>16</v>
      </c>
      <c r="I184">
        <v>19</v>
      </c>
      <c r="J184">
        <v>-4</v>
      </c>
      <c r="K184">
        <v>22</v>
      </c>
      <c r="L184">
        <v>3</v>
      </c>
      <c r="M184">
        <v>0</v>
      </c>
      <c r="N184">
        <v>0</v>
      </c>
      <c r="O184">
        <v>0</v>
      </c>
      <c r="P184">
        <v>11</v>
      </c>
      <c r="Q184">
        <v>5</v>
      </c>
      <c r="R184">
        <v>0</v>
      </c>
      <c r="S184">
        <v>86</v>
      </c>
      <c r="T184">
        <v>3.5</v>
      </c>
      <c r="U184">
        <v>232</v>
      </c>
      <c r="V184" t="s">
        <v>2306</v>
      </c>
      <c r="W184" t="s">
        <v>2307</v>
      </c>
      <c r="X184">
        <v>0</v>
      </c>
      <c r="Y184">
        <v>0</v>
      </c>
      <c r="AA184">
        <v>34</v>
      </c>
      <c r="AB184">
        <v>10</v>
      </c>
      <c r="AC184">
        <v>14</v>
      </c>
      <c r="AD184">
        <v>60</v>
      </c>
      <c r="AE184" t="s">
        <v>60</v>
      </c>
    </row>
    <row r="185" spans="1:31" x14ac:dyDescent="0.2">
      <c r="A185">
        <v>182</v>
      </c>
      <c r="B185" t="s">
        <v>621</v>
      </c>
      <c r="C185">
        <v>33</v>
      </c>
      <c r="D185" t="s">
        <v>321</v>
      </c>
      <c r="E185" t="s">
        <v>340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t="s">
        <v>2308</v>
      </c>
      <c r="W185" t="s">
        <v>1644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t="s">
        <v>60</v>
      </c>
    </row>
    <row r="186" spans="1:31" x14ac:dyDescent="0.2">
      <c r="A186">
        <v>183</v>
      </c>
      <c r="B186" t="s">
        <v>651</v>
      </c>
      <c r="C186">
        <v>38</v>
      </c>
      <c r="D186" t="s">
        <v>378</v>
      </c>
      <c r="E186" t="s">
        <v>349</v>
      </c>
      <c r="F186">
        <v>37</v>
      </c>
      <c r="G186">
        <v>2</v>
      </c>
      <c r="H186">
        <v>17</v>
      </c>
      <c r="I186">
        <v>19</v>
      </c>
      <c r="J186">
        <v>0</v>
      </c>
      <c r="K186">
        <v>20</v>
      </c>
      <c r="L186">
        <v>1</v>
      </c>
      <c r="M186">
        <v>1</v>
      </c>
      <c r="N186">
        <v>0</v>
      </c>
      <c r="O186">
        <v>1</v>
      </c>
      <c r="P186">
        <v>11</v>
      </c>
      <c r="Q186">
        <v>6</v>
      </c>
      <c r="R186">
        <v>0</v>
      </c>
      <c r="S186">
        <v>62</v>
      </c>
      <c r="T186">
        <v>3.2</v>
      </c>
      <c r="U186">
        <v>140</v>
      </c>
      <c r="V186" t="s">
        <v>2694</v>
      </c>
      <c r="W186" t="s">
        <v>1924</v>
      </c>
      <c r="X186">
        <v>0</v>
      </c>
      <c r="Y186">
        <v>0</v>
      </c>
      <c r="AA186">
        <v>47</v>
      </c>
      <c r="AB186">
        <v>45</v>
      </c>
      <c r="AC186">
        <v>11</v>
      </c>
      <c r="AD186">
        <v>48</v>
      </c>
      <c r="AE186" t="s">
        <v>60</v>
      </c>
    </row>
    <row r="187" spans="1:31" x14ac:dyDescent="0.2">
      <c r="A187">
        <v>184</v>
      </c>
      <c r="B187" t="s">
        <v>625</v>
      </c>
      <c r="C187">
        <v>28</v>
      </c>
      <c r="D187" t="s">
        <v>356</v>
      </c>
      <c r="E187" t="s">
        <v>349</v>
      </c>
      <c r="F187">
        <v>27</v>
      </c>
      <c r="G187">
        <v>1</v>
      </c>
      <c r="H187">
        <v>18</v>
      </c>
      <c r="I187">
        <v>19</v>
      </c>
      <c r="J187">
        <v>-4</v>
      </c>
      <c r="K187">
        <v>30</v>
      </c>
      <c r="L187">
        <v>1</v>
      </c>
      <c r="M187">
        <v>0</v>
      </c>
      <c r="N187">
        <v>0</v>
      </c>
      <c r="O187">
        <v>0</v>
      </c>
      <c r="P187">
        <v>9</v>
      </c>
      <c r="Q187">
        <v>9</v>
      </c>
      <c r="R187">
        <v>0</v>
      </c>
      <c r="S187">
        <v>43</v>
      </c>
      <c r="T187">
        <v>2.2999999999999998</v>
      </c>
      <c r="U187">
        <v>114</v>
      </c>
      <c r="V187" t="s">
        <v>2309</v>
      </c>
      <c r="W187" t="s">
        <v>1814</v>
      </c>
      <c r="X187">
        <v>0</v>
      </c>
      <c r="Y187">
        <v>0</v>
      </c>
      <c r="AA187">
        <v>47</v>
      </c>
      <c r="AB187">
        <v>36</v>
      </c>
      <c r="AC187">
        <v>14</v>
      </c>
      <c r="AD187">
        <v>28</v>
      </c>
      <c r="AE187" t="s">
        <v>60</v>
      </c>
    </row>
    <row r="188" spans="1:31" x14ac:dyDescent="0.2">
      <c r="A188">
        <v>185</v>
      </c>
      <c r="B188" t="s">
        <v>593</v>
      </c>
      <c r="C188">
        <v>25</v>
      </c>
      <c r="D188" t="s">
        <v>368</v>
      </c>
      <c r="E188" t="s">
        <v>322</v>
      </c>
      <c r="F188">
        <v>38</v>
      </c>
      <c r="G188">
        <v>5</v>
      </c>
      <c r="H188">
        <v>14</v>
      </c>
      <c r="I188">
        <v>19</v>
      </c>
      <c r="J188">
        <v>3</v>
      </c>
      <c r="K188">
        <v>10</v>
      </c>
      <c r="L188">
        <v>4</v>
      </c>
      <c r="M188">
        <v>1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74</v>
      </c>
      <c r="T188">
        <v>6.8</v>
      </c>
      <c r="U188">
        <v>129</v>
      </c>
      <c r="V188" t="s">
        <v>2310</v>
      </c>
      <c r="W188" t="s">
        <v>435</v>
      </c>
      <c r="X188">
        <v>160</v>
      </c>
      <c r="Y188">
        <v>229</v>
      </c>
      <c r="Z188">
        <v>41.1</v>
      </c>
      <c r="AA188">
        <v>18</v>
      </c>
      <c r="AB188">
        <v>16</v>
      </c>
      <c r="AC188">
        <v>15</v>
      </c>
      <c r="AD188">
        <v>23</v>
      </c>
      <c r="AE188" t="s">
        <v>60</v>
      </c>
    </row>
    <row r="189" spans="1:31" x14ac:dyDescent="0.2">
      <c r="A189">
        <v>186</v>
      </c>
      <c r="B189" t="s">
        <v>576</v>
      </c>
      <c r="C189">
        <v>31</v>
      </c>
      <c r="D189" t="s">
        <v>384</v>
      </c>
      <c r="E189" t="s">
        <v>322</v>
      </c>
      <c r="F189">
        <v>37</v>
      </c>
      <c r="G189">
        <v>5</v>
      </c>
      <c r="H189">
        <v>14</v>
      </c>
      <c r="I189">
        <v>19</v>
      </c>
      <c r="J189">
        <v>-3</v>
      </c>
      <c r="K189">
        <v>8</v>
      </c>
      <c r="L189">
        <v>4</v>
      </c>
      <c r="M189">
        <v>1</v>
      </c>
      <c r="N189">
        <v>0</v>
      </c>
      <c r="O189">
        <v>2</v>
      </c>
      <c r="P189">
        <v>7</v>
      </c>
      <c r="Q189">
        <v>7</v>
      </c>
      <c r="R189">
        <v>0</v>
      </c>
      <c r="S189">
        <v>65</v>
      </c>
      <c r="T189">
        <v>7.7</v>
      </c>
      <c r="U189">
        <v>109</v>
      </c>
      <c r="V189" t="s">
        <v>2695</v>
      </c>
      <c r="W189" t="s">
        <v>1914</v>
      </c>
      <c r="X189">
        <v>358</v>
      </c>
      <c r="Y189">
        <v>311</v>
      </c>
      <c r="Z189">
        <v>53.5</v>
      </c>
      <c r="AA189">
        <v>16</v>
      </c>
      <c r="AB189">
        <v>24</v>
      </c>
      <c r="AC189">
        <v>10</v>
      </c>
      <c r="AD189">
        <v>29</v>
      </c>
      <c r="AE189" t="s">
        <v>60</v>
      </c>
    </row>
    <row r="190" spans="1:31" x14ac:dyDescent="0.2">
      <c r="A190">
        <v>187</v>
      </c>
      <c r="B190" t="s">
        <v>524</v>
      </c>
      <c r="C190">
        <v>30</v>
      </c>
      <c r="D190" t="s">
        <v>321</v>
      </c>
      <c r="E190" t="s">
        <v>335</v>
      </c>
      <c r="F190">
        <v>37</v>
      </c>
      <c r="G190">
        <v>7</v>
      </c>
      <c r="H190">
        <v>12</v>
      </c>
      <c r="I190">
        <v>19</v>
      </c>
      <c r="J190">
        <v>1</v>
      </c>
      <c r="K190">
        <v>4</v>
      </c>
      <c r="L190">
        <v>5</v>
      </c>
      <c r="M190">
        <v>2</v>
      </c>
      <c r="N190">
        <v>0</v>
      </c>
      <c r="O190">
        <v>2</v>
      </c>
      <c r="P190">
        <v>8</v>
      </c>
      <c r="Q190">
        <v>4</v>
      </c>
      <c r="R190">
        <v>0</v>
      </c>
      <c r="S190">
        <v>74</v>
      </c>
      <c r="T190">
        <v>9.5</v>
      </c>
      <c r="U190">
        <v>131</v>
      </c>
      <c r="V190" t="s">
        <v>2311</v>
      </c>
      <c r="W190" t="s">
        <v>2042</v>
      </c>
      <c r="X190">
        <v>3</v>
      </c>
      <c r="Y190">
        <v>5</v>
      </c>
      <c r="Z190">
        <v>37.5</v>
      </c>
      <c r="AA190">
        <v>9</v>
      </c>
      <c r="AB190">
        <v>7</v>
      </c>
      <c r="AC190">
        <v>8</v>
      </c>
      <c r="AD190">
        <v>29</v>
      </c>
      <c r="AE190" t="s">
        <v>60</v>
      </c>
    </row>
    <row r="191" spans="1:31" x14ac:dyDescent="0.2">
      <c r="A191">
        <v>188</v>
      </c>
      <c r="B191" t="s">
        <v>577</v>
      </c>
      <c r="C191">
        <v>34</v>
      </c>
      <c r="D191" t="s">
        <v>324</v>
      </c>
      <c r="E191" t="s">
        <v>349</v>
      </c>
      <c r="F191">
        <v>38</v>
      </c>
      <c r="G191">
        <v>1</v>
      </c>
      <c r="H191">
        <v>18</v>
      </c>
      <c r="I191">
        <v>19</v>
      </c>
      <c r="J191">
        <v>-2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8</v>
      </c>
      <c r="R191">
        <v>0</v>
      </c>
      <c r="S191">
        <v>42</v>
      </c>
      <c r="T191">
        <v>2.4</v>
      </c>
      <c r="U191">
        <v>103</v>
      </c>
      <c r="V191" t="s">
        <v>2312</v>
      </c>
      <c r="W191" t="s">
        <v>643</v>
      </c>
      <c r="X191">
        <v>0</v>
      </c>
      <c r="Y191">
        <v>0</v>
      </c>
      <c r="AA191">
        <v>42</v>
      </c>
      <c r="AB191">
        <v>53</v>
      </c>
      <c r="AC191">
        <v>9</v>
      </c>
      <c r="AD191">
        <v>46</v>
      </c>
      <c r="AE191" t="s">
        <v>60</v>
      </c>
    </row>
    <row r="192" spans="1:31" x14ac:dyDescent="0.2">
      <c r="A192">
        <v>189</v>
      </c>
      <c r="B192" t="s">
        <v>632</v>
      </c>
      <c r="C192">
        <v>32</v>
      </c>
      <c r="D192" t="s">
        <v>375</v>
      </c>
      <c r="E192" t="s">
        <v>322</v>
      </c>
      <c r="F192">
        <v>37</v>
      </c>
      <c r="G192">
        <v>8</v>
      </c>
      <c r="H192">
        <v>11</v>
      </c>
      <c r="I192">
        <v>19</v>
      </c>
      <c r="J192">
        <v>0</v>
      </c>
      <c r="K192">
        <v>18</v>
      </c>
      <c r="L192">
        <v>8</v>
      </c>
      <c r="M192">
        <v>0</v>
      </c>
      <c r="N192">
        <v>0</v>
      </c>
      <c r="O192">
        <v>0</v>
      </c>
      <c r="P192">
        <v>9</v>
      </c>
      <c r="Q192">
        <v>2</v>
      </c>
      <c r="R192">
        <v>0</v>
      </c>
      <c r="S192">
        <v>83</v>
      </c>
      <c r="T192">
        <v>9.6</v>
      </c>
      <c r="U192">
        <v>164</v>
      </c>
      <c r="V192" t="s">
        <v>2313</v>
      </c>
      <c r="W192" t="s">
        <v>2109</v>
      </c>
      <c r="X192">
        <v>200</v>
      </c>
      <c r="Y192">
        <v>228</v>
      </c>
      <c r="Z192">
        <v>46.7</v>
      </c>
      <c r="AA192">
        <v>15</v>
      </c>
      <c r="AB192">
        <v>37</v>
      </c>
      <c r="AC192">
        <v>12</v>
      </c>
      <c r="AD192">
        <v>27</v>
      </c>
      <c r="AE192" t="s">
        <v>60</v>
      </c>
    </row>
    <row r="193" spans="1:31" x14ac:dyDescent="0.2">
      <c r="A193">
        <v>190</v>
      </c>
      <c r="B193" t="s">
        <v>773</v>
      </c>
      <c r="C193">
        <v>34</v>
      </c>
      <c r="D193" t="s">
        <v>359</v>
      </c>
      <c r="E193" t="s">
        <v>335</v>
      </c>
      <c r="F193">
        <v>32</v>
      </c>
      <c r="G193">
        <v>7</v>
      </c>
      <c r="H193">
        <v>12</v>
      </c>
      <c r="I193">
        <v>19</v>
      </c>
      <c r="J193">
        <v>-2</v>
      </c>
      <c r="K193">
        <v>6</v>
      </c>
      <c r="L193">
        <v>6</v>
      </c>
      <c r="M193">
        <v>1</v>
      </c>
      <c r="N193">
        <v>0</v>
      </c>
      <c r="O193">
        <v>1</v>
      </c>
      <c r="P193">
        <v>6</v>
      </c>
      <c r="Q193">
        <v>6</v>
      </c>
      <c r="R193">
        <v>0</v>
      </c>
      <c r="S193">
        <v>59</v>
      </c>
      <c r="T193">
        <v>11.9</v>
      </c>
      <c r="U193">
        <v>118</v>
      </c>
      <c r="V193" t="s">
        <v>2314</v>
      </c>
      <c r="W193" t="s">
        <v>1677</v>
      </c>
      <c r="X193">
        <v>5</v>
      </c>
      <c r="Y193">
        <v>4</v>
      </c>
      <c r="Z193">
        <v>55.6</v>
      </c>
      <c r="AA193">
        <v>15</v>
      </c>
      <c r="AB193">
        <v>29</v>
      </c>
      <c r="AC193">
        <v>8</v>
      </c>
      <c r="AD193">
        <v>21</v>
      </c>
      <c r="AE193" t="s">
        <v>60</v>
      </c>
    </row>
    <row r="194" spans="1:31" x14ac:dyDescent="0.2">
      <c r="A194">
        <v>191</v>
      </c>
      <c r="B194" t="s">
        <v>783</v>
      </c>
      <c r="C194">
        <v>30</v>
      </c>
      <c r="D194" t="s">
        <v>353</v>
      </c>
      <c r="E194" t="s">
        <v>335</v>
      </c>
      <c r="F194">
        <v>38</v>
      </c>
      <c r="G194">
        <v>6</v>
      </c>
      <c r="H194">
        <v>12</v>
      </c>
      <c r="I194">
        <v>18</v>
      </c>
      <c r="J194">
        <v>-4</v>
      </c>
      <c r="K194">
        <v>8</v>
      </c>
      <c r="L194">
        <v>1</v>
      </c>
      <c r="M194">
        <v>5</v>
      </c>
      <c r="N194">
        <v>0</v>
      </c>
      <c r="O194">
        <v>1</v>
      </c>
      <c r="P194">
        <v>9</v>
      </c>
      <c r="Q194">
        <v>3</v>
      </c>
      <c r="R194">
        <v>0</v>
      </c>
      <c r="S194">
        <v>60</v>
      </c>
      <c r="T194">
        <v>10</v>
      </c>
      <c r="U194">
        <v>139</v>
      </c>
      <c r="V194" t="s">
        <v>2696</v>
      </c>
      <c r="W194" t="s">
        <v>2024</v>
      </c>
      <c r="X194">
        <v>5</v>
      </c>
      <c r="Y194">
        <v>7</v>
      </c>
      <c r="Z194">
        <v>41.7</v>
      </c>
      <c r="AA194">
        <v>18</v>
      </c>
      <c r="AB194">
        <v>36</v>
      </c>
      <c r="AC194">
        <v>8</v>
      </c>
      <c r="AD194">
        <v>22</v>
      </c>
      <c r="AE194" t="s">
        <v>60</v>
      </c>
    </row>
    <row r="195" spans="1:31" x14ac:dyDescent="0.2">
      <c r="A195">
        <v>192</v>
      </c>
      <c r="B195" t="s">
        <v>665</v>
      </c>
      <c r="C195">
        <v>27</v>
      </c>
      <c r="D195" t="s">
        <v>378</v>
      </c>
      <c r="E195" t="s">
        <v>325</v>
      </c>
      <c r="F195">
        <v>23</v>
      </c>
      <c r="G195">
        <v>11</v>
      </c>
      <c r="H195">
        <v>7</v>
      </c>
      <c r="I195">
        <v>18</v>
      </c>
      <c r="J195">
        <v>3</v>
      </c>
      <c r="K195">
        <v>4</v>
      </c>
      <c r="L195">
        <v>9</v>
      </c>
      <c r="M195">
        <v>2</v>
      </c>
      <c r="N195">
        <v>0</v>
      </c>
      <c r="O195">
        <v>2</v>
      </c>
      <c r="P195">
        <v>6</v>
      </c>
      <c r="Q195">
        <v>1</v>
      </c>
      <c r="R195">
        <v>0</v>
      </c>
      <c r="S195">
        <v>39</v>
      </c>
      <c r="T195">
        <v>28.2</v>
      </c>
      <c r="U195">
        <v>65</v>
      </c>
      <c r="V195" t="s">
        <v>2697</v>
      </c>
      <c r="W195" t="s">
        <v>522</v>
      </c>
      <c r="X195">
        <v>0</v>
      </c>
      <c r="Y195">
        <v>1</v>
      </c>
      <c r="Z195">
        <v>0</v>
      </c>
      <c r="AA195">
        <v>17</v>
      </c>
      <c r="AB195">
        <v>39</v>
      </c>
      <c r="AC195">
        <v>6</v>
      </c>
      <c r="AD195">
        <v>17</v>
      </c>
      <c r="AE195" t="s">
        <v>60</v>
      </c>
    </row>
    <row r="196" spans="1:31" x14ac:dyDescent="0.2">
      <c r="A196">
        <v>193</v>
      </c>
      <c r="B196" t="s">
        <v>642</v>
      </c>
      <c r="C196">
        <v>24</v>
      </c>
      <c r="D196" t="s">
        <v>439</v>
      </c>
      <c r="E196" t="s">
        <v>349</v>
      </c>
      <c r="F196">
        <v>37</v>
      </c>
      <c r="G196">
        <v>8</v>
      </c>
      <c r="H196">
        <v>10</v>
      </c>
      <c r="I196">
        <v>18</v>
      </c>
      <c r="J196">
        <v>-4</v>
      </c>
      <c r="K196">
        <v>12</v>
      </c>
      <c r="L196">
        <v>7</v>
      </c>
      <c r="M196">
        <v>1</v>
      </c>
      <c r="N196">
        <v>0</v>
      </c>
      <c r="O196">
        <v>3</v>
      </c>
      <c r="P196">
        <v>8</v>
      </c>
      <c r="Q196">
        <v>2</v>
      </c>
      <c r="R196">
        <v>0</v>
      </c>
      <c r="S196">
        <v>49</v>
      </c>
      <c r="T196">
        <v>16.3</v>
      </c>
      <c r="U196">
        <v>101</v>
      </c>
      <c r="V196" t="s">
        <v>2315</v>
      </c>
      <c r="W196" t="s">
        <v>1771</v>
      </c>
      <c r="X196">
        <v>0</v>
      </c>
      <c r="Y196">
        <v>0</v>
      </c>
      <c r="AA196">
        <v>47</v>
      </c>
      <c r="AB196">
        <v>22</v>
      </c>
      <c r="AC196">
        <v>8</v>
      </c>
      <c r="AD196">
        <v>44</v>
      </c>
      <c r="AE196" t="s">
        <v>60</v>
      </c>
    </row>
    <row r="197" spans="1:31" x14ac:dyDescent="0.2">
      <c r="A197">
        <v>194</v>
      </c>
      <c r="B197" t="s">
        <v>607</v>
      </c>
      <c r="C197">
        <v>22</v>
      </c>
      <c r="D197" t="s">
        <v>429</v>
      </c>
      <c r="E197" t="s">
        <v>349</v>
      </c>
      <c r="F197">
        <v>37</v>
      </c>
      <c r="G197">
        <v>5</v>
      </c>
      <c r="H197">
        <v>13</v>
      </c>
      <c r="I197">
        <v>18</v>
      </c>
      <c r="J197">
        <v>7</v>
      </c>
      <c r="K197">
        <v>20</v>
      </c>
      <c r="L197">
        <v>4</v>
      </c>
      <c r="M197">
        <v>1</v>
      </c>
      <c r="N197">
        <v>0</v>
      </c>
      <c r="O197">
        <v>2</v>
      </c>
      <c r="P197">
        <v>11</v>
      </c>
      <c r="Q197">
        <v>2</v>
      </c>
      <c r="R197">
        <v>0</v>
      </c>
      <c r="S197">
        <v>72</v>
      </c>
      <c r="T197">
        <v>6.9</v>
      </c>
      <c r="U197">
        <v>138</v>
      </c>
      <c r="V197" t="s">
        <v>2316</v>
      </c>
      <c r="W197" t="s">
        <v>1617</v>
      </c>
      <c r="X197">
        <v>0</v>
      </c>
      <c r="Y197">
        <v>0</v>
      </c>
      <c r="AA197">
        <v>59</v>
      </c>
      <c r="AB197">
        <v>19</v>
      </c>
      <c r="AC197">
        <v>13</v>
      </c>
      <c r="AD197">
        <v>43</v>
      </c>
      <c r="AE197" t="s">
        <v>60</v>
      </c>
    </row>
    <row r="198" spans="1:31" x14ac:dyDescent="0.2">
      <c r="A198">
        <v>195</v>
      </c>
      <c r="B198" t="s">
        <v>668</v>
      </c>
      <c r="C198">
        <v>34</v>
      </c>
      <c r="D198" t="s">
        <v>448</v>
      </c>
      <c r="E198" t="s">
        <v>322</v>
      </c>
      <c r="F198">
        <v>38</v>
      </c>
      <c r="G198">
        <v>11</v>
      </c>
      <c r="H198">
        <v>7</v>
      </c>
      <c r="I198">
        <v>18</v>
      </c>
      <c r="J198">
        <v>11</v>
      </c>
      <c r="K198">
        <v>25</v>
      </c>
      <c r="L198">
        <v>8</v>
      </c>
      <c r="M198">
        <v>0</v>
      </c>
      <c r="N198">
        <v>3</v>
      </c>
      <c r="O198">
        <v>3</v>
      </c>
      <c r="P198">
        <v>7</v>
      </c>
      <c r="Q198">
        <v>0</v>
      </c>
      <c r="R198">
        <v>0</v>
      </c>
      <c r="S198">
        <v>87</v>
      </c>
      <c r="T198">
        <v>12.6</v>
      </c>
      <c r="U198">
        <v>155</v>
      </c>
      <c r="V198" t="s">
        <v>2317</v>
      </c>
      <c r="W198" t="s">
        <v>1930</v>
      </c>
      <c r="X198">
        <v>9</v>
      </c>
      <c r="Y198">
        <v>14</v>
      </c>
      <c r="Z198">
        <v>39.1</v>
      </c>
      <c r="AA198">
        <v>28</v>
      </c>
      <c r="AB198">
        <v>94</v>
      </c>
      <c r="AC198">
        <v>12</v>
      </c>
      <c r="AD198">
        <v>36</v>
      </c>
      <c r="AE198" t="s">
        <v>60</v>
      </c>
    </row>
    <row r="199" spans="1:31" x14ac:dyDescent="0.2">
      <c r="A199">
        <v>196</v>
      </c>
      <c r="B199" t="s">
        <v>612</v>
      </c>
      <c r="C199">
        <v>25</v>
      </c>
      <c r="D199" t="s">
        <v>448</v>
      </c>
      <c r="E199" t="s">
        <v>340</v>
      </c>
      <c r="F199">
        <v>38</v>
      </c>
      <c r="G199">
        <v>9</v>
      </c>
      <c r="H199">
        <v>9</v>
      </c>
      <c r="I199">
        <v>18</v>
      </c>
      <c r="J199">
        <v>-4</v>
      </c>
      <c r="K199">
        <v>9</v>
      </c>
      <c r="L199">
        <v>5</v>
      </c>
      <c r="M199">
        <v>1</v>
      </c>
      <c r="N199">
        <v>3</v>
      </c>
      <c r="O199">
        <v>0</v>
      </c>
      <c r="P199">
        <v>7</v>
      </c>
      <c r="Q199">
        <v>2</v>
      </c>
      <c r="R199">
        <v>0</v>
      </c>
      <c r="S199">
        <v>73</v>
      </c>
      <c r="T199">
        <v>12.3</v>
      </c>
      <c r="U199">
        <v>127</v>
      </c>
      <c r="V199" t="s">
        <v>2318</v>
      </c>
      <c r="W199" t="s">
        <v>1769</v>
      </c>
      <c r="X199">
        <v>13</v>
      </c>
      <c r="Y199">
        <v>17</v>
      </c>
      <c r="Z199">
        <v>43.3</v>
      </c>
      <c r="AA199">
        <v>30</v>
      </c>
      <c r="AB199">
        <v>31</v>
      </c>
      <c r="AC199">
        <v>8</v>
      </c>
      <c r="AD199">
        <v>32</v>
      </c>
      <c r="AE199" t="s">
        <v>60</v>
      </c>
    </row>
    <row r="200" spans="1:31" x14ac:dyDescent="0.2">
      <c r="A200">
        <v>197</v>
      </c>
      <c r="B200" t="s">
        <v>565</v>
      </c>
      <c r="C200">
        <v>24</v>
      </c>
      <c r="D200" t="s">
        <v>387</v>
      </c>
      <c r="E200" t="s">
        <v>340</v>
      </c>
      <c r="F200">
        <v>39</v>
      </c>
      <c r="G200">
        <v>12</v>
      </c>
      <c r="H200">
        <v>6</v>
      </c>
      <c r="I200">
        <v>18</v>
      </c>
      <c r="J200">
        <v>2</v>
      </c>
      <c r="K200">
        <v>12</v>
      </c>
      <c r="L200">
        <v>10</v>
      </c>
      <c r="M200">
        <v>2</v>
      </c>
      <c r="N200">
        <v>0</v>
      </c>
      <c r="O200">
        <v>0</v>
      </c>
      <c r="P200">
        <v>6</v>
      </c>
      <c r="Q200">
        <v>0</v>
      </c>
      <c r="R200">
        <v>0</v>
      </c>
      <c r="S200">
        <v>80</v>
      </c>
      <c r="T200">
        <v>15</v>
      </c>
      <c r="U200">
        <v>159</v>
      </c>
      <c r="V200" t="s">
        <v>2017</v>
      </c>
      <c r="W200" t="s">
        <v>818</v>
      </c>
      <c r="X200">
        <v>4</v>
      </c>
      <c r="Y200">
        <v>3</v>
      </c>
      <c r="Z200">
        <v>57.1</v>
      </c>
      <c r="AA200">
        <v>28</v>
      </c>
      <c r="AB200">
        <v>134</v>
      </c>
      <c r="AC200">
        <v>4</v>
      </c>
      <c r="AD200">
        <v>21</v>
      </c>
      <c r="AE200" t="s">
        <v>60</v>
      </c>
    </row>
    <row r="201" spans="1:31" x14ac:dyDescent="0.2">
      <c r="A201">
        <v>198</v>
      </c>
      <c r="B201" t="s">
        <v>589</v>
      </c>
      <c r="C201">
        <v>34</v>
      </c>
      <c r="D201" t="s">
        <v>461</v>
      </c>
      <c r="E201" t="s">
        <v>340</v>
      </c>
      <c r="F201">
        <v>36</v>
      </c>
      <c r="G201">
        <v>6</v>
      </c>
      <c r="H201">
        <v>12</v>
      </c>
      <c r="I201">
        <v>18</v>
      </c>
      <c r="J201">
        <v>-7</v>
      </c>
      <c r="K201">
        <v>48</v>
      </c>
      <c r="L201">
        <v>4</v>
      </c>
      <c r="M201">
        <v>2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92</v>
      </c>
      <c r="T201">
        <v>6.5</v>
      </c>
      <c r="U201">
        <v>210</v>
      </c>
      <c r="V201" t="s">
        <v>2319</v>
      </c>
      <c r="W201" t="s">
        <v>1603</v>
      </c>
      <c r="X201">
        <v>10</v>
      </c>
      <c r="Y201">
        <v>19</v>
      </c>
      <c r="Z201">
        <v>34.5</v>
      </c>
      <c r="AA201">
        <v>14</v>
      </c>
      <c r="AB201">
        <v>62</v>
      </c>
      <c r="AC201">
        <v>8</v>
      </c>
      <c r="AD201">
        <v>32</v>
      </c>
      <c r="AE201" t="s">
        <v>60</v>
      </c>
    </row>
    <row r="202" spans="1:31" x14ac:dyDescent="0.2">
      <c r="A202">
        <v>199</v>
      </c>
      <c r="B202" t="s">
        <v>681</v>
      </c>
      <c r="C202">
        <v>24</v>
      </c>
      <c r="D202" t="s">
        <v>429</v>
      </c>
      <c r="E202" t="s">
        <v>335</v>
      </c>
      <c r="F202">
        <v>37</v>
      </c>
      <c r="G202">
        <v>10</v>
      </c>
      <c r="H202">
        <v>8</v>
      </c>
      <c r="I202">
        <v>18</v>
      </c>
      <c r="J202">
        <v>6</v>
      </c>
      <c r="K202">
        <v>8</v>
      </c>
      <c r="L202">
        <v>8</v>
      </c>
      <c r="M202">
        <v>0</v>
      </c>
      <c r="N202">
        <v>2</v>
      </c>
      <c r="O202">
        <v>1</v>
      </c>
      <c r="P202">
        <v>7</v>
      </c>
      <c r="Q202">
        <v>1</v>
      </c>
      <c r="R202">
        <v>0</v>
      </c>
      <c r="S202">
        <v>88</v>
      </c>
      <c r="T202">
        <v>11.4</v>
      </c>
      <c r="U202">
        <v>181</v>
      </c>
      <c r="V202" t="s">
        <v>2320</v>
      </c>
      <c r="W202" t="s">
        <v>552</v>
      </c>
      <c r="X202">
        <v>59</v>
      </c>
      <c r="Y202">
        <v>82</v>
      </c>
      <c r="Z202">
        <v>41.8</v>
      </c>
      <c r="AA202">
        <v>20</v>
      </c>
      <c r="AB202">
        <v>101</v>
      </c>
      <c r="AC202">
        <v>6</v>
      </c>
      <c r="AD202">
        <v>38</v>
      </c>
      <c r="AE202" t="s">
        <v>60</v>
      </c>
    </row>
    <row r="203" spans="1:31" x14ac:dyDescent="0.2">
      <c r="A203">
        <v>200</v>
      </c>
      <c r="B203" t="s">
        <v>574</v>
      </c>
      <c r="C203">
        <v>31</v>
      </c>
      <c r="D203" t="s">
        <v>365</v>
      </c>
      <c r="E203" t="s">
        <v>349</v>
      </c>
      <c r="F203">
        <v>36</v>
      </c>
      <c r="G203">
        <v>4</v>
      </c>
      <c r="H203">
        <v>14</v>
      </c>
      <c r="I203">
        <v>18</v>
      </c>
      <c r="J203">
        <v>9</v>
      </c>
      <c r="K203">
        <v>18</v>
      </c>
      <c r="L203">
        <v>4</v>
      </c>
      <c r="M203">
        <v>0</v>
      </c>
      <c r="N203">
        <v>0</v>
      </c>
      <c r="O203">
        <v>1</v>
      </c>
      <c r="P203">
        <v>14</v>
      </c>
      <c r="Q203">
        <v>0</v>
      </c>
      <c r="R203">
        <v>0</v>
      </c>
      <c r="S203">
        <v>48</v>
      </c>
      <c r="T203">
        <v>8.3000000000000007</v>
      </c>
      <c r="U203">
        <v>126</v>
      </c>
      <c r="V203" t="s">
        <v>2698</v>
      </c>
      <c r="W203" t="s">
        <v>2020</v>
      </c>
      <c r="X203">
        <v>0</v>
      </c>
      <c r="Y203">
        <v>0</v>
      </c>
      <c r="AA203">
        <v>81</v>
      </c>
      <c r="AB203">
        <v>23</v>
      </c>
      <c r="AC203">
        <v>15</v>
      </c>
      <c r="AD203">
        <v>41</v>
      </c>
      <c r="AE203" t="s">
        <v>60</v>
      </c>
    </row>
    <row r="204" spans="1:31" x14ac:dyDescent="0.2">
      <c r="A204">
        <v>201</v>
      </c>
      <c r="B204" t="s">
        <v>627</v>
      </c>
      <c r="C204">
        <v>29</v>
      </c>
      <c r="D204" t="s">
        <v>361</v>
      </c>
      <c r="E204" t="s">
        <v>325</v>
      </c>
      <c r="F204">
        <v>37</v>
      </c>
      <c r="G204">
        <v>11</v>
      </c>
      <c r="H204">
        <v>7</v>
      </c>
      <c r="I204">
        <v>18</v>
      </c>
      <c r="J204">
        <v>3</v>
      </c>
      <c r="K204">
        <v>38</v>
      </c>
      <c r="L204">
        <v>10</v>
      </c>
      <c r="M204">
        <v>1</v>
      </c>
      <c r="N204">
        <v>0</v>
      </c>
      <c r="O204">
        <v>2</v>
      </c>
      <c r="P204">
        <v>6</v>
      </c>
      <c r="Q204">
        <v>1</v>
      </c>
      <c r="R204">
        <v>0</v>
      </c>
      <c r="S204">
        <v>69</v>
      </c>
      <c r="T204">
        <v>15.9</v>
      </c>
      <c r="U204">
        <v>134</v>
      </c>
      <c r="V204" t="s">
        <v>2699</v>
      </c>
      <c r="W204" t="s">
        <v>763</v>
      </c>
      <c r="X204">
        <v>4</v>
      </c>
      <c r="Y204">
        <v>3</v>
      </c>
      <c r="Z204">
        <v>57.1</v>
      </c>
      <c r="AA204">
        <v>14</v>
      </c>
      <c r="AB204">
        <v>80</v>
      </c>
      <c r="AC204">
        <v>6</v>
      </c>
      <c r="AD204">
        <v>12</v>
      </c>
      <c r="AE204" t="s">
        <v>60</v>
      </c>
    </row>
    <row r="205" spans="1:31" x14ac:dyDescent="0.2">
      <c r="A205">
        <v>202</v>
      </c>
      <c r="B205" t="s">
        <v>596</v>
      </c>
      <c r="C205">
        <v>21</v>
      </c>
      <c r="D205" t="s">
        <v>404</v>
      </c>
      <c r="E205" t="s">
        <v>349</v>
      </c>
      <c r="F205">
        <v>31</v>
      </c>
      <c r="G205">
        <v>7</v>
      </c>
      <c r="H205">
        <v>11</v>
      </c>
      <c r="I205">
        <v>18</v>
      </c>
      <c r="J205">
        <v>4</v>
      </c>
      <c r="K205">
        <v>16</v>
      </c>
      <c r="L205">
        <v>7</v>
      </c>
      <c r="M205">
        <v>0</v>
      </c>
      <c r="N205">
        <v>0</v>
      </c>
      <c r="O205">
        <v>2</v>
      </c>
      <c r="P205">
        <v>10</v>
      </c>
      <c r="Q205">
        <v>1</v>
      </c>
      <c r="R205">
        <v>0</v>
      </c>
      <c r="S205">
        <v>50</v>
      </c>
      <c r="T205">
        <v>14</v>
      </c>
      <c r="U205">
        <v>127</v>
      </c>
      <c r="V205" t="s">
        <v>1723</v>
      </c>
      <c r="W205" t="s">
        <v>662</v>
      </c>
      <c r="X205">
        <v>0</v>
      </c>
      <c r="Y205">
        <v>0</v>
      </c>
      <c r="AA205">
        <v>46</v>
      </c>
      <c r="AB205">
        <v>9</v>
      </c>
      <c r="AC205">
        <v>9</v>
      </c>
      <c r="AD205">
        <v>31</v>
      </c>
      <c r="AE205" t="s">
        <v>60</v>
      </c>
    </row>
    <row r="206" spans="1:31" x14ac:dyDescent="0.2">
      <c r="A206">
        <v>203</v>
      </c>
      <c r="B206" t="s">
        <v>652</v>
      </c>
      <c r="C206">
        <v>28</v>
      </c>
      <c r="D206" t="s">
        <v>378</v>
      </c>
      <c r="E206" t="s">
        <v>322</v>
      </c>
      <c r="F206">
        <v>37</v>
      </c>
      <c r="G206">
        <v>6</v>
      </c>
      <c r="H206">
        <v>12</v>
      </c>
      <c r="I206">
        <v>18</v>
      </c>
      <c r="J206">
        <v>0</v>
      </c>
      <c r="K206">
        <v>8</v>
      </c>
      <c r="L206">
        <v>4</v>
      </c>
      <c r="M206">
        <v>2</v>
      </c>
      <c r="N206">
        <v>0</v>
      </c>
      <c r="O206">
        <v>1</v>
      </c>
      <c r="P206">
        <v>10</v>
      </c>
      <c r="Q206">
        <v>2</v>
      </c>
      <c r="R206">
        <v>0</v>
      </c>
      <c r="S206">
        <v>55</v>
      </c>
      <c r="T206">
        <v>10.9</v>
      </c>
      <c r="U206">
        <v>104</v>
      </c>
      <c r="V206" t="s">
        <v>2700</v>
      </c>
      <c r="W206" t="s">
        <v>1095</v>
      </c>
      <c r="X206">
        <v>41</v>
      </c>
      <c r="Y206">
        <v>62</v>
      </c>
      <c r="Z206">
        <v>39.799999999999997</v>
      </c>
      <c r="AA206">
        <v>15</v>
      </c>
      <c r="AB206">
        <v>9</v>
      </c>
      <c r="AC206">
        <v>14</v>
      </c>
      <c r="AD206">
        <v>22</v>
      </c>
      <c r="AE206" t="s">
        <v>60</v>
      </c>
    </row>
    <row r="207" spans="1:31" x14ac:dyDescent="0.2">
      <c r="A207">
        <v>204</v>
      </c>
      <c r="B207" t="s">
        <v>526</v>
      </c>
      <c r="C207">
        <v>34</v>
      </c>
      <c r="D207" t="s">
        <v>387</v>
      </c>
      <c r="E207" t="s">
        <v>335</v>
      </c>
      <c r="F207">
        <v>25</v>
      </c>
      <c r="G207">
        <v>6</v>
      </c>
      <c r="H207">
        <v>12</v>
      </c>
      <c r="I207">
        <v>18</v>
      </c>
      <c r="J207">
        <v>-2</v>
      </c>
      <c r="K207">
        <v>8</v>
      </c>
      <c r="L207">
        <v>4</v>
      </c>
      <c r="M207">
        <v>1</v>
      </c>
      <c r="N207">
        <v>1</v>
      </c>
      <c r="O207">
        <v>1</v>
      </c>
      <c r="P207">
        <v>8</v>
      </c>
      <c r="Q207">
        <v>4</v>
      </c>
      <c r="R207">
        <v>0</v>
      </c>
      <c r="S207">
        <v>71</v>
      </c>
      <c r="T207">
        <v>8.5</v>
      </c>
      <c r="U207">
        <v>126</v>
      </c>
      <c r="V207" t="s">
        <v>527</v>
      </c>
      <c r="W207" t="s">
        <v>528</v>
      </c>
      <c r="X207">
        <v>2</v>
      </c>
      <c r="Y207">
        <v>2</v>
      </c>
      <c r="Z207">
        <v>50</v>
      </c>
      <c r="AA207">
        <v>9</v>
      </c>
      <c r="AB207">
        <v>19</v>
      </c>
      <c r="AC207">
        <v>8</v>
      </c>
      <c r="AD207">
        <v>18</v>
      </c>
      <c r="AE207" t="s">
        <v>60</v>
      </c>
    </row>
    <row r="208" spans="1:31" x14ac:dyDescent="0.2">
      <c r="A208">
        <v>205</v>
      </c>
      <c r="B208" t="s">
        <v>529</v>
      </c>
      <c r="C208">
        <v>25</v>
      </c>
      <c r="D208" t="s">
        <v>426</v>
      </c>
      <c r="E208" t="s">
        <v>322</v>
      </c>
      <c r="F208">
        <v>27</v>
      </c>
      <c r="G208">
        <v>12</v>
      </c>
      <c r="H208">
        <v>6</v>
      </c>
      <c r="I208">
        <v>18</v>
      </c>
      <c r="J208">
        <v>4</v>
      </c>
      <c r="K208">
        <v>16</v>
      </c>
      <c r="L208">
        <v>11</v>
      </c>
      <c r="M208">
        <v>1</v>
      </c>
      <c r="N208">
        <v>0</v>
      </c>
      <c r="O208">
        <v>1</v>
      </c>
      <c r="P208">
        <v>5</v>
      </c>
      <c r="Q208">
        <v>0</v>
      </c>
      <c r="R208">
        <v>1</v>
      </c>
      <c r="S208">
        <v>65</v>
      </c>
      <c r="T208">
        <v>18.5</v>
      </c>
      <c r="U208">
        <v>133</v>
      </c>
      <c r="V208" t="s">
        <v>530</v>
      </c>
      <c r="W208" t="s">
        <v>531</v>
      </c>
      <c r="X208">
        <v>162</v>
      </c>
      <c r="Y208">
        <v>139</v>
      </c>
      <c r="Z208">
        <v>53.8</v>
      </c>
      <c r="AA208">
        <v>18</v>
      </c>
      <c r="AB208">
        <v>34</v>
      </c>
      <c r="AC208">
        <v>7</v>
      </c>
      <c r="AD208">
        <v>23</v>
      </c>
      <c r="AE208" t="s">
        <v>60</v>
      </c>
    </row>
    <row r="209" spans="1:31" x14ac:dyDescent="0.2">
      <c r="A209">
        <v>206</v>
      </c>
      <c r="B209" t="s">
        <v>533</v>
      </c>
      <c r="C209">
        <v>29</v>
      </c>
      <c r="D209" t="s">
        <v>328</v>
      </c>
      <c r="E209" t="s">
        <v>322</v>
      </c>
      <c r="F209">
        <v>26</v>
      </c>
      <c r="G209">
        <v>10</v>
      </c>
      <c r="H209">
        <v>8</v>
      </c>
      <c r="I209">
        <v>18</v>
      </c>
      <c r="J209">
        <v>-1</v>
      </c>
      <c r="K209">
        <v>8</v>
      </c>
      <c r="L209">
        <v>8</v>
      </c>
      <c r="M209">
        <v>2</v>
      </c>
      <c r="N209">
        <v>0</v>
      </c>
      <c r="O209">
        <v>2</v>
      </c>
      <c r="P209">
        <v>6</v>
      </c>
      <c r="Q209">
        <v>2</v>
      </c>
      <c r="R209">
        <v>0</v>
      </c>
      <c r="S209">
        <v>59</v>
      </c>
      <c r="T209">
        <v>16.899999999999999</v>
      </c>
      <c r="U209">
        <v>100</v>
      </c>
      <c r="V209" t="s">
        <v>2321</v>
      </c>
      <c r="W209" t="s">
        <v>721</v>
      </c>
      <c r="X209">
        <v>29</v>
      </c>
      <c r="Y209">
        <v>23</v>
      </c>
      <c r="Z209">
        <v>55.8</v>
      </c>
      <c r="AA209">
        <v>7</v>
      </c>
      <c r="AB209">
        <v>12</v>
      </c>
      <c r="AC209">
        <v>7</v>
      </c>
      <c r="AD209">
        <v>27</v>
      </c>
      <c r="AE209" t="s">
        <v>60</v>
      </c>
    </row>
    <row r="210" spans="1:31" x14ac:dyDescent="0.2">
      <c r="A210">
        <v>207</v>
      </c>
      <c r="B210" t="s">
        <v>633</v>
      </c>
      <c r="C210">
        <v>23</v>
      </c>
      <c r="D210" t="s">
        <v>375</v>
      </c>
      <c r="E210" t="s">
        <v>335</v>
      </c>
      <c r="F210">
        <v>35</v>
      </c>
      <c r="G210">
        <v>4</v>
      </c>
      <c r="H210">
        <v>14</v>
      </c>
      <c r="I210">
        <v>18</v>
      </c>
      <c r="J210">
        <v>-4</v>
      </c>
      <c r="K210">
        <v>12</v>
      </c>
      <c r="L210">
        <v>2</v>
      </c>
      <c r="M210">
        <v>2</v>
      </c>
      <c r="N210">
        <v>0</v>
      </c>
      <c r="O210">
        <v>0</v>
      </c>
      <c r="P210">
        <v>9</v>
      </c>
      <c r="Q210">
        <v>5</v>
      </c>
      <c r="R210">
        <v>0</v>
      </c>
      <c r="S210">
        <v>77</v>
      </c>
      <c r="T210">
        <v>5.2</v>
      </c>
      <c r="U210">
        <v>153</v>
      </c>
      <c r="V210" t="s">
        <v>2322</v>
      </c>
      <c r="W210" t="s">
        <v>1504</v>
      </c>
      <c r="X210">
        <v>0</v>
      </c>
      <c r="Y210">
        <v>0</v>
      </c>
      <c r="AA210">
        <v>15</v>
      </c>
      <c r="AB210">
        <v>67</v>
      </c>
      <c r="AC210">
        <v>5</v>
      </c>
      <c r="AD210">
        <v>25</v>
      </c>
      <c r="AE210" t="s">
        <v>60</v>
      </c>
    </row>
    <row r="211" spans="1:31" x14ac:dyDescent="0.2">
      <c r="A211">
        <v>208</v>
      </c>
      <c r="B211" t="s">
        <v>699</v>
      </c>
      <c r="C211">
        <v>25</v>
      </c>
      <c r="D211" t="s">
        <v>439</v>
      </c>
      <c r="E211" t="s">
        <v>349</v>
      </c>
      <c r="F211">
        <v>35</v>
      </c>
      <c r="G211">
        <v>6</v>
      </c>
      <c r="H211">
        <v>12</v>
      </c>
      <c r="I211">
        <v>18</v>
      </c>
      <c r="J211">
        <v>15</v>
      </c>
      <c r="K211">
        <v>8</v>
      </c>
      <c r="L211">
        <v>6</v>
      </c>
      <c r="M211">
        <v>0</v>
      </c>
      <c r="N211">
        <v>0</v>
      </c>
      <c r="O211">
        <v>2</v>
      </c>
      <c r="P211">
        <v>12</v>
      </c>
      <c r="Q211">
        <v>0</v>
      </c>
      <c r="R211">
        <v>0</v>
      </c>
      <c r="S211">
        <v>48</v>
      </c>
      <c r="T211">
        <v>12.5</v>
      </c>
      <c r="U211">
        <v>97</v>
      </c>
      <c r="V211" t="s">
        <v>2323</v>
      </c>
      <c r="W211" t="s">
        <v>2233</v>
      </c>
      <c r="X211">
        <v>0</v>
      </c>
      <c r="Y211">
        <v>0</v>
      </c>
      <c r="AA211">
        <v>74</v>
      </c>
      <c r="AB211">
        <v>53</v>
      </c>
      <c r="AC211">
        <v>5</v>
      </c>
      <c r="AD211">
        <v>24</v>
      </c>
      <c r="AE211" t="s">
        <v>60</v>
      </c>
    </row>
    <row r="212" spans="1:31" x14ac:dyDescent="0.2">
      <c r="A212">
        <v>209</v>
      </c>
      <c r="B212" t="s">
        <v>582</v>
      </c>
      <c r="C212">
        <v>34</v>
      </c>
      <c r="D212" t="s">
        <v>439</v>
      </c>
      <c r="E212" t="s">
        <v>340</v>
      </c>
      <c r="F212">
        <v>21</v>
      </c>
      <c r="G212">
        <v>9</v>
      </c>
      <c r="H212">
        <v>9</v>
      </c>
      <c r="I212">
        <v>18</v>
      </c>
      <c r="J212">
        <v>-10</v>
      </c>
      <c r="K212">
        <v>10</v>
      </c>
      <c r="L212">
        <v>4</v>
      </c>
      <c r="M212">
        <v>5</v>
      </c>
      <c r="N212">
        <v>0</v>
      </c>
      <c r="O212">
        <v>1</v>
      </c>
      <c r="P212">
        <v>5</v>
      </c>
      <c r="Q212">
        <v>4</v>
      </c>
      <c r="R212">
        <v>0</v>
      </c>
      <c r="S212">
        <v>49</v>
      </c>
      <c r="T212">
        <v>18.399999999999999</v>
      </c>
      <c r="U212">
        <v>82</v>
      </c>
      <c r="V212" t="s">
        <v>1650</v>
      </c>
      <c r="W212" t="s">
        <v>1083</v>
      </c>
      <c r="X212">
        <v>17</v>
      </c>
      <c r="Y212">
        <v>37</v>
      </c>
      <c r="Z212">
        <v>31.5</v>
      </c>
      <c r="AA212">
        <v>4</v>
      </c>
      <c r="AB212">
        <v>22</v>
      </c>
      <c r="AC212">
        <v>3</v>
      </c>
      <c r="AD212">
        <v>19</v>
      </c>
      <c r="AE212" t="s">
        <v>60</v>
      </c>
    </row>
    <row r="213" spans="1:31" x14ac:dyDescent="0.2">
      <c r="A213">
        <v>210</v>
      </c>
      <c r="B213" t="s">
        <v>556</v>
      </c>
      <c r="C213">
        <v>28</v>
      </c>
      <c r="D213" t="s">
        <v>461</v>
      </c>
      <c r="E213" t="s">
        <v>335</v>
      </c>
      <c r="F213">
        <v>35</v>
      </c>
      <c r="G213">
        <v>9</v>
      </c>
      <c r="H213">
        <v>8</v>
      </c>
      <c r="I213">
        <v>17</v>
      </c>
      <c r="J213">
        <v>-15</v>
      </c>
      <c r="K213">
        <v>2</v>
      </c>
      <c r="L213">
        <v>8</v>
      </c>
      <c r="M213">
        <v>1</v>
      </c>
      <c r="N213">
        <v>0</v>
      </c>
      <c r="O213">
        <v>2</v>
      </c>
      <c r="P213">
        <v>4</v>
      </c>
      <c r="Q213">
        <v>4</v>
      </c>
      <c r="R213">
        <v>0</v>
      </c>
      <c r="S213">
        <v>79</v>
      </c>
      <c r="T213">
        <v>11.4</v>
      </c>
      <c r="U213">
        <v>156</v>
      </c>
      <c r="V213" t="s">
        <v>2324</v>
      </c>
      <c r="W213" t="s">
        <v>450</v>
      </c>
      <c r="X213">
        <v>32</v>
      </c>
      <c r="Y213">
        <v>44</v>
      </c>
      <c r="Z213">
        <v>42.1</v>
      </c>
      <c r="AA213">
        <v>15</v>
      </c>
      <c r="AB213">
        <v>18</v>
      </c>
      <c r="AC213">
        <v>6</v>
      </c>
      <c r="AD213">
        <v>21</v>
      </c>
      <c r="AE213" t="s">
        <v>60</v>
      </c>
    </row>
    <row r="214" spans="1:31" x14ac:dyDescent="0.2">
      <c r="A214">
        <v>211</v>
      </c>
      <c r="B214" t="s">
        <v>639</v>
      </c>
      <c r="C214">
        <v>22</v>
      </c>
      <c r="D214" t="s">
        <v>365</v>
      </c>
      <c r="E214" t="s">
        <v>322</v>
      </c>
      <c r="F214">
        <v>38</v>
      </c>
      <c r="G214">
        <v>10</v>
      </c>
      <c r="H214">
        <v>7</v>
      </c>
      <c r="I214">
        <v>17</v>
      </c>
      <c r="J214">
        <v>-5</v>
      </c>
      <c r="K214">
        <v>14</v>
      </c>
      <c r="L214">
        <v>7</v>
      </c>
      <c r="M214">
        <v>3</v>
      </c>
      <c r="N214">
        <v>0</v>
      </c>
      <c r="O214">
        <v>2</v>
      </c>
      <c r="P214">
        <v>5</v>
      </c>
      <c r="Q214">
        <v>2</v>
      </c>
      <c r="R214">
        <v>0</v>
      </c>
      <c r="S214">
        <v>58</v>
      </c>
      <c r="T214">
        <v>17.2</v>
      </c>
      <c r="U214">
        <v>114</v>
      </c>
      <c r="V214" t="s">
        <v>2701</v>
      </c>
      <c r="W214" t="s">
        <v>946</v>
      </c>
      <c r="X214">
        <v>13</v>
      </c>
      <c r="Y214">
        <v>14</v>
      </c>
      <c r="Z214">
        <v>48.1</v>
      </c>
      <c r="AA214">
        <v>16</v>
      </c>
      <c r="AB214">
        <v>71</v>
      </c>
      <c r="AC214">
        <v>10</v>
      </c>
      <c r="AD214">
        <v>30</v>
      </c>
      <c r="AE214" t="s">
        <v>60</v>
      </c>
    </row>
    <row r="215" spans="1:31" x14ac:dyDescent="0.2">
      <c r="A215">
        <v>212</v>
      </c>
      <c r="B215" t="s">
        <v>667</v>
      </c>
      <c r="C215">
        <v>24</v>
      </c>
      <c r="D215" t="s">
        <v>415</v>
      </c>
      <c r="E215" t="s">
        <v>335</v>
      </c>
      <c r="F215">
        <v>37</v>
      </c>
      <c r="G215">
        <v>9</v>
      </c>
      <c r="H215">
        <v>8</v>
      </c>
      <c r="I215">
        <v>17</v>
      </c>
      <c r="J215">
        <v>-3</v>
      </c>
      <c r="K215">
        <v>18</v>
      </c>
      <c r="L215">
        <v>7</v>
      </c>
      <c r="M215">
        <v>2</v>
      </c>
      <c r="N215">
        <v>0</v>
      </c>
      <c r="O215">
        <v>1</v>
      </c>
      <c r="P215">
        <v>6</v>
      </c>
      <c r="Q215">
        <v>2</v>
      </c>
      <c r="R215">
        <v>0</v>
      </c>
      <c r="S215">
        <v>68</v>
      </c>
      <c r="T215">
        <v>13.2</v>
      </c>
      <c r="U215">
        <v>116</v>
      </c>
      <c r="V215" t="s">
        <v>1906</v>
      </c>
      <c r="W215" t="s">
        <v>1908</v>
      </c>
      <c r="X215">
        <v>11</v>
      </c>
      <c r="Y215">
        <v>25</v>
      </c>
      <c r="Z215">
        <v>30.6</v>
      </c>
      <c r="AA215">
        <v>20</v>
      </c>
      <c r="AB215">
        <v>45</v>
      </c>
      <c r="AC215">
        <v>5</v>
      </c>
      <c r="AD215">
        <v>18</v>
      </c>
      <c r="AE215" t="s">
        <v>60</v>
      </c>
    </row>
    <row r="216" spans="1:31" x14ac:dyDescent="0.2">
      <c r="A216">
        <v>213</v>
      </c>
      <c r="B216" t="s">
        <v>644</v>
      </c>
      <c r="C216">
        <v>29</v>
      </c>
      <c r="D216" t="s">
        <v>461</v>
      </c>
      <c r="E216" t="s">
        <v>340</v>
      </c>
      <c r="F216">
        <v>37</v>
      </c>
      <c r="G216">
        <v>9</v>
      </c>
      <c r="H216">
        <v>8</v>
      </c>
      <c r="I216">
        <v>17</v>
      </c>
      <c r="J216">
        <v>-9</v>
      </c>
      <c r="K216">
        <v>4</v>
      </c>
      <c r="L216">
        <v>1</v>
      </c>
      <c r="M216">
        <v>8</v>
      </c>
      <c r="N216">
        <v>0</v>
      </c>
      <c r="O216">
        <v>0</v>
      </c>
      <c r="P216">
        <v>7</v>
      </c>
      <c r="Q216">
        <v>1</v>
      </c>
      <c r="R216">
        <v>0</v>
      </c>
      <c r="S216">
        <v>101</v>
      </c>
      <c r="T216">
        <v>8.9</v>
      </c>
      <c r="U216">
        <v>171</v>
      </c>
      <c r="V216" t="s">
        <v>2325</v>
      </c>
      <c r="W216" t="s">
        <v>482</v>
      </c>
      <c r="X216">
        <v>11</v>
      </c>
      <c r="Y216">
        <v>14</v>
      </c>
      <c r="Z216">
        <v>44</v>
      </c>
      <c r="AA216">
        <v>13</v>
      </c>
      <c r="AB216">
        <v>29</v>
      </c>
      <c r="AC216">
        <v>4</v>
      </c>
      <c r="AD216">
        <v>21</v>
      </c>
      <c r="AE216" t="s">
        <v>60</v>
      </c>
    </row>
    <row r="217" spans="1:31" x14ac:dyDescent="0.2">
      <c r="A217">
        <v>214</v>
      </c>
      <c r="B217" t="s">
        <v>716</v>
      </c>
      <c r="C217">
        <v>30</v>
      </c>
      <c r="D217" t="s">
        <v>361</v>
      </c>
      <c r="E217" t="s">
        <v>340</v>
      </c>
      <c r="F217">
        <v>36</v>
      </c>
      <c r="G217">
        <v>4</v>
      </c>
      <c r="H217">
        <v>13</v>
      </c>
      <c r="I217">
        <v>17</v>
      </c>
      <c r="J217">
        <v>-13</v>
      </c>
      <c r="K217">
        <v>18</v>
      </c>
      <c r="L217">
        <v>4</v>
      </c>
      <c r="M217">
        <v>0</v>
      </c>
      <c r="N217">
        <v>0</v>
      </c>
      <c r="O217">
        <v>2</v>
      </c>
      <c r="P217">
        <v>9</v>
      </c>
      <c r="Q217">
        <v>4</v>
      </c>
      <c r="R217">
        <v>0</v>
      </c>
      <c r="S217">
        <v>54</v>
      </c>
      <c r="T217">
        <v>7.4</v>
      </c>
      <c r="U217">
        <v>103</v>
      </c>
      <c r="V217" t="s">
        <v>2702</v>
      </c>
      <c r="W217" t="s">
        <v>838</v>
      </c>
      <c r="X217">
        <v>101</v>
      </c>
      <c r="Y217">
        <v>91</v>
      </c>
      <c r="Z217">
        <v>52.6</v>
      </c>
      <c r="AA217">
        <v>16</v>
      </c>
      <c r="AB217">
        <v>19</v>
      </c>
      <c r="AC217">
        <v>8</v>
      </c>
      <c r="AD217">
        <v>44</v>
      </c>
      <c r="AE217" t="s">
        <v>60</v>
      </c>
    </row>
    <row r="218" spans="1:31" x14ac:dyDescent="0.2">
      <c r="A218">
        <v>215</v>
      </c>
      <c r="B218" t="s">
        <v>717</v>
      </c>
      <c r="C218">
        <v>23</v>
      </c>
      <c r="D218" t="s">
        <v>415</v>
      </c>
      <c r="E218" t="s">
        <v>349</v>
      </c>
      <c r="F218">
        <v>37</v>
      </c>
      <c r="G218">
        <v>3</v>
      </c>
      <c r="H218">
        <v>14</v>
      </c>
      <c r="I218">
        <v>17</v>
      </c>
      <c r="J218">
        <v>1</v>
      </c>
      <c r="K218">
        <v>18</v>
      </c>
      <c r="L218">
        <v>3</v>
      </c>
      <c r="M218">
        <v>0</v>
      </c>
      <c r="N218">
        <v>0</v>
      </c>
      <c r="O218">
        <v>1</v>
      </c>
      <c r="P218">
        <v>12</v>
      </c>
      <c r="Q218">
        <v>2</v>
      </c>
      <c r="R218">
        <v>0</v>
      </c>
      <c r="S218">
        <v>42</v>
      </c>
      <c r="T218">
        <v>7.1</v>
      </c>
      <c r="U218">
        <v>121</v>
      </c>
      <c r="V218" t="s">
        <v>2703</v>
      </c>
      <c r="W218" t="s">
        <v>1676</v>
      </c>
      <c r="X218">
        <v>0</v>
      </c>
      <c r="Y218">
        <v>0</v>
      </c>
      <c r="AA218">
        <v>40</v>
      </c>
      <c r="AB218">
        <v>8</v>
      </c>
      <c r="AC218">
        <v>7</v>
      </c>
      <c r="AD218">
        <v>23</v>
      </c>
      <c r="AE218" t="s">
        <v>60</v>
      </c>
    </row>
    <row r="219" spans="1:31" x14ac:dyDescent="0.2">
      <c r="A219">
        <v>216</v>
      </c>
      <c r="B219" t="s">
        <v>611</v>
      </c>
      <c r="C219">
        <v>35</v>
      </c>
      <c r="D219" t="s">
        <v>328</v>
      </c>
      <c r="E219" t="s">
        <v>349</v>
      </c>
      <c r="F219">
        <v>39</v>
      </c>
      <c r="G219">
        <v>3</v>
      </c>
      <c r="H219">
        <v>14</v>
      </c>
      <c r="I219">
        <v>17</v>
      </c>
      <c r="J219">
        <v>4</v>
      </c>
      <c r="K219">
        <v>14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2</v>
      </c>
      <c r="R219">
        <v>0</v>
      </c>
      <c r="S219">
        <v>72</v>
      </c>
      <c r="T219">
        <v>4.2</v>
      </c>
      <c r="U219">
        <v>164</v>
      </c>
      <c r="V219" t="s">
        <v>2326</v>
      </c>
      <c r="W219" t="s">
        <v>468</v>
      </c>
      <c r="X219">
        <v>0</v>
      </c>
      <c r="Y219">
        <v>0</v>
      </c>
      <c r="AA219">
        <v>63</v>
      </c>
      <c r="AB219">
        <v>38</v>
      </c>
      <c r="AC219">
        <v>16</v>
      </c>
      <c r="AD219">
        <v>56</v>
      </c>
      <c r="AE219" t="s">
        <v>60</v>
      </c>
    </row>
    <row r="220" spans="1:31" x14ac:dyDescent="0.2">
      <c r="A220">
        <v>217</v>
      </c>
      <c r="B220" t="s">
        <v>617</v>
      </c>
      <c r="C220">
        <v>34</v>
      </c>
      <c r="D220" t="s">
        <v>402</v>
      </c>
      <c r="E220" t="s">
        <v>340</v>
      </c>
      <c r="F220">
        <v>37</v>
      </c>
      <c r="G220">
        <v>7</v>
      </c>
      <c r="H220">
        <v>10</v>
      </c>
      <c r="I220">
        <v>17</v>
      </c>
      <c r="J220">
        <v>4</v>
      </c>
      <c r="K220">
        <v>14</v>
      </c>
      <c r="L220">
        <v>5</v>
      </c>
      <c r="M220">
        <v>2</v>
      </c>
      <c r="N220">
        <v>0</v>
      </c>
      <c r="O220">
        <v>0</v>
      </c>
      <c r="P220">
        <v>10</v>
      </c>
      <c r="Q220">
        <v>0</v>
      </c>
      <c r="R220">
        <v>0</v>
      </c>
      <c r="S220">
        <v>60</v>
      </c>
      <c r="T220">
        <v>11.7</v>
      </c>
      <c r="U220">
        <v>128</v>
      </c>
      <c r="V220" t="s">
        <v>2327</v>
      </c>
      <c r="W220" t="s">
        <v>873</v>
      </c>
      <c r="X220">
        <v>13</v>
      </c>
      <c r="Y220">
        <v>20</v>
      </c>
      <c r="Z220">
        <v>39.4</v>
      </c>
      <c r="AA220">
        <v>16</v>
      </c>
      <c r="AB220">
        <v>21</v>
      </c>
      <c r="AC220">
        <v>10</v>
      </c>
      <c r="AD220">
        <v>24</v>
      </c>
      <c r="AE220" t="s">
        <v>60</v>
      </c>
    </row>
    <row r="221" spans="1:31" x14ac:dyDescent="0.2">
      <c r="A221">
        <v>218</v>
      </c>
      <c r="B221" t="s">
        <v>546</v>
      </c>
      <c r="C221">
        <v>24</v>
      </c>
      <c r="D221" t="s">
        <v>536</v>
      </c>
      <c r="E221" t="s">
        <v>322</v>
      </c>
      <c r="F221">
        <v>33</v>
      </c>
      <c r="G221">
        <v>8</v>
      </c>
      <c r="H221">
        <v>9</v>
      </c>
      <c r="I221">
        <v>17</v>
      </c>
      <c r="J221">
        <v>-11</v>
      </c>
      <c r="K221">
        <v>11</v>
      </c>
      <c r="L221">
        <v>7</v>
      </c>
      <c r="M221">
        <v>1</v>
      </c>
      <c r="N221">
        <v>0</v>
      </c>
      <c r="O221">
        <v>1</v>
      </c>
      <c r="P221">
        <v>7</v>
      </c>
      <c r="Q221">
        <v>2</v>
      </c>
      <c r="R221">
        <v>0</v>
      </c>
      <c r="S221">
        <v>76</v>
      </c>
      <c r="T221">
        <v>10.5</v>
      </c>
      <c r="U221">
        <v>147</v>
      </c>
      <c r="V221" t="s">
        <v>1760</v>
      </c>
      <c r="W221" t="s">
        <v>1716</v>
      </c>
      <c r="X221">
        <v>11</v>
      </c>
      <c r="Y221">
        <v>10</v>
      </c>
      <c r="Z221">
        <v>52.4</v>
      </c>
      <c r="AA221">
        <v>26</v>
      </c>
      <c r="AB221">
        <v>91</v>
      </c>
      <c r="AC221">
        <v>4</v>
      </c>
      <c r="AD221">
        <v>20</v>
      </c>
      <c r="AE221" t="s">
        <v>60</v>
      </c>
    </row>
    <row r="222" spans="1:31" x14ac:dyDescent="0.2">
      <c r="A222">
        <v>219</v>
      </c>
      <c r="B222" t="s">
        <v>801</v>
      </c>
      <c r="C222">
        <v>24</v>
      </c>
      <c r="D222" t="s">
        <v>387</v>
      </c>
      <c r="E222" t="s">
        <v>335</v>
      </c>
      <c r="F222">
        <v>38</v>
      </c>
      <c r="G222">
        <v>8</v>
      </c>
      <c r="H222">
        <v>9</v>
      </c>
      <c r="I222">
        <v>17</v>
      </c>
      <c r="J222">
        <v>0</v>
      </c>
      <c r="K222">
        <v>10</v>
      </c>
      <c r="L222">
        <v>7</v>
      </c>
      <c r="M222">
        <v>0</v>
      </c>
      <c r="N222">
        <v>1</v>
      </c>
      <c r="O222">
        <v>1</v>
      </c>
      <c r="P222">
        <v>7</v>
      </c>
      <c r="Q222">
        <v>1</v>
      </c>
      <c r="R222">
        <v>1</v>
      </c>
      <c r="S222">
        <v>37</v>
      </c>
      <c r="T222">
        <v>21.6</v>
      </c>
      <c r="U222">
        <v>87</v>
      </c>
      <c r="V222" t="s">
        <v>2704</v>
      </c>
      <c r="W222" t="s">
        <v>2142</v>
      </c>
      <c r="X222">
        <v>2</v>
      </c>
      <c r="Y222">
        <v>8</v>
      </c>
      <c r="Z222">
        <v>20</v>
      </c>
      <c r="AA222">
        <v>28</v>
      </c>
      <c r="AB222">
        <v>7</v>
      </c>
      <c r="AC222">
        <v>14</v>
      </c>
      <c r="AD222">
        <v>27</v>
      </c>
      <c r="AE222" t="s">
        <v>60</v>
      </c>
    </row>
    <row r="223" spans="1:31" x14ac:dyDescent="0.2">
      <c r="A223">
        <v>220</v>
      </c>
      <c r="B223" t="s">
        <v>622</v>
      </c>
      <c r="C223">
        <v>20</v>
      </c>
      <c r="D223" t="s">
        <v>330</v>
      </c>
      <c r="E223" t="s">
        <v>349</v>
      </c>
      <c r="F223">
        <v>36</v>
      </c>
      <c r="G223">
        <v>1</v>
      </c>
      <c r="H223">
        <v>16</v>
      </c>
      <c r="I223">
        <v>17</v>
      </c>
      <c r="J223">
        <v>-13</v>
      </c>
      <c r="K223">
        <v>22</v>
      </c>
      <c r="L223">
        <v>1</v>
      </c>
      <c r="M223">
        <v>0</v>
      </c>
      <c r="N223">
        <v>0</v>
      </c>
      <c r="O223">
        <v>0</v>
      </c>
      <c r="P223">
        <v>7</v>
      </c>
      <c r="Q223">
        <v>9</v>
      </c>
      <c r="R223">
        <v>0</v>
      </c>
      <c r="S223">
        <v>45</v>
      </c>
      <c r="T223">
        <v>2.2000000000000002</v>
      </c>
      <c r="U223">
        <v>102</v>
      </c>
      <c r="V223" t="s">
        <v>2705</v>
      </c>
      <c r="W223" t="s">
        <v>455</v>
      </c>
      <c r="X223">
        <v>0</v>
      </c>
      <c r="Y223">
        <v>0</v>
      </c>
      <c r="AA223">
        <v>38</v>
      </c>
      <c r="AB223">
        <v>34</v>
      </c>
      <c r="AC223">
        <v>6</v>
      </c>
      <c r="AD223">
        <v>45</v>
      </c>
      <c r="AE223" t="s">
        <v>60</v>
      </c>
    </row>
    <row r="224" spans="1:31" x14ac:dyDescent="0.2">
      <c r="A224">
        <v>221</v>
      </c>
      <c r="B224" t="s">
        <v>759</v>
      </c>
      <c r="C224">
        <v>31</v>
      </c>
      <c r="D224" t="s">
        <v>334</v>
      </c>
      <c r="E224" t="s">
        <v>349</v>
      </c>
      <c r="F224">
        <v>39</v>
      </c>
      <c r="G224">
        <v>4</v>
      </c>
      <c r="H224">
        <v>13</v>
      </c>
      <c r="I224">
        <v>17</v>
      </c>
      <c r="J224">
        <v>18</v>
      </c>
      <c r="K224">
        <v>6</v>
      </c>
      <c r="L224">
        <v>4</v>
      </c>
      <c r="M224">
        <v>0</v>
      </c>
      <c r="N224">
        <v>0</v>
      </c>
      <c r="O224">
        <v>0</v>
      </c>
      <c r="P224">
        <v>12</v>
      </c>
      <c r="Q224">
        <v>0</v>
      </c>
      <c r="R224">
        <v>1</v>
      </c>
      <c r="S224">
        <v>39</v>
      </c>
      <c r="T224">
        <v>10.3</v>
      </c>
      <c r="U224">
        <v>91</v>
      </c>
      <c r="V224" t="s">
        <v>2328</v>
      </c>
      <c r="W224" t="s">
        <v>2022</v>
      </c>
      <c r="X224">
        <v>0</v>
      </c>
      <c r="Y224">
        <v>0</v>
      </c>
      <c r="AA224">
        <v>88</v>
      </c>
      <c r="AB224">
        <v>18</v>
      </c>
      <c r="AC224">
        <v>17</v>
      </c>
      <c r="AD224">
        <v>63</v>
      </c>
      <c r="AE224" t="s">
        <v>60</v>
      </c>
    </row>
    <row r="225" spans="1:31" x14ac:dyDescent="0.2">
      <c r="A225">
        <v>222</v>
      </c>
      <c r="B225" t="s">
        <v>624</v>
      </c>
      <c r="C225">
        <v>28</v>
      </c>
      <c r="D225" t="s">
        <v>412</v>
      </c>
      <c r="E225" t="s">
        <v>349</v>
      </c>
      <c r="F225">
        <v>39</v>
      </c>
      <c r="G225">
        <v>2</v>
      </c>
      <c r="H225">
        <v>15</v>
      </c>
      <c r="I225">
        <v>17</v>
      </c>
      <c r="J225">
        <v>15</v>
      </c>
      <c r="K225">
        <v>8</v>
      </c>
      <c r="L225">
        <v>1</v>
      </c>
      <c r="M225">
        <v>0</v>
      </c>
      <c r="N225">
        <v>1</v>
      </c>
      <c r="O225">
        <v>0</v>
      </c>
      <c r="P225">
        <v>15</v>
      </c>
      <c r="Q225">
        <v>0</v>
      </c>
      <c r="R225">
        <v>0</v>
      </c>
      <c r="S225">
        <v>33</v>
      </c>
      <c r="T225">
        <v>6.1</v>
      </c>
      <c r="U225">
        <v>97</v>
      </c>
      <c r="V225" t="s">
        <v>2112</v>
      </c>
      <c r="W225" t="s">
        <v>1715</v>
      </c>
      <c r="X225">
        <v>0</v>
      </c>
      <c r="Y225">
        <v>0</v>
      </c>
      <c r="AA225">
        <v>38</v>
      </c>
      <c r="AB225">
        <v>11</v>
      </c>
      <c r="AC225">
        <v>9</v>
      </c>
      <c r="AD225">
        <v>50</v>
      </c>
      <c r="AE225" t="s">
        <v>60</v>
      </c>
    </row>
    <row r="226" spans="1:31" x14ac:dyDescent="0.2">
      <c r="A226">
        <v>223</v>
      </c>
      <c r="B226" t="s">
        <v>688</v>
      </c>
      <c r="C226">
        <v>23</v>
      </c>
      <c r="D226" t="s">
        <v>536</v>
      </c>
      <c r="E226" t="s">
        <v>340</v>
      </c>
      <c r="F226">
        <v>27</v>
      </c>
      <c r="G226">
        <v>10</v>
      </c>
      <c r="H226">
        <v>7</v>
      </c>
      <c r="I226">
        <v>17</v>
      </c>
      <c r="J226">
        <v>-6</v>
      </c>
      <c r="K226">
        <v>14</v>
      </c>
      <c r="L226">
        <v>10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37</v>
      </c>
      <c r="T226">
        <v>27</v>
      </c>
      <c r="U226">
        <v>75</v>
      </c>
      <c r="V226" t="s">
        <v>2329</v>
      </c>
      <c r="W226" t="s">
        <v>1775</v>
      </c>
      <c r="X226">
        <v>2</v>
      </c>
      <c r="Y226">
        <v>3</v>
      </c>
      <c r="Z226">
        <v>40</v>
      </c>
      <c r="AA226">
        <v>10</v>
      </c>
      <c r="AB226">
        <v>72</v>
      </c>
      <c r="AC226">
        <v>4</v>
      </c>
      <c r="AD226">
        <v>17</v>
      </c>
      <c r="AE226" t="s">
        <v>60</v>
      </c>
    </row>
    <row r="227" spans="1:31" x14ac:dyDescent="0.2">
      <c r="A227">
        <v>224</v>
      </c>
      <c r="B227" t="s">
        <v>631</v>
      </c>
      <c r="C227">
        <v>31</v>
      </c>
      <c r="D227" t="s">
        <v>387</v>
      </c>
      <c r="E227" t="s">
        <v>349</v>
      </c>
      <c r="F227">
        <v>39</v>
      </c>
      <c r="G227">
        <v>1</v>
      </c>
      <c r="H227">
        <v>16</v>
      </c>
      <c r="I227">
        <v>17</v>
      </c>
      <c r="J227">
        <v>8</v>
      </c>
      <c r="K227">
        <v>2</v>
      </c>
      <c r="L227">
        <v>1</v>
      </c>
      <c r="M227">
        <v>0</v>
      </c>
      <c r="N227">
        <v>0</v>
      </c>
      <c r="O227">
        <v>0</v>
      </c>
      <c r="P227">
        <v>14</v>
      </c>
      <c r="Q227">
        <v>1</v>
      </c>
      <c r="R227">
        <v>1</v>
      </c>
      <c r="S227">
        <v>49</v>
      </c>
      <c r="T227">
        <v>2</v>
      </c>
      <c r="U227">
        <v>115</v>
      </c>
      <c r="V227" t="s">
        <v>2706</v>
      </c>
      <c r="W227" t="s">
        <v>1664</v>
      </c>
      <c r="X227">
        <v>0</v>
      </c>
      <c r="Y227">
        <v>0</v>
      </c>
      <c r="AA227">
        <v>75</v>
      </c>
      <c r="AB227">
        <v>29</v>
      </c>
      <c r="AC227">
        <v>13</v>
      </c>
      <c r="AD227">
        <v>45</v>
      </c>
      <c r="AE227" t="s">
        <v>60</v>
      </c>
    </row>
    <row r="228" spans="1:31" x14ac:dyDescent="0.2">
      <c r="A228">
        <v>225</v>
      </c>
      <c r="B228" t="s">
        <v>698</v>
      </c>
      <c r="C228">
        <v>24</v>
      </c>
      <c r="D228" t="s">
        <v>361</v>
      </c>
      <c r="E228" t="s">
        <v>340</v>
      </c>
      <c r="F228">
        <v>36</v>
      </c>
      <c r="G228">
        <v>8</v>
      </c>
      <c r="H228">
        <v>9</v>
      </c>
      <c r="I228">
        <v>17</v>
      </c>
      <c r="J228">
        <v>-3</v>
      </c>
      <c r="K228">
        <v>0</v>
      </c>
      <c r="L228">
        <v>7</v>
      </c>
      <c r="M228">
        <v>1</v>
      </c>
      <c r="N228">
        <v>0</v>
      </c>
      <c r="O228">
        <v>1</v>
      </c>
      <c r="P228">
        <v>8</v>
      </c>
      <c r="Q228">
        <v>1</v>
      </c>
      <c r="R228">
        <v>0</v>
      </c>
      <c r="S228">
        <v>62</v>
      </c>
      <c r="T228">
        <v>12.9</v>
      </c>
      <c r="U228">
        <v>97</v>
      </c>
      <c r="V228" t="s">
        <v>1844</v>
      </c>
      <c r="W228" t="s">
        <v>821</v>
      </c>
      <c r="X228">
        <v>6</v>
      </c>
      <c r="Y228">
        <v>5</v>
      </c>
      <c r="Z228">
        <v>54.5</v>
      </c>
      <c r="AA228">
        <v>19</v>
      </c>
      <c r="AB228">
        <v>39</v>
      </c>
      <c r="AC228">
        <v>13</v>
      </c>
      <c r="AD228">
        <v>34</v>
      </c>
      <c r="AE228" t="s">
        <v>60</v>
      </c>
    </row>
    <row r="229" spans="1:31" x14ac:dyDescent="0.2">
      <c r="A229">
        <v>226</v>
      </c>
      <c r="B229" t="s">
        <v>550</v>
      </c>
      <c r="C229">
        <v>34</v>
      </c>
      <c r="D229" t="s">
        <v>334</v>
      </c>
      <c r="E229" t="s">
        <v>322</v>
      </c>
      <c r="F229">
        <v>27</v>
      </c>
      <c r="G229">
        <v>7</v>
      </c>
      <c r="H229">
        <v>10</v>
      </c>
      <c r="I229">
        <v>17</v>
      </c>
      <c r="J229">
        <v>10</v>
      </c>
      <c r="K229">
        <v>2</v>
      </c>
      <c r="L229">
        <v>6</v>
      </c>
      <c r="M229">
        <v>1</v>
      </c>
      <c r="N229">
        <v>0</v>
      </c>
      <c r="O229">
        <v>2</v>
      </c>
      <c r="P229">
        <v>7</v>
      </c>
      <c r="Q229">
        <v>3</v>
      </c>
      <c r="R229">
        <v>0</v>
      </c>
      <c r="S229">
        <v>31</v>
      </c>
      <c r="T229">
        <v>22.6</v>
      </c>
      <c r="U229">
        <v>69</v>
      </c>
      <c r="V229" t="s">
        <v>551</v>
      </c>
      <c r="W229" t="s">
        <v>552</v>
      </c>
      <c r="X229">
        <v>126</v>
      </c>
      <c r="Y229">
        <v>109</v>
      </c>
      <c r="Z229">
        <v>53.6</v>
      </c>
      <c r="AA229">
        <v>6</v>
      </c>
      <c r="AB229">
        <v>18</v>
      </c>
      <c r="AC229">
        <v>3</v>
      </c>
      <c r="AD229">
        <v>21</v>
      </c>
      <c r="AE229" t="s">
        <v>60</v>
      </c>
    </row>
    <row r="230" spans="1:31" x14ac:dyDescent="0.2">
      <c r="A230">
        <v>227</v>
      </c>
      <c r="B230" t="s">
        <v>553</v>
      </c>
      <c r="C230">
        <v>31</v>
      </c>
      <c r="D230" t="s">
        <v>330</v>
      </c>
      <c r="E230" t="s">
        <v>325</v>
      </c>
      <c r="F230">
        <v>37</v>
      </c>
      <c r="G230">
        <v>6</v>
      </c>
      <c r="H230">
        <v>11</v>
      </c>
      <c r="I230">
        <v>17</v>
      </c>
      <c r="J230">
        <v>-10</v>
      </c>
      <c r="K230">
        <v>4</v>
      </c>
      <c r="L230">
        <v>4</v>
      </c>
      <c r="M230">
        <v>2</v>
      </c>
      <c r="N230">
        <v>0</v>
      </c>
      <c r="O230">
        <v>1</v>
      </c>
      <c r="P230">
        <v>5</v>
      </c>
      <c r="Q230">
        <v>6</v>
      </c>
      <c r="R230">
        <v>0</v>
      </c>
      <c r="S230">
        <v>44</v>
      </c>
      <c r="T230">
        <v>13.6</v>
      </c>
      <c r="U230">
        <v>95</v>
      </c>
      <c r="V230" t="s">
        <v>2707</v>
      </c>
      <c r="W230" t="s">
        <v>452</v>
      </c>
      <c r="X230">
        <v>32</v>
      </c>
      <c r="Y230">
        <v>35</v>
      </c>
      <c r="Z230">
        <v>47.8</v>
      </c>
      <c r="AA230">
        <v>25</v>
      </c>
      <c r="AB230">
        <v>15</v>
      </c>
      <c r="AC230">
        <v>12</v>
      </c>
      <c r="AD230">
        <v>37</v>
      </c>
      <c r="AE230" t="s">
        <v>60</v>
      </c>
    </row>
    <row r="231" spans="1:31" x14ac:dyDescent="0.2">
      <c r="A231">
        <v>228</v>
      </c>
      <c r="B231" t="s">
        <v>909</v>
      </c>
      <c r="C231">
        <v>26</v>
      </c>
      <c r="D231" t="s">
        <v>426</v>
      </c>
      <c r="E231" t="s">
        <v>340</v>
      </c>
      <c r="F231">
        <v>17</v>
      </c>
      <c r="G231">
        <v>6</v>
      </c>
      <c r="H231">
        <v>11</v>
      </c>
      <c r="I231">
        <v>17</v>
      </c>
      <c r="J231">
        <v>-2</v>
      </c>
      <c r="K231">
        <v>12</v>
      </c>
      <c r="L231">
        <v>5</v>
      </c>
      <c r="M231">
        <v>1</v>
      </c>
      <c r="N231">
        <v>0</v>
      </c>
      <c r="O231">
        <v>2</v>
      </c>
      <c r="P231">
        <v>6</v>
      </c>
      <c r="Q231">
        <v>5</v>
      </c>
      <c r="R231">
        <v>0</v>
      </c>
      <c r="S231">
        <v>76</v>
      </c>
      <c r="T231">
        <v>7.9</v>
      </c>
      <c r="U231">
        <v>128</v>
      </c>
      <c r="V231" t="s">
        <v>2330</v>
      </c>
      <c r="W231" t="s">
        <v>446</v>
      </c>
      <c r="X231">
        <v>43</v>
      </c>
      <c r="Y231">
        <v>36</v>
      </c>
      <c r="Z231">
        <v>54.4</v>
      </c>
      <c r="AA231">
        <v>4</v>
      </c>
      <c r="AB231">
        <v>52</v>
      </c>
      <c r="AC231">
        <v>4</v>
      </c>
      <c r="AD231">
        <v>12</v>
      </c>
      <c r="AE231" t="s">
        <v>60</v>
      </c>
    </row>
    <row r="232" spans="1:31" x14ac:dyDescent="0.2">
      <c r="A232">
        <v>229</v>
      </c>
      <c r="B232" t="s">
        <v>636</v>
      </c>
      <c r="C232">
        <v>31</v>
      </c>
      <c r="D232" t="s">
        <v>337</v>
      </c>
      <c r="E232" t="s">
        <v>349</v>
      </c>
      <c r="F232">
        <v>38</v>
      </c>
      <c r="G232">
        <v>6</v>
      </c>
      <c r="H232">
        <v>11</v>
      </c>
      <c r="I232">
        <v>17</v>
      </c>
      <c r="J232">
        <v>11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10</v>
      </c>
      <c r="Q232">
        <v>0</v>
      </c>
      <c r="R232">
        <v>1</v>
      </c>
      <c r="S232">
        <v>69</v>
      </c>
      <c r="T232">
        <v>8.6999999999999993</v>
      </c>
      <c r="U232">
        <v>147</v>
      </c>
      <c r="V232" t="s">
        <v>2331</v>
      </c>
      <c r="W232" t="s">
        <v>1722</v>
      </c>
      <c r="X232">
        <v>0</v>
      </c>
      <c r="Y232">
        <v>0</v>
      </c>
      <c r="AA232">
        <v>69</v>
      </c>
      <c r="AB232">
        <v>76</v>
      </c>
      <c r="AC232">
        <v>11</v>
      </c>
      <c r="AD232">
        <v>45</v>
      </c>
      <c r="AE232" t="s">
        <v>60</v>
      </c>
    </row>
    <row r="233" spans="1:31" x14ac:dyDescent="0.2">
      <c r="A233">
        <v>230</v>
      </c>
      <c r="B233" t="s">
        <v>779</v>
      </c>
      <c r="C233">
        <v>26</v>
      </c>
      <c r="D233" t="s">
        <v>426</v>
      </c>
      <c r="E233" t="s">
        <v>58</v>
      </c>
      <c r="F233">
        <v>37</v>
      </c>
      <c r="G233">
        <v>9</v>
      </c>
      <c r="H233">
        <v>8</v>
      </c>
      <c r="I233">
        <v>17</v>
      </c>
      <c r="J233">
        <v>-2</v>
      </c>
      <c r="K233">
        <v>8</v>
      </c>
      <c r="L233">
        <v>5</v>
      </c>
      <c r="M233">
        <v>4</v>
      </c>
      <c r="N233">
        <v>0</v>
      </c>
      <c r="O233">
        <v>1</v>
      </c>
      <c r="P233">
        <v>7</v>
      </c>
      <c r="Q233">
        <v>1</v>
      </c>
      <c r="R233">
        <v>0</v>
      </c>
      <c r="S233">
        <v>66</v>
      </c>
      <c r="T233">
        <v>13.6</v>
      </c>
      <c r="U233">
        <v>131</v>
      </c>
      <c r="V233" t="s">
        <v>2332</v>
      </c>
      <c r="W233" t="s">
        <v>1726</v>
      </c>
      <c r="X233">
        <v>2</v>
      </c>
      <c r="Y233">
        <v>4</v>
      </c>
      <c r="Z233">
        <v>33.299999999999997</v>
      </c>
      <c r="AA233">
        <v>14</v>
      </c>
      <c r="AB233">
        <v>69</v>
      </c>
      <c r="AC233">
        <v>8</v>
      </c>
      <c r="AD233">
        <v>18</v>
      </c>
      <c r="AE233" t="s">
        <v>60</v>
      </c>
    </row>
    <row r="234" spans="1:31" x14ac:dyDescent="0.2">
      <c r="A234">
        <v>231</v>
      </c>
      <c r="B234" t="s">
        <v>641</v>
      </c>
      <c r="C234">
        <v>20</v>
      </c>
      <c r="D234" t="s">
        <v>1022</v>
      </c>
      <c r="E234" t="s">
        <v>349</v>
      </c>
      <c r="F234">
        <v>37</v>
      </c>
      <c r="G234">
        <v>4</v>
      </c>
      <c r="H234">
        <v>13</v>
      </c>
      <c r="I234">
        <v>17</v>
      </c>
      <c r="J234">
        <v>-10</v>
      </c>
      <c r="K234">
        <v>12</v>
      </c>
      <c r="L234">
        <v>1</v>
      </c>
      <c r="M234">
        <v>3</v>
      </c>
      <c r="N234">
        <v>0</v>
      </c>
      <c r="O234">
        <v>1</v>
      </c>
      <c r="P234">
        <v>6</v>
      </c>
      <c r="Q234">
        <v>7</v>
      </c>
      <c r="R234">
        <v>0</v>
      </c>
      <c r="S234">
        <v>35</v>
      </c>
      <c r="T234">
        <v>11.4</v>
      </c>
      <c r="U234">
        <v>100</v>
      </c>
      <c r="V234" t="s">
        <v>2333</v>
      </c>
      <c r="W234" t="s">
        <v>2015</v>
      </c>
      <c r="X234">
        <v>0</v>
      </c>
      <c r="Y234">
        <v>0</v>
      </c>
      <c r="AA234">
        <v>20</v>
      </c>
      <c r="AB234">
        <v>11</v>
      </c>
      <c r="AC234">
        <v>6</v>
      </c>
      <c r="AD234">
        <v>35</v>
      </c>
      <c r="AE234" t="s">
        <v>60</v>
      </c>
    </row>
    <row r="235" spans="1:31" x14ac:dyDescent="0.2">
      <c r="A235">
        <v>231</v>
      </c>
      <c r="B235" t="s">
        <v>641</v>
      </c>
      <c r="C235">
        <v>20</v>
      </c>
      <c r="D235" t="s">
        <v>359</v>
      </c>
      <c r="E235" t="s">
        <v>349</v>
      </c>
      <c r="F235">
        <v>31</v>
      </c>
      <c r="G235">
        <v>3</v>
      </c>
      <c r="H235">
        <v>11</v>
      </c>
      <c r="I235">
        <v>14</v>
      </c>
      <c r="J235">
        <v>-9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5</v>
      </c>
      <c r="Q235">
        <v>6</v>
      </c>
      <c r="R235">
        <v>0</v>
      </c>
      <c r="S235">
        <v>31</v>
      </c>
      <c r="T235">
        <v>9.6999999999999993</v>
      </c>
      <c r="U235">
        <v>84</v>
      </c>
      <c r="V235" t="s">
        <v>1727</v>
      </c>
      <c r="W235" t="s">
        <v>1718</v>
      </c>
      <c r="X235">
        <v>0</v>
      </c>
      <c r="Y235">
        <v>0</v>
      </c>
      <c r="AA235">
        <v>15</v>
      </c>
      <c r="AB235">
        <v>9</v>
      </c>
      <c r="AC235">
        <v>5</v>
      </c>
      <c r="AD235">
        <v>32</v>
      </c>
      <c r="AE235" t="s">
        <v>60</v>
      </c>
    </row>
    <row r="236" spans="1:31" x14ac:dyDescent="0.2">
      <c r="A236">
        <v>231</v>
      </c>
      <c r="B236" t="s">
        <v>641</v>
      </c>
      <c r="C236">
        <v>20</v>
      </c>
      <c r="D236" t="s">
        <v>461</v>
      </c>
      <c r="E236" t="s">
        <v>349</v>
      </c>
      <c r="F236">
        <v>6</v>
      </c>
      <c r="G236">
        <v>1</v>
      </c>
      <c r="H236">
        <v>2</v>
      </c>
      <c r="I236">
        <v>3</v>
      </c>
      <c r="J236">
        <v>-1</v>
      </c>
      <c r="K236">
        <v>4</v>
      </c>
      <c r="L236">
        <v>0</v>
      </c>
      <c r="M236">
        <v>1</v>
      </c>
      <c r="N236">
        <v>0</v>
      </c>
      <c r="O236">
        <v>1</v>
      </c>
      <c r="P236">
        <v>1</v>
      </c>
      <c r="Q236">
        <v>1</v>
      </c>
      <c r="R236">
        <v>0</v>
      </c>
      <c r="S236">
        <v>4</v>
      </c>
      <c r="T236">
        <v>25</v>
      </c>
      <c r="U236">
        <v>16</v>
      </c>
      <c r="V236" t="s">
        <v>2334</v>
      </c>
      <c r="W236" t="s">
        <v>877</v>
      </c>
      <c r="X236">
        <v>0</v>
      </c>
      <c r="Y236">
        <v>0</v>
      </c>
      <c r="AA236">
        <v>5</v>
      </c>
      <c r="AB236">
        <v>2</v>
      </c>
      <c r="AC236">
        <v>1</v>
      </c>
      <c r="AD236">
        <v>3</v>
      </c>
      <c r="AE236" t="s">
        <v>60</v>
      </c>
    </row>
    <row r="237" spans="1:31" x14ac:dyDescent="0.2">
      <c r="A237">
        <v>232</v>
      </c>
      <c r="B237" t="s">
        <v>720</v>
      </c>
      <c r="C237">
        <v>30</v>
      </c>
      <c r="D237" t="s">
        <v>1022</v>
      </c>
      <c r="E237" t="s">
        <v>325</v>
      </c>
      <c r="F237">
        <v>32</v>
      </c>
      <c r="G237">
        <v>7</v>
      </c>
      <c r="H237">
        <v>10</v>
      </c>
      <c r="I237">
        <v>17</v>
      </c>
      <c r="J237">
        <v>-1</v>
      </c>
      <c r="K237">
        <v>34</v>
      </c>
      <c r="L237">
        <v>5</v>
      </c>
      <c r="M237">
        <v>2</v>
      </c>
      <c r="N237">
        <v>0</v>
      </c>
      <c r="O237">
        <v>2</v>
      </c>
      <c r="P237">
        <v>7</v>
      </c>
      <c r="Q237">
        <v>3</v>
      </c>
      <c r="R237">
        <v>0</v>
      </c>
      <c r="S237">
        <v>53</v>
      </c>
      <c r="T237">
        <v>13.2</v>
      </c>
      <c r="U237">
        <v>121</v>
      </c>
      <c r="V237" t="s">
        <v>1842</v>
      </c>
      <c r="W237" t="s">
        <v>1769</v>
      </c>
      <c r="X237">
        <v>10</v>
      </c>
      <c r="Y237">
        <v>21</v>
      </c>
      <c r="Z237">
        <v>32.299999999999997</v>
      </c>
      <c r="AA237">
        <v>10</v>
      </c>
      <c r="AB237">
        <v>39</v>
      </c>
      <c r="AC237">
        <v>10</v>
      </c>
      <c r="AD237">
        <v>41</v>
      </c>
      <c r="AE237" t="s">
        <v>60</v>
      </c>
    </row>
    <row r="238" spans="1:31" x14ac:dyDescent="0.2">
      <c r="A238">
        <v>232</v>
      </c>
      <c r="B238" t="s">
        <v>720</v>
      </c>
      <c r="C238">
        <v>30</v>
      </c>
      <c r="D238" t="s">
        <v>555</v>
      </c>
      <c r="E238" t="s">
        <v>325</v>
      </c>
      <c r="F238">
        <v>29</v>
      </c>
      <c r="G238">
        <v>4</v>
      </c>
      <c r="H238">
        <v>9</v>
      </c>
      <c r="I238">
        <v>13</v>
      </c>
      <c r="J238">
        <v>-4</v>
      </c>
      <c r="K238">
        <v>26</v>
      </c>
      <c r="L238">
        <v>4</v>
      </c>
      <c r="M238">
        <v>0</v>
      </c>
      <c r="N238">
        <v>0</v>
      </c>
      <c r="O238">
        <v>1</v>
      </c>
      <c r="P238">
        <v>6</v>
      </c>
      <c r="Q238">
        <v>3</v>
      </c>
      <c r="R238">
        <v>0</v>
      </c>
      <c r="S238">
        <v>46</v>
      </c>
      <c r="T238">
        <v>8.6999999999999993</v>
      </c>
      <c r="U238">
        <v>109</v>
      </c>
      <c r="V238" t="s">
        <v>1845</v>
      </c>
      <c r="W238" t="s">
        <v>997</v>
      </c>
      <c r="X238">
        <v>10</v>
      </c>
      <c r="Y238">
        <v>21</v>
      </c>
      <c r="Z238">
        <v>32.299999999999997</v>
      </c>
      <c r="AA238">
        <v>10</v>
      </c>
      <c r="AB238">
        <v>38</v>
      </c>
      <c r="AC238">
        <v>9</v>
      </c>
      <c r="AD238">
        <v>39</v>
      </c>
      <c r="AE238" t="s">
        <v>60</v>
      </c>
    </row>
    <row r="239" spans="1:31" x14ac:dyDescent="0.2">
      <c r="A239">
        <v>232</v>
      </c>
      <c r="B239" t="s">
        <v>720</v>
      </c>
      <c r="C239">
        <v>30</v>
      </c>
      <c r="D239" t="s">
        <v>384</v>
      </c>
      <c r="E239" t="s">
        <v>325</v>
      </c>
      <c r="F239">
        <v>3</v>
      </c>
      <c r="G239">
        <v>3</v>
      </c>
      <c r="H239">
        <v>1</v>
      </c>
      <c r="I239">
        <v>4</v>
      </c>
      <c r="J239">
        <v>3</v>
      </c>
      <c r="K239">
        <v>8</v>
      </c>
      <c r="L239">
        <v>1</v>
      </c>
      <c r="M239">
        <v>2</v>
      </c>
      <c r="N239">
        <v>0</v>
      </c>
      <c r="O239">
        <v>1</v>
      </c>
      <c r="P239">
        <v>1</v>
      </c>
      <c r="Q239">
        <v>0</v>
      </c>
      <c r="R239">
        <v>0</v>
      </c>
      <c r="S239">
        <v>7</v>
      </c>
      <c r="T239">
        <v>42.9</v>
      </c>
      <c r="U239">
        <v>12</v>
      </c>
      <c r="V239" t="s">
        <v>2708</v>
      </c>
      <c r="W239" t="s">
        <v>1671</v>
      </c>
      <c r="X239">
        <v>0</v>
      </c>
      <c r="Y239">
        <v>0</v>
      </c>
      <c r="AA239">
        <v>0</v>
      </c>
      <c r="AB239">
        <v>1</v>
      </c>
      <c r="AC239">
        <v>1</v>
      </c>
      <c r="AD239">
        <v>2</v>
      </c>
      <c r="AE239" t="s">
        <v>60</v>
      </c>
    </row>
    <row r="240" spans="1:31" x14ac:dyDescent="0.2">
      <c r="A240">
        <v>233</v>
      </c>
      <c r="B240" t="s">
        <v>713</v>
      </c>
      <c r="C240">
        <v>20</v>
      </c>
      <c r="D240" t="s">
        <v>439</v>
      </c>
      <c r="E240" t="s">
        <v>340</v>
      </c>
      <c r="F240">
        <v>24</v>
      </c>
      <c r="G240">
        <v>3</v>
      </c>
      <c r="H240">
        <v>13</v>
      </c>
      <c r="I240">
        <v>16</v>
      </c>
      <c r="J240">
        <v>5</v>
      </c>
      <c r="K240">
        <v>12</v>
      </c>
      <c r="L240">
        <v>2</v>
      </c>
      <c r="M240">
        <v>1</v>
      </c>
      <c r="N240">
        <v>0</v>
      </c>
      <c r="O240">
        <v>2</v>
      </c>
      <c r="P240">
        <v>8</v>
      </c>
      <c r="Q240">
        <v>4</v>
      </c>
      <c r="R240">
        <v>1</v>
      </c>
      <c r="S240">
        <v>43</v>
      </c>
      <c r="T240">
        <v>7</v>
      </c>
      <c r="U240">
        <v>73</v>
      </c>
      <c r="V240" t="s">
        <v>2335</v>
      </c>
      <c r="W240" t="s">
        <v>2034</v>
      </c>
      <c r="X240">
        <v>3</v>
      </c>
      <c r="Y240">
        <v>4</v>
      </c>
      <c r="Z240">
        <v>42.9</v>
      </c>
      <c r="AA240">
        <v>9</v>
      </c>
      <c r="AB240">
        <v>11</v>
      </c>
      <c r="AC240">
        <v>9</v>
      </c>
      <c r="AD240">
        <v>20</v>
      </c>
      <c r="AE240" t="s">
        <v>60</v>
      </c>
    </row>
    <row r="241" spans="1:31" x14ac:dyDescent="0.2">
      <c r="A241">
        <v>234</v>
      </c>
      <c r="B241" t="s">
        <v>788</v>
      </c>
      <c r="C241">
        <v>32</v>
      </c>
      <c r="D241" t="s">
        <v>404</v>
      </c>
      <c r="E241" t="s">
        <v>335</v>
      </c>
      <c r="F241">
        <v>31</v>
      </c>
      <c r="G241">
        <v>9</v>
      </c>
      <c r="H241">
        <v>7</v>
      </c>
      <c r="I241">
        <v>16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7</v>
      </c>
      <c r="Q241">
        <v>0</v>
      </c>
      <c r="R241">
        <v>0</v>
      </c>
      <c r="S241">
        <v>45</v>
      </c>
      <c r="T241">
        <v>20</v>
      </c>
      <c r="U241">
        <v>75</v>
      </c>
      <c r="V241" t="s">
        <v>2336</v>
      </c>
      <c r="W241" t="s">
        <v>1923</v>
      </c>
      <c r="X241">
        <v>4</v>
      </c>
      <c r="Y241">
        <v>8</v>
      </c>
      <c r="Z241">
        <v>33.299999999999997</v>
      </c>
      <c r="AA241">
        <v>23</v>
      </c>
      <c r="AB241">
        <v>12</v>
      </c>
      <c r="AC241">
        <v>8</v>
      </c>
      <c r="AD241">
        <v>19</v>
      </c>
      <c r="AE241" t="s">
        <v>60</v>
      </c>
    </row>
    <row r="242" spans="1:31" x14ac:dyDescent="0.2">
      <c r="A242">
        <v>235</v>
      </c>
      <c r="B242" t="s">
        <v>585</v>
      </c>
      <c r="C242">
        <v>30</v>
      </c>
      <c r="D242" t="s">
        <v>387</v>
      </c>
      <c r="E242" t="s">
        <v>340</v>
      </c>
      <c r="F242">
        <v>33</v>
      </c>
      <c r="G242">
        <v>3</v>
      </c>
      <c r="H242">
        <v>13</v>
      </c>
      <c r="I242">
        <v>16</v>
      </c>
      <c r="J242">
        <v>2</v>
      </c>
      <c r="K242">
        <v>17</v>
      </c>
      <c r="L242">
        <v>3</v>
      </c>
      <c r="M242">
        <v>0</v>
      </c>
      <c r="N242">
        <v>0</v>
      </c>
      <c r="O242">
        <v>0</v>
      </c>
      <c r="P242">
        <v>10</v>
      </c>
      <c r="Q242">
        <v>3</v>
      </c>
      <c r="R242">
        <v>0</v>
      </c>
      <c r="S242">
        <v>47</v>
      </c>
      <c r="T242">
        <v>6.4</v>
      </c>
      <c r="U242">
        <v>97</v>
      </c>
      <c r="V242" t="s">
        <v>2709</v>
      </c>
      <c r="W242" t="s">
        <v>1725</v>
      </c>
      <c r="X242">
        <v>63</v>
      </c>
      <c r="Y242">
        <v>57</v>
      </c>
      <c r="Z242">
        <v>52.5</v>
      </c>
      <c r="AA242">
        <v>13</v>
      </c>
      <c r="AB242">
        <v>6</v>
      </c>
      <c r="AC242">
        <v>7</v>
      </c>
      <c r="AD242">
        <v>19</v>
      </c>
      <c r="AE242" t="s">
        <v>60</v>
      </c>
    </row>
    <row r="243" spans="1:31" x14ac:dyDescent="0.2">
      <c r="A243">
        <v>236</v>
      </c>
      <c r="B243" t="s">
        <v>650</v>
      </c>
      <c r="C243">
        <v>24</v>
      </c>
      <c r="D243" t="s">
        <v>404</v>
      </c>
      <c r="E243" t="s">
        <v>335</v>
      </c>
      <c r="F243">
        <v>34</v>
      </c>
      <c r="G243">
        <v>7</v>
      </c>
      <c r="H243">
        <v>9</v>
      </c>
      <c r="I243">
        <v>16</v>
      </c>
      <c r="J243">
        <v>-3</v>
      </c>
      <c r="K243">
        <v>12</v>
      </c>
      <c r="L243">
        <v>5</v>
      </c>
      <c r="M243">
        <v>2</v>
      </c>
      <c r="N243">
        <v>0</v>
      </c>
      <c r="O243">
        <v>0</v>
      </c>
      <c r="P243">
        <v>8</v>
      </c>
      <c r="Q243">
        <v>1</v>
      </c>
      <c r="R243">
        <v>0</v>
      </c>
      <c r="S243">
        <v>79</v>
      </c>
      <c r="T243">
        <v>8.9</v>
      </c>
      <c r="U243">
        <v>144</v>
      </c>
      <c r="V243" t="s">
        <v>2338</v>
      </c>
      <c r="W243" t="s">
        <v>1034</v>
      </c>
      <c r="X243">
        <v>4</v>
      </c>
      <c r="Y243">
        <v>4</v>
      </c>
      <c r="Z243">
        <v>50</v>
      </c>
      <c r="AA243">
        <v>9</v>
      </c>
      <c r="AB243">
        <v>33</v>
      </c>
      <c r="AC243">
        <v>11</v>
      </c>
      <c r="AD243">
        <v>21</v>
      </c>
      <c r="AE243" t="s">
        <v>60</v>
      </c>
    </row>
    <row r="244" spans="1:31" x14ac:dyDescent="0.2">
      <c r="A244">
        <v>237</v>
      </c>
      <c r="B244" t="s">
        <v>755</v>
      </c>
      <c r="C244">
        <v>35</v>
      </c>
      <c r="D244" t="s">
        <v>476</v>
      </c>
      <c r="E244" t="s">
        <v>349</v>
      </c>
      <c r="F244">
        <v>25</v>
      </c>
      <c r="G244">
        <v>3</v>
      </c>
      <c r="H244">
        <v>13</v>
      </c>
      <c r="I244">
        <v>16</v>
      </c>
      <c r="J244">
        <v>-9</v>
      </c>
      <c r="K244">
        <v>16</v>
      </c>
      <c r="L244">
        <v>2</v>
      </c>
      <c r="M244">
        <v>1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65</v>
      </c>
      <c r="T244">
        <v>4.5999999999999996</v>
      </c>
      <c r="U244">
        <v>145</v>
      </c>
      <c r="V244" t="s">
        <v>2339</v>
      </c>
      <c r="W244" t="s">
        <v>2010</v>
      </c>
      <c r="X244">
        <v>0</v>
      </c>
      <c r="Y244">
        <v>0</v>
      </c>
      <c r="AA244">
        <v>36</v>
      </c>
      <c r="AB244">
        <v>8</v>
      </c>
      <c r="AC244">
        <v>12</v>
      </c>
      <c r="AD244">
        <v>33</v>
      </c>
      <c r="AE244" t="s">
        <v>60</v>
      </c>
    </row>
    <row r="245" spans="1:31" x14ac:dyDescent="0.2">
      <c r="A245">
        <v>238</v>
      </c>
      <c r="B245" t="s">
        <v>806</v>
      </c>
      <c r="C245">
        <v>33</v>
      </c>
      <c r="D245" t="s">
        <v>324</v>
      </c>
      <c r="E245" t="s">
        <v>349</v>
      </c>
      <c r="F245">
        <v>29</v>
      </c>
      <c r="G245">
        <v>9</v>
      </c>
      <c r="H245">
        <v>7</v>
      </c>
      <c r="I245">
        <v>16</v>
      </c>
      <c r="J245">
        <v>-1</v>
      </c>
      <c r="K245">
        <v>14</v>
      </c>
      <c r="L245">
        <v>5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44</v>
      </c>
      <c r="T245">
        <v>20.5</v>
      </c>
      <c r="U245">
        <v>121</v>
      </c>
      <c r="V245" t="s">
        <v>2340</v>
      </c>
      <c r="W245" t="s">
        <v>643</v>
      </c>
      <c r="X245">
        <v>0</v>
      </c>
      <c r="Y245">
        <v>0</v>
      </c>
      <c r="AA245">
        <v>38</v>
      </c>
      <c r="AB245">
        <v>22</v>
      </c>
      <c r="AC245">
        <v>7</v>
      </c>
      <c r="AD245">
        <v>36</v>
      </c>
      <c r="AE245" t="s">
        <v>60</v>
      </c>
    </row>
    <row r="246" spans="1:31" x14ac:dyDescent="0.2">
      <c r="A246">
        <v>239</v>
      </c>
      <c r="B246" t="s">
        <v>569</v>
      </c>
      <c r="C246">
        <v>27</v>
      </c>
      <c r="D246" t="s">
        <v>536</v>
      </c>
      <c r="E246" t="s">
        <v>322</v>
      </c>
      <c r="F246">
        <v>29</v>
      </c>
      <c r="G246">
        <v>8</v>
      </c>
      <c r="H246">
        <v>8</v>
      </c>
      <c r="I246">
        <v>16</v>
      </c>
      <c r="J246">
        <v>-9</v>
      </c>
      <c r="K246">
        <v>0</v>
      </c>
      <c r="L246">
        <v>7</v>
      </c>
      <c r="M246">
        <v>1</v>
      </c>
      <c r="N246">
        <v>0</v>
      </c>
      <c r="O246">
        <v>0</v>
      </c>
      <c r="P246">
        <v>5</v>
      </c>
      <c r="Q246">
        <v>3</v>
      </c>
      <c r="R246">
        <v>0</v>
      </c>
      <c r="S246">
        <v>73</v>
      </c>
      <c r="T246">
        <v>11</v>
      </c>
      <c r="U246">
        <v>157</v>
      </c>
      <c r="V246" t="s">
        <v>2341</v>
      </c>
      <c r="W246" t="s">
        <v>1688</v>
      </c>
      <c r="X246">
        <v>0</v>
      </c>
      <c r="Y246">
        <v>2</v>
      </c>
      <c r="Z246">
        <v>0</v>
      </c>
      <c r="AA246">
        <v>13</v>
      </c>
      <c r="AB246">
        <v>6</v>
      </c>
      <c r="AC246">
        <v>9</v>
      </c>
      <c r="AD246">
        <v>14</v>
      </c>
      <c r="AE246" t="s">
        <v>60</v>
      </c>
    </row>
    <row r="247" spans="1:31" x14ac:dyDescent="0.2">
      <c r="A247">
        <v>240</v>
      </c>
      <c r="B247" t="s">
        <v>719</v>
      </c>
      <c r="C247">
        <v>27</v>
      </c>
      <c r="D247" t="s">
        <v>375</v>
      </c>
      <c r="E247" t="s">
        <v>322</v>
      </c>
      <c r="F247">
        <v>29</v>
      </c>
      <c r="G247">
        <v>4</v>
      </c>
      <c r="H247">
        <v>12</v>
      </c>
      <c r="I247">
        <v>16</v>
      </c>
      <c r="J247">
        <v>0</v>
      </c>
      <c r="K247">
        <v>10</v>
      </c>
      <c r="L247">
        <v>3</v>
      </c>
      <c r="M247">
        <v>1</v>
      </c>
      <c r="N247">
        <v>0</v>
      </c>
      <c r="O247">
        <v>0</v>
      </c>
      <c r="P247">
        <v>11</v>
      </c>
      <c r="Q247">
        <v>0</v>
      </c>
      <c r="R247">
        <v>1</v>
      </c>
      <c r="S247">
        <v>48</v>
      </c>
      <c r="T247">
        <v>8.3000000000000007</v>
      </c>
      <c r="U247">
        <v>87</v>
      </c>
      <c r="V247" t="s">
        <v>2342</v>
      </c>
      <c r="W247" t="s">
        <v>1952</v>
      </c>
      <c r="X247">
        <v>11</v>
      </c>
      <c r="Y247">
        <v>11</v>
      </c>
      <c r="Z247">
        <v>50</v>
      </c>
      <c r="AA247">
        <v>23</v>
      </c>
      <c r="AB247">
        <v>67</v>
      </c>
      <c r="AC247">
        <v>10</v>
      </c>
      <c r="AD247">
        <v>17</v>
      </c>
      <c r="AE247" t="s">
        <v>60</v>
      </c>
    </row>
    <row r="248" spans="1:31" x14ac:dyDescent="0.2">
      <c r="A248">
        <v>241</v>
      </c>
      <c r="B248" t="s">
        <v>683</v>
      </c>
      <c r="C248">
        <v>21</v>
      </c>
      <c r="D248" t="s">
        <v>384</v>
      </c>
      <c r="E248" t="s">
        <v>349</v>
      </c>
      <c r="F248">
        <v>36</v>
      </c>
      <c r="G248">
        <v>6</v>
      </c>
      <c r="H248">
        <v>10</v>
      </c>
      <c r="I248">
        <v>16</v>
      </c>
      <c r="J248">
        <v>-1</v>
      </c>
      <c r="K248">
        <v>2</v>
      </c>
      <c r="L248">
        <v>5</v>
      </c>
      <c r="M248">
        <v>1</v>
      </c>
      <c r="N248">
        <v>0</v>
      </c>
      <c r="O248">
        <v>0</v>
      </c>
      <c r="P248">
        <v>9</v>
      </c>
      <c r="Q248">
        <v>1</v>
      </c>
      <c r="R248">
        <v>0</v>
      </c>
      <c r="S248">
        <v>41</v>
      </c>
      <c r="T248">
        <v>14.6</v>
      </c>
      <c r="U248">
        <v>102</v>
      </c>
      <c r="V248" t="s">
        <v>2710</v>
      </c>
      <c r="W248" t="s">
        <v>1673</v>
      </c>
      <c r="X248">
        <v>0</v>
      </c>
      <c r="Y248">
        <v>0</v>
      </c>
      <c r="AA248">
        <v>57</v>
      </c>
      <c r="AB248">
        <v>19</v>
      </c>
      <c r="AC248">
        <v>10</v>
      </c>
      <c r="AD248">
        <v>36</v>
      </c>
      <c r="AE248" t="s">
        <v>60</v>
      </c>
    </row>
    <row r="249" spans="1:31" x14ac:dyDescent="0.2">
      <c r="A249">
        <v>242</v>
      </c>
      <c r="B249" t="s">
        <v>722</v>
      </c>
      <c r="C249">
        <v>32</v>
      </c>
      <c r="D249" t="s">
        <v>361</v>
      </c>
      <c r="E249" t="s">
        <v>349</v>
      </c>
      <c r="F249">
        <v>38</v>
      </c>
      <c r="G249">
        <v>3</v>
      </c>
      <c r="H249">
        <v>13</v>
      </c>
      <c r="I249">
        <v>16</v>
      </c>
      <c r="J249">
        <v>19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27</v>
      </c>
      <c r="T249">
        <v>11.1</v>
      </c>
      <c r="U249">
        <v>76</v>
      </c>
      <c r="V249" t="s">
        <v>2711</v>
      </c>
      <c r="W249" t="s">
        <v>1931</v>
      </c>
      <c r="X249">
        <v>0</v>
      </c>
      <c r="Y249">
        <v>0</v>
      </c>
      <c r="AA249">
        <v>94</v>
      </c>
      <c r="AB249">
        <v>53</v>
      </c>
      <c r="AC249">
        <v>12</v>
      </c>
      <c r="AD249">
        <v>50</v>
      </c>
      <c r="AE249" t="s">
        <v>60</v>
      </c>
    </row>
    <row r="250" spans="1:31" x14ac:dyDescent="0.2">
      <c r="A250">
        <v>243</v>
      </c>
      <c r="B250" t="s">
        <v>595</v>
      </c>
      <c r="C250">
        <v>31</v>
      </c>
      <c r="D250" t="s">
        <v>555</v>
      </c>
      <c r="E250" t="s">
        <v>349</v>
      </c>
      <c r="F250">
        <v>27</v>
      </c>
      <c r="G250">
        <v>6</v>
      </c>
      <c r="H250">
        <v>10</v>
      </c>
      <c r="I250">
        <v>16</v>
      </c>
      <c r="J250">
        <v>-4</v>
      </c>
      <c r="K250">
        <v>21</v>
      </c>
      <c r="L250">
        <v>5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0</v>
      </c>
      <c r="S250">
        <v>68</v>
      </c>
      <c r="T250">
        <v>8.8000000000000007</v>
      </c>
      <c r="U250">
        <v>164</v>
      </c>
      <c r="V250" t="s">
        <v>1815</v>
      </c>
      <c r="W250" t="s">
        <v>824</v>
      </c>
      <c r="X250">
        <v>0</v>
      </c>
      <c r="Y250">
        <v>0</v>
      </c>
      <c r="AA250">
        <v>35</v>
      </c>
      <c r="AB250">
        <v>34</v>
      </c>
      <c r="AC250">
        <v>14</v>
      </c>
      <c r="AD250">
        <v>37</v>
      </c>
      <c r="AE250" t="s">
        <v>60</v>
      </c>
    </row>
    <row r="251" spans="1:31" x14ac:dyDescent="0.2">
      <c r="A251">
        <v>244</v>
      </c>
      <c r="B251" t="s">
        <v>629</v>
      </c>
      <c r="C251">
        <v>40</v>
      </c>
      <c r="D251" t="s">
        <v>429</v>
      </c>
      <c r="E251" t="s">
        <v>335</v>
      </c>
      <c r="F251">
        <v>31</v>
      </c>
      <c r="G251">
        <v>7</v>
      </c>
      <c r="H251">
        <v>9</v>
      </c>
      <c r="I251">
        <v>16</v>
      </c>
      <c r="J251">
        <v>5</v>
      </c>
      <c r="K251">
        <v>31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4</v>
      </c>
      <c r="R251">
        <v>0</v>
      </c>
      <c r="S251">
        <v>58</v>
      </c>
      <c r="T251">
        <v>12.1</v>
      </c>
      <c r="U251">
        <v>111</v>
      </c>
      <c r="V251" t="s">
        <v>2116</v>
      </c>
      <c r="W251" t="s">
        <v>1947</v>
      </c>
      <c r="X251">
        <v>5</v>
      </c>
      <c r="Y251">
        <v>9</v>
      </c>
      <c r="Z251">
        <v>35.700000000000003</v>
      </c>
      <c r="AA251">
        <v>7</v>
      </c>
      <c r="AB251">
        <v>14</v>
      </c>
      <c r="AC251">
        <v>3</v>
      </c>
      <c r="AD251">
        <v>24</v>
      </c>
      <c r="AE251" t="s">
        <v>60</v>
      </c>
    </row>
    <row r="252" spans="1:31" x14ac:dyDescent="0.2">
      <c r="A252">
        <v>245</v>
      </c>
      <c r="B252" t="s">
        <v>696</v>
      </c>
      <c r="C252">
        <v>24</v>
      </c>
      <c r="D252" t="s">
        <v>328</v>
      </c>
      <c r="E252" t="s">
        <v>335</v>
      </c>
      <c r="F252">
        <v>39</v>
      </c>
      <c r="G252">
        <v>9</v>
      </c>
      <c r="H252">
        <v>7</v>
      </c>
      <c r="I252">
        <v>16</v>
      </c>
      <c r="J252">
        <v>11</v>
      </c>
      <c r="K252">
        <v>25</v>
      </c>
      <c r="L252">
        <v>9</v>
      </c>
      <c r="M252">
        <v>0</v>
      </c>
      <c r="N252">
        <v>0</v>
      </c>
      <c r="O252">
        <v>4</v>
      </c>
      <c r="P252">
        <v>7</v>
      </c>
      <c r="Q252">
        <v>0</v>
      </c>
      <c r="R252">
        <v>0</v>
      </c>
      <c r="S252">
        <v>59</v>
      </c>
      <c r="T252">
        <v>15.3</v>
      </c>
      <c r="U252">
        <v>99</v>
      </c>
      <c r="V252" t="s">
        <v>2343</v>
      </c>
      <c r="W252" t="s">
        <v>695</v>
      </c>
      <c r="X252">
        <v>11</v>
      </c>
      <c r="Y252">
        <v>23</v>
      </c>
      <c r="Z252">
        <v>32.4</v>
      </c>
      <c r="AA252">
        <v>22</v>
      </c>
      <c r="AB252">
        <v>118</v>
      </c>
      <c r="AC252">
        <v>6</v>
      </c>
      <c r="AD252">
        <v>23</v>
      </c>
      <c r="AE252" t="s">
        <v>60</v>
      </c>
    </row>
    <row r="253" spans="1:31" x14ac:dyDescent="0.2">
      <c r="A253">
        <v>246</v>
      </c>
      <c r="B253" t="s">
        <v>726</v>
      </c>
      <c r="C253">
        <v>29</v>
      </c>
      <c r="D253" t="s">
        <v>415</v>
      </c>
      <c r="E253" t="s">
        <v>349</v>
      </c>
      <c r="F253">
        <v>37</v>
      </c>
      <c r="G253">
        <v>3</v>
      </c>
      <c r="H253">
        <v>13</v>
      </c>
      <c r="I253">
        <v>16</v>
      </c>
      <c r="J253">
        <v>1</v>
      </c>
      <c r="K253">
        <v>10</v>
      </c>
      <c r="L253">
        <v>2</v>
      </c>
      <c r="M253">
        <v>1</v>
      </c>
      <c r="N253">
        <v>0</v>
      </c>
      <c r="O253">
        <v>1</v>
      </c>
      <c r="P253">
        <v>10</v>
      </c>
      <c r="Q253">
        <v>2</v>
      </c>
      <c r="R253">
        <v>1</v>
      </c>
      <c r="S253">
        <v>48</v>
      </c>
      <c r="T253">
        <v>6.3</v>
      </c>
      <c r="U253">
        <v>123</v>
      </c>
      <c r="V253" t="s">
        <v>2712</v>
      </c>
      <c r="W253" t="s">
        <v>2713</v>
      </c>
      <c r="X253">
        <v>0</v>
      </c>
      <c r="Y253">
        <v>0</v>
      </c>
      <c r="AA253">
        <v>67</v>
      </c>
      <c r="AB253">
        <v>23</v>
      </c>
      <c r="AC253">
        <v>14</v>
      </c>
      <c r="AD253">
        <v>50</v>
      </c>
      <c r="AE253" t="s">
        <v>60</v>
      </c>
    </row>
    <row r="254" spans="1:31" x14ac:dyDescent="0.2">
      <c r="A254">
        <v>247</v>
      </c>
      <c r="B254" t="s">
        <v>769</v>
      </c>
      <c r="C254">
        <v>28</v>
      </c>
      <c r="D254" t="s">
        <v>378</v>
      </c>
      <c r="E254" t="s">
        <v>349</v>
      </c>
      <c r="F254">
        <v>37</v>
      </c>
      <c r="G254">
        <v>2</v>
      </c>
      <c r="H254">
        <v>14</v>
      </c>
      <c r="I254">
        <v>16</v>
      </c>
      <c r="J254">
        <v>14</v>
      </c>
      <c r="K254">
        <v>18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0</v>
      </c>
      <c r="R254">
        <v>0</v>
      </c>
      <c r="S254">
        <v>32</v>
      </c>
      <c r="T254">
        <v>6.3</v>
      </c>
      <c r="U254">
        <v>86</v>
      </c>
      <c r="V254" t="s">
        <v>1848</v>
      </c>
      <c r="W254" t="s">
        <v>2121</v>
      </c>
      <c r="X254">
        <v>0</v>
      </c>
      <c r="Y254">
        <v>0</v>
      </c>
      <c r="AA254">
        <v>48</v>
      </c>
      <c r="AB254">
        <v>20</v>
      </c>
      <c r="AC254">
        <v>11</v>
      </c>
      <c r="AD254">
        <v>28</v>
      </c>
      <c r="AE254" t="s">
        <v>60</v>
      </c>
    </row>
    <row r="255" spans="1:31" x14ac:dyDescent="0.2">
      <c r="A255">
        <v>248</v>
      </c>
      <c r="B255" t="s">
        <v>659</v>
      </c>
      <c r="C255">
        <v>22</v>
      </c>
      <c r="D255" t="s">
        <v>384</v>
      </c>
      <c r="E255" t="s">
        <v>322</v>
      </c>
      <c r="F255">
        <v>36</v>
      </c>
      <c r="G255">
        <v>4</v>
      </c>
      <c r="H255">
        <v>12</v>
      </c>
      <c r="I255">
        <v>16</v>
      </c>
      <c r="J255">
        <v>0</v>
      </c>
      <c r="K255">
        <v>16</v>
      </c>
      <c r="L255">
        <v>4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0</v>
      </c>
      <c r="S255">
        <v>69</v>
      </c>
      <c r="T255">
        <v>5.8</v>
      </c>
      <c r="U255">
        <v>120</v>
      </c>
      <c r="V255" t="s">
        <v>2714</v>
      </c>
      <c r="W255" t="s">
        <v>1070</v>
      </c>
      <c r="X255">
        <v>16</v>
      </c>
      <c r="Y255">
        <v>27</v>
      </c>
      <c r="Z255">
        <v>37.200000000000003</v>
      </c>
      <c r="AA255">
        <v>15</v>
      </c>
      <c r="AB255">
        <v>40</v>
      </c>
      <c r="AC255">
        <v>13</v>
      </c>
      <c r="AD255">
        <v>36</v>
      </c>
      <c r="AE255" t="s">
        <v>60</v>
      </c>
    </row>
    <row r="256" spans="1:31" x14ac:dyDescent="0.2">
      <c r="A256">
        <v>249</v>
      </c>
      <c r="B256" t="s">
        <v>729</v>
      </c>
      <c r="C256">
        <v>37</v>
      </c>
      <c r="D256" t="s">
        <v>402</v>
      </c>
      <c r="E256" t="s">
        <v>322</v>
      </c>
      <c r="F256">
        <v>34</v>
      </c>
      <c r="G256">
        <v>10</v>
      </c>
      <c r="H256">
        <v>6</v>
      </c>
      <c r="I256">
        <v>16</v>
      </c>
      <c r="J256">
        <v>3</v>
      </c>
      <c r="K256">
        <v>23</v>
      </c>
      <c r="L256">
        <v>8</v>
      </c>
      <c r="M256">
        <v>2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47</v>
      </c>
      <c r="T256">
        <v>21.3</v>
      </c>
      <c r="U256">
        <v>99</v>
      </c>
      <c r="V256" t="s">
        <v>1872</v>
      </c>
      <c r="W256" t="s">
        <v>1119</v>
      </c>
      <c r="X256">
        <v>391</v>
      </c>
      <c r="Y256">
        <v>304</v>
      </c>
      <c r="Z256">
        <v>56.3</v>
      </c>
      <c r="AA256">
        <v>18</v>
      </c>
      <c r="AB256">
        <v>56</v>
      </c>
      <c r="AC256">
        <v>5</v>
      </c>
      <c r="AD256">
        <v>24</v>
      </c>
      <c r="AE256" t="s">
        <v>60</v>
      </c>
    </row>
    <row r="257" spans="1:31" x14ac:dyDescent="0.2">
      <c r="A257">
        <v>250</v>
      </c>
      <c r="B257" t="s">
        <v>700</v>
      </c>
      <c r="C257">
        <v>22</v>
      </c>
      <c r="D257" t="s">
        <v>402</v>
      </c>
      <c r="E257" t="s">
        <v>322</v>
      </c>
      <c r="F257">
        <v>37</v>
      </c>
      <c r="G257">
        <v>6</v>
      </c>
      <c r="H257">
        <v>10</v>
      </c>
      <c r="I257">
        <v>16</v>
      </c>
      <c r="J257">
        <v>5</v>
      </c>
      <c r="K257">
        <v>17</v>
      </c>
      <c r="L257">
        <v>6</v>
      </c>
      <c r="M257">
        <v>0</v>
      </c>
      <c r="N257">
        <v>0</v>
      </c>
      <c r="O257">
        <v>1</v>
      </c>
      <c r="P257">
        <v>8</v>
      </c>
      <c r="Q257">
        <v>2</v>
      </c>
      <c r="R257">
        <v>0</v>
      </c>
      <c r="S257">
        <v>80</v>
      </c>
      <c r="T257">
        <v>7.5</v>
      </c>
      <c r="U257">
        <v>145</v>
      </c>
      <c r="V257" t="s">
        <v>2243</v>
      </c>
      <c r="W257" t="s">
        <v>1928</v>
      </c>
      <c r="X257">
        <v>191</v>
      </c>
      <c r="Y257">
        <v>254</v>
      </c>
      <c r="Z257">
        <v>42.9</v>
      </c>
      <c r="AA257">
        <v>10</v>
      </c>
      <c r="AB257">
        <v>17</v>
      </c>
      <c r="AC257">
        <v>14</v>
      </c>
      <c r="AD257">
        <v>20</v>
      </c>
      <c r="AE257" t="s">
        <v>60</v>
      </c>
    </row>
    <row r="258" spans="1:31" x14ac:dyDescent="0.2">
      <c r="A258">
        <v>251</v>
      </c>
      <c r="B258" t="s">
        <v>707</v>
      </c>
      <c r="C258">
        <v>38</v>
      </c>
      <c r="D258" t="s">
        <v>359</v>
      </c>
      <c r="E258" t="s">
        <v>340</v>
      </c>
      <c r="F258">
        <v>19</v>
      </c>
      <c r="G258">
        <v>3</v>
      </c>
      <c r="H258">
        <v>13</v>
      </c>
      <c r="I258">
        <v>16</v>
      </c>
      <c r="J258">
        <v>-3</v>
      </c>
      <c r="K258">
        <v>6</v>
      </c>
      <c r="L258">
        <v>1</v>
      </c>
      <c r="M258">
        <v>2</v>
      </c>
      <c r="N258">
        <v>0</v>
      </c>
      <c r="O258">
        <v>0</v>
      </c>
      <c r="P258">
        <v>10</v>
      </c>
      <c r="Q258">
        <v>3</v>
      </c>
      <c r="R258">
        <v>0</v>
      </c>
      <c r="S258">
        <v>34</v>
      </c>
      <c r="T258">
        <v>8.8000000000000007</v>
      </c>
      <c r="U258">
        <v>71</v>
      </c>
      <c r="V258" t="s">
        <v>2345</v>
      </c>
      <c r="W258" t="s">
        <v>581</v>
      </c>
      <c r="X258">
        <v>7</v>
      </c>
      <c r="Y258">
        <v>8</v>
      </c>
      <c r="Z258">
        <v>46.7</v>
      </c>
      <c r="AA258">
        <v>7</v>
      </c>
      <c r="AB258">
        <v>8</v>
      </c>
      <c r="AC258">
        <v>3</v>
      </c>
      <c r="AD258">
        <v>21</v>
      </c>
      <c r="AE258" t="s">
        <v>60</v>
      </c>
    </row>
    <row r="259" spans="1:31" x14ac:dyDescent="0.2">
      <c r="A259">
        <v>252</v>
      </c>
      <c r="B259" t="s">
        <v>708</v>
      </c>
      <c r="C259">
        <v>29</v>
      </c>
      <c r="D259" t="s">
        <v>426</v>
      </c>
      <c r="E259" t="s">
        <v>322</v>
      </c>
      <c r="F259">
        <v>37</v>
      </c>
      <c r="G259">
        <v>7</v>
      </c>
      <c r="H259">
        <v>8</v>
      </c>
      <c r="I259">
        <v>15</v>
      </c>
      <c r="J259">
        <v>4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8</v>
      </c>
      <c r="Q259">
        <v>0</v>
      </c>
      <c r="R259">
        <v>0</v>
      </c>
      <c r="S259">
        <v>53</v>
      </c>
      <c r="T259">
        <v>13.2</v>
      </c>
      <c r="U259">
        <v>96</v>
      </c>
      <c r="V259" t="s">
        <v>2346</v>
      </c>
      <c r="W259" t="s">
        <v>1724</v>
      </c>
      <c r="X259">
        <v>3</v>
      </c>
      <c r="Y259">
        <v>6</v>
      </c>
      <c r="Z259">
        <v>33.299999999999997</v>
      </c>
      <c r="AA259">
        <v>23</v>
      </c>
      <c r="AB259">
        <v>53</v>
      </c>
      <c r="AC259">
        <v>13</v>
      </c>
      <c r="AD259">
        <v>27</v>
      </c>
      <c r="AE259" t="s">
        <v>60</v>
      </c>
    </row>
    <row r="260" spans="1:31" x14ac:dyDescent="0.2">
      <c r="A260">
        <v>253</v>
      </c>
      <c r="B260" t="s">
        <v>710</v>
      </c>
      <c r="C260">
        <v>32</v>
      </c>
      <c r="D260" t="s">
        <v>429</v>
      </c>
      <c r="E260" t="s">
        <v>335</v>
      </c>
      <c r="F260">
        <v>37</v>
      </c>
      <c r="G260">
        <v>8</v>
      </c>
      <c r="H260">
        <v>7</v>
      </c>
      <c r="I260">
        <v>15</v>
      </c>
      <c r="J260">
        <v>7</v>
      </c>
      <c r="K260">
        <v>20</v>
      </c>
      <c r="L260">
        <v>4</v>
      </c>
      <c r="M260">
        <v>1</v>
      </c>
      <c r="N260">
        <v>3</v>
      </c>
      <c r="O260">
        <v>0</v>
      </c>
      <c r="P260">
        <v>6</v>
      </c>
      <c r="Q260">
        <v>0</v>
      </c>
      <c r="R260">
        <v>1</v>
      </c>
      <c r="S260">
        <v>46</v>
      </c>
      <c r="T260">
        <v>17.399999999999999</v>
      </c>
      <c r="U260">
        <v>99</v>
      </c>
      <c r="V260" t="s">
        <v>2347</v>
      </c>
      <c r="W260" t="s">
        <v>711</v>
      </c>
      <c r="X260">
        <v>10</v>
      </c>
      <c r="Y260">
        <v>18</v>
      </c>
      <c r="Z260">
        <v>35.700000000000003</v>
      </c>
      <c r="AA260">
        <v>21</v>
      </c>
      <c r="AB260">
        <v>31</v>
      </c>
      <c r="AC260">
        <v>20</v>
      </c>
      <c r="AD260">
        <v>26</v>
      </c>
      <c r="AE260" t="s">
        <v>60</v>
      </c>
    </row>
    <row r="261" spans="1:31" x14ac:dyDescent="0.2">
      <c r="A261">
        <v>254</v>
      </c>
      <c r="B261" t="s">
        <v>637</v>
      </c>
      <c r="C261">
        <v>32</v>
      </c>
      <c r="D261" t="s">
        <v>356</v>
      </c>
      <c r="E261" t="s">
        <v>340</v>
      </c>
      <c r="F261">
        <v>27</v>
      </c>
      <c r="G261">
        <v>7</v>
      </c>
      <c r="H261">
        <v>8</v>
      </c>
      <c r="I261">
        <v>15</v>
      </c>
      <c r="J261">
        <v>0</v>
      </c>
      <c r="K261">
        <v>12</v>
      </c>
      <c r="L261">
        <v>6</v>
      </c>
      <c r="M261">
        <v>1</v>
      </c>
      <c r="N261">
        <v>0</v>
      </c>
      <c r="O261">
        <v>3</v>
      </c>
      <c r="P261">
        <v>5</v>
      </c>
      <c r="Q261">
        <v>3</v>
      </c>
      <c r="R261">
        <v>0</v>
      </c>
      <c r="S261">
        <v>68</v>
      </c>
      <c r="T261">
        <v>10.3</v>
      </c>
      <c r="U261">
        <v>131</v>
      </c>
      <c r="V261" t="s">
        <v>2348</v>
      </c>
      <c r="W261" t="s">
        <v>1001</v>
      </c>
      <c r="X261">
        <v>6</v>
      </c>
      <c r="Y261">
        <v>4</v>
      </c>
      <c r="Z261">
        <v>60</v>
      </c>
      <c r="AA261">
        <v>14</v>
      </c>
      <c r="AB261">
        <v>10</v>
      </c>
      <c r="AC261">
        <v>5</v>
      </c>
      <c r="AD261">
        <v>23</v>
      </c>
      <c r="AE261" t="s">
        <v>60</v>
      </c>
    </row>
    <row r="262" spans="1:31" x14ac:dyDescent="0.2">
      <c r="A262">
        <v>255</v>
      </c>
      <c r="B262" t="s">
        <v>664</v>
      </c>
      <c r="C262">
        <v>27</v>
      </c>
      <c r="D262" t="s">
        <v>476</v>
      </c>
      <c r="E262" t="s">
        <v>349</v>
      </c>
      <c r="F262">
        <v>27</v>
      </c>
      <c r="G262">
        <v>4</v>
      </c>
      <c r="H262">
        <v>11</v>
      </c>
      <c r="I262">
        <v>15</v>
      </c>
      <c r="J262">
        <v>-5</v>
      </c>
      <c r="K262">
        <v>8</v>
      </c>
      <c r="L262">
        <v>1</v>
      </c>
      <c r="M262">
        <v>3</v>
      </c>
      <c r="N262">
        <v>0</v>
      </c>
      <c r="O262">
        <v>0</v>
      </c>
      <c r="P262">
        <v>8</v>
      </c>
      <c r="Q262">
        <v>3</v>
      </c>
      <c r="R262">
        <v>0</v>
      </c>
      <c r="S262">
        <v>41</v>
      </c>
      <c r="T262">
        <v>9.8000000000000007</v>
      </c>
      <c r="U262">
        <v>105</v>
      </c>
      <c r="V262" t="s">
        <v>2349</v>
      </c>
      <c r="W262" t="s">
        <v>405</v>
      </c>
      <c r="X262">
        <v>0</v>
      </c>
      <c r="Y262">
        <v>2</v>
      </c>
      <c r="Z262">
        <v>0</v>
      </c>
      <c r="AA262">
        <v>30</v>
      </c>
      <c r="AB262">
        <v>22</v>
      </c>
      <c r="AC262">
        <v>8</v>
      </c>
      <c r="AD262">
        <v>29</v>
      </c>
      <c r="AE262" t="s">
        <v>60</v>
      </c>
    </row>
    <row r="263" spans="1:31" x14ac:dyDescent="0.2">
      <c r="A263">
        <v>256</v>
      </c>
      <c r="B263" t="s">
        <v>670</v>
      </c>
      <c r="C263">
        <v>28</v>
      </c>
      <c r="D263" t="s">
        <v>412</v>
      </c>
      <c r="E263" t="s">
        <v>340</v>
      </c>
      <c r="F263">
        <v>39</v>
      </c>
      <c r="G263">
        <v>9</v>
      </c>
      <c r="H263">
        <v>6</v>
      </c>
      <c r="I263">
        <v>15</v>
      </c>
      <c r="J263">
        <v>2</v>
      </c>
      <c r="K263">
        <v>12</v>
      </c>
      <c r="L263">
        <v>8</v>
      </c>
      <c r="M263">
        <v>0</v>
      </c>
      <c r="N263">
        <v>1</v>
      </c>
      <c r="O263">
        <v>2</v>
      </c>
      <c r="P263">
        <v>6</v>
      </c>
      <c r="Q263">
        <v>0</v>
      </c>
      <c r="R263">
        <v>0</v>
      </c>
      <c r="S263">
        <v>64</v>
      </c>
      <c r="T263">
        <v>14.1</v>
      </c>
      <c r="U263">
        <v>135</v>
      </c>
      <c r="V263" t="s">
        <v>2113</v>
      </c>
      <c r="W263" t="s">
        <v>2114</v>
      </c>
      <c r="X263">
        <v>19</v>
      </c>
      <c r="Y263">
        <v>27</v>
      </c>
      <c r="Z263">
        <v>41.3</v>
      </c>
      <c r="AA263">
        <v>28</v>
      </c>
      <c r="AB263">
        <v>104</v>
      </c>
      <c r="AC263">
        <v>6</v>
      </c>
      <c r="AD263">
        <v>23</v>
      </c>
      <c r="AE263" t="s">
        <v>60</v>
      </c>
    </row>
    <row r="264" spans="1:31" x14ac:dyDescent="0.2">
      <c r="A264">
        <v>257</v>
      </c>
      <c r="B264" t="s">
        <v>645</v>
      </c>
      <c r="C264">
        <v>29</v>
      </c>
      <c r="D264" t="s">
        <v>330</v>
      </c>
      <c r="E264" t="s">
        <v>322</v>
      </c>
      <c r="F264">
        <v>38</v>
      </c>
      <c r="G264">
        <v>9</v>
      </c>
      <c r="H264">
        <v>6</v>
      </c>
      <c r="I264">
        <v>15</v>
      </c>
      <c r="J264">
        <v>-11</v>
      </c>
      <c r="K264">
        <v>24</v>
      </c>
      <c r="L264">
        <v>8</v>
      </c>
      <c r="M264">
        <v>1</v>
      </c>
      <c r="N264">
        <v>0</v>
      </c>
      <c r="O264">
        <v>2</v>
      </c>
      <c r="P264">
        <v>6</v>
      </c>
      <c r="Q264">
        <v>0</v>
      </c>
      <c r="R264">
        <v>0</v>
      </c>
      <c r="S264">
        <v>67</v>
      </c>
      <c r="T264">
        <v>13.4</v>
      </c>
      <c r="U264">
        <v>149</v>
      </c>
      <c r="V264" t="s">
        <v>2715</v>
      </c>
      <c r="W264" t="s">
        <v>1942</v>
      </c>
      <c r="X264">
        <v>95</v>
      </c>
      <c r="Y264">
        <v>94</v>
      </c>
      <c r="Z264">
        <v>50.3</v>
      </c>
      <c r="AA264">
        <v>8</v>
      </c>
      <c r="AB264">
        <v>44</v>
      </c>
      <c r="AC264">
        <v>11</v>
      </c>
      <c r="AD264">
        <v>28</v>
      </c>
      <c r="AE264" t="s">
        <v>60</v>
      </c>
    </row>
    <row r="265" spans="1:31" x14ac:dyDescent="0.2">
      <c r="A265">
        <v>258</v>
      </c>
      <c r="B265" t="s">
        <v>742</v>
      </c>
      <c r="C265">
        <v>32</v>
      </c>
      <c r="D265" t="s">
        <v>334</v>
      </c>
      <c r="E265" t="s">
        <v>322</v>
      </c>
      <c r="F265">
        <v>38</v>
      </c>
      <c r="G265">
        <v>1</v>
      </c>
      <c r="H265">
        <v>14</v>
      </c>
      <c r="I265">
        <v>15</v>
      </c>
      <c r="J265">
        <v>8</v>
      </c>
      <c r="K265">
        <v>12</v>
      </c>
      <c r="L265">
        <v>1</v>
      </c>
      <c r="M265">
        <v>0</v>
      </c>
      <c r="N265">
        <v>0</v>
      </c>
      <c r="O265">
        <v>0</v>
      </c>
      <c r="P265">
        <v>12</v>
      </c>
      <c r="Q265">
        <v>0</v>
      </c>
      <c r="R265">
        <v>2</v>
      </c>
      <c r="S265">
        <v>20</v>
      </c>
      <c r="T265">
        <v>5</v>
      </c>
      <c r="U265">
        <v>50</v>
      </c>
      <c r="V265" t="s">
        <v>2350</v>
      </c>
      <c r="W265" t="s">
        <v>1319</v>
      </c>
      <c r="X265">
        <v>167</v>
      </c>
      <c r="Y265">
        <v>125</v>
      </c>
      <c r="Z265">
        <v>57.2</v>
      </c>
      <c r="AA265">
        <v>29</v>
      </c>
      <c r="AB265">
        <v>48</v>
      </c>
      <c r="AC265">
        <v>10</v>
      </c>
      <c r="AD265">
        <v>15</v>
      </c>
      <c r="AE265" t="s">
        <v>60</v>
      </c>
    </row>
    <row r="266" spans="1:31" x14ac:dyDescent="0.2">
      <c r="A266">
        <v>259</v>
      </c>
      <c r="B266" t="s">
        <v>796</v>
      </c>
      <c r="C266">
        <v>33</v>
      </c>
      <c r="D266" t="s">
        <v>337</v>
      </c>
      <c r="E266" t="s">
        <v>322</v>
      </c>
      <c r="F266">
        <v>20</v>
      </c>
      <c r="G266">
        <v>7</v>
      </c>
      <c r="H266">
        <v>8</v>
      </c>
      <c r="I266">
        <v>15</v>
      </c>
      <c r="J266">
        <v>-2</v>
      </c>
      <c r="K266">
        <v>10</v>
      </c>
      <c r="L266">
        <v>6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44</v>
      </c>
      <c r="T266">
        <v>15.9</v>
      </c>
      <c r="U266">
        <v>81</v>
      </c>
      <c r="V266" t="s">
        <v>2337</v>
      </c>
      <c r="W266" t="s">
        <v>579</v>
      </c>
      <c r="X266">
        <v>126</v>
      </c>
      <c r="Y266">
        <v>123</v>
      </c>
      <c r="Z266">
        <v>50.6</v>
      </c>
      <c r="AA266">
        <v>12</v>
      </c>
      <c r="AB266">
        <v>15</v>
      </c>
      <c r="AC266">
        <v>3</v>
      </c>
      <c r="AD266">
        <v>17</v>
      </c>
      <c r="AE266" t="s">
        <v>60</v>
      </c>
    </row>
    <row r="267" spans="1:31" x14ac:dyDescent="0.2">
      <c r="A267">
        <v>260</v>
      </c>
      <c r="B267" t="s">
        <v>675</v>
      </c>
      <c r="C267">
        <v>29</v>
      </c>
      <c r="D267" t="s">
        <v>375</v>
      </c>
      <c r="E267" t="s">
        <v>340</v>
      </c>
      <c r="F267">
        <v>37</v>
      </c>
      <c r="G267">
        <v>7</v>
      </c>
      <c r="H267">
        <v>8</v>
      </c>
      <c r="I267">
        <v>15</v>
      </c>
      <c r="J267">
        <v>5</v>
      </c>
      <c r="K267">
        <v>57</v>
      </c>
      <c r="L267">
        <v>7</v>
      </c>
      <c r="M267">
        <v>0</v>
      </c>
      <c r="N267">
        <v>0</v>
      </c>
      <c r="O267">
        <v>0</v>
      </c>
      <c r="P267">
        <v>8</v>
      </c>
      <c r="Q267">
        <v>0</v>
      </c>
      <c r="R267">
        <v>0</v>
      </c>
      <c r="S267">
        <v>45</v>
      </c>
      <c r="T267">
        <v>15.6</v>
      </c>
      <c r="U267">
        <v>78</v>
      </c>
      <c r="V267" t="s">
        <v>2351</v>
      </c>
      <c r="W267" t="s">
        <v>2352</v>
      </c>
      <c r="X267">
        <v>3</v>
      </c>
      <c r="Y267">
        <v>7</v>
      </c>
      <c r="Z267">
        <v>30</v>
      </c>
      <c r="AA267">
        <v>13</v>
      </c>
      <c r="AB267">
        <v>96</v>
      </c>
      <c r="AC267">
        <v>3</v>
      </c>
      <c r="AD267">
        <v>25</v>
      </c>
      <c r="AE267" t="s">
        <v>60</v>
      </c>
    </row>
    <row r="268" spans="1:31" x14ac:dyDescent="0.2">
      <c r="A268">
        <v>261</v>
      </c>
      <c r="B268" t="s">
        <v>834</v>
      </c>
      <c r="C268">
        <v>31</v>
      </c>
      <c r="D268" t="s">
        <v>359</v>
      </c>
      <c r="E268" t="s">
        <v>335</v>
      </c>
      <c r="F268">
        <v>35</v>
      </c>
      <c r="G268">
        <v>9</v>
      </c>
      <c r="H268">
        <v>6</v>
      </c>
      <c r="I268">
        <v>15</v>
      </c>
      <c r="J268">
        <v>-2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6</v>
      </c>
      <c r="Q268">
        <v>0</v>
      </c>
      <c r="R268">
        <v>0</v>
      </c>
      <c r="S268">
        <v>73</v>
      </c>
      <c r="T268">
        <v>12.3</v>
      </c>
      <c r="U268">
        <v>156</v>
      </c>
      <c r="V268" t="s">
        <v>2353</v>
      </c>
      <c r="W268" t="s">
        <v>1917</v>
      </c>
      <c r="X268">
        <v>190</v>
      </c>
      <c r="Y268">
        <v>253</v>
      </c>
      <c r="Z268">
        <v>42.9</v>
      </c>
      <c r="AA268">
        <v>40</v>
      </c>
      <c r="AB268">
        <v>37</v>
      </c>
      <c r="AC268">
        <v>13</v>
      </c>
      <c r="AD268">
        <v>26</v>
      </c>
      <c r="AE268" t="s">
        <v>60</v>
      </c>
    </row>
    <row r="269" spans="1:31" x14ac:dyDescent="0.2">
      <c r="A269">
        <v>262</v>
      </c>
      <c r="B269" t="s">
        <v>678</v>
      </c>
      <c r="C269">
        <v>28</v>
      </c>
      <c r="D269" t="s">
        <v>356</v>
      </c>
      <c r="E269" t="s">
        <v>325</v>
      </c>
      <c r="F269">
        <v>38</v>
      </c>
      <c r="G269">
        <v>4</v>
      </c>
      <c r="H269">
        <v>11</v>
      </c>
      <c r="I269">
        <v>15</v>
      </c>
      <c r="J269">
        <v>-1</v>
      </c>
      <c r="K269">
        <v>39</v>
      </c>
      <c r="L269">
        <v>4</v>
      </c>
      <c r="M269">
        <v>0</v>
      </c>
      <c r="N269">
        <v>0</v>
      </c>
      <c r="O269">
        <v>1</v>
      </c>
      <c r="P269">
        <v>10</v>
      </c>
      <c r="Q269">
        <v>1</v>
      </c>
      <c r="R269">
        <v>0</v>
      </c>
      <c r="S269">
        <v>43</v>
      </c>
      <c r="T269">
        <v>9.3000000000000007</v>
      </c>
      <c r="U269">
        <v>98</v>
      </c>
      <c r="V269" t="s">
        <v>2115</v>
      </c>
      <c r="W269" t="s">
        <v>2057</v>
      </c>
      <c r="X269">
        <v>7</v>
      </c>
      <c r="Y269">
        <v>6</v>
      </c>
      <c r="Z269">
        <v>53.8</v>
      </c>
      <c r="AA269">
        <v>31</v>
      </c>
      <c r="AB269">
        <v>113</v>
      </c>
      <c r="AC269">
        <v>3</v>
      </c>
      <c r="AD269">
        <v>28</v>
      </c>
      <c r="AE269" t="s">
        <v>60</v>
      </c>
    </row>
    <row r="270" spans="1:31" x14ac:dyDescent="0.2">
      <c r="A270">
        <v>263</v>
      </c>
      <c r="B270" t="s">
        <v>754</v>
      </c>
      <c r="C270">
        <v>32</v>
      </c>
      <c r="D270" t="s">
        <v>384</v>
      </c>
      <c r="E270" t="s">
        <v>322</v>
      </c>
      <c r="F270">
        <v>23</v>
      </c>
      <c r="G270">
        <v>5</v>
      </c>
      <c r="H270">
        <v>10</v>
      </c>
      <c r="I270">
        <v>15</v>
      </c>
      <c r="J270">
        <v>-5</v>
      </c>
      <c r="K270">
        <v>15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52</v>
      </c>
      <c r="T270">
        <v>9.6</v>
      </c>
      <c r="U270">
        <v>103</v>
      </c>
      <c r="V270" t="s">
        <v>2716</v>
      </c>
      <c r="W270" t="s">
        <v>1949</v>
      </c>
      <c r="X270">
        <v>64</v>
      </c>
      <c r="Y270">
        <v>51</v>
      </c>
      <c r="Z270">
        <v>55.7</v>
      </c>
      <c r="AA270">
        <v>25</v>
      </c>
      <c r="AB270">
        <v>50</v>
      </c>
      <c r="AC270">
        <v>3</v>
      </c>
      <c r="AD270">
        <v>18</v>
      </c>
      <c r="AE270" t="s">
        <v>60</v>
      </c>
    </row>
    <row r="271" spans="1:31" x14ac:dyDescent="0.2">
      <c r="A271">
        <v>264</v>
      </c>
      <c r="B271" t="s">
        <v>756</v>
      </c>
      <c r="C271">
        <v>26</v>
      </c>
      <c r="D271" t="s">
        <v>461</v>
      </c>
      <c r="E271" t="s">
        <v>322</v>
      </c>
      <c r="F271">
        <v>34</v>
      </c>
      <c r="G271">
        <v>8</v>
      </c>
      <c r="H271">
        <v>7</v>
      </c>
      <c r="I271">
        <v>15</v>
      </c>
      <c r="J271">
        <v>-5</v>
      </c>
      <c r="K271">
        <v>22</v>
      </c>
      <c r="L271">
        <v>6</v>
      </c>
      <c r="M271">
        <v>2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49</v>
      </c>
      <c r="T271">
        <v>16.3</v>
      </c>
      <c r="U271">
        <v>91</v>
      </c>
      <c r="V271" t="s">
        <v>2354</v>
      </c>
      <c r="W271" t="s">
        <v>2355</v>
      </c>
      <c r="X271">
        <v>9</v>
      </c>
      <c r="Y271">
        <v>18</v>
      </c>
      <c r="Z271">
        <v>33.299999999999997</v>
      </c>
      <c r="AA271">
        <v>7</v>
      </c>
      <c r="AB271">
        <v>45</v>
      </c>
      <c r="AC271">
        <v>9</v>
      </c>
      <c r="AD271">
        <v>21</v>
      </c>
      <c r="AE271" t="s">
        <v>60</v>
      </c>
    </row>
    <row r="272" spans="1:31" x14ac:dyDescent="0.2">
      <c r="A272">
        <v>265</v>
      </c>
      <c r="B272" t="s">
        <v>758</v>
      </c>
      <c r="C272">
        <v>18</v>
      </c>
      <c r="D272" t="s">
        <v>378</v>
      </c>
      <c r="E272" t="s">
        <v>322</v>
      </c>
      <c r="F272">
        <v>34</v>
      </c>
      <c r="G272">
        <v>8</v>
      </c>
      <c r="H272">
        <v>7</v>
      </c>
      <c r="I272">
        <v>15</v>
      </c>
      <c r="J272">
        <v>-10</v>
      </c>
      <c r="K272">
        <v>10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4</v>
      </c>
      <c r="R272">
        <v>0</v>
      </c>
      <c r="S272">
        <v>76</v>
      </c>
      <c r="T272">
        <v>10.5</v>
      </c>
      <c r="U272">
        <v>130</v>
      </c>
      <c r="V272" t="s">
        <v>2717</v>
      </c>
      <c r="W272" t="s">
        <v>1713</v>
      </c>
      <c r="X272">
        <v>111</v>
      </c>
      <c r="Y272">
        <v>134</v>
      </c>
      <c r="Z272">
        <v>45.3</v>
      </c>
      <c r="AA272">
        <v>36</v>
      </c>
      <c r="AB272">
        <v>15</v>
      </c>
      <c r="AC272">
        <v>7</v>
      </c>
      <c r="AD272">
        <v>34</v>
      </c>
      <c r="AE272" t="s">
        <v>60</v>
      </c>
    </row>
    <row r="273" spans="1:31" x14ac:dyDescent="0.2">
      <c r="A273">
        <v>266</v>
      </c>
      <c r="B273" t="s">
        <v>590</v>
      </c>
      <c r="C273">
        <v>26</v>
      </c>
      <c r="D273" t="s">
        <v>324</v>
      </c>
      <c r="E273" t="s">
        <v>322</v>
      </c>
      <c r="F273">
        <v>31</v>
      </c>
      <c r="G273">
        <v>6</v>
      </c>
      <c r="H273">
        <v>9</v>
      </c>
      <c r="I273">
        <v>15</v>
      </c>
      <c r="J273">
        <v>0</v>
      </c>
      <c r="K273">
        <v>8</v>
      </c>
      <c r="L273">
        <v>6</v>
      </c>
      <c r="M273">
        <v>0</v>
      </c>
      <c r="N273">
        <v>0</v>
      </c>
      <c r="O273">
        <v>1</v>
      </c>
      <c r="P273">
        <v>8</v>
      </c>
      <c r="Q273">
        <v>1</v>
      </c>
      <c r="R273">
        <v>0</v>
      </c>
      <c r="S273">
        <v>49</v>
      </c>
      <c r="T273">
        <v>12.2</v>
      </c>
      <c r="U273">
        <v>92</v>
      </c>
      <c r="V273" t="s">
        <v>1770</v>
      </c>
      <c r="W273" t="s">
        <v>1737</v>
      </c>
      <c r="X273">
        <v>24</v>
      </c>
      <c r="Y273">
        <v>27</v>
      </c>
      <c r="Z273">
        <v>47.1</v>
      </c>
      <c r="AA273">
        <v>8</v>
      </c>
      <c r="AB273">
        <v>30</v>
      </c>
      <c r="AC273">
        <v>5</v>
      </c>
      <c r="AD273">
        <v>27</v>
      </c>
      <c r="AE273" t="s">
        <v>60</v>
      </c>
    </row>
    <row r="274" spans="1:31" x14ac:dyDescent="0.2">
      <c r="A274">
        <v>267</v>
      </c>
      <c r="B274" t="s">
        <v>685</v>
      </c>
      <c r="C274">
        <v>27</v>
      </c>
      <c r="D274" t="s">
        <v>356</v>
      </c>
      <c r="E274" t="s">
        <v>322</v>
      </c>
      <c r="F274">
        <v>29</v>
      </c>
      <c r="G274">
        <v>8</v>
      </c>
      <c r="H274">
        <v>7</v>
      </c>
      <c r="I274">
        <v>15</v>
      </c>
      <c r="J274">
        <v>-6</v>
      </c>
      <c r="K274">
        <v>2</v>
      </c>
      <c r="L274">
        <v>7</v>
      </c>
      <c r="M274">
        <v>1</v>
      </c>
      <c r="N274">
        <v>0</v>
      </c>
      <c r="O274">
        <v>0</v>
      </c>
      <c r="P274">
        <v>6</v>
      </c>
      <c r="Q274">
        <v>1</v>
      </c>
      <c r="R274">
        <v>0</v>
      </c>
      <c r="S274">
        <v>30</v>
      </c>
      <c r="T274">
        <v>26.7</v>
      </c>
      <c r="U274">
        <v>64</v>
      </c>
      <c r="V274" t="s">
        <v>2356</v>
      </c>
      <c r="W274" t="s">
        <v>1958</v>
      </c>
      <c r="X274">
        <v>65</v>
      </c>
      <c r="Y274">
        <v>53</v>
      </c>
      <c r="Z274">
        <v>55.1</v>
      </c>
      <c r="AA274">
        <v>11</v>
      </c>
      <c r="AB274">
        <v>6</v>
      </c>
      <c r="AC274">
        <v>4</v>
      </c>
      <c r="AD274">
        <v>31</v>
      </c>
      <c r="AE274" t="s">
        <v>60</v>
      </c>
    </row>
    <row r="275" spans="1:31" x14ac:dyDescent="0.2">
      <c r="A275">
        <v>268</v>
      </c>
      <c r="B275" t="s">
        <v>597</v>
      </c>
      <c r="C275">
        <v>33</v>
      </c>
      <c r="D275" t="s">
        <v>346</v>
      </c>
      <c r="E275" t="s">
        <v>335</v>
      </c>
      <c r="F275">
        <v>36</v>
      </c>
      <c r="G275">
        <v>6</v>
      </c>
      <c r="H275">
        <v>9</v>
      </c>
      <c r="I275">
        <v>15</v>
      </c>
      <c r="J275">
        <v>-4</v>
      </c>
      <c r="K275">
        <v>8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4</v>
      </c>
      <c r="R275">
        <v>0</v>
      </c>
      <c r="S275">
        <v>50</v>
      </c>
      <c r="T275">
        <v>12</v>
      </c>
      <c r="U275">
        <v>95</v>
      </c>
      <c r="V275" t="s">
        <v>2357</v>
      </c>
      <c r="W275" t="s">
        <v>630</v>
      </c>
      <c r="X275">
        <v>3</v>
      </c>
      <c r="Y275">
        <v>2</v>
      </c>
      <c r="Z275">
        <v>60</v>
      </c>
      <c r="AA275">
        <v>12</v>
      </c>
      <c r="AB275">
        <v>50</v>
      </c>
      <c r="AC275">
        <v>5</v>
      </c>
      <c r="AD275">
        <v>28</v>
      </c>
      <c r="AE275" t="s">
        <v>60</v>
      </c>
    </row>
    <row r="276" spans="1:31" x14ac:dyDescent="0.2">
      <c r="A276">
        <v>269</v>
      </c>
      <c r="B276" t="s">
        <v>694</v>
      </c>
      <c r="C276">
        <v>33</v>
      </c>
      <c r="D276" t="s">
        <v>387</v>
      </c>
      <c r="E276" t="s">
        <v>322</v>
      </c>
      <c r="F276">
        <v>31</v>
      </c>
      <c r="G276">
        <v>6</v>
      </c>
      <c r="H276">
        <v>9</v>
      </c>
      <c r="I276">
        <v>15</v>
      </c>
      <c r="J276">
        <v>0</v>
      </c>
      <c r="K276">
        <v>2</v>
      </c>
      <c r="L276">
        <v>4</v>
      </c>
      <c r="M276">
        <v>0</v>
      </c>
      <c r="N276">
        <v>2</v>
      </c>
      <c r="O276">
        <v>2</v>
      </c>
      <c r="P276">
        <v>7</v>
      </c>
      <c r="Q276">
        <v>0</v>
      </c>
      <c r="R276">
        <v>2</v>
      </c>
      <c r="S276">
        <v>33</v>
      </c>
      <c r="T276">
        <v>18.2</v>
      </c>
      <c r="U276">
        <v>64</v>
      </c>
      <c r="V276" t="s">
        <v>2718</v>
      </c>
      <c r="W276" t="s">
        <v>695</v>
      </c>
      <c r="X276">
        <v>281</v>
      </c>
      <c r="Y276">
        <v>195</v>
      </c>
      <c r="Z276">
        <v>59</v>
      </c>
      <c r="AA276">
        <v>31</v>
      </c>
      <c r="AB276">
        <v>43</v>
      </c>
      <c r="AC276">
        <v>9</v>
      </c>
      <c r="AD276">
        <v>22</v>
      </c>
      <c r="AE276" t="s">
        <v>60</v>
      </c>
    </row>
    <row r="277" spans="1:31" x14ac:dyDescent="0.2">
      <c r="A277">
        <v>270</v>
      </c>
      <c r="B277" t="s">
        <v>857</v>
      </c>
      <c r="C277">
        <v>20</v>
      </c>
      <c r="D277" t="s">
        <v>373</v>
      </c>
      <c r="E277" t="s">
        <v>349</v>
      </c>
      <c r="F277">
        <v>40</v>
      </c>
      <c r="G277">
        <v>4</v>
      </c>
      <c r="H277">
        <v>11</v>
      </c>
      <c r="I277">
        <v>15</v>
      </c>
      <c r="J277">
        <v>-17</v>
      </c>
      <c r="K277">
        <v>14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6</v>
      </c>
      <c r="R277">
        <v>0</v>
      </c>
      <c r="S277">
        <v>44</v>
      </c>
      <c r="T277">
        <v>9.1</v>
      </c>
      <c r="U277">
        <v>134</v>
      </c>
      <c r="V277" t="s">
        <v>2719</v>
      </c>
      <c r="W277" t="s">
        <v>1893</v>
      </c>
      <c r="X277">
        <v>0</v>
      </c>
      <c r="Y277">
        <v>0</v>
      </c>
      <c r="AA277">
        <v>38</v>
      </c>
      <c r="AB277">
        <v>12</v>
      </c>
      <c r="AC277">
        <v>4</v>
      </c>
      <c r="AD277">
        <v>37</v>
      </c>
      <c r="AE277" t="s">
        <v>60</v>
      </c>
    </row>
    <row r="278" spans="1:31" x14ac:dyDescent="0.2">
      <c r="A278">
        <v>271</v>
      </c>
      <c r="B278" t="s">
        <v>658</v>
      </c>
      <c r="C278">
        <v>34</v>
      </c>
      <c r="D278" t="s">
        <v>536</v>
      </c>
      <c r="E278" t="s">
        <v>322</v>
      </c>
      <c r="F278">
        <v>39</v>
      </c>
      <c r="G278">
        <v>7</v>
      </c>
      <c r="H278">
        <v>8</v>
      </c>
      <c r="I278">
        <v>15</v>
      </c>
      <c r="J278">
        <v>-18</v>
      </c>
      <c r="K278">
        <v>25</v>
      </c>
      <c r="L278">
        <v>5</v>
      </c>
      <c r="M278">
        <v>2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53</v>
      </c>
      <c r="T278">
        <v>13.2</v>
      </c>
      <c r="U278">
        <v>113</v>
      </c>
      <c r="V278" t="s">
        <v>2358</v>
      </c>
      <c r="W278" t="s">
        <v>615</v>
      </c>
      <c r="X278">
        <v>219</v>
      </c>
      <c r="Y278">
        <v>176</v>
      </c>
      <c r="Z278">
        <v>55.4</v>
      </c>
      <c r="AA278">
        <v>14</v>
      </c>
      <c r="AB278">
        <v>87</v>
      </c>
      <c r="AC278">
        <v>10</v>
      </c>
      <c r="AD278">
        <v>31</v>
      </c>
      <c r="AE278" t="s">
        <v>60</v>
      </c>
    </row>
    <row r="279" spans="1:31" x14ac:dyDescent="0.2">
      <c r="A279">
        <v>272</v>
      </c>
      <c r="B279" t="s">
        <v>600</v>
      </c>
      <c r="C279">
        <v>33</v>
      </c>
      <c r="D279" t="s">
        <v>555</v>
      </c>
      <c r="E279" t="s">
        <v>322</v>
      </c>
      <c r="F279">
        <v>23</v>
      </c>
      <c r="G279">
        <v>8</v>
      </c>
      <c r="H279">
        <v>7</v>
      </c>
      <c r="I279">
        <v>15</v>
      </c>
      <c r="J279">
        <v>6</v>
      </c>
      <c r="K279">
        <v>8</v>
      </c>
      <c r="L279">
        <v>5</v>
      </c>
      <c r="M279">
        <v>2</v>
      </c>
      <c r="N279">
        <v>1</v>
      </c>
      <c r="O279">
        <v>2</v>
      </c>
      <c r="P279">
        <v>6</v>
      </c>
      <c r="Q279">
        <v>1</v>
      </c>
      <c r="R279">
        <v>0</v>
      </c>
      <c r="S279">
        <v>48</v>
      </c>
      <c r="T279">
        <v>16.7</v>
      </c>
      <c r="U279">
        <v>89</v>
      </c>
      <c r="V279" t="s">
        <v>601</v>
      </c>
      <c r="W279" t="s">
        <v>602</v>
      </c>
      <c r="X279">
        <v>12</v>
      </c>
      <c r="Y279">
        <v>6</v>
      </c>
      <c r="Z279">
        <v>66.7</v>
      </c>
      <c r="AA279">
        <v>20</v>
      </c>
      <c r="AB279">
        <v>24</v>
      </c>
      <c r="AC279">
        <v>13</v>
      </c>
      <c r="AD279">
        <v>27</v>
      </c>
      <c r="AE279" t="s">
        <v>60</v>
      </c>
    </row>
    <row r="280" spans="1:31" x14ac:dyDescent="0.2">
      <c r="A280">
        <v>273</v>
      </c>
      <c r="B280" t="s">
        <v>705</v>
      </c>
      <c r="C280">
        <v>25</v>
      </c>
      <c r="D280" t="s">
        <v>415</v>
      </c>
      <c r="E280" t="s">
        <v>349</v>
      </c>
      <c r="F280">
        <v>30</v>
      </c>
      <c r="G280">
        <v>2</v>
      </c>
      <c r="H280">
        <v>13</v>
      </c>
      <c r="I280">
        <v>15</v>
      </c>
      <c r="J280">
        <v>0</v>
      </c>
      <c r="K280">
        <v>10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5</v>
      </c>
      <c r="R280">
        <v>0</v>
      </c>
      <c r="S280">
        <v>33</v>
      </c>
      <c r="T280">
        <v>6.1</v>
      </c>
      <c r="U280">
        <v>76</v>
      </c>
      <c r="V280" t="s">
        <v>2253</v>
      </c>
      <c r="W280" t="s">
        <v>2720</v>
      </c>
      <c r="X280">
        <v>0</v>
      </c>
      <c r="Y280">
        <v>0</v>
      </c>
      <c r="AA280">
        <v>58</v>
      </c>
      <c r="AB280">
        <v>4</v>
      </c>
      <c r="AC280">
        <v>8</v>
      </c>
      <c r="AD280">
        <v>32</v>
      </c>
      <c r="AE280" t="s">
        <v>60</v>
      </c>
    </row>
    <row r="281" spans="1:31" x14ac:dyDescent="0.2">
      <c r="A281">
        <v>274</v>
      </c>
      <c r="B281" t="s">
        <v>706</v>
      </c>
      <c r="C281">
        <v>22</v>
      </c>
      <c r="D281" t="s">
        <v>337</v>
      </c>
      <c r="E281" t="s">
        <v>349</v>
      </c>
      <c r="F281">
        <v>37</v>
      </c>
      <c r="G281">
        <v>5</v>
      </c>
      <c r="H281">
        <v>10</v>
      </c>
      <c r="I281">
        <v>15</v>
      </c>
      <c r="J281">
        <v>7</v>
      </c>
      <c r="K281">
        <v>18</v>
      </c>
      <c r="L281">
        <v>4</v>
      </c>
      <c r="M281">
        <v>1</v>
      </c>
      <c r="N281">
        <v>0</v>
      </c>
      <c r="O281">
        <v>1</v>
      </c>
      <c r="P281">
        <v>8</v>
      </c>
      <c r="Q281">
        <v>2</v>
      </c>
      <c r="R281">
        <v>0</v>
      </c>
      <c r="S281">
        <v>65</v>
      </c>
      <c r="T281">
        <v>7.7</v>
      </c>
      <c r="U281">
        <v>166</v>
      </c>
      <c r="V281" t="s">
        <v>2359</v>
      </c>
      <c r="W281" t="s">
        <v>1921</v>
      </c>
      <c r="X281">
        <v>0</v>
      </c>
      <c r="Y281">
        <v>0</v>
      </c>
      <c r="AA281">
        <v>39</v>
      </c>
      <c r="AB281">
        <v>20</v>
      </c>
      <c r="AC281">
        <v>12</v>
      </c>
      <c r="AD281">
        <v>30</v>
      </c>
      <c r="AE281" t="s">
        <v>60</v>
      </c>
    </row>
    <row r="282" spans="1:31" x14ac:dyDescent="0.2">
      <c r="A282">
        <v>275</v>
      </c>
      <c r="B282" t="s">
        <v>655</v>
      </c>
      <c r="C282">
        <v>24</v>
      </c>
      <c r="D282" t="s">
        <v>1022</v>
      </c>
      <c r="E282" t="s">
        <v>322</v>
      </c>
      <c r="F282">
        <v>23</v>
      </c>
      <c r="G282">
        <v>5</v>
      </c>
      <c r="H282">
        <v>10</v>
      </c>
      <c r="I282">
        <v>15</v>
      </c>
      <c r="J282">
        <v>-9</v>
      </c>
      <c r="K282">
        <v>4</v>
      </c>
      <c r="L282">
        <v>5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32</v>
      </c>
      <c r="T282">
        <v>15.6</v>
      </c>
      <c r="U282">
        <v>70</v>
      </c>
      <c r="V282" t="s">
        <v>2360</v>
      </c>
      <c r="W282" t="s">
        <v>1668</v>
      </c>
      <c r="X282">
        <v>155</v>
      </c>
      <c r="Y282">
        <v>159</v>
      </c>
      <c r="Z282">
        <v>49.4</v>
      </c>
      <c r="AA282">
        <v>18</v>
      </c>
      <c r="AB282">
        <v>15</v>
      </c>
      <c r="AC282">
        <v>6</v>
      </c>
      <c r="AD282">
        <v>19</v>
      </c>
      <c r="AE282" t="s">
        <v>60</v>
      </c>
    </row>
    <row r="283" spans="1:31" x14ac:dyDescent="0.2">
      <c r="A283">
        <v>275</v>
      </c>
      <c r="B283" t="s">
        <v>655</v>
      </c>
      <c r="C283">
        <v>24</v>
      </c>
      <c r="D283" t="s">
        <v>359</v>
      </c>
      <c r="E283" t="s">
        <v>322</v>
      </c>
      <c r="F283">
        <v>17</v>
      </c>
      <c r="G283">
        <v>4</v>
      </c>
      <c r="H283">
        <v>9</v>
      </c>
      <c r="I283">
        <v>13</v>
      </c>
      <c r="J283">
        <v>-6</v>
      </c>
      <c r="K283">
        <v>2</v>
      </c>
      <c r="L283">
        <v>4</v>
      </c>
      <c r="M283">
        <v>0</v>
      </c>
      <c r="N283">
        <v>0</v>
      </c>
      <c r="O283">
        <v>0</v>
      </c>
      <c r="P283">
        <v>4</v>
      </c>
      <c r="Q283">
        <v>5</v>
      </c>
      <c r="R283">
        <v>0</v>
      </c>
      <c r="S283">
        <v>27</v>
      </c>
      <c r="T283">
        <v>14.8</v>
      </c>
      <c r="U283">
        <v>55</v>
      </c>
      <c r="V283" t="s">
        <v>656</v>
      </c>
      <c r="W283" t="s">
        <v>657</v>
      </c>
      <c r="X283">
        <v>107</v>
      </c>
      <c r="Y283">
        <v>113</v>
      </c>
      <c r="Z283">
        <v>48.6</v>
      </c>
      <c r="AA283">
        <v>8</v>
      </c>
      <c r="AB283">
        <v>11</v>
      </c>
      <c r="AC283">
        <v>5</v>
      </c>
      <c r="AD283">
        <v>13</v>
      </c>
      <c r="AE283" t="s">
        <v>60</v>
      </c>
    </row>
    <row r="284" spans="1:31" x14ac:dyDescent="0.2">
      <c r="A284">
        <v>275</v>
      </c>
      <c r="B284" t="s">
        <v>655</v>
      </c>
      <c r="C284">
        <v>24</v>
      </c>
      <c r="D284" t="s">
        <v>461</v>
      </c>
      <c r="E284" t="s">
        <v>322</v>
      </c>
      <c r="F284">
        <v>6</v>
      </c>
      <c r="G284">
        <v>1</v>
      </c>
      <c r="H284">
        <v>1</v>
      </c>
      <c r="I284">
        <v>2</v>
      </c>
      <c r="J284">
        <v>-3</v>
      </c>
      <c r="K284">
        <v>2</v>
      </c>
      <c r="L284">
        <v>1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5</v>
      </c>
      <c r="T284">
        <v>20</v>
      </c>
      <c r="U284">
        <v>15</v>
      </c>
      <c r="V284" t="s">
        <v>2361</v>
      </c>
      <c r="W284" t="s">
        <v>2006</v>
      </c>
      <c r="X284">
        <v>48</v>
      </c>
      <c r="Y284">
        <v>46</v>
      </c>
      <c r="Z284">
        <v>51.1</v>
      </c>
      <c r="AA284">
        <v>10</v>
      </c>
      <c r="AB284">
        <v>4</v>
      </c>
      <c r="AC284">
        <v>1</v>
      </c>
      <c r="AD284">
        <v>6</v>
      </c>
      <c r="AE284" t="s">
        <v>60</v>
      </c>
    </row>
    <row r="285" spans="1:31" x14ac:dyDescent="0.2">
      <c r="A285">
        <v>276</v>
      </c>
      <c r="B285" t="s">
        <v>781</v>
      </c>
      <c r="C285">
        <v>36</v>
      </c>
      <c r="D285" t="s">
        <v>334</v>
      </c>
      <c r="E285" t="s">
        <v>340</v>
      </c>
      <c r="F285">
        <v>20</v>
      </c>
      <c r="G285">
        <v>7</v>
      </c>
      <c r="H285">
        <v>7</v>
      </c>
      <c r="I285">
        <v>14</v>
      </c>
      <c r="J285">
        <v>7</v>
      </c>
      <c r="K285">
        <v>15</v>
      </c>
      <c r="L285">
        <v>7</v>
      </c>
      <c r="M285">
        <v>0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33</v>
      </c>
      <c r="T285">
        <v>21.2</v>
      </c>
      <c r="U285">
        <v>48</v>
      </c>
      <c r="V285" t="s">
        <v>2362</v>
      </c>
      <c r="W285" t="s">
        <v>2042</v>
      </c>
      <c r="X285">
        <v>28</v>
      </c>
      <c r="Y285">
        <v>27</v>
      </c>
      <c r="Z285">
        <v>50.9</v>
      </c>
      <c r="AA285">
        <v>5</v>
      </c>
      <c r="AB285">
        <v>32</v>
      </c>
      <c r="AC285">
        <v>3</v>
      </c>
      <c r="AD285">
        <v>12</v>
      </c>
      <c r="AE285" t="s">
        <v>60</v>
      </c>
    </row>
    <row r="286" spans="1:31" x14ac:dyDescent="0.2">
      <c r="A286">
        <v>277</v>
      </c>
      <c r="B286" t="s">
        <v>608</v>
      </c>
      <c r="C286">
        <v>29</v>
      </c>
      <c r="D286" t="s">
        <v>321</v>
      </c>
      <c r="E286" t="s">
        <v>322</v>
      </c>
      <c r="F286">
        <v>37</v>
      </c>
      <c r="G286">
        <v>5</v>
      </c>
      <c r="H286">
        <v>9</v>
      </c>
      <c r="I286">
        <v>14</v>
      </c>
      <c r="J286">
        <v>8</v>
      </c>
      <c r="K286">
        <v>7</v>
      </c>
      <c r="L286">
        <v>5</v>
      </c>
      <c r="M286">
        <v>0</v>
      </c>
      <c r="N286">
        <v>0</v>
      </c>
      <c r="O286">
        <v>2</v>
      </c>
      <c r="P286">
        <v>9</v>
      </c>
      <c r="Q286">
        <v>0</v>
      </c>
      <c r="R286">
        <v>0</v>
      </c>
      <c r="S286">
        <v>78</v>
      </c>
      <c r="T286">
        <v>6.4</v>
      </c>
      <c r="U286">
        <v>151</v>
      </c>
      <c r="V286" t="s">
        <v>2363</v>
      </c>
      <c r="W286" t="s">
        <v>1274</v>
      </c>
      <c r="X286">
        <v>31</v>
      </c>
      <c r="Y286">
        <v>35</v>
      </c>
      <c r="Z286">
        <v>47</v>
      </c>
      <c r="AA286">
        <v>17</v>
      </c>
      <c r="AB286">
        <v>86</v>
      </c>
      <c r="AC286">
        <v>8</v>
      </c>
      <c r="AD286">
        <v>30</v>
      </c>
      <c r="AE286" t="s">
        <v>60</v>
      </c>
    </row>
    <row r="287" spans="1:31" x14ac:dyDescent="0.2">
      <c r="A287">
        <v>278</v>
      </c>
      <c r="B287" t="s">
        <v>795</v>
      </c>
      <c r="C287">
        <v>22</v>
      </c>
      <c r="D287" t="s">
        <v>373</v>
      </c>
      <c r="E287" t="s">
        <v>349</v>
      </c>
      <c r="F287">
        <v>37</v>
      </c>
      <c r="G287">
        <v>5</v>
      </c>
      <c r="H287">
        <v>9</v>
      </c>
      <c r="I287">
        <v>14</v>
      </c>
      <c r="J287">
        <v>8</v>
      </c>
      <c r="K287">
        <v>48</v>
      </c>
      <c r="L287">
        <v>5</v>
      </c>
      <c r="M287">
        <v>0</v>
      </c>
      <c r="N287">
        <v>0</v>
      </c>
      <c r="O287">
        <v>2</v>
      </c>
      <c r="P287">
        <v>9</v>
      </c>
      <c r="Q287">
        <v>0</v>
      </c>
      <c r="R287">
        <v>0</v>
      </c>
      <c r="S287">
        <v>48</v>
      </c>
      <c r="T287">
        <v>10.4</v>
      </c>
      <c r="U287">
        <v>111</v>
      </c>
      <c r="V287" t="s">
        <v>2721</v>
      </c>
      <c r="W287" t="s">
        <v>2076</v>
      </c>
      <c r="X287">
        <v>0</v>
      </c>
      <c r="Y287">
        <v>0</v>
      </c>
      <c r="AA287">
        <v>71</v>
      </c>
      <c r="AB287">
        <v>47</v>
      </c>
      <c r="AC287">
        <v>12</v>
      </c>
      <c r="AD287">
        <v>47</v>
      </c>
      <c r="AE287" t="s">
        <v>60</v>
      </c>
    </row>
    <row r="288" spans="1:31" x14ac:dyDescent="0.2">
      <c r="A288">
        <v>279</v>
      </c>
      <c r="B288" t="s">
        <v>672</v>
      </c>
      <c r="C288">
        <v>29</v>
      </c>
      <c r="D288" t="s">
        <v>356</v>
      </c>
      <c r="E288" t="s">
        <v>322</v>
      </c>
      <c r="F288">
        <v>36</v>
      </c>
      <c r="G288">
        <v>6</v>
      </c>
      <c r="H288">
        <v>8</v>
      </c>
      <c r="I288">
        <v>14</v>
      </c>
      <c r="J288">
        <v>-6</v>
      </c>
      <c r="K288">
        <v>21</v>
      </c>
      <c r="L288">
        <v>5</v>
      </c>
      <c r="M288">
        <v>1</v>
      </c>
      <c r="N288">
        <v>0</v>
      </c>
      <c r="O288">
        <v>1</v>
      </c>
      <c r="P288">
        <v>5</v>
      </c>
      <c r="Q288">
        <v>3</v>
      </c>
      <c r="R288">
        <v>0</v>
      </c>
      <c r="S288">
        <v>77</v>
      </c>
      <c r="T288">
        <v>7.8</v>
      </c>
      <c r="U288">
        <v>130</v>
      </c>
      <c r="V288" t="s">
        <v>2364</v>
      </c>
      <c r="W288" t="s">
        <v>1965</v>
      </c>
      <c r="X288">
        <v>1</v>
      </c>
      <c r="Y288">
        <v>3</v>
      </c>
      <c r="Z288">
        <v>25</v>
      </c>
      <c r="AA288">
        <v>11</v>
      </c>
      <c r="AB288">
        <v>26</v>
      </c>
      <c r="AC288">
        <v>2</v>
      </c>
      <c r="AD288">
        <v>23</v>
      </c>
      <c r="AE288" t="s">
        <v>60</v>
      </c>
    </row>
    <row r="289" spans="1:31" x14ac:dyDescent="0.2">
      <c r="A289">
        <v>280</v>
      </c>
      <c r="B289" t="s">
        <v>616</v>
      </c>
      <c r="C289">
        <v>29</v>
      </c>
      <c r="D289" t="s">
        <v>375</v>
      </c>
      <c r="E289" t="s">
        <v>349</v>
      </c>
      <c r="F289">
        <v>37</v>
      </c>
      <c r="G289">
        <v>1</v>
      </c>
      <c r="H289">
        <v>13</v>
      </c>
      <c r="I289">
        <v>14</v>
      </c>
      <c r="J289">
        <v>-1</v>
      </c>
      <c r="K289">
        <v>14</v>
      </c>
      <c r="L289">
        <v>1</v>
      </c>
      <c r="M289">
        <v>0</v>
      </c>
      <c r="N289">
        <v>0</v>
      </c>
      <c r="O289">
        <v>0</v>
      </c>
      <c r="P289">
        <v>13</v>
      </c>
      <c r="Q289">
        <v>0</v>
      </c>
      <c r="R289">
        <v>0</v>
      </c>
      <c r="S289">
        <v>43</v>
      </c>
      <c r="T289">
        <v>2.2999999999999998</v>
      </c>
      <c r="U289">
        <v>106</v>
      </c>
      <c r="V289" t="s">
        <v>2365</v>
      </c>
      <c r="W289" t="s">
        <v>2366</v>
      </c>
      <c r="X289">
        <v>0</v>
      </c>
      <c r="Y289">
        <v>0</v>
      </c>
      <c r="AA289">
        <v>44</v>
      </c>
      <c r="AB289">
        <v>26</v>
      </c>
      <c r="AC289">
        <v>14</v>
      </c>
      <c r="AD289">
        <v>20</v>
      </c>
      <c r="AE289" t="s">
        <v>60</v>
      </c>
    </row>
    <row r="290" spans="1:31" x14ac:dyDescent="0.2">
      <c r="A290">
        <v>281</v>
      </c>
      <c r="B290" t="s">
        <v>673</v>
      </c>
      <c r="C290">
        <v>34</v>
      </c>
      <c r="D290" t="s">
        <v>536</v>
      </c>
      <c r="E290" t="s">
        <v>349</v>
      </c>
      <c r="F290">
        <v>39</v>
      </c>
      <c r="G290">
        <v>1</v>
      </c>
      <c r="H290">
        <v>13</v>
      </c>
      <c r="I290">
        <v>14</v>
      </c>
      <c r="J290">
        <v>-15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8</v>
      </c>
      <c r="R290">
        <v>1</v>
      </c>
      <c r="S290">
        <v>56</v>
      </c>
      <c r="T290">
        <v>1.8</v>
      </c>
      <c r="U290">
        <v>136</v>
      </c>
      <c r="V290" t="s">
        <v>2367</v>
      </c>
      <c r="W290" t="s">
        <v>2118</v>
      </c>
      <c r="X290">
        <v>0</v>
      </c>
      <c r="Y290">
        <v>0</v>
      </c>
      <c r="AA290">
        <v>37</v>
      </c>
      <c r="AB290">
        <v>5</v>
      </c>
      <c r="AC290">
        <v>9</v>
      </c>
      <c r="AD290">
        <v>32</v>
      </c>
      <c r="AE290" t="s">
        <v>60</v>
      </c>
    </row>
    <row r="291" spans="1:31" x14ac:dyDescent="0.2">
      <c r="A291">
        <v>282</v>
      </c>
      <c r="B291" t="s">
        <v>649</v>
      </c>
      <c r="C291">
        <v>30</v>
      </c>
      <c r="D291" t="s">
        <v>363</v>
      </c>
      <c r="E291" t="s">
        <v>349</v>
      </c>
      <c r="F291">
        <v>40</v>
      </c>
      <c r="G291">
        <v>6</v>
      </c>
      <c r="H291">
        <v>8</v>
      </c>
      <c r="I291">
        <v>14</v>
      </c>
      <c r="J291">
        <v>3</v>
      </c>
      <c r="K291">
        <v>20</v>
      </c>
      <c r="L291">
        <v>6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53</v>
      </c>
      <c r="T291">
        <v>11.3</v>
      </c>
      <c r="U291">
        <v>154</v>
      </c>
      <c r="V291" t="s">
        <v>2368</v>
      </c>
      <c r="W291" t="s">
        <v>1940</v>
      </c>
      <c r="X291">
        <v>0</v>
      </c>
      <c r="Y291">
        <v>0</v>
      </c>
      <c r="AA291">
        <v>62</v>
      </c>
      <c r="AB291">
        <v>20</v>
      </c>
      <c r="AC291">
        <v>12</v>
      </c>
      <c r="AD291">
        <v>48</v>
      </c>
      <c r="AE291" t="s">
        <v>60</v>
      </c>
    </row>
    <row r="292" spans="1:31" x14ac:dyDescent="0.2">
      <c r="A292">
        <v>283</v>
      </c>
      <c r="B292" t="s">
        <v>753</v>
      </c>
      <c r="C292">
        <v>24</v>
      </c>
      <c r="D292" t="s">
        <v>334</v>
      </c>
      <c r="E292" t="s">
        <v>349</v>
      </c>
      <c r="F292">
        <v>27</v>
      </c>
      <c r="G292">
        <v>2</v>
      </c>
      <c r="H292">
        <v>12</v>
      </c>
      <c r="I292">
        <v>14</v>
      </c>
      <c r="J292">
        <v>-2</v>
      </c>
      <c r="K292">
        <v>10</v>
      </c>
      <c r="L292">
        <v>2</v>
      </c>
      <c r="M292">
        <v>0</v>
      </c>
      <c r="N292">
        <v>0</v>
      </c>
      <c r="O292">
        <v>1</v>
      </c>
      <c r="P292">
        <v>9</v>
      </c>
      <c r="Q292">
        <v>3</v>
      </c>
      <c r="R292">
        <v>0</v>
      </c>
      <c r="S292">
        <v>33</v>
      </c>
      <c r="T292">
        <v>6.1</v>
      </c>
      <c r="U292">
        <v>97</v>
      </c>
      <c r="V292" t="s">
        <v>2369</v>
      </c>
      <c r="W292" t="s">
        <v>906</v>
      </c>
      <c r="X292">
        <v>0</v>
      </c>
      <c r="Y292">
        <v>0</v>
      </c>
      <c r="AA292">
        <v>60</v>
      </c>
      <c r="AB292">
        <v>12</v>
      </c>
      <c r="AC292">
        <v>14</v>
      </c>
      <c r="AD292">
        <v>38</v>
      </c>
      <c r="AE292" t="s">
        <v>60</v>
      </c>
    </row>
    <row r="293" spans="1:31" x14ac:dyDescent="0.2">
      <c r="A293">
        <v>284</v>
      </c>
      <c r="B293" t="s">
        <v>682</v>
      </c>
      <c r="C293">
        <v>25</v>
      </c>
      <c r="D293" t="s">
        <v>356</v>
      </c>
      <c r="E293" t="s">
        <v>349</v>
      </c>
      <c r="F293">
        <v>34</v>
      </c>
      <c r="G293">
        <v>2</v>
      </c>
      <c r="H293">
        <v>12</v>
      </c>
      <c r="I293">
        <v>14</v>
      </c>
      <c r="J293">
        <v>2</v>
      </c>
      <c r="K293">
        <v>8</v>
      </c>
      <c r="L293">
        <v>1</v>
      </c>
      <c r="M293">
        <v>1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29</v>
      </c>
      <c r="T293">
        <v>6.9</v>
      </c>
      <c r="U293">
        <v>93</v>
      </c>
      <c r="V293" t="s">
        <v>2370</v>
      </c>
      <c r="W293" t="s">
        <v>1952</v>
      </c>
      <c r="X293">
        <v>0</v>
      </c>
      <c r="Y293">
        <v>0</v>
      </c>
      <c r="AA293">
        <v>45</v>
      </c>
      <c r="AB293">
        <v>18</v>
      </c>
      <c r="AC293">
        <v>10</v>
      </c>
      <c r="AD293">
        <v>46</v>
      </c>
      <c r="AE293" t="s">
        <v>60</v>
      </c>
    </row>
    <row r="294" spans="1:31" x14ac:dyDescent="0.2">
      <c r="A294">
        <v>285</v>
      </c>
      <c r="B294" t="s">
        <v>765</v>
      </c>
      <c r="C294">
        <v>30</v>
      </c>
      <c r="D294" t="s">
        <v>328</v>
      </c>
      <c r="E294" t="s">
        <v>349</v>
      </c>
      <c r="F294">
        <v>39</v>
      </c>
      <c r="G294">
        <v>6</v>
      </c>
      <c r="H294">
        <v>8</v>
      </c>
      <c r="I294">
        <v>14</v>
      </c>
      <c r="J294">
        <v>-6</v>
      </c>
      <c r="K294">
        <v>59</v>
      </c>
      <c r="L294">
        <v>6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2</v>
      </c>
      <c r="S294">
        <v>82</v>
      </c>
      <c r="T294">
        <v>7.3</v>
      </c>
      <c r="U294">
        <v>184</v>
      </c>
      <c r="V294" t="s">
        <v>2371</v>
      </c>
      <c r="W294" t="s">
        <v>1642</v>
      </c>
      <c r="X294">
        <v>0</v>
      </c>
      <c r="Y294">
        <v>0</v>
      </c>
      <c r="AA294">
        <v>84</v>
      </c>
      <c r="AB294">
        <v>53</v>
      </c>
      <c r="AC294">
        <v>9</v>
      </c>
      <c r="AD294">
        <v>39</v>
      </c>
      <c r="AE294" t="s">
        <v>60</v>
      </c>
    </row>
    <row r="295" spans="1:31" x14ac:dyDescent="0.2">
      <c r="A295">
        <v>286</v>
      </c>
      <c r="B295" t="s">
        <v>692</v>
      </c>
      <c r="C295">
        <v>27</v>
      </c>
      <c r="D295" t="s">
        <v>461</v>
      </c>
      <c r="E295" t="s">
        <v>325</v>
      </c>
      <c r="F295">
        <v>37</v>
      </c>
      <c r="G295">
        <v>9</v>
      </c>
      <c r="H295">
        <v>5</v>
      </c>
      <c r="I295">
        <v>14</v>
      </c>
      <c r="J295">
        <v>0</v>
      </c>
      <c r="K295">
        <v>18</v>
      </c>
      <c r="L295">
        <v>7</v>
      </c>
      <c r="M295">
        <v>0</v>
      </c>
      <c r="N295">
        <v>2</v>
      </c>
      <c r="O295">
        <v>1</v>
      </c>
      <c r="P295">
        <v>5</v>
      </c>
      <c r="Q295">
        <v>0</v>
      </c>
      <c r="R295">
        <v>0</v>
      </c>
      <c r="S295">
        <v>45</v>
      </c>
      <c r="T295">
        <v>20</v>
      </c>
      <c r="U295">
        <v>95</v>
      </c>
      <c r="V295" t="s">
        <v>2372</v>
      </c>
      <c r="W295" t="s">
        <v>1670</v>
      </c>
      <c r="X295">
        <v>39</v>
      </c>
      <c r="Y295">
        <v>35</v>
      </c>
      <c r="Z295">
        <v>52.7</v>
      </c>
      <c r="AA295">
        <v>17</v>
      </c>
      <c r="AB295">
        <v>30</v>
      </c>
      <c r="AC295">
        <v>4</v>
      </c>
      <c r="AD295">
        <v>30</v>
      </c>
      <c r="AE295" t="s">
        <v>60</v>
      </c>
    </row>
    <row r="296" spans="1:31" x14ac:dyDescent="0.2">
      <c r="A296">
        <v>287</v>
      </c>
      <c r="B296" t="s">
        <v>724</v>
      </c>
      <c r="C296">
        <v>29</v>
      </c>
      <c r="D296" t="s">
        <v>384</v>
      </c>
      <c r="E296" t="s">
        <v>349</v>
      </c>
      <c r="F296">
        <v>37</v>
      </c>
      <c r="G296">
        <v>5</v>
      </c>
      <c r="H296">
        <v>9</v>
      </c>
      <c r="I296">
        <v>14</v>
      </c>
      <c r="J296">
        <v>4</v>
      </c>
      <c r="K296">
        <v>14</v>
      </c>
      <c r="L296">
        <v>5</v>
      </c>
      <c r="M296">
        <v>0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72</v>
      </c>
      <c r="T296">
        <v>6.9</v>
      </c>
      <c r="U296">
        <v>160</v>
      </c>
      <c r="V296" t="s">
        <v>2722</v>
      </c>
      <c r="W296" t="s">
        <v>2723</v>
      </c>
      <c r="X296">
        <v>0</v>
      </c>
      <c r="Y296">
        <v>0</v>
      </c>
      <c r="AA296">
        <v>62</v>
      </c>
      <c r="AB296">
        <v>20</v>
      </c>
      <c r="AC296">
        <v>13</v>
      </c>
      <c r="AD296">
        <v>64</v>
      </c>
      <c r="AE296" t="s">
        <v>60</v>
      </c>
    </row>
    <row r="297" spans="1:31" x14ac:dyDescent="0.2">
      <c r="A297">
        <v>288</v>
      </c>
      <c r="B297" t="s">
        <v>634</v>
      </c>
      <c r="C297">
        <v>29</v>
      </c>
      <c r="D297" t="s">
        <v>536</v>
      </c>
      <c r="E297" t="s">
        <v>325</v>
      </c>
      <c r="F297">
        <v>37</v>
      </c>
      <c r="G297">
        <v>7</v>
      </c>
      <c r="H297">
        <v>7</v>
      </c>
      <c r="I297">
        <v>14</v>
      </c>
      <c r="J297">
        <v>-3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5</v>
      </c>
      <c r="Q297">
        <v>1</v>
      </c>
      <c r="R297">
        <v>1</v>
      </c>
      <c r="S297">
        <v>62</v>
      </c>
      <c r="T297">
        <v>11.3</v>
      </c>
      <c r="U297">
        <v>114</v>
      </c>
      <c r="V297" t="s">
        <v>2373</v>
      </c>
      <c r="W297" t="s">
        <v>1949</v>
      </c>
      <c r="X297">
        <v>149</v>
      </c>
      <c r="Y297">
        <v>167</v>
      </c>
      <c r="Z297">
        <v>47.2</v>
      </c>
      <c r="AA297">
        <v>13</v>
      </c>
      <c r="AB297">
        <v>29</v>
      </c>
      <c r="AC297">
        <v>9</v>
      </c>
      <c r="AD297">
        <v>19</v>
      </c>
      <c r="AE297" t="s">
        <v>60</v>
      </c>
    </row>
    <row r="298" spans="1:31" x14ac:dyDescent="0.2">
      <c r="A298">
        <v>289</v>
      </c>
      <c r="B298" t="s">
        <v>701</v>
      </c>
      <c r="C298">
        <v>20</v>
      </c>
      <c r="D298" t="s">
        <v>476</v>
      </c>
      <c r="E298" t="s">
        <v>335</v>
      </c>
      <c r="F298">
        <v>30</v>
      </c>
      <c r="G298">
        <v>8</v>
      </c>
      <c r="H298">
        <v>6</v>
      </c>
      <c r="I298">
        <v>14</v>
      </c>
      <c r="J298">
        <v>1</v>
      </c>
      <c r="K298">
        <v>2</v>
      </c>
      <c r="L298">
        <v>6</v>
      </c>
      <c r="M298">
        <v>2</v>
      </c>
      <c r="N298">
        <v>0</v>
      </c>
      <c r="O298">
        <v>0</v>
      </c>
      <c r="P298">
        <v>3</v>
      </c>
      <c r="Q298">
        <v>3</v>
      </c>
      <c r="R298">
        <v>0</v>
      </c>
      <c r="S298">
        <v>53</v>
      </c>
      <c r="T298">
        <v>15.1</v>
      </c>
      <c r="U298">
        <v>91</v>
      </c>
      <c r="V298" t="s">
        <v>2374</v>
      </c>
      <c r="W298" t="s">
        <v>2033</v>
      </c>
      <c r="X298">
        <v>4</v>
      </c>
      <c r="Y298">
        <v>11</v>
      </c>
      <c r="Z298">
        <v>26.7</v>
      </c>
      <c r="AA298">
        <v>13</v>
      </c>
      <c r="AB298">
        <v>21</v>
      </c>
      <c r="AC298">
        <v>2</v>
      </c>
      <c r="AD298">
        <v>16</v>
      </c>
      <c r="AE298" t="s">
        <v>60</v>
      </c>
    </row>
    <row r="299" spans="1:31" x14ac:dyDescent="0.2">
      <c r="A299">
        <v>290</v>
      </c>
      <c r="B299" t="s">
        <v>703</v>
      </c>
      <c r="C299">
        <v>22</v>
      </c>
      <c r="D299" t="s">
        <v>555</v>
      </c>
      <c r="E299" t="s">
        <v>322</v>
      </c>
      <c r="F299">
        <v>36</v>
      </c>
      <c r="G299">
        <v>6</v>
      </c>
      <c r="H299">
        <v>8</v>
      </c>
      <c r="I299">
        <v>14</v>
      </c>
      <c r="J299">
        <v>-1</v>
      </c>
      <c r="K299">
        <v>2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2</v>
      </c>
      <c r="R299">
        <v>0</v>
      </c>
      <c r="S299">
        <v>57</v>
      </c>
      <c r="T299">
        <v>10.5</v>
      </c>
      <c r="U299">
        <v>98</v>
      </c>
      <c r="V299" t="s">
        <v>2724</v>
      </c>
      <c r="W299" t="s">
        <v>1967</v>
      </c>
      <c r="X299">
        <v>103</v>
      </c>
      <c r="Y299">
        <v>163</v>
      </c>
      <c r="Z299">
        <v>38.700000000000003</v>
      </c>
      <c r="AA299">
        <v>28</v>
      </c>
      <c r="AB299">
        <v>31</v>
      </c>
      <c r="AC299">
        <v>6</v>
      </c>
      <c r="AD299">
        <v>36</v>
      </c>
      <c r="AE299" t="s">
        <v>60</v>
      </c>
    </row>
    <row r="300" spans="1:31" x14ac:dyDescent="0.2">
      <c r="A300">
        <v>291</v>
      </c>
      <c r="B300" t="s">
        <v>785</v>
      </c>
      <c r="C300">
        <v>22</v>
      </c>
      <c r="D300" t="s">
        <v>344</v>
      </c>
      <c r="E300" t="s">
        <v>325</v>
      </c>
      <c r="F300">
        <v>21</v>
      </c>
      <c r="G300">
        <v>5</v>
      </c>
      <c r="H300">
        <v>8</v>
      </c>
      <c r="I300">
        <v>13</v>
      </c>
      <c r="J300">
        <v>-2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8</v>
      </c>
      <c r="Q300">
        <v>0</v>
      </c>
      <c r="R300">
        <v>0</v>
      </c>
      <c r="S300">
        <v>36</v>
      </c>
      <c r="T300">
        <v>13.9</v>
      </c>
      <c r="U300">
        <v>68</v>
      </c>
      <c r="V300" t="s">
        <v>2375</v>
      </c>
      <c r="W300" t="s">
        <v>1677</v>
      </c>
      <c r="X300">
        <v>3</v>
      </c>
      <c r="Y300">
        <v>1</v>
      </c>
      <c r="Z300">
        <v>75</v>
      </c>
      <c r="AA300">
        <v>10</v>
      </c>
      <c r="AB300">
        <v>2</v>
      </c>
      <c r="AC300">
        <v>4</v>
      </c>
      <c r="AD300">
        <v>7</v>
      </c>
      <c r="AE300" t="s">
        <v>60</v>
      </c>
    </row>
    <row r="301" spans="1:31" x14ac:dyDescent="0.2">
      <c r="A301">
        <v>292</v>
      </c>
      <c r="B301" t="s">
        <v>733</v>
      </c>
      <c r="C301">
        <v>24</v>
      </c>
      <c r="D301" t="s">
        <v>536</v>
      </c>
      <c r="E301" t="s">
        <v>349</v>
      </c>
      <c r="F301">
        <v>39</v>
      </c>
      <c r="G301">
        <v>2</v>
      </c>
      <c r="H301">
        <v>11</v>
      </c>
      <c r="I301">
        <v>13</v>
      </c>
      <c r="J301">
        <v>0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0</v>
      </c>
      <c r="S301">
        <v>51</v>
      </c>
      <c r="T301">
        <v>3.9</v>
      </c>
      <c r="U301">
        <v>132</v>
      </c>
      <c r="V301" t="s">
        <v>2376</v>
      </c>
      <c r="W301" t="s">
        <v>2377</v>
      </c>
      <c r="X301">
        <v>0</v>
      </c>
      <c r="Y301">
        <v>0</v>
      </c>
      <c r="AA301">
        <v>66</v>
      </c>
      <c r="AB301">
        <v>17</v>
      </c>
      <c r="AC301">
        <v>11</v>
      </c>
      <c r="AD301">
        <v>54</v>
      </c>
      <c r="AE301" t="s">
        <v>60</v>
      </c>
    </row>
    <row r="302" spans="1:31" x14ac:dyDescent="0.2">
      <c r="A302">
        <v>293</v>
      </c>
      <c r="B302" t="s">
        <v>734</v>
      </c>
      <c r="C302">
        <v>29</v>
      </c>
      <c r="D302" t="s">
        <v>412</v>
      </c>
      <c r="E302" t="s">
        <v>325</v>
      </c>
      <c r="F302">
        <v>37</v>
      </c>
      <c r="G302">
        <v>6</v>
      </c>
      <c r="H302">
        <v>7</v>
      </c>
      <c r="I302">
        <v>13</v>
      </c>
      <c r="J302">
        <v>-1</v>
      </c>
      <c r="K302">
        <v>18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75</v>
      </c>
      <c r="T302">
        <v>8</v>
      </c>
      <c r="U302">
        <v>155</v>
      </c>
      <c r="V302" t="s">
        <v>2119</v>
      </c>
      <c r="W302" t="s">
        <v>1706</v>
      </c>
      <c r="X302">
        <v>2</v>
      </c>
      <c r="Y302">
        <v>5</v>
      </c>
      <c r="Z302">
        <v>28.6</v>
      </c>
      <c r="AA302">
        <v>7</v>
      </c>
      <c r="AB302">
        <v>64</v>
      </c>
      <c r="AC302">
        <v>7</v>
      </c>
      <c r="AD302">
        <v>19</v>
      </c>
      <c r="AE302" t="s">
        <v>60</v>
      </c>
    </row>
    <row r="303" spans="1:31" x14ac:dyDescent="0.2">
      <c r="A303">
        <v>294</v>
      </c>
      <c r="B303" t="s">
        <v>715</v>
      </c>
      <c r="C303">
        <v>30</v>
      </c>
      <c r="D303" t="s">
        <v>387</v>
      </c>
      <c r="E303" t="s">
        <v>349</v>
      </c>
      <c r="F303">
        <v>39</v>
      </c>
      <c r="G303">
        <v>1</v>
      </c>
      <c r="H303">
        <v>12</v>
      </c>
      <c r="I303">
        <v>13</v>
      </c>
      <c r="J303">
        <v>-8</v>
      </c>
      <c r="K303">
        <v>29</v>
      </c>
      <c r="L303">
        <v>1</v>
      </c>
      <c r="M303">
        <v>0</v>
      </c>
      <c r="N303">
        <v>0</v>
      </c>
      <c r="O303">
        <v>0</v>
      </c>
      <c r="P303">
        <v>9</v>
      </c>
      <c r="Q303">
        <v>3</v>
      </c>
      <c r="R303">
        <v>0</v>
      </c>
      <c r="S303">
        <v>66</v>
      </c>
      <c r="T303">
        <v>1.5</v>
      </c>
      <c r="U303">
        <v>150</v>
      </c>
      <c r="V303" t="s">
        <v>2725</v>
      </c>
      <c r="W303" t="s">
        <v>446</v>
      </c>
      <c r="X303">
        <v>0</v>
      </c>
      <c r="Y303">
        <v>0</v>
      </c>
      <c r="AA303">
        <v>34</v>
      </c>
      <c r="AB303">
        <v>16</v>
      </c>
      <c r="AC303">
        <v>6</v>
      </c>
      <c r="AD303">
        <v>56</v>
      </c>
      <c r="AE303" t="s">
        <v>60</v>
      </c>
    </row>
    <row r="304" spans="1:31" x14ac:dyDescent="0.2">
      <c r="A304">
        <v>295</v>
      </c>
      <c r="B304" t="s">
        <v>671</v>
      </c>
      <c r="C304">
        <v>32</v>
      </c>
      <c r="D304" t="s">
        <v>346</v>
      </c>
      <c r="E304" t="s">
        <v>349</v>
      </c>
      <c r="F304">
        <v>36</v>
      </c>
      <c r="G304">
        <v>1</v>
      </c>
      <c r="H304">
        <v>12</v>
      </c>
      <c r="I304">
        <v>13</v>
      </c>
      <c r="J304">
        <v>11</v>
      </c>
      <c r="K304">
        <v>30</v>
      </c>
      <c r="L304">
        <v>1</v>
      </c>
      <c r="M304">
        <v>0</v>
      </c>
      <c r="N304">
        <v>0</v>
      </c>
      <c r="O304">
        <v>0</v>
      </c>
      <c r="P304">
        <v>11</v>
      </c>
      <c r="Q304">
        <v>0</v>
      </c>
      <c r="R304">
        <v>1</v>
      </c>
      <c r="S304">
        <v>25</v>
      </c>
      <c r="T304">
        <v>4</v>
      </c>
      <c r="U304">
        <v>73</v>
      </c>
      <c r="V304" t="s">
        <v>2135</v>
      </c>
      <c r="W304" t="s">
        <v>2095</v>
      </c>
      <c r="X304">
        <v>0</v>
      </c>
      <c r="Y304">
        <v>0</v>
      </c>
      <c r="AA304">
        <v>57</v>
      </c>
      <c r="AB304">
        <v>54</v>
      </c>
      <c r="AC304">
        <v>10</v>
      </c>
      <c r="AD304">
        <v>38</v>
      </c>
      <c r="AE304" t="s">
        <v>60</v>
      </c>
    </row>
    <row r="305" spans="1:31" x14ac:dyDescent="0.2">
      <c r="A305">
        <v>296</v>
      </c>
      <c r="B305" t="s">
        <v>739</v>
      </c>
      <c r="C305">
        <v>36</v>
      </c>
      <c r="D305" t="s">
        <v>429</v>
      </c>
      <c r="E305" t="s">
        <v>349</v>
      </c>
      <c r="F305">
        <v>30</v>
      </c>
      <c r="G305">
        <v>3</v>
      </c>
      <c r="H305">
        <v>10</v>
      </c>
      <c r="I305">
        <v>13</v>
      </c>
      <c r="J305">
        <v>13</v>
      </c>
      <c r="K305">
        <v>12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1</v>
      </c>
      <c r="S305">
        <v>42</v>
      </c>
      <c r="T305">
        <v>7.1</v>
      </c>
      <c r="U305">
        <v>115</v>
      </c>
      <c r="V305" t="s">
        <v>2378</v>
      </c>
      <c r="W305" t="s">
        <v>2103</v>
      </c>
      <c r="X305">
        <v>0</v>
      </c>
      <c r="Y305">
        <v>0</v>
      </c>
      <c r="AA305">
        <v>41</v>
      </c>
      <c r="AB305">
        <v>14</v>
      </c>
      <c r="AC305">
        <v>9</v>
      </c>
      <c r="AD305">
        <v>40</v>
      </c>
      <c r="AE305" t="s">
        <v>60</v>
      </c>
    </row>
    <row r="306" spans="1:31" x14ac:dyDescent="0.2">
      <c r="A306">
        <v>297</v>
      </c>
      <c r="B306" t="s">
        <v>793</v>
      </c>
      <c r="C306">
        <v>30</v>
      </c>
      <c r="D306" t="s">
        <v>387</v>
      </c>
      <c r="E306" t="s">
        <v>340</v>
      </c>
      <c r="F306">
        <v>38</v>
      </c>
      <c r="G306">
        <v>4</v>
      </c>
      <c r="H306">
        <v>9</v>
      </c>
      <c r="I306">
        <v>13</v>
      </c>
      <c r="J306">
        <v>0</v>
      </c>
      <c r="K306">
        <v>8</v>
      </c>
      <c r="L306">
        <v>3</v>
      </c>
      <c r="M306">
        <v>1</v>
      </c>
      <c r="N306">
        <v>0</v>
      </c>
      <c r="O306">
        <v>1</v>
      </c>
      <c r="P306">
        <v>8</v>
      </c>
      <c r="Q306">
        <v>1</v>
      </c>
      <c r="R306">
        <v>0</v>
      </c>
      <c r="S306">
        <v>46</v>
      </c>
      <c r="T306">
        <v>8.6999999999999993</v>
      </c>
      <c r="U306">
        <v>90</v>
      </c>
      <c r="V306" t="s">
        <v>2726</v>
      </c>
      <c r="W306" t="s">
        <v>1934</v>
      </c>
      <c r="X306">
        <v>4</v>
      </c>
      <c r="Y306">
        <v>5</v>
      </c>
      <c r="Z306">
        <v>44.4</v>
      </c>
      <c r="AA306">
        <v>24</v>
      </c>
      <c r="AB306">
        <v>3</v>
      </c>
      <c r="AC306">
        <v>4</v>
      </c>
      <c r="AD306">
        <v>15</v>
      </c>
      <c r="AE306" t="s">
        <v>60</v>
      </c>
    </row>
    <row r="307" spans="1:31" x14ac:dyDescent="0.2">
      <c r="A307">
        <v>298</v>
      </c>
      <c r="B307" t="s">
        <v>718</v>
      </c>
      <c r="C307">
        <v>32</v>
      </c>
      <c r="D307" t="s">
        <v>429</v>
      </c>
      <c r="E307" t="s">
        <v>349</v>
      </c>
      <c r="F307">
        <v>37</v>
      </c>
      <c r="G307">
        <v>2</v>
      </c>
      <c r="H307">
        <v>11</v>
      </c>
      <c r="I307">
        <v>13</v>
      </c>
      <c r="J307">
        <v>7</v>
      </c>
      <c r="K307">
        <v>17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1</v>
      </c>
      <c r="R307">
        <v>1</v>
      </c>
      <c r="S307">
        <v>53</v>
      </c>
      <c r="T307">
        <v>3.8</v>
      </c>
      <c r="U307">
        <v>119</v>
      </c>
      <c r="V307" t="s">
        <v>2379</v>
      </c>
      <c r="W307" t="s">
        <v>2027</v>
      </c>
      <c r="X307">
        <v>0</v>
      </c>
      <c r="Y307">
        <v>0</v>
      </c>
      <c r="AA307">
        <v>39</v>
      </c>
      <c r="AB307">
        <v>47</v>
      </c>
      <c r="AC307">
        <v>5</v>
      </c>
      <c r="AD307">
        <v>36</v>
      </c>
      <c r="AE307" t="s">
        <v>60</v>
      </c>
    </row>
    <row r="308" spans="1:31" x14ac:dyDescent="0.2">
      <c r="A308">
        <v>299</v>
      </c>
      <c r="B308" t="s">
        <v>874</v>
      </c>
      <c r="C308">
        <v>29</v>
      </c>
      <c r="D308" t="s">
        <v>375</v>
      </c>
      <c r="E308" t="s">
        <v>349</v>
      </c>
      <c r="F308">
        <v>36</v>
      </c>
      <c r="G308">
        <v>1</v>
      </c>
      <c r="H308">
        <v>12</v>
      </c>
      <c r="I308">
        <v>13</v>
      </c>
      <c r="J308">
        <v>-9</v>
      </c>
      <c r="K308">
        <v>24</v>
      </c>
      <c r="L308">
        <v>0</v>
      </c>
      <c r="M308">
        <v>1</v>
      </c>
      <c r="N308">
        <v>0</v>
      </c>
      <c r="O308">
        <v>1</v>
      </c>
      <c r="P308">
        <v>10</v>
      </c>
      <c r="Q308">
        <v>1</v>
      </c>
      <c r="R308">
        <v>1</v>
      </c>
      <c r="S308">
        <v>51</v>
      </c>
      <c r="T308">
        <v>2</v>
      </c>
      <c r="U308">
        <v>130</v>
      </c>
      <c r="V308" t="s">
        <v>2380</v>
      </c>
      <c r="W308" t="s">
        <v>2026</v>
      </c>
      <c r="X308">
        <v>0</v>
      </c>
      <c r="Y308">
        <v>0</v>
      </c>
      <c r="AA308">
        <v>61</v>
      </c>
      <c r="AB308">
        <v>41</v>
      </c>
      <c r="AC308">
        <v>9</v>
      </c>
      <c r="AD308">
        <v>28</v>
      </c>
      <c r="AE308" t="s">
        <v>60</v>
      </c>
    </row>
    <row r="309" spans="1:31" x14ac:dyDescent="0.2">
      <c r="A309">
        <v>300</v>
      </c>
      <c r="B309" t="s">
        <v>646</v>
      </c>
      <c r="C309">
        <v>24</v>
      </c>
      <c r="D309" t="s">
        <v>415</v>
      </c>
      <c r="E309" t="s">
        <v>335</v>
      </c>
      <c r="F309">
        <v>21</v>
      </c>
      <c r="G309">
        <v>10</v>
      </c>
      <c r="H309">
        <v>3</v>
      </c>
      <c r="I309">
        <v>13</v>
      </c>
      <c r="J309">
        <v>7</v>
      </c>
      <c r="K309">
        <v>18</v>
      </c>
      <c r="L309">
        <v>7</v>
      </c>
      <c r="M309">
        <v>3</v>
      </c>
      <c r="N309">
        <v>0</v>
      </c>
      <c r="O309">
        <v>2</v>
      </c>
      <c r="P309">
        <v>3</v>
      </c>
      <c r="Q309">
        <v>0</v>
      </c>
      <c r="R309">
        <v>0</v>
      </c>
      <c r="S309">
        <v>41</v>
      </c>
      <c r="T309">
        <v>24.4</v>
      </c>
      <c r="U309">
        <v>75</v>
      </c>
      <c r="V309" t="s">
        <v>647</v>
      </c>
      <c r="W309" t="s">
        <v>648</v>
      </c>
      <c r="X309">
        <v>1</v>
      </c>
      <c r="Y309">
        <v>1</v>
      </c>
      <c r="Z309">
        <v>50</v>
      </c>
      <c r="AA309">
        <v>18</v>
      </c>
      <c r="AB309">
        <v>20</v>
      </c>
      <c r="AC309">
        <v>8</v>
      </c>
      <c r="AD309">
        <v>11</v>
      </c>
      <c r="AE309" t="s">
        <v>60</v>
      </c>
    </row>
    <row r="310" spans="1:31" x14ac:dyDescent="0.2">
      <c r="A310">
        <v>301</v>
      </c>
      <c r="B310" t="s">
        <v>746</v>
      </c>
      <c r="C310">
        <v>27</v>
      </c>
      <c r="D310" t="s">
        <v>368</v>
      </c>
      <c r="E310" t="s">
        <v>325</v>
      </c>
      <c r="F310">
        <v>27</v>
      </c>
      <c r="G310">
        <v>6</v>
      </c>
      <c r="H310">
        <v>7</v>
      </c>
      <c r="I310">
        <v>13</v>
      </c>
      <c r="J310">
        <v>4</v>
      </c>
      <c r="K310">
        <v>8</v>
      </c>
      <c r="L310">
        <v>5</v>
      </c>
      <c r="M310">
        <v>1</v>
      </c>
      <c r="N310">
        <v>0</v>
      </c>
      <c r="O310">
        <v>0</v>
      </c>
      <c r="P310">
        <v>6</v>
      </c>
      <c r="Q310">
        <v>1</v>
      </c>
      <c r="R310">
        <v>0</v>
      </c>
      <c r="S310">
        <v>37</v>
      </c>
      <c r="T310">
        <v>16.2</v>
      </c>
      <c r="U310">
        <v>72</v>
      </c>
      <c r="V310" t="s">
        <v>2381</v>
      </c>
      <c r="W310" t="s">
        <v>2129</v>
      </c>
      <c r="X310">
        <v>1</v>
      </c>
      <c r="Y310">
        <v>3</v>
      </c>
      <c r="Z310">
        <v>25</v>
      </c>
      <c r="AA310">
        <v>14</v>
      </c>
      <c r="AB310">
        <v>21</v>
      </c>
      <c r="AC310">
        <v>5</v>
      </c>
      <c r="AD310">
        <v>9</v>
      </c>
      <c r="AE310" t="s">
        <v>60</v>
      </c>
    </row>
    <row r="311" spans="1:31" x14ac:dyDescent="0.2">
      <c r="A311">
        <v>302</v>
      </c>
      <c r="B311" t="s">
        <v>750</v>
      </c>
      <c r="C311">
        <v>29</v>
      </c>
      <c r="D311" t="s">
        <v>324</v>
      </c>
      <c r="E311" t="s">
        <v>322</v>
      </c>
      <c r="F311">
        <v>32</v>
      </c>
      <c r="G311">
        <v>8</v>
      </c>
      <c r="H311">
        <v>5</v>
      </c>
      <c r="I311">
        <v>13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2</v>
      </c>
      <c r="P311">
        <v>3</v>
      </c>
      <c r="Q311">
        <v>2</v>
      </c>
      <c r="R311">
        <v>0</v>
      </c>
      <c r="S311">
        <v>49</v>
      </c>
      <c r="T311">
        <v>16.3</v>
      </c>
      <c r="U311">
        <v>93</v>
      </c>
      <c r="V311" t="s">
        <v>2382</v>
      </c>
      <c r="W311" t="s">
        <v>865</v>
      </c>
      <c r="X311">
        <v>56</v>
      </c>
      <c r="Y311">
        <v>67</v>
      </c>
      <c r="Z311">
        <v>45.5</v>
      </c>
      <c r="AA311">
        <v>10</v>
      </c>
      <c r="AB311">
        <v>32</v>
      </c>
      <c r="AC311">
        <v>8</v>
      </c>
      <c r="AD311">
        <v>8</v>
      </c>
      <c r="AE311" t="s">
        <v>60</v>
      </c>
    </row>
    <row r="312" spans="1:31" x14ac:dyDescent="0.2">
      <c r="A312">
        <v>303</v>
      </c>
      <c r="B312" t="s">
        <v>752</v>
      </c>
      <c r="C312">
        <v>34</v>
      </c>
      <c r="D312" t="s">
        <v>353</v>
      </c>
      <c r="E312" t="s">
        <v>322</v>
      </c>
      <c r="F312">
        <v>38</v>
      </c>
      <c r="G312">
        <v>5</v>
      </c>
      <c r="H312">
        <v>8</v>
      </c>
      <c r="I312">
        <v>13</v>
      </c>
      <c r="J312">
        <v>2</v>
      </c>
      <c r="K312">
        <v>28</v>
      </c>
      <c r="L312">
        <v>5</v>
      </c>
      <c r="M312">
        <v>0</v>
      </c>
      <c r="N312">
        <v>0</v>
      </c>
      <c r="O312">
        <v>1</v>
      </c>
      <c r="P312">
        <v>8</v>
      </c>
      <c r="Q312">
        <v>0</v>
      </c>
      <c r="R312">
        <v>0</v>
      </c>
      <c r="S312">
        <v>56</v>
      </c>
      <c r="T312">
        <v>8.9</v>
      </c>
      <c r="U312">
        <v>100</v>
      </c>
      <c r="V312" t="s">
        <v>2487</v>
      </c>
      <c r="W312" t="s">
        <v>591</v>
      </c>
      <c r="X312">
        <v>172</v>
      </c>
      <c r="Y312">
        <v>206</v>
      </c>
      <c r="Z312">
        <v>45.5</v>
      </c>
      <c r="AA312">
        <v>19</v>
      </c>
      <c r="AB312">
        <v>51</v>
      </c>
      <c r="AC312">
        <v>8</v>
      </c>
      <c r="AD312">
        <v>36</v>
      </c>
      <c r="AE312" t="s">
        <v>60</v>
      </c>
    </row>
    <row r="313" spans="1:31" x14ac:dyDescent="0.2">
      <c r="A313">
        <v>304</v>
      </c>
      <c r="B313" t="s">
        <v>797</v>
      </c>
      <c r="C313">
        <v>22</v>
      </c>
      <c r="D313" t="s">
        <v>330</v>
      </c>
      <c r="E313" t="s">
        <v>322</v>
      </c>
      <c r="F313">
        <v>38</v>
      </c>
      <c r="G313">
        <v>4</v>
      </c>
      <c r="H313">
        <v>9</v>
      </c>
      <c r="I313">
        <v>13</v>
      </c>
      <c r="J313">
        <v>0</v>
      </c>
      <c r="K313">
        <v>4</v>
      </c>
      <c r="L313">
        <v>3</v>
      </c>
      <c r="M313">
        <v>1</v>
      </c>
      <c r="N313">
        <v>0</v>
      </c>
      <c r="O313">
        <v>0</v>
      </c>
      <c r="P313">
        <v>8</v>
      </c>
      <c r="Q313">
        <v>1</v>
      </c>
      <c r="R313">
        <v>0</v>
      </c>
      <c r="S313">
        <v>45</v>
      </c>
      <c r="T313">
        <v>8.9</v>
      </c>
      <c r="U313">
        <v>85</v>
      </c>
      <c r="V313" t="s">
        <v>2727</v>
      </c>
      <c r="W313" t="s">
        <v>488</v>
      </c>
      <c r="X313">
        <v>163</v>
      </c>
      <c r="Y313">
        <v>205</v>
      </c>
      <c r="Z313">
        <v>44.3</v>
      </c>
      <c r="AA313">
        <v>17</v>
      </c>
      <c r="AB313">
        <v>26</v>
      </c>
      <c r="AC313">
        <v>11</v>
      </c>
      <c r="AD313">
        <v>25</v>
      </c>
      <c r="AE313" t="s">
        <v>60</v>
      </c>
    </row>
    <row r="314" spans="1:31" x14ac:dyDescent="0.2">
      <c r="A314">
        <v>305</v>
      </c>
      <c r="B314" t="s">
        <v>832</v>
      </c>
      <c r="C314">
        <v>23</v>
      </c>
      <c r="D314" t="s">
        <v>426</v>
      </c>
      <c r="E314" t="s">
        <v>322</v>
      </c>
      <c r="F314">
        <v>32</v>
      </c>
      <c r="G314">
        <v>4</v>
      </c>
      <c r="H314">
        <v>9</v>
      </c>
      <c r="I314">
        <v>13</v>
      </c>
      <c r="J314">
        <v>-3</v>
      </c>
      <c r="K314">
        <v>43</v>
      </c>
      <c r="L314">
        <v>3</v>
      </c>
      <c r="M314">
        <v>1</v>
      </c>
      <c r="N314">
        <v>0</v>
      </c>
      <c r="O314">
        <v>0</v>
      </c>
      <c r="P314">
        <v>7</v>
      </c>
      <c r="Q314">
        <v>2</v>
      </c>
      <c r="R314">
        <v>0</v>
      </c>
      <c r="S314">
        <v>53</v>
      </c>
      <c r="T314">
        <v>7.5</v>
      </c>
      <c r="U314">
        <v>97</v>
      </c>
      <c r="V314" t="s">
        <v>2383</v>
      </c>
      <c r="W314" t="s">
        <v>552</v>
      </c>
      <c r="X314">
        <v>122</v>
      </c>
      <c r="Y314">
        <v>110</v>
      </c>
      <c r="Z314">
        <v>52.6</v>
      </c>
      <c r="AA314">
        <v>22</v>
      </c>
      <c r="AB314">
        <v>39</v>
      </c>
      <c r="AC314">
        <v>8</v>
      </c>
      <c r="AD314">
        <v>16</v>
      </c>
      <c r="AE314" t="s">
        <v>60</v>
      </c>
    </row>
    <row r="315" spans="1:31" x14ac:dyDescent="0.2">
      <c r="A315">
        <v>306</v>
      </c>
      <c r="B315" t="s">
        <v>978</v>
      </c>
      <c r="C315">
        <v>29</v>
      </c>
      <c r="D315" t="s">
        <v>344</v>
      </c>
      <c r="E315" t="s">
        <v>349</v>
      </c>
      <c r="F315">
        <v>26</v>
      </c>
      <c r="G315">
        <v>2</v>
      </c>
      <c r="H315">
        <v>11</v>
      </c>
      <c r="I315">
        <v>13</v>
      </c>
      <c r="J315">
        <v>-5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5</v>
      </c>
      <c r="R315">
        <v>0</v>
      </c>
      <c r="S315">
        <v>68</v>
      </c>
      <c r="T315">
        <v>2.9</v>
      </c>
      <c r="U315">
        <v>143</v>
      </c>
      <c r="V315" t="s">
        <v>2384</v>
      </c>
      <c r="W315" t="s">
        <v>1816</v>
      </c>
      <c r="X315">
        <v>0</v>
      </c>
      <c r="Y315">
        <v>0</v>
      </c>
      <c r="AA315">
        <v>42</v>
      </c>
      <c r="AB315">
        <v>12</v>
      </c>
      <c r="AC315">
        <v>14</v>
      </c>
      <c r="AD315">
        <v>32</v>
      </c>
      <c r="AE315" t="s">
        <v>60</v>
      </c>
    </row>
    <row r="316" spans="1:31" x14ac:dyDescent="0.2">
      <c r="A316">
        <v>307</v>
      </c>
      <c r="B316" t="s">
        <v>836</v>
      </c>
      <c r="C316">
        <v>24</v>
      </c>
      <c r="D316" t="s">
        <v>334</v>
      </c>
      <c r="E316" t="s">
        <v>325</v>
      </c>
      <c r="F316">
        <v>38</v>
      </c>
      <c r="G316">
        <v>6</v>
      </c>
      <c r="H316">
        <v>7</v>
      </c>
      <c r="I316">
        <v>13</v>
      </c>
      <c r="J316">
        <v>-2</v>
      </c>
      <c r="K316">
        <v>17</v>
      </c>
      <c r="L316">
        <v>5</v>
      </c>
      <c r="M316">
        <v>1</v>
      </c>
      <c r="N316">
        <v>0</v>
      </c>
      <c r="O316">
        <v>1</v>
      </c>
      <c r="P316">
        <v>7</v>
      </c>
      <c r="Q316">
        <v>0</v>
      </c>
      <c r="R316">
        <v>0</v>
      </c>
      <c r="S316">
        <v>40</v>
      </c>
      <c r="T316">
        <v>15</v>
      </c>
      <c r="U316">
        <v>67</v>
      </c>
      <c r="V316" t="s">
        <v>2385</v>
      </c>
      <c r="W316" t="s">
        <v>865</v>
      </c>
      <c r="X316">
        <v>55</v>
      </c>
      <c r="Y316">
        <v>42</v>
      </c>
      <c r="Z316">
        <v>56.7</v>
      </c>
      <c r="AA316">
        <v>17</v>
      </c>
      <c r="AB316">
        <v>59</v>
      </c>
      <c r="AC316">
        <v>10</v>
      </c>
      <c r="AD316">
        <v>11</v>
      </c>
      <c r="AE316" t="s">
        <v>60</v>
      </c>
    </row>
    <row r="317" spans="1:31" x14ac:dyDescent="0.2">
      <c r="A317">
        <v>308</v>
      </c>
      <c r="B317" t="s">
        <v>803</v>
      </c>
      <c r="C317">
        <v>32</v>
      </c>
      <c r="D317" t="s">
        <v>346</v>
      </c>
      <c r="E317" t="s">
        <v>322</v>
      </c>
      <c r="F317">
        <v>36</v>
      </c>
      <c r="G317">
        <v>6</v>
      </c>
      <c r="H317">
        <v>7</v>
      </c>
      <c r="I317">
        <v>13</v>
      </c>
      <c r="J317">
        <v>0</v>
      </c>
      <c r="K317">
        <v>6</v>
      </c>
      <c r="L317">
        <v>4</v>
      </c>
      <c r="M317">
        <v>2</v>
      </c>
      <c r="N317">
        <v>0</v>
      </c>
      <c r="O317">
        <v>1</v>
      </c>
      <c r="P317">
        <v>4</v>
      </c>
      <c r="Q317">
        <v>2</v>
      </c>
      <c r="R317">
        <v>1</v>
      </c>
      <c r="S317">
        <v>53</v>
      </c>
      <c r="T317">
        <v>11.3</v>
      </c>
      <c r="U317">
        <v>89</v>
      </c>
      <c r="V317" t="s">
        <v>2386</v>
      </c>
      <c r="W317" t="s">
        <v>826</v>
      </c>
      <c r="X317">
        <v>9</v>
      </c>
      <c r="Y317">
        <v>7</v>
      </c>
      <c r="Z317">
        <v>56.3</v>
      </c>
      <c r="AA317">
        <v>24</v>
      </c>
      <c r="AB317">
        <v>52</v>
      </c>
      <c r="AC317">
        <v>5</v>
      </c>
      <c r="AD317">
        <v>12</v>
      </c>
      <c r="AE317" t="s">
        <v>60</v>
      </c>
    </row>
    <row r="318" spans="1:31" x14ac:dyDescent="0.2">
      <c r="A318">
        <v>309</v>
      </c>
      <c r="B318" t="s">
        <v>804</v>
      </c>
      <c r="C318">
        <v>26</v>
      </c>
      <c r="D318" t="s">
        <v>356</v>
      </c>
      <c r="E318" t="s">
        <v>322</v>
      </c>
      <c r="F318">
        <v>39</v>
      </c>
      <c r="G318">
        <v>6</v>
      </c>
      <c r="H318">
        <v>7</v>
      </c>
      <c r="I318">
        <v>13</v>
      </c>
      <c r="J318">
        <v>4</v>
      </c>
      <c r="K318">
        <v>62</v>
      </c>
      <c r="L318">
        <v>6</v>
      </c>
      <c r="M318">
        <v>0</v>
      </c>
      <c r="N318">
        <v>0</v>
      </c>
      <c r="O318">
        <v>2</v>
      </c>
      <c r="P318">
        <v>6</v>
      </c>
      <c r="Q318">
        <v>1</v>
      </c>
      <c r="R318">
        <v>0</v>
      </c>
      <c r="S318">
        <v>53</v>
      </c>
      <c r="T318">
        <v>11.3</v>
      </c>
      <c r="U318">
        <v>112</v>
      </c>
      <c r="V318" t="s">
        <v>2387</v>
      </c>
      <c r="W318" t="s">
        <v>693</v>
      </c>
      <c r="X318">
        <v>171</v>
      </c>
      <c r="Y318">
        <v>115</v>
      </c>
      <c r="Z318">
        <v>59.8</v>
      </c>
      <c r="AA318">
        <v>38</v>
      </c>
      <c r="AB318">
        <v>106</v>
      </c>
      <c r="AC318">
        <v>17</v>
      </c>
      <c r="AD318">
        <v>23</v>
      </c>
      <c r="AE318" t="s">
        <v>60</v>
      </c>
    </row>
    <row r="319" spans="1:31" x14ac:dyDescent="0.2">
      <c r="A319">
        <v>310</v>
      </c>
      <c r="B319" t="s">
        <v>680</v>
      </c>
      <c r="C319">
        <v>26</v>
      </c>
      <c r="D319" t="s">
        <v>321</v>
      </c>
      <c r="E319" t="s">
        <v>325</v>
      </c>
      <c r="F319">
        <v>37</v>
      </c>
      <c r="G319">
        <v>7</v>
      </c>
      <c r="H319">
        <v>6</v>
      </c>
      <c r="I319">
        <v>13</v>
      </c>
      <c r="J319">
        <v>8</v>
      </c>
      <c r="K319">
        <v>10</v>
      </c>
      <c r="L319">
        <v>6</v>
      </c>
      <c r="M319">
        <v>0</v>
      </c>
      <c r="N319">
        <v>1</v>
      </c>
      <c r="O319">
        <v>2</v>
      </c>
      <c r="P319">
        <v>6</v>
      </c>
      <c r="Q319">
        <v>0</v>
      </c>
      <c r="R319">
        <v>0</v>
      </c>
      <c r="S319">
        <v>50</v>
      </c>
      <c r="T319">
        <v>14</v>
      </c>
      <c r="U319">
        <v>88</v>
      </c>
      <c r="V319" t="s">
        <v>2388</v>
      </c>
      <c r="W319" t="s">
        <v>1962</v>
      </c>
      <c r="X319">
        <v>25</v>
      </c>
      <c r="Y319">
        <v>40</v>
      </c>
      <c r="Z319">
        <v>38.5</v>
      </c>
      <c r="AA319">
        <v>22</v>
      </c>
      <c r="AB319">
        <v>78</v>
      </c>
      <c r="AC319">
        <v>8</v>
      </c>
      <c r="AD319">
        <v>20</v>
      </c>
      <c r="AE319" t="s">
        <v>60</v>
      </c>
    </row>
    <row r="320" spans="1:31" x14ac:dyDescent="0.2">
      <c r="A320">
        <v>311</v>
      </c>
      <c r="B320" t="s">
        <v>886</v>
      </c>
      <c r="C320">
        <v>25</v>
      </c>
      <c r="D320" t="s">
        <v>439</v>
      </c>
      <c r="E320" t="s">
        <v>322</v>
      </c>
      <c r="F320">
        <v>37</v>
      </c>
      <c r="G320">
        <v>2</v>
      </c>
      <c r="H320">
        <v>11</v>
      </c>
      <c r="I320">
        <v>13</v>
      </c>
      <c r="J320">
        <v>-5</v>
      </c>
      <c r="K320">
        <v>40</v>
      </c>
      <c r="L320">
        <v>2</v>
      </c>
      <c r="M320">
        <v>0</v>
      </c>
      <c r="N320">
        <v>0</v>
      </c>
      <c r="O320">
        <v>1</v>
      </c>
      <c r="P320">
        <v>10</v>
      </c>
      <c r="Q320">
        <v>1</v>
      </c>
      <c r="R320">
        <v>0</v>
      </c>
      <c r="S320">
        <v>43</v>
      </c>
      <c r="T320">
        <v>4.7</v>
      </c>
      <c r="U320">
        <v>84</v>
      </c>
      <c r="V320" t="s">
        <v>2389</v>
      </c>
      <c r="W320" t="s">
        <v>704</v>
      </c>
      <c r="X320">
        <v>124</v>
      </c>
      <c r="Y320">
        <v>147</v>
      </c>
      <c r="Z320">
        <v>45.8</v>
      </c>
      <c r="AA320">
        <v>22</v>
      </c>
      <c r="AB320">
        <v>92</v>
      </c>
      <c r="AC320">
        <v>11</v>
      </c>
      <c r="AD320">
        <v>26</v>
      </c>
      <c r="AE320" t="s">
        <v>60</v>
      </c>
    </row>
    <row r="321" spans="1:31" x14ac:dyDescent="0.2">
      <c r="A321">
        <v>312</v>
      </c>
      <c r="B321" t="s">
        <v>808</v>
      </c>
      <c r="C321">
        <v>25</v>
      </c>
      <c r="D321" t="s">
        <v>361</v>
      </c>
      <c r="E321" t="s">
        <v>340</v>
      </c>
      <c r="F321">
        <v>27</v>
      </c>
      <c r="G321">
        <v>5</v>
      </c>
      <c r="H321">
        <v>8</v>
      </c>
      <c r="I321">
        <v>13</v>
      </c>
      <c r="J321">
        <v>-4</v>
      </c>
      <c r="K321">
        <v>8</v>
      </c>
      <c r="L321">
        <v>5</v>
      </c>
      <c r="M321">
        <v>0</v>
      </c>
      <c r="N321">
        <v>0</v>
      </c>
      <c r="O321">
        <v>1</v>
      </c>
      <c r="P321">
        <v>6</v>
      </c>
      <c r="Q321">
        <v>2</v>
      </c>
      <c r="R321">
        <v>0</v>
      </c>
      <c r="S321">
        <v>23</v>
      </c>
      <c r="T321">
        <v>21.7</v>
      </c>
      <c r="U321">
        <v>55</v>
      </c>
      <c r="V321" t="s">
        <v>2728</v>
      </c>
      <c r="W321" t="s">
        <v>1782</v>
      </c>
      <c r="X321">
        <v>3</v>
      </c>
      <c r="Y321">
        <v>3</v>
      </c>
      <c r="Z321">
        <v>50</v>
      </c>
      <c r="AA321">
        <v>9</v>
      </c>
      <c r="AB321">
        <v>4</v>
      </c>
      <c r="AC321">
        <v>5</v>
      </c>
      <c r="AD321">
        <v>23</v>
      </c>
      <c r="AE321" t="s">
        <v>60</v>
      </c>
    </row>
    <row r="322" spans="1:31" x14ac:dyDescent="0.2">
      <c r="A322">
        <v>313</v>
      </c>
      <c r="B322" t="s">
        <v>684</v>
      </c>
      <c r="C322">
        <v>26</v>
      </c>
      <c r="D322" t="s">
        <v>402</v>
      </c>
      <c r="E322" t="s">
        <v>349</v>
      </c>
      <c r="F322">
        <v>29</v>
      </c>
      <c r="G322">
        <v>2</v>
      </c>
      <c r="H322">
        <v>11</v>
      </c>
      <c r="I322">
        <v>13</v>
      </c>
      <c r="J322">
        <v>0</v>
      </c>
      <c r="K322">
        <v>30</v>
      </c>
      <c r="L322">
        <v>1</v>
      </c>
      <c r="M322">
        <v>1</v>
      </c>
      <c r="N322">
        <v>0</v>
      </c>
      <c r="O322">
        <v>0</v>
      </c>
      <c r="P322">
        <v>7</v>
      </c>
      <c r="Q322">
        <v>2</v>
      </c>
      <c r="R322">
        <v>2</v>
      </c>
      <c r="S322">
        <v>52</v>
      </c>
      <c r="T322">
        <v>3.8</v>
      </c>
      <c r="U322">
        <v>142</v>
      </c>
      <c r="V322" t="s">
        <v>2120</v>
      </c>
      <c r="W322" t="s">
        <v>875</v>
      </c>
      <c r="X322">
        <v>0</v>
      </c>
      <c r="Y322">
        <v>1</v>
      </c>
      <c r="Z322">
        <v>0</v>
      </c>
      <c r="AA322">
        <v>33</v>
      </c>
      <c r="AB322">
        <v>42</v>
      </c>
      <c r="AC322">
        <v>24</v>
      </c>
      <c r="AD322">
        <v>43</v>
      </c>
      <c r="AE322" t="s">
        <v>60</v>
      </c>
    </row>
    <row r="323" spans="1:31" x14ac:dyDescent="0.2">
      <c r="A323">
        <v>314</v>
      </c>
      <c r="B323" t="s">
        <v>809</v>
      </c>
      <c r="C323">
        <v>21</v>
      </c>
      <c r="D323" t="s">
        <v>356</v>
      </c>
      <c r="E323" t="s">
        <v>322</v>
      </c>
      <c r="F323">
        <v>39</v>
      </c>
      <c r="G323">
        <v>6</v>
      </c>
      <c r="H323">
        <v>7</v>
      </c>
      <c r="I323">
        <v>13</v>
      </c>
      <c r="J323">
        <v>5</v>
      </c>
      <c r="K323">
        <v>12</v>
      </c>
      <c r="L323">
        <v>6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1</v>
      </c>
      <c r="S323">
        <v>46</v>
      </c>
      <c r="T323">
        <v>13</v>
      </c>
      <c r="U323">
        <v>97</v>
      </c>
      <c r="V323" t="s">
        <v>2390</v>
      </c>
      <c r="W323" t="s">
        <v>1774</v>
      </c>
      <c r="X323">
        <v>170</v>
      </c>
      <c r="Y323">
        <v>175</v>
      </c>
      <c r="Z323">
        <v>49.3</v>
      </c>
      <c r="AA323">
        <v>28</v>
      </c>
      <c r="AB323">
        <v>82</v>
      </c>
      <c r="AC323">
        <v>11</v>
      </c>
      <c r="AD323">
        <v>14</v>
      </c>
      <c r="AE323" t="s">
        <v>60</v>
      </c>
    </row>
    <row r="324" spans="1:31" x14ac:dyDescent="0.2">
      <c r="A324">
        <v>315</v>
      </c>
      <c r="B324" t="s">
        <v>687</v>
      </c>
      <c r="C324">
        <v>30</v>
      </c>
      <c r="D324" t="s">
        <v>429</v>
      </c>
      <c r="E324" t="s">
        <v>340</v>
      </c>
      <c r="F324">
        <v>36</v>
      </c>
      <c r="G324">
        <v>5</v>
      </c>
      <c r="H324">
        <v>8</v>
      </c>
      <c r="I324">
        <v>13</v>
      </c>
      <c r="J324">
        <v>1</v>
      </c>
      <c r="K324">
        <v>6</v>
      </c>
      <c r="L324">
        <v>4</v>
      </c>
      <c r="M324">
        <v>0</v>
      </c>
      <c r="N324">
        <v>1</v>
      </c>
      <c r="O324">
        <v>1</v>
      </c>
      <c r="P324">
        <v>7</v>
      </c>
      <c r="Q324">
        <v>0</v>
      </c>
      <c r="R324">
        <v>1</v>
      </c>
      <c r="S324">
        <v>66</v>
      </c>
      <c r="T324">
        <v>7.6</v>
      </c>
      <c r="U324">
        <v>133</v>
      </c>
      <c r="V324" t="s">
        <v>2391</v>
      </c>
      <c r="W324" t="s">
        <v>1512</v>
      </c>
      <c r="X324">
        <v>2</v>
      </c>
      <c r="Y324">
        <v>11</v>
      </c>
      <c r="Z324">
        <v>15.4</v>
      </c>
      <c r="AA324">
        <v>20</v>
      </c>
      <c r="AB324">
        <v>20</v>
      </c>
      <c r="AC324">
        <v>16</v>
      </c>
      <c r="AD324">
        <v>30</v>
      </c>
      <c r="AE324" t="s">
        <v>60</v>
      </c>
    </row>
    <row r="325" spans="1:31" x14ac:dyDescent="0.2">
      <c r="A325">
        <v>316</v>
      </c>
      <c r="B325" t="s">
        <v>810</v>
      </c>
      <c r="C325">
        <v>24</v>
      </c>
      <c r="D325" t="s">
        <v>402</v>
      </c>
      <c r="E325" t="s">
        <v>349</v>
      </c>
      <c r="F325">
        <v>36</v>
      </c>
      <c r="G325">
        <v>4</v>
      </c>
      <c r="H325">
        <v>9</v>
      </c>
      <c r="I325">
        <v>13</v>
      </c>
      <c r="J325">
        <v>14</v>
      </c>
      <c r="K325">
        <v>12</v>
      </c>
      <c r="L325">
        <v>4</v>
      </c>
      <c r="M325">
        <v>0</v>
      </c>
      <c r="N325">
        <v>0</v>
      </c>
      <c r="O325">
        <v>0</v>
      </c>
      <c r="P325">
        <v>8</v>
      </c>
      <c r="Q325">
        <v>1</v>
      </c>
      <c r="R325">
        <v>0</v>
      </c>
      <c r="S325">
        <v>62</v>
      </c>
      <c r="T325">
        <v>6.5</v>
      </c>
      <c r="U325">
        <v>150</v>
      </c>
      <c r="V325" t="s">
        <v>2392</v>
      </c>
      <c r="W325" t="s">
        <v>1900</v>
      </c>
      <c r="X325">
        <v>0</v>
      </c>
      <c r="Y325">
        <v>0</v>
      </c>
      <c r="AA325">
        <v>46</v>
      </c>
      <c r="AB325">
        <v>72</v>
      </c>
      <c r="AC325">
        <v>11</v>
      </c>
      <c r="AD325">
        <v>43</v>
      </c>
      <c r="AE325" t="s">
        <v>60</v>
      </c>
    </row>
    <row r="326" spans="1:31" x14ac:dyDescent="0.2">
      <c r="A326">
        <v>317</v>
      </c>
      <c r="B326" t="s">
        <v>959</v>
      </c>
      <c r="C326">
        <v>27</v>
      </c>
      <c r="D326" t="s">
        <v>337</v>
      </c>
      <c r="E326" t="s">
        <v>322</v>
      </c>
      <c r="F326">
        <v>31</v>
      </c>
      <c r="G326">
        <v>2</v>
      </c>
      <c r="H326">
        <v>11</v>
      </c>
      <c r="I326">
        <v>13</v>
      </c>
      <c r="J326">
        <v>0</v>
      </c>
      <c r="K326">
        <v>4</v>
      </c>
      <c r="L326">
        <v>2</v>
      </c>
      <c r="M326">
        <v>0</v>
      </c>
      <c r="N326">
        <v>0</v>
      </c>
      <c r="O326">
        <v>0</v>
      </c>
      <c r="P326">
        <v>9</v>
      </c>
      <c r="Q326">
        <v>0</v>
      </c>
      <c r="R326">
        <v>2</v>
      </c>
      <c r="S326">
        <v>32</v>
      </c>
      <c r="T326">
        <v>6.3</v>
      </c>
      <c r="U326">
        <v>62</v>
      </c>
      <c r="V326" t="s">
        <v>2393</v>
      </c>
      <c r="W326" t="s">
        <v>522</v>
      </c>
      <c r="X326">
        <v>162</v>
      </c>
      <c r="Y326">
        <v>194</v>
      </c>
      <c r="Z326">
        <v>45.5</v>
      </c>
      <c r="AA326">
        <v>35</v>
      </c>
      <c r="AB326">
        <v>13</v>
      </c>
      <c r="AC326">
        <v>5</v>
      </c>
      <c r="AD326">
        <v>19</v>
      </c>
      <c r="AE326" t="s">
        <v>60</v>
      </c>
    </row>
    <row r="327" spans="1:31" x14ac:dyDescent="0.2">
      <c r="A327">
        <v>318</v>
      </c>
      <c r="B327" t="s">
        <v>813</v>
      </c>
      <c r="C327">
        <v>31</v>
      </c>
      <c r="D327" t="s">
        <v>384</v>
      </c>
      <c r="E327" t="s">
        <v>349</v>
      </c>
      <c r="F327">
        <v>37</v>
      </c>
      <c r="G327">
        <v>2</v>
      </c>
      <c r="H327">
        <v>11</v>
      </c>
      <c r="I327">
        <v>13</v>
      </c>
      <c r="J327">
        <v>2</v>
      </c>
      <c r="K327">
        <v>20</v>
      </c>
      <c r="L327">
        <v>1</v>
      </c>
      <c r="M327">
        <v>1</v>
      </c>
      <c r="N327">
        <v>0</v>
      </c>
      <c r="O327">
        <v>0</v>
      </c>
      <c r="P327">
        <v>8</v>
      </c>
      <c r="Q327">
        <v>3</v>
      </c>
      <c r="R327">
        <v>0</v>
      </c>
      <c r="S327">
        <v>44</v>
      </c>
      <c r="T327">
        <v>4.5</v>
      </c>
      <c r="U327">
        <v>128</v>
      </c>
      <c r="V327" t="s">
        <v>2729</v>
      </c>
      <c r="W327" t="s">
        <v>561</v>
      </c>
      <c r="X327">
        <v>0</v>
      </c>
      <c r="Y327">
        <v>0</v>
      </c>
      <c r="AA327">
        <v>35</v>
      </c>
      <c r="AB327">
        <v>30</v>
      </c>
      <c r="AC327">
        <v>13</v>
      </c>
      <c r="AD327">
        <v>44</v>
      </c>
      <c r="AE327" t="s">
        <v>60</v>
      </c>
    </row>
    <row r="328" spans="1:31" x14ac:dyDescent="0.2">
      <c r="A328">
        <v>319</v>
      </c>
      <c r="B328" t="s">
        <v>770</v>
      </c>
      <c r="C328">
        <v>24</v>
      </c>
      <c r="D328" t="s">
        <v>426</v>
      </c>
      <c r="E328" t="s">
        <v>349</v>
      </c>
      <c r="F328">
        <v>28</v>
      </c>
      <c r="G328">
        <v>2</v>
      </c>
      <c r="H328">
        <v>11</v>
      </c>
      <c r="I328">
        <v>13</v>
      </c>
      <c r="J328">
        <v>11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11</v>
      </c>
      <c r="Q328">
        <v>0</v>
      </c>
      <c r="R328">
        <v>0</v>
      </c>
      <c r="S328">
        <v>39</v>
      </c>
      <c r="T328">
        <v>5.0999999999999996</v>
      </c>
      <c r="U328">
        <v>101</v>
      </c>
      <c r="V328" t="s">
        <v>2394</v>
      </c>
      <c r="W328" t="s">
        <v>1651</v>
      </c>
      <c r="X328">
        <v>0</v>
      </c>
      <c r="Y328">
        <v>0</v>
      </c>
      <c r="AA328">
        <v>19</v>
      </c>
      <c r="AB328">
        <v>19</v>
      </c>
      <c r="AC328">
        <v>9</v>
      </c>
      <c r="AD328">
        <v>22</v>
      </c>
      <c r="AE328" t="s">
        <v>60</v>
      </c>
    </row>
    <row r="329" spans="1:31" x14ac:dyDescent="0.2">
      <c r="A329">
        <v>320</v>
      </c>
      <c r="B329" t="s">
        <v>771</v>
      </c>
      <c r="C329">
        <v>27</v>
      </c>
      <c r="D329" t="s">
        <v>334</v>
      </c>
      <c r="E329" t="s">
        <v>322</v>
      </c>
      <c r="F329">
        <v>39</v>
      </c>
      <c r="G329">
        <v>6</v>
      </c>
      <c r="H329">
        <v>7</v>
      </c>
      <c r="I329">
        <v>13</v>
      </c>
      <c r="J329">
        <v>-6</v>
      </c>
      <c r="K329">
        <v>18</v>
      </c>
      <c r="L329">
        <v>5</v>
      </c>
      <c r="M329">
        <v>1</v>
      </c>
      <c r="N329">
        <v>0</v>
      </c>
      <c r="O329">
        <v>4</v>
      </c>
      <c r="P329">
        <v>5</v>
      </c>
      <c r="Q329">
        <v>2</v>
      </c>
      <c r="R329">
        <v>0</v>
      </c>
      <c r="S329">
        <v>41</v>
      </c>
      <c r="T329">
        <v>14.6</v>
      </c>
      <c r="U329">
        <v>83</v>
      </c>
      <c r="V329" t="s">
        <v>2395</v>
      </c>
      <c r="W329" t="s">
        <v>1013</v>
      </c>
      <c r="X329">
        <v>86</v>
      </c>
      <c r="Y329">
        <v>73</v>
      </c>
      <c r="Z329">
        <v>54.1</v>
      </c>
      <c r="AA329">
        <v>17</v>
      </c>
      <c r="AB329">
        <v>39</v>
      </c>
      <c r="AC329">
        <v>11</v>
      </c>
      <c r="AD329">
        <v>25</v>
      </c>
      <c r="AE329" t="s">
        <v>60</v>
      </c>
    </row>
    <row r="330" spans="1:31" x14ac:dyDescent="0.2">
      <c r="A330">
        <v>321</v>
      </c>
      <c r="B330" t="s">
        <v>913</v>
      </c>
      <c r="C330">
        <v>22</v>
      </c>
      <c r="D330" t="s">
        <v>359</v>
      </c>
      <c r="E330" t="s">
        <v>335</v>
      </c>
      <c r="F330">
        <v>32</v>
      </c>
      <c r="G330">
        <v>4</v>
      </c>
      <c r="H330">
        <v>9</v>
      </c>
      <c r="I330">
        <v>13</v>
      </c>
      <c r="J330">
        <v>-2</v>
      </c>
      <c r="K330">
        <v>6</v>
      </c>
      <c r="L330">
        <v>4</v>
      </c>
      <c r="M330">
        <v>0</v>
      </c>
      <c r="N330">
        <v>0</v>
      </c>
      <c r="O330">
        <v>2</v>
      </c>
      <c r="P330">
        <v>8</v>
      </c>
      <c r="Q330">
        <v>1</v>
      </c>
      <c r="R330">
        <v>0</v>
      </c>
      <c r="S330">
        <v>38</v>
      </c>
      <c r="T330">
        <v>10.5</v>
      </c>
      <c r="U330">
        <v>77</v>
      </c>
      <c r="V330" t="s">
        <v>2396</v>
      </c>
      <c r="W330" t="s">
        <v>982</v>
      </c>
      <c r="X330">
        <v>114</v>
      </c>
      <c r="Y330">
        <v>166</v>
      </c>
      <c r="Z330">
        <v>40.700000000000003</v>
      </c>
      <c r="AA330">
        <v>23</v>
      </c>
      <c r="AB330">
        <v>22</v>
      </c>
      <c r="AC330">
        <v>11</v>
      </c>
      <c r="AD330">
        <v>21</v>
      </c>
      <c r="AE330" t="s">
        <v>60</v>
      </c>
    </row>
    <row r="331" spans="1:31" x14ac:dyDescent="0.2">
      <c r="A331">
        <v>322</v>
      </c>
      <c r="B331" t="s">
        <v>823</v>
      </c>
      <c r="C331">
        <v>30</v>
      </c>
      <c r="D331" t="s">
        <v>356</v>
      </c>
      <c r="E331" t="s">
        <v>349</v>
      </c>
      <c r="F331">
        <v>39</v>
      </c>
      <c r="G331">
        <v>1</v>
      </c>
      <c r="H331">
        <v>12</v>
      </c>
      <c r="I331">
        <v>13</v>
      </c>
      <c r="J331">
        <v>10</v>
      </c>
      <c r="K331">
        <v>97</v>
      </c>
      <c r="L331">
        <v>1</v>
      </c>
      <c r="M331">
        <v>0</v>
      </c>
      <c r="N331">
        <v>0</v>
      </c>
      <c r="O331">
        <v>0</v>
      </c>
      <c r="P331">
        <v>12</v>
      </c>
      <c r="Q331">
        <v>0</v>
      </c>
      <c r="R331">
        <v>0</v>
      </c>
      <c r="S331">
        <v>47</v>
      </c>
      <c r="T331">
        <v>2.1</v>
      </c>
      <c r="U331">
        <v>119</v>
      </c>
      <c r="V331" t="s">
        <v>2397</v>
      </c>
      <c r="W331" t="s">
        <v>1676</v>
      </c>
      <c r="X331">
        <v>0</v>
      </c>
      <c r="Y331">
        <v>0</v>
      </c>
      <c r="AA331">
        <v>62</v>
      </c>
      <c r="AB331">
        <v>103</v>
      </c>
      <c r="AC331">
        <v>20</v>
      </c>
      <c r="AD331">
        <v>44</v>
      </c>
      <c r="AE331" t="s">
        <v>60</v>
      </c>
    </row>
    <row r="332" spans="1:31" x14ac:dyDescent="0.2">
      <c r="A332">
        <v>323</v>
      </c>
      <c r="B332" t="s">
        <v>825</v>
      </c>
      <c r="C332">
        <v>31</v>
      </c>
      <c r="D332" t="s">
        <v>365</v>
      </c>
      <c r="E332" t="s">
        <v>335</v>
      </c>
      <c r="F332">
        <v>38</v>
      </c>
      <c r="G332">
        <v>8</v>
      </c>
      <c r="H332">
        <v>4</v>
      </c>
      <c r="I332">
        <v>12</v>
      </c>
      <c r="J332">
        <v>-8</v>
      </c>
      <c r="K332">
        <v>38</v>
      </c>
      <c r="L332">
        <v>7</v>
      </c>
      <c r="M332">
        <v>0</v>
      </c>
      <c r="N332">
        <v>1</v>
      </c>
      <c r="O332">
        <v>0</v>
      </c>
      <c r="P332">
        <v>3</v>
      </c>
      <c r="Q332">
        <v>0</v>
      </c>
      <c r="R332">
        <v>1</v>
      </c>
      <c r="S332">
        <v>50</v>
      </c>
      <c r="T332">
        <v>16</v>
      </c>
      <c r="U332">
        <v>87</v>
      </c>
      <c r="V332" t="s">
        <v>2730</v>
      </c>
      <c r="W332" t="s">
        <v>1776</v>
      </c>
      <c r="X332">
        <v>17</v>
      </c>
      <c r="Y332">
        <v>9</v>
      </c>
      <c r="Z332">
        <v>65.400000000000006</v>
      </c>
      <c r="AA332">
        <v>27</v>
      </c>
      <c r="AB332">
        <v>74</v>
      </c>
      <c r="AC332">
        <v>5</v>
      </c>
      <c r="AD332">
        <v>22</v>
      </c>
      <c r="AE332" t="s">
        <v>60</v>
      </c>
    </row>
    <row r="333" spans="1:31" x14ac:dyDescent="0.2">
      <c r="A333">
        <v>324</v>
      </c>
      <c r="B333" t="s">
        <v>864</v>
      </c>
      <c r="C333">
        <v>27</v>
      </c>
      <c r="D333" t="s">
        <v>346</v>
      </c>
      <c r="E333" t="s">
        <v>322</v>
      </c>
      <c r="F333">
        <v>30</v>
      </c>
      <c r="G333">
        <v>7</v>
      </c>
      <c r="H333">
        <v>5</v>
      </c>
      <c r="I333">
        <v>12</v>
      </c>
      <c r="J333">
        <v>5</v>
      </c>
      <c r="K333">
        <v>18</v>
      </c>
      <c r="L333">
        <v>5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46</v>
      </c>
      <c r="T333">
        <v>15.2</v>
      </c>
      <c r="U333">
        <v>76</v>
      </c>
      <c r="V333" t="s">
        <v>2398</v>
      </c>
      <c r="W333" t="s">
        <v>1049</v>
      </c>
      <c r="X333">
        <v>142</v>
      </c>
      <c r="Y333">
        <v>142</v>
      </c>
      <c r="Z333">
        <v>50</v>
      </c>
      <c r="AA333">
        <v>19</v>
      </c>
      <c r="AB333">
        <v>67</v>
      </c>
      <c r="AC333">
        <v>9</v>
      </c>
      <c r="AD333">
        <v>18</v>
      </c>
      <c r="AE333" t="s">
        <v>60</v>
      </c>
    </row>
    <row r="334" spans="1:31" x14ac:dyDescent="0.2">
      <c r="A334">
        <v>325</v>
      </c>
      <c r="B334" t="s">
        <v>712</v>
      </c>
      <c r="C334">
        <v>28</v>
      </c>
      <c r="D334" t="s">
        <v>368</v>
      </c>
      <c r="E334" t="s">
        <v>340</v>
      </c>
      <c r="F334">
        <v>38</v>
      </c>
      <c r="G334">
        <v>7</v>
      </c>
      <c r="H334">
        <v>5</v>
      </c>
      <c r="I334">
        <v>12</v>
      </c>
      <c r="J334">
        <v>4</v>
      </c>
      <c r="K334">
        <v>12</v>
      </c>
      <c r="L334">
        <v>7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81</v>
      </c>
      <c r="T334">
        <v>8.6</v>
      </c>
      <c r="U334">
        <v>138</v>
      </c>
      <c r="V334" t="s">
        <v>2399</v>
      </c>
      <c r="W334" t="s">
        <v>695</v>
      </c>
      <c r="X334">
        <v>9</v>
      </c>
      <c r="Y334">
        <v>8</v>
      </c>
      <c r="Z334">
        <v>52.9</v>
      </c>
      <c r="AA334">
        <v>15</v>
      </c>
      <c r="AB334">
        <v>55</v>
      </c>
      <c r="AC334">
        <v>6</v>
      </c>
      <c r="AD334">
        <v>20</v>
      </c>
      <c r="AE334" t="s">
        <v>60</v>
      </c>
    </row>
    <row r="335" spans="1:31" x14ac:dyDescent="0.2">
      <c r="A335">
        <v>326</v>
      </c>
      <c r="B335" t="s">
        <v>784</v>
      </c>
      <c r="C335">
        <v>24</v>
      </c>
      <c r="D335" t="s">
        <v>334</v>
      </c>
      <c r="E335" t="s">
        <v>322</v>
      </c>
      <c r="F335">
        <v>39</v>
      </c>
      <c r="G335">
        <v>5</v>
      </c>
      <c r="H335">
        <v>7</v>
      </c>
      <c r="I335">
        <v>12</v>
      </c>
      <c r="J335">
        <v>-8</v>
      </c>
      <c r="K335">
        <v>4</v>
      </c>
      <c r="L335">
        <v>5</v>
      </c>
      <c r="M335">
        <v>0</v>
      </c>
      <c r="N335">
        <v>0</v>
      </c>
      <c r="O335">
        <v>0</v>
      </c>
      <c r="P335">
        <v>5</v>
      </c>
      <c r="Q335">
        <v>2</v>
      </c>
      <c r="R335">
        <v>0</v>
      </c>
      <c r="S335">
        <v>65</v>
      </c>
      <c r="T335">
        <v>7.7</v>
      </c>
      <c r="U335">
        <v>100</v>
      </c>
      <c r="V335" t="s">
        <v>1843</v>
      </c>
      <c r="W335" t="s">
        <v>1089</v>
      </c>
      <c r="X335">
        <v>51</v>
      </c>
      <c r="Y335">
        <v>62</v>
      </c>
      <c r="Z335">
        <v>45.1</v>
      </c>
      <c r="AA335">
        <v>12</v>
      </c>
      <c r="AB335">
        <v>18</v>
      </c>
      <c r="AC335">
        <v>6</v>
      </c>
      <c r="AD335">
        <v>19</v>
      </c>
      <c r="AE335" t="s">
        <v>60</v>
      </c>
    </row>
    <row r="336" spans="1:31" x14ac:dyDescent="0.2">
      <c r="A336">
        <v>327</v>
      </c>
      <c r="B336" t="s">
        <v>735</v>
      </c>
      <c r="C336">
        <v>29</v>
      </c>
      <c r="D336" t="s">
        <v>426</v>
      </c>
      <c r="E336" t="s">
        <v>349</v>
      </c>
      <c r="F336">
        <v>22</v>
      </c>
      <c r="G336">
        <v>2</v>
      </c>
      <c r="H336">
        <v>10</v>
      </c>
      <c r="I336">
        <v>12</v>
      </c>
      <c r="J336">
        <v>7</v>
      </c>
      <c r="K336">
        <v>10</v>
      </c>
      <c r="L336">
        <v>1</v>
      </c>
      <c r="M336">
        <v>1</v>
      </c>
      <c r="N336">
        <v>0</v>
      </c>
      <c r="O336">
        <v>0</v>
      </c>
      <c r="P336">
        <v>5</v>
      </c>
      <c r="Q336">
        <v>4</v>
      </c>
      <c r="R336">
        <v>1</v>
      </c>
      <c r="S336">
        <v>30</v>
      </c>
      <c r="T336">
        <v>6.7</v>
      </c>
      <c r="U336">
        <v>92</v>
      </c>
      <c r="V336" t="s">
        <v>2400</v>
      </c>
      <c r="W336" t="s">
        <v>1645</v>
      </c>
      <c r="X336">
        <v>0</v>
      </c>
      <c r="Y336">
        <v>0</v>
      </c>
      <c r="AA336">
        <v>44</v>
      </c>
      <c r="AB336">
        <v>14</v>
      </c>
      <c r="AC336">
        <v>7</v>
      </c>
      <c r="AD336">
        <v>18</v>
      </c>
      <c r="AE336" t="s">
        <v>60</v>
      </c>
    </row>
    <row r="337" spans="1:31" x14ac:dyDescent="0.2">
      <c r="A337">
        <v>328</v>
      </c>
      <c r="B337" t="s">
        <v>714</v>
      </c>
      <c r="C337">
        <v>36</v>
      </c>
      <c r="D337" t="s">
        <v>412</v>
      </c>
      <c r="E337" t="s">
        <v>349</v>
      </c>
      <c r="F337">
        <v>39</v>
      </c>
      <c r="G337">
        <v>2</v>
      </c>
      <c r="H337">
        <v>10</v>
      </c>
      <c r="I337">
        <v>12</v>
      </c>
      <c r="J337">
        <v>16</v>
      </c>
      <c r="K337">
        <v>20</v>
      </c>
      <c r="L337">
        <v>2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0</v>
      </c>
      <c r="S337">
        <v>27</v>
      </c>
      <c r="T337">
        <v>7.4</v>
      </c>
      <c r="U337">
        <v>83</v>
      </c>
      <c r="V337" t="s">
        <v>2122</v>
      </c>
      <c r="W337" t="s">
        <v>2123</v>
      </c>
      <c r="X337">
        <v>0</v>
      </c>
      <c r="Y337">
        <v>0</v>
      </c>
      <c r="AA337">
        <v>80</v>
      </c>
      <c r="AB337">
        <v>43</v>
      </c>
      <c r="AC337">
        <v>6</v>
      </c>
      <c r="AD337">
        <v>38</v>
      </c>
      <c r="AE337" t="s">
        <v>60</v>
      </c>
    </row>
    <row r="338" spans="1:31" x14ac:dyDescent="0.2">
      <c r="A338">
        <v>329</v>
      </c>
      <c r="B338" t="s">
        <v>736</v>
      </c>
      <c r="C338">
        <v>30</v>
      </c>
      <c r="D338" t="s">
        <v>373</v>
      </c>
      <c r="E338" t="s">
        <v>340</v>
      </c>
      <c r="F338">
        <v>40</v>
      </c>
      <c r="G338">
        <v>4</v>
      </c>
      <c r="H338">
        <v>8</v>
      </c>
      <c r="I338">
        <v>12</v>
      </c>
      <c r="J338">
        <v>-8</v>
      </c>
      <c r="K338">
        <v>17</v>
      </c>
      <c r="L338">
        <v>4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44</v>
      </c>
      <c r="T338">
        <v>9.1</v>
      </c>
      <c r="U338">
        <v>83</v>
      </c>
      <c r="V338" t="s">
        <v>2731</v>
      </c>
      <c r="W338" t="s">
        <v>1911</v>
      </c>
      <c r="X338">
        <v>257</v>
      </c>
      <c r="Y338">
        <v>238</v>
      </c>
      <c r="Z338">
        <v>51.9</v>
      </c>
      <c r="AA338">
        <v>30</v>
      </c>
      <c r="AB338">
        <v>14</v>
      </c>
      <c r="AC338">
        <v>3</v>
      </c>
      <c r="AD338">
        <v>20</v>
      </c>
      <c r="AE338" t="s">
        <v>60</v>
      </c>
    </row>
    <row r="339" spans="1:31" x14ac:dyDescent="0.2">
      <c r="A339">
        <v>330</v>
      </c>
      <c r="B339" t="s">
        <v>738</v>
      </c>
      <c r="C339">
        <v>24</v>
      </c>
      <c r="D339" t="s">
        <v>330</v>
      </c>
      <c r="E339" t="s">
        <v>349</v>
      </c>
      <c r="F339">
        <v>37</v>
      </c>
      <c r="G339">
        <v>3</v>
      </c>
      <c r="H339">
        <v>9</v>
      </c>
      <c r="I339">
        <v>12</v>
      </c>
      <c r="J339">
        <v>3</v>
      </c>
      <c r="K339">
        <v>35</v>
      </c>
      <c r="L339">
        <v>2</v>
      </c>
      <c r="M339">
        <v>0</v>
      </c>
      <c r="N339">
        <v>1</v>
      </c>
      <c r="O339">
        <v>1</v>
      </c>
      <c r="P339">
        <v>8</v>
      </c>
      <c r="Q339">
        <v>0</v>
      </c>
      <c r="R339">
        <v>1</v>
      </c>
      <c r="S339">
        <v>54</v>
      </c>
      <c r="T339">
        <v>5.6</v>
      </c>
      <c r="U339">
        <v>106</v>
      </c>
      <c r="V339" t="s">
        <v>2732</v>
      </c>
      <c r="W339" t="s">
        <v>1077</v>
      </c>
      <c r="X339">
        <v>0</v>
      </c>
      <c r="Y339">
        <v>0</v>
      </c>
      <c r="AA339">
        <v>26</v>
      </c>
      <c r="AB339">
        <v>56</v>
      </c>
      <c r="AC339">
        <v>6</v>
      </c>
      <c r="AD339">
        <v>29</v>
      </c>
      <c r="AE339" t="s">
        <v>60</v>
      </c>
    </row>
    <row r="340" spans="1:31" x14ac:dyDescent="0.2">
      <c r="A340">
        <v>331</v>
      </c>
      <c r="B340" t="s">
        <v>830</v>
      </c>
      <c r="C340">
        <v>27</v>
      </c>
      <c r="D340" t="s">
        <v>353</v>
      </c>
      <c r="E340" t="s">
        <v>349</v>
      </c>
      <c r="F340">
        <v>31</v>
      </c>
      <c r="G340">
        <v>3</v>
      </c>
      <c r="H340">
        <v>9</v>
      </c>
      <c r="I340">
        <v>12</v>
      </c>
      <c r="J340">
        <v>-2</v>
      </c>
      <c r="K340">
        <v>39</v>
      </c>
      <c r="L340">
        <v>3</v>
      </c>
      <c r="M340">
        <v>0</v>
      </c>
      <c r="N340">
        <v>0</v>
      </c>
      <c r="O340">
        <v>2</v>
      </c>
      <c r="P340">
        <v>8</v>
      </c>
      <c r="Q340">
        <v>1</v>
      </c>
      <c r="R340">
        <v>0</v>
      </c>
      <c r="S340">
        <v>37</v>
      </c>
      <c r="T340">
        <v>8.1</v>
      </c>
      <c r="U340">
        <v>87</v>
      </c>
      <c r="V340" t="s">
        <v>2733</v>
      </c>
      <c r="W340" t="s">
        <v>1541</v>
      </c>
      <c r="X340">
        <v>0</v>
      </c>
      <c r="Y340">
        <v>0</v>
      </c>
      <c r="AA340">
        <v>29</v>
      </c>
      <c r="AB340">
        <v>32</v>
      </c>
      <c r="AC340">
        <v>10</v>
      </c>
      <c r="AD340">
        <v>23</v>
      </c>
      <c r="AE340" t="s">
        <v>60</v>
      </c>
    </row>
    <row r="341" spans="1:31" x14ac:dyDescent="0.2">
      <c r="A341">
        <v>332</v>
      </c>
      <c r="B341" t="s">
        <v>791</v>
      </c>
      <c r="C341">
        <v>26</v>
      </c>
      <c r="D341" t="s">
        <v>378</v>
      </c>
      <c r="E341" t="s">
        <v>322</v>
      </c>
      <c r="F341">
        <v>37</v>
      </c>
      <c r="G341">
        <v>6</v>
      </c>
      <c r="H341">
        <v>6</v>
      </c>
      <c r="I341">
        <v>12</v>
      </c>
      <c r="J341">
        <v>-4</v>
      </c>
      <c r="K341">
        <v>8</v>
      </c>
      <c r="L341">
        <v>6</v>
      </c>
      <c r="M341">
        <v>0</v>
      </c>
      <c r="N341">
        <v>0</v>
      </c>
      <c r="O341">
        <v>1</v>
      </c>
      <c r="P341">
        <v>6</v>
      </c>
      <c r="Q341">
        <v>0</v>
      </c>
      <c r="R341">
        <v>0</v>
      </c>
      <c r="S341">
        <v>55</v>
      </c>
      <c r="T341">
        <v>10.9</v>
      </c>
      <c r="U341">
        <v>112</v>
      </c>
      <c r="V341" t="s">
        <v>2734</v>
      </c>
      <c r="W341" t="s">
        <v>1922</v>
      </c>
      <c r="X341">
        <v>12</v>
      </c>
      <c r="Y341">
        <v>11</v>
      </c>
      <c r="Z341">
        <v>52.2</v>
      </c>
      <c r="AA341">
        <v>14</v>
      </c>
      <c r="AB341">
        <v>69</v>
      </c>
      <c r="AC341">
        <v>5</v>
      </c>
      <c r="AD341">
        <v>18</v>
      </c>
      <c r="AE341" t="s">
        <v>60</v>
      </c>
    </row>
    <row r="342" spans="1:31" x14ac:dyDescent="0.2">
      <c r="A342">
        <v>333</v>
      </c>
      <c r="B342" t="s">
        <v>748</v>
      </c>
      <c r="C342">
        <v>33</v>
      </c>
      <c r="D342" t="s">
        <v>365</v>
      </c>
      <c r="E342" t="s">
        <v>335</v>
      </c>
      <c r="F342">
        <v>38</v>
      </c>
      <c r="G342">
        <v>2</v>
      </c>
      <c r="H342">
        <v>10</v>
      </c>
      <c r="I342">
        <v>12</v>
      </c>
      <c r="J342">
        <v>1</v>
      </c>
      <c r="K342">
        <v>16</v>
      </c>
      <c r="L342">
        <v>1</v>
      </c>
      <c r="M342">
        <v>1</v>
      </c>
      <c r="N342">
        <v>0</v>
      </c>
      <c r="O342">
        <v>0</v>
      </c>
      <c r="P342">
        <v>8</v>
      </c>
      <c r="Q342">
        <v>2</v>
      </c>
      <c r="R342">
        <v>0</v>
      </c>
      <c r="S342">
        <v>58</v>
      </c>
      <c r="T342">
        <v>3.4</v>
      </c>
      <c r="U342">
        <v>115</v>
      </c>
      <c r="V342" t="s">
        <v>2735</v>
      </c>
      <c r="W342" t="s">
        <v>1274</v>
      </c>
      <c r="X342">
        <v>5</v>
      </c>
      <c r="Y342">
        <v>3</v>
      </c>
      <c r="Z342">
        <v>62.5</v>
      </c>
      <c r="AA342">
        <v>7</v>
      </c>
      <c r="AB342">
        <v>43</v>
      </c>
      <c r="AC342">
        <v>5</v>
      </c>
      <c r="AD342">
        <v>16</v>
      </c>
      <c r="AE342" t="s">
        <v>60</v>
      </c>
    </row>
    <row r="343" spans="1:31" x14ac:dyDescent="0.2">
      <c r="A343">
        <v>334</v>
      </c>
      <c r="B343" t="s">
        <v>677</v>
      </c>
      <c r="C343">
        <v>35</v>
      </c>
      <c r="D343" t="s">
        <v>353</v>
      </c>
      <c r="E343" t="s">
        <v>349</v>
      </c>
      <c r="F343">
        <v>18</v>
      </c>
      <c r="G343">
        <v>0</v>
      </c>
      <c r="H343">
        <v>12</v>
      </c>
      <c r="I343">
        <v>12</v>
      </c>
      <c r="J343">
        <v>0</v>
      </c>
      <c r="K343">
        <v>6</v>
      </c>
      <c r="L343">
        <v>0</v>
      </c>
      <c r="M343">
        <v>0</v>
      </c>
      <c r="N343">
        <v>0</v>
      </c>
      <c r="O343">
        <v>0</v>
      </c>
      <c r="P343">
        <v>6</v>
      </c>
      <c r="Q343">
        <v>6</v>
      </c>
      <c r="R343">
        <v>0</v>
      </c>
      <c r="S343">
        <v>25</v>
      </c>
      <c r="T343">
        <v>0</v>
      </c>
      <c r="U343">
        <v>78</v>
      </c>
      <c r="V343" t="s">
        <v>1679</v>
      </c>
      <c r="W343" t="s">
        <v>1680</v>
      </c>
      <c r="X343">
        <v>0</v>
      </c>
      <c r="Y343">
        <v>0</v>
      </c>
      <c r="AA343">
        <v>29</v>
      </c>
      <c r="AB343">
        <v>8</v>
      </c>
      <c r="AC343">
        <v>5</v>
      </c>
      <c r="AD343">
        <v>28</v>
      </c>
      <c r="AE343" t="s">
        <v>60</v>
      </c>
    </row>
    <row r="344" spans="1:31" x14ac:dyDescent="0.2">
      <c r="A344">
        <v>335</v>
      </c>
      <c r="B344" t="s">
        <v>936</v>
      </c>
      <c r="C344">
        <v>26</v>
      </c>
      <c r="D344" t="s">
        <v>353</v>
      </c>
      <c r="E344" t="s">
        <v>335</v>
      </c>
      <c r="F344">
        <v>31</v>
      </c>
      <c r="G344">
        <v>6</v>
      </c>
      <c r="H344">
        <v>6</v>
      </c>
      <c r="I344">
        <v>12</v>
      </c>
      <c r="J344">
        <v>8</v>
      </c>
      <c r="K344">
        <v>12</v>
      </c>
      <c r="L344">
        <v>6</v>
      </c>
      <c r="M344">
        <v>0</v>
      </c>
      <c r="N344">
        <v>0</v>
      </c>
      <c r="O344">
        <v>2</v>
      </c>
      <c r="P344">
        <v>6</v>
      </c>
      <c r="Q344">
        <v>0</v>
      </c>
      <c r="R344">
        <v>0</v>
      </c>
      <c r="S344">
        <v>40</v>
      </c>
      <c r="T344">
        <v>15</v>
      </c>
      <c r="U344">
        <v>83</v>
      </c>
      <c r="V344" t="s">
        <v>2736</v>
      </c>
      <c r="W344" t="s">
        <v>1945</v>
      </c>
      <c r="X344">
        <v>15</v>
      </c>
      <c r="Y344">
        <v>26</v>
      </c>
      <c r="Z344">
        <v>36.6</v>
      </c>
      <c r="AA344">
        <v>14</v>
      </c>
      <c r="AB344">
        <v>32</v>
      </c>
      <c r="AC344">
        <v>4</v>
      </c>
      <c r="AD344">
        <v>13</v>
      </c>
      <c r="AE344" t="s">
        <v>60</v>
      </c>
    </row>
    <row r="345" spans="1:31" x14ac:dyDescent="0.2">
      <c r="A345">
        <v>336</v>
      </c>
      <c r="B345" t="s">
        <v>884</v>
      </c>
      <c r="C345">
        <v>23</v>
      </c>
      <c r="D345" t="s">
        <v>356</v>
      </c>
      <c r="E345" t="s">
        <v>322</v>
      </c>
      <c r="F345">
        <v>34</v>
      </c>
      <c r="G345">
        <v>5</v>
      </c>
      <c r="H345">
        <v>7</v>
      </c>
      <c r="I345">
        <v>12</v>
      </c>
      <c r="J345">
        <v>-4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6</v>
      </c>
      <c r="Q345">
        <v>1</v>
      </c>
      <c r="R345">
        <v>0</v>
      </c>
      <c r="S345">
        <v>37</v>
      </c>
      <c r="T345">
        <v>13.5</v>
      </c>
      <c r="U345">
        <v>70</v>
      </c>
      <c r="V345" t="s">
        <v>2401</v>
      </c>
      <c r="W345" t="s">
        <v>1782</v>
      </c>
      <c r="X345">
        <v>32</v>
      </c>
      <c r="Y345">
        <v>36</v>
      </c>
      <c r="Z345">
        <v>47.1</v>
      </c>
      <c r="AA345">
        <v>18</v>
      </c>
      <c r="AB345">
        <v>18</v>
      </c>
      <c r="AC345">
        <v>12</v>
      </c>
      <c r="AD345">
        <v>20</v>
      </c>
      <c r="AE345" t="s">
        <v>60</v>
      </c>
    </row>
    <row r="346" spans="1:31" x14ac:dyDescent="0.2">
      <c r="A346">
        <v>337</v>
      </c>
      <c r="B346" t="s">
        <v>842</v>
      </c>
      <c r="C346">
        <v>29</v>
      </c>
      <c r="D346" t="s">
        <v>429</v>
      </c>
      <c r="E346" t="s">
        <v>325</v>
      </c>
      <c r="F346">
        <v>32</v>
      </c>
      <c r="G346">
        <v>7</v>
      </c>
      <c r="H346">
        <v>5</v>
      </c>
      <c r="I346">
        <v>12</v>
      </c>
      <c r="J346">
        <v>-3</v>
      </c>
      <c r="K346">
        <v>8</v>
      </c>
      <c r="L346">
        <v>3</v>
      </c>
      <c r="M346">
        <v>4</v>
      </c>
      <c r="N346">
        <v>0</v>
      </c>
      <c r="O346">
        <v>0</v>
      </c>
      <c r="P346">
        <v>3</v>
      </c>
      <c r="Q346">
        <v>2</v>
      </c>
      <c r="R346">
        <v>0</v>
      </c>
      <c r="S346">
        <v>42</v>
      </c>
      <c r="T346">
        <v>16.7</v>
      </c>
      <c r="U346">
        <v>97</v>
      </c>
      <c r="V346" t="s">
        <v>2402</v>
      </c>
      <c r="W346" t="s">
        <v>800</v>
      </c>
      <c r="X346">
        <v>0</v>
      </c>
      <c r="Y346">
        <v>0</v>
      </c>
      <c r="AA346">
        <v>9</v>
      </c>
      <c r="AB346">
        <v>18</v>
      </c>
      <c r="AC346">
        <v>6</v>
      </c>
      <c r="AD346">
        <v>31</v>
      </c>
      <c r="AE346" t="s">
        <v>60</v>
      </c>
    </row>
    <row r="347" spans="1:31" x14ac:dyDescent="0.2">
      <c r="A347">
        <v>338</v>
      </c>
      <c r="B347" t="s">
        <v>843</v>
      </c>
      <c r="C347">
        <v>22</v>
      </c>
      <c r="D347" t="s">
        <v>363</v>
      </c>
      <c r="E347" t="s">
        <v>322</v>
      </c>
      <c r="F347">
        <v>40</v>
      </c>
      <c r="G347">
        <v>5</v>
      </c>
      <c r="H347">
        <v>7</v>
      </c>
      <c r="I347">
        <v>12</v>
      </c>
      <c r="J347">
        <v>2</v>
      </c>
      <c r="K347">
        <v>20</v>
      </c>
      <c r="L347">
        <v>4</v>
      </c>
      <c r="M347">
        <v>1</v>
      </c>
      <c r="N347">
        <v>0</v>
      </c>
      <c r="O347">
        <v>1</v>
      </c>
      <c r="P347">
        <v>5</v>
      </c>
      <c r="Q347">
        <v>2</v>
      </c>
      <c r="R347">
        <v>0</v>
      </c>
      <c r="S347">
        <v>40</v>
      </c>
      <c r="T347">
        <v>12.5</v>
      </c>
      <c r="U347">
        <v>81</v>
      </c>
      <c r="V347" t="s">
        <v>2403</v>
      </c>
      <c r="W347" t="s">
        <v>887</v>
      </c>
      <c r="X347">
        <v>176</v>
      </c>
      <c r="Y347">
        <v>157</v>
      </c>
      <c r="Z347">
        <v>52.9</v>
      </c>
      <c r="AA347">
        <v>30</v>
      </c>
      <c r="AB347">
        <v>52</v>
      </c>
      <c r="AC347">
        <v>6</v>
      </c>
      <c r="AD347">
        <v>20</v>
      </c>
      <c r="AE347" t="s">
        <v>60</v>
      </c>
    </row>
    <row r="348" spans="1:31" x14ac:dyDescent="0.2">
      <c r="A348">
        <v>339</v>
      </c>
      <c r="B348" t="s">
        <v>947</v>
      </c>
      <c r="C348">
        <v>34</v>
      </c>
      <c r="D348" t="s">
        <v>321</v>
      </c>
      <c r="E348" t="s">
        <v>349</v>
      </c>
      <c r="F348">
        <v>37</v>
      </c>
      <c r="G348">
        <v>2</v>
      </c>
      <c r="H348">
        <v>10</v>
      </c>
      <c r="I348">
        <v>12</v>
      </c>
      <c r="J348">
        <v>24</v>
      </c>
      <c r="K348">
        <v>45</v>
      </c>
      <c r="L348">
        <v>2</v>
      </c>
      <c r="M348">
        <v>0</v>
      </c>
      <c r="N348">
        <v>0</v>
      </c>
      <c r="O348">
        <v>1</v>
      </c>
      <c r="P348">
        <v>10</v>
      </c>
      <c r="Q348">
        <v>0</v>
      </c>
      <c r="R348">
        <v>0</v>
      </c>
      <c r="S348">
        <v>48</v>
      </c>
      <c r="T348">
        <v>4.2</v>
      </c>
      <c r="U348">
        <v>105</v>
      </c>
      <c r="V348" t="s">
        <v>2404</v>
      </c>
      <c r="W348" t="s">
        <v>1904</v>
      </c>
      <c r="X348">
        <v>0</v>
      </c>
      <c r="Y348">
        <v>0</v>
      </c>
      <c r="AA348">
        <v>50</v>
      </c>
      <c r="AB348">
        <v>96</v>
      </c>
      <c r="AC348">
        <v>13</v>
      </c>
      <c r="AD348">
        <v>35</v>
      </c>
      <c r="AE348" t="s">
        <v>60</v>
      </c>
    </row>
    <row r="349" spans="1:31" x14ac:dyDescent="0.2">
      <c r="A349">
        <v>340</v>
      </c>
      <c r="B349" t="s">
        <v>764</v>
      </c>
      <c r="C349">
        <v>33</v>
      </c>
      <c r="D349" t="s">
        <v>402</v>
      </c>
      <c r="E349" t="s">
        <v>340</v>
      </c>
      <c r="F349">
        <v>34</v>
      </c>
      <c r="G349">
        <v>5</v>
      </c>
      <c r="H349">
        <v>7</v>
      </c>
      <c r="I349">
        <v>12</v>
      </c>
      <c r="J349">
        <v>6</v>
      </c>
      <c r="K349">
        <v>17</v>
      </c>
      <c r="L349">
        <v>4</v>
      </c>
      <c r="M349">
        <v>0</v>
      </c>
      <c r="N349">
        <v>1</v>
      </c>
      <c r="O349">
        <v>2</v>
      </c>
      <c r="P349">
        <v>7</v>
      </c>
      <c r="Q349">
        <v>0</v>
      </c>
      <c r="R349">
        <v>0</v>
      </c>
      <c r="S349">
        <v>46</v>
      </c>
      <c r="T349">
        <v>10.9</v>
      </c>
      <c r="U349">
        <v>111</v>
      </c>
      <c r="V349" t="s">
        <v>2405</v>
      </c>
      <c r="W349" t="s">
        <v>2024</v>
      </c>
      <c r="X349">
        <v>16</v>
      </c>
      <c r="Y349">
        <v>21</v>
      </c>
      <c r="Z349">
        <v>43.2</v>
      </c>
      <c r="AA349">
        <v>21</v>
      </c>
      <c r="AB349">
        <v>59</v>
      </c>
      <c r="AC349">
        <v>7</v>
      </c>
      <c r="AD349">
        <v>20</v>
      </c>
      <c r="AE349" t="s">
        <v>60</v>
      </c>
    </row>
    <row r="350" spans="1:31" x14ac:dyDescent="0.2">
      <c r="A350">
        <v>341</v>
      </c>
      <c r="B350" t="s">
        <v>892</v>
      </c>
      <c r="C350">
        <v>25</v>
      </c>
      <c r="D350" t="s">
        <v>353</v>
      </c>
      <c r="E350" t="s">
        <v>349</v>
      </c>
      <c r="F350">
        <v>36</v>
      </c>
      <c r="G350">
        <v>3</v>
      </c>
      <c r="H350">
        <v>9</v>
      </c>
      <c r="I350">
        <v>12</v>
      </c>
      <c r="J350">
        <v>25</v>
      </c>
      <c r="K350">
        <v>22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51</v>
      </c>
      <c r="T350">
        <v>5.9</v>
      </c>
      <c r="U350">
        <v>119</v>
      </c>
      <c r="V350" t="s">
        <v>2737</v>
      </c>
      <c r="W350" t="s">
        <v>1929</v>
      </c>
      <c r="X350">
        <v>0</v>
      </c>
      <c r="Y350">
        <v>0</v>
      </c>
      <c r="AA350">
        <v>48</v>
      </c>
      <c r="AB350">
        <v>29</v>
      </c>
      <c r="AC350">
        <v>14</v>
      </c>
      <c r="AD350">
        <v>41</v>
      </c>
      <c r="AE350" t="s">
        <v>60</v>
      </c>
    </row>
    <row r="351" spans="1:31" x14ac:dyDescent="0.2">
      <c r="A351">
        <v>342</v>
      </c>
      <c r="B351" t="s">
        <v>689</v>
      </c>
      <c r="C351">
        <v>25</v>
      </c>
      <c r="D351" t="s">
        <v>365</v>
      </c>
      <c r="E351" t="s">
        <v>322</v>
      </c>
      <c r="F351">
        <v>17</v>
      </c>
      <c r="G351">
        <v>6</v>
      </c>
      <c r="H351">
        <v>6</v>
      </c>
      <c r="I351">
        <v>12</v>
      </c>
      <c r="J351">
        <v>7</v>
      </c>
      <c r="K351">
        <v>8</v>
      </c>
      <c r="L351">
        <v>5</v>
      </c>
      <c r="M351">
        <v>1</v>
      </c>
      <c r="N351">
        <v>0</v>
      </c>
      <c r="O351">
        <v>2</v>
      </c>
      <c r="P351">
        <v>6</v>
      </c>
      <c r="Q351">
        <v>0</v>
      </c>
      <c r="R351">
        <v>0</v>
      </c>
      <c r="S351">
        <v>24</v>
      </c>
      <c r="T351">
        <v>25</v>
      </c>
      <c r="U351">
        <v>41</v>
      </c>
      <c r="V351" t="s">
        <v>690</v>
      </c>
      <c r="W351" t="s">
        <v>691</v>
      </c>
      <c r="X351">
        <v>37</v>
      </c>
      <c r="Y351">
        <v>52</v>
      </c>
      <c r="Z351">
        <v>41.6</v>
      </c>
      <c r="AA351">
        <v>5</v>
      </c>
      <c r="AB351">
        <v>26</v>
      </c>
      <c r="AC351">
        <v>1</v>
      </c>
      <c r="AD351">
        <v>4</v>
      </c>
      <c r="AE351" t="s">
        <v>60</v>
      </c>
    </row>
    <row r="352" spans="1:31" x14ac:dyDescent="0.2">
      <c r="A352">
        <v>343</v>
      </c>
      <c r="B352" t="s">
        <v>852</v>
      </c>
      <c r="C352">
        <v>32</v>
      </c>
      <c r="D352" t="s">
        <v>378</v>
      </c>
      <c r="E352" t="s">
        <v>335</v>
      </c>
      <c r="F352">
        <v>17</v>
      </c>
      <c r="G352">
        <v>4</v>
      </c>
      <c r="H352">
        <v>8</v>
      </c>
      <c r="I352">
        <v>12</v>
      </c>
      <c r="J352">
        <v>-4</v>
      </c>
      <c r="K352">
        <v>2</v>
      </c>
      <c r="L352">
        <v>2</v>
      </c>
      <c r="M352">
        <v>2</v>
      </c>
      <c r="N352">
        <v>0</v>
      </c>
      <c r="O352">
        <v>0</v>
      </c>
      <c r="P352">
        <v>4</v>
      </c>
      <c r="Q352">
        <v>3</v>
      </c>
      <c r="R352">
        <v>1</v>
      </c>
      <c r="S352">
        <v>43</v>
      </c>
      <c r="T352">
        <v>9.3000000000000007</v>
      </c>
      <c r="U352">
        <v>78</v>
      </c>
      <c r="V352" t="s">
        <v>2738</v>
      </c>
      <c r="W352" t="s">
        <v>2739</v>
      </c>
      <c r="X352">
        <v>1</v>
      </c>
      <c r="Y352">
        <v>14</v>
      </c>
      <c r="Z352">
        <v>6.7</v>
      </c>
      <c r="AA352">
        <v>16</v>
      </c>
      <c r="AB352">
        <v>24</v>
      </c>
      <c r="AC352">
        <v>10</v>
      </c>
      <c r="AD352">
        <v>8</v>
      </c>
      <c r="AE352" t="s">
        <v>60</v>
      </c>
    </row>
    <row r="353" spans="1:31" x14ac:dyDescent="0.2">
      <c r="A353">
        <v>344</v>
      </c>
      <c r="B353" t="s">
        <v>853</v>
      </c>
      <c r="C353">
        <v>26</v>
      </c>
      <c r="D353" t="s">
        <v>373</v>
      </c>
      <c r="E353" t="s">
        <v>322</v>
      </c>
      <c r="F353">
        <v>35</v>
      </c>
      <c r="G353">
        <v>5</v>
      </c>
      <c r="H353">
        <v>7</v>
      </c>
      <c r="I353">
        <v>12</v>
      </c>
      <c r="J353">
        <v>-3</v>
      </c>
      <c r="K353">
        <v>4</v>
      </c>
      <c r="L353">
        <v>5</v>
      </c>
      <c r="M353">
        <v>0</v>
      </c>
      <c r="N353">
        <v>0</v>
      </c>
      <c r="O353">
        <v>0</v>
      </c>
      <c r="P353">
        <v>7</v>
      </c>
      <c r="Q353">
        <v>0</v>
      </c>
      <c r="R353">
        <v>0</v>
      </c>
      <c r="S353">
        <v>35</v>
      </c>
      <c r="T353">
        <v>14.3</v>
      </c>
      <c r="U353">
        <v>77</v>
      </c>
      <c r="V353" t="s">
        <v>2740</v>
      </c>
      <c r="W353" t="s">
        <v>1325</v>
      </c>
      <c r="X353">
        <v>70</v>
      </c>
      <c r="Y353">
        <v>50</v>
      </c>
      <c r="Z353">
        <v>58.3</v>
      </c>
      <c r="AA353">
        <v>26</v>
      </c>
      <c r="AB353">
        <v>37</v>
      </c>
      <c r="AC353">
        <v>5</v>
      </c>
      <c r="AD353">
        <v>18</v>
      </c>
      <c r="AE353" t="s">
        <v>60</v>
      </c>
    </row>
    <row r="354" spans="1:31" x14ac:dyDescent="0.2">
      <c r="A354">
        <v>345</v>
      </c>
      <c r="B354" t="s">
        <v>897</v>
      </c>
      <c r="C354">
        <v>30</v>
      </c>
      <c r="D354" t="s">
        <v>402</v>
      </c>
      <c r="E354" t="s">
        <v>340</v>
      </c>
      <c r="F354">
        <v>31</v>
      </c>
      <c r="G354">
        <v>9</v>
      </c>
      <c r="H354">
        <v>3</v>
      </c>
      <c r="I354">
        <v>12</v>
      </c>
      <c r="J354">
        <v>7</v>
      </c>
      <c r="K354">
        <v>2</v>
      </c>
      <c r="L354">
        <v>9</v>
      </c>
      <c r="M354">
        <v>0</v>
      </c>
      <c r="N354">
        <v>0</v>
      </c>
      <c r="O354">
        <v>2</v>
      </c>
      <c r="P354">
        <v>3</v>
      </c>
      <c r="Q354">
        <v>0</v>
      </c>
      <c r="R354">
        <v>0</v>
      </c>
      <c r="S354">
        <v>43</v>
      </c>
      <c r="T354">
        <v>20.9</v>
      </c>
      <c r="U354">
        <v>89</v>
      </c>
      <c r="V354" t="s">
        <v>2406</v>
      </c>
      <c r="W354" t="s">
        <v>1962</v>
      </c>
      <c r="X354">
        <v>0</v>
      </c>
      <c r="Y354">
        <v>11</v>
      </c>
      <c r="Z354">
        <v>0</v>
      </c>
      <c r="AA354">
        <v>4</v>
      </c>
      <c r="AB354">
        <v>41</v>
      </c>
      <c r="AC354">
        <v>4</v>
      </c>
      <c r="AD354">
        <v>13</v>
      </c>
      <c r="AE354" t="s">
        <v>60</v>
      </c>
    </row>
    <row r="355" spans="1:31" x14ac:dyDescent="0.2">
      <c r="A355">
        <v>346</v>
      </c>
      <c r="B355" t="s">
        <v>767</v>
      </c>
      <c r="C355">
        <v>28</v>
      </c>
      <c r="D355" t="s">
        <v>361</v>
      </c>
      <c r="E355" t="s">
        <v>322</v>
      </c>
      <c r="F355">
        <v>35</v>
      </c>
      <c r="G355">
        <v>3</v>
      </c>
      <c r="H355">
        <v>9</v>
      </c>
      <c r="I355">
        <v>12</v>
      </c>
      <c r="J355">
        <v>1</v>
      </c>
      <c r="K355">
        <v>6</v>
      </c>
      <c r="L355">
        <v>2</v>
      </c>
      <c r="M355">
        <v>1</v>
      </c>
      <c r="N355">
        <v>0</v>
      </c>
      <c r="O355">
        <v>0</v>
      </c>
      <c r="P355">
        <v>8</v>
      </c>
      <c r="Q355">
        <v>0</v>
      </c>
      <c r="R355">
        <v>1</v>
      </c>
      <c r="S355">
        <v>36</v>
      </c>
      <c r="T355">
        <v>8.3000000000000007</v>
      </c>
      <c r="U355">
        <v>73</v>
      </c>
      <c r="V355" t="s">
        <v>2741</v>
      </c>
      <c r="W355" t="s">
        <v>1958</v>
      </c>
      <c r="X355">
        <v>221</v>
      </c>
      <c r="Y355">
        <v>190</v>
      </c>
      <c r="Z355">
        <v>53.8</v>
      </c>
      <c r="AA355">
        <v>16</v>
      </c>
      <c r="AB355">
        <v>40</v>
      </c>
      <c r="AC355">
        <v>14</v>
      </c>
      <c r="AD355">
        <v>31</v>
      </c>
      <c r="AE355" t="s">
        <v>60</v>
      </c>
    </row>
    <row r="356" spans="1:31" x14ac:dyDescent="0.2">
      <c r="A356">
        <v>347</v>
      </c>
      <c r="B356" t="s">
        <v>768</v>
      </c>
      <c r="C356">
        <v>22</v>
      </c>
      <c r="D356" t="s">
        <v>328</v>
      </c>
      <c r="E356" t="s">
        <v>322</v>
      </c>
      <c r="F356">
        <v>39</v>
      </c>
      <c r="G356">
        <v>7</v>
      </c>
      <c r="H356">
        <v>5</v>
      </c>
      <c r="I356">
        <v>12</v>
      </c>
      <c r="J356">
        <v>1</v>
      </c>
      <c r="K356">
        <v>12</v>
      </c>
      <c r="L356">
        <v>4</v>
      </c>
      <c r="M356">
        <v>2</v>
      </c>
      <c r="N356">
        <v>1</v>
      </c>
      <c r="O356">
        <v>1</v>
      </c>
      <c r="P356">
        <v>4</v>
      </c>
      <c r="Q356">
        <v>1</v>
      </c>
      <c r="R356">
        <v>0</v>
      </c>
      <c r="S356">
        <v>52</v>
      </c>
      <c r="T356">
        <v>13.5</v>
      </c>
      <c r="U356">
        <v>96</v>
      </c>
      <c r="V356" t="s">
        <v>2407</v>
      </c>
      <c r="W356" t="s">
        <v>1944</v>
      </c>
      <c r="X356">
        <v>18</v>
      </c>
      <c r="Y356">
        <v>17</v>
      </c>
      <c r="Z356">
        <v>51.4</v>
      </c>
      <c r="AA356">
        <v>19</v>
      </c>
      <c r="AB356">
        <v>6</v>
      </c>
      <c r="AC356">
        <v>14</v>
      </c>
      <c r="AD356">
        <v>28</v>
      </c>
      <c r="AE356" t="s">
        <v>60</v>
      </c>
    </row>
    <row r="357" spans="1:31" x14ac:dyDescent="0.2">
      <c r="A357">
        <v>348</v>
      </c>
      <c r="B357" t="s">
        <v>727</v>
      </c>
      <c r="C357">
        <v>34</v>
      </c>
      <c r="D357" t="s">
        <v>412</v>
      </c>
      <c r="E357" t="s">
        <v>349</v>
      </c>
      <c r="F357">
        <v>39</v>
      </c>
      <c r="G357">
        <v>2</v>
      </c>
      <c r="H357">
        <v>10</v>
      </c>
      <c r="I357">
        <v>12</v>
      </c>
      <c r="J357">
        <v>11</v>
      </c>
      <c r="K357">
        <v>8</v>
      </c>
      <c r="L357">
        <v>2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0</v>
      </c>
      <c r="S357">
        <v>40</v>
      </c>
      <c r="T357">
        <v>5</v>
      </c>
      <c r="U357">
        <v>105</v>
      </c>
      <c r="V357" t="s">
        <v>2124</v>
      </c>
      <c r="W357" t="s">
        <v>2025</v>
      </c>
      <c r="X357">
        <v>0</v>
      </c>
      <c r="Y357">
        <v>0</v>
      </c>
      <c r="AA357">
        <v>38</v>
      </c>
      <c r="AB357">
        <v>41</v>
      </c>
      <c r="AC357">
        <v>8</v>
      </c>
      <c r="AD357">
        <v>35</v>
      </c>
      <c r="AE357" t="s">
        <v>60</v>
      </c>
    </row>
    <row r="358" spans="1:31" x14ac:dyDescent="0.2">
      <c r="A358">
        <v>349</v>
      </c>
      <c r="B358" t="s">
        <v>858</v>
      </c>
      <c r="C358">
        <v>27</v>
      </c>
      <c r="D358" t="s">
        <v>448</v>
      </c>
      <c r="E358" t="s">
        <v>322</v>
      </c>
      <c r="F358">
        <v>34</v>
      </c>
      <c r="G358">
        <v>7</v>
      </c>
      <c r="H358">
        <v>5</v>
      </c>
      <c r="I358">
        <v>12</v>
      </c>
      <c r="J358">
        <v>-7</v>
      </c>
      <c r="K358">
        <v>2</v>
      </c>
      <c r="L358">
        <v>6</v>
      </c>
      <c r="M358">
        <v>1</v>
      </c>
      <c r="N358">
        <v>0</v>
      </c>
      <c r="O358">
        <v>1</v>
      </c>
      <c r="P358">
        <v>5</v>
      </c>
      <c r="Q358">
        <v>0</v>
      </c>
      <c r="R358">
        <v>0</v>
      </c>
      <c r="S358">
        <v>60</v>
      </c>
      <c r="T358">
        <v>11.7</v>
      </c>
      <c r="U358">
        <v>120</v>
      </c>
      <c r="V358" t="s">
        <v>2408</v>
      </c>
      <c r="W358" t="s">
        <v>1672</v>
      </c>
      <c r="X358">
        <v>14</v>
      </c>
      <c r="Y358">
        <v>36</v>
      </c>
      <c r="Z358">
        <v>28</v>
      </c>
      <c r="AA358">
        <v>8</v>
      </c>
      <c r="AB358">
        <v>8</v>
      </c>
      <c r="AC358">
        <v>6</v>
      </c>
      <c r="AD358">
        <v>20</v>
      </c>
      <c r="AE358" t="s">
        <v>60</v>
      </c>
    </row>
    <row r="359" spans="1:31" x14ac:dyDescent="0.2">
      <c r="A359">
        <v>350</v>
      </c>
      <c r="B359" t="s">
        <v>905</v>
      </c>
      <c r="C359">
        <v>31</v>
      </c>
      <c r="D359" t="s">
        <v>476</v>
      </c>
      <c r="E359" t="s">
        <v>349</v>
      </c>
      <c r="F359">
        <v>37</v>
      </c>
      <c r="G359">
        <v>1</v>
      </c>
      <c r="H359">
        <v>11</v>
      </c>
      <c r="I359">
        <v>12</v>
      </c>
      <c r="J359">
        <v>-10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9</v>
      </c>
      <c r="Q359">
        <v>2</v>
      </c>
      <c r="R359">
        <v>0</v>
      </c>
      <c r="S359">
        <v>59</v>
      </c>
      <c r="T359">
        <v>1.7</v>
      </c>
      <c r="U359">
        <v>145</v>
      </c>
      <c r="V359" t="s">
        <v>2409</v>
      </c>
      <c r="W359" t="s">
        <v>761</v>
      </c>
      <c r="X359">
        <v>0</v>
      </c>
      <c r="Y359">
        <v>0</v>
      </c>
      <c r="AA359">
        <v>36</v>
      </c>
      <c r="AB359">
        <v>31</v>
      </c>
      <c r="AC359">
        <v>13</v>
      </c>
      <c r="AD359">
        <v>53</v>
      </c>
      <c r="AE359" t="s">
        <v>60</v>
      </c>
    </row>
    <row r="360" spans="1:31" x14ac:dyDescent="0.2">
      <c r="A360">
        <v>351</v>
      </c>
      <c r="B360" t="s">
        <v>815</v>
      </c>
      <c r="C360">
        <v>27</v>
      </c>
      <c r="D360" t="s">
        <v>346</v>
      </c>
      <c r="E360" t="s">
        <v>349</v>
      </c>
      <c r="F360">
        <v>36</v>
      </c>
      <c r="G360">
        <v>6</v>
      </c>
      <c r="H360">
        <v>6</v>
      </c>
      <c r="I360">
        <v>12</v>
      </c>
      <c r="J360">
        <v>-1</v>
      </c>
      <c r="K360">
        <v>76</v>
      </c>
      <c r="L360">
        <v>6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39</v>
      </c>
      <c r="T360">
        <v>15.4</v>
      </c>
      <c r="U360">
        <v>115</v>
      </c>
      <c r="V360" t="s">
        <v>2410</v>
      </c>
      <c r="W360" t="s">
        <v>992</v>
      </c>
      <c r="X360">
        <v>0</v>
      </c>
      <c r="Y360">
        <v>0</v>
      </c>
      <c r="AA360">
        <v>42</v>
      </c>
      <c r="AB360">
        <v>63</v>
      </c>
      <c r="AC360">
        <v>9</v>
      </c>
      <c r="AD360">
        <v>26</v>
      </c>
      <c r="AE360" t="s">
        <v>60</v>
      </c>
    </row>
    <row r="361" spans="1:31" x14ac:dyDescent="0.2">
      <c r="A361">
        <v>352</v>
      </c>
      <c r="B361" t="s">
        <v>774</v>
      </c>
      <c r="C361">
        <v>31</v>
      </c>
      <c r="D361" t="s">
        <v>321</v>
      </c>
      <c r="E361" t="s">
        <v>349</v>
      </c>
      <c r="F361">
        <v>37</v>
      </c>
      <c r="G361">
        <v>1</v>
      </c>
      <c r="H361">
        <v>11</v>
      </c>
      <c r="I361">
        <v>12</v>
      </c>
      <c r="J361">
        <v>22</v>
      </c>
      <c r="K361">
        <v>16</v>
      </c>
      <c r="L361">
        <v>1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63</v>
      </c>
      <c r="T361">
        <v>1.6</v>
      </c>
      <c r="U361">
        <v>145</v>
      </c>
      <c r="V361" t="s">
        <v>2411</v>
      </c>
      <c r="W361" t="s">
        <v>2412</v>
      </c>
      <c r="X361">
        <v>0</v>
      </c>
      <c r="Y361">
        <v>0</v>
      </c>
      <c r="AA361">
        <v>56</v>
      </c>
      <c r="AB361">
        <v>12</v>
      </c>
      <c r="AC361">
        <v>11</v>
      </c>
      <c r="AD361">
        <v>42</v>
      </c>
      <c r="AE361" t="s">
        <v>60</v>
      </c>
    </row>
    <row r="362" spans="1:31" x14ac:dyDescent="0.2">
      <c r="A362">
        <v>353</v>
      </c>
      <c r="B362" t="s">
        <v>1020</v>
      </c>
      <c r="C362">
        <v>32</v>
      </c>
      <c r="D362" t="s">
        <v>448</v>
      </c>
      <c r="E362" t="s">
        <v>349</v>
      </c>
      <c r="F362">
        <v>38</v>
      </c>
      <c r="G362">
        <v>3</v>
      </c>
      <c r="H362">
        <v>9</v>
      </c>
      <c r="I362">
        <v>12</v>
      </c>
      <c r="J362">
        <v>-16</v>
      </c>
      <c r="K362">
        <v>57</v>
      </c>
      <c r="L362">
        <v>3</v>
      </c>
      <c r="M362">
        <v>0</v>
      </c>
      <c r="N362">
        <v>0</v>
      </c>
      <c r="O362">
        <v>0</v>
      </c>
      <c r="P362">
        <v>6</v>
      </c>
      <c r="Q362">
        <v>2</v>
      </c>
      <c r="R362">
        <v>1</v>
      </c>
      <c r="S362">
        <v>87</v>
      </c>
      <c r="T362">
        <v>3.4</v>
      </c>
      <c r="U362">
        <v>203</v>
      </c>
      <c r="V362" t="s">
        <v>2413</v>
      </c>
      <c r="W362" t="s">
        <v>2028</v>
      </c>
      <c r="X362">
        <v>0</v>
      </c>
      <c r="Y362">
        <v>0</v>
      </c>
      <c r="AA362">
        <v>81</v>
      </c>
      <c r="AB362">
        <v>95</v>
      </c>
      <c r="AC362">
        <v>14</v>
      </c>
      <c r="AD362">
        <v>65</v>
      </c>
      <c r="AE362" t="s">
        <v>60</v>
      </c>
    </row>
    <row r="363" spans="1:31" x14ac:dyDescent="0.2">
      <c r="A363">
        <v>354</v>
      </c>
      <c r="B363" t="s">
        <v>702</v>
      </c>
      <c r="C363">
        <v>30</v>
      </c>
      <c r="D363" t="s">
        <v>384</v>
      </c>
      <c r="E363" t="s">
        <v>340</v>
      </c>
      <c r="F363">
        <v>30</v>
      </c>
      <c r="G363">
        <v>8</v>
      </c>
      <c r="H363">
        <v>4</v>
      </c>
      <c r="I363">
        <v>12</v>
      </c>
      <c r="J363">
        <v>-6</v>
      </c>
      <c r="K363">
        <v>16</v>
      </c>
      <c r="L363">
        <v>8</v>
      </c>
      <c r="M363">
        <v>0</v>
      </c>
      <c r="N363">
        <v>0</v>
      </c>
      <c r="O363">
        <v>1</v>
      </c>
      <c r="P363">
        <v>3</v>
      </c>
      <c r="Q363">
        <v>0</v>
      </c>
      <c r="R363">
        <v>1</v>
      </c>
      <c r="S363">
        <v>50</v>
      </c>
      <c r="T363">
        <v>16</v>
      </c>
      <c r="U363">
        <v>86</v>
      </c>
      <c r="V363" t="s">
        <v>2742</v>
      </c>
      <c r="W363" t="s">
        <v>1947</v>
      </c>
      <c r="X363">
        <v>1</v>
      </c>
      <c r="Y363">
        <v>5</v>
      </c>
      <c r="Z363">
        <v>16.7</v>
      </c>
      <c r="AA363">
        <v>8</v>
      </c>
      <c r="AB363">
        <v>37</v>
      </c>
      <c r="AC363">
        <v>4</v>
      </c>
      <c r="AD363">
        <v>22</v>
      </c>
      <c r="AE363" t="s">
        <v>60</v>
      </c>
    </row>
    <row r="364" spans="1:31" x14ac:dyDescent="0.2">
      <c r="A364">
        <v>355</v>
      </c>
      <c r="B364" t="s">
        <v>732</v>
      </c>
      <c r="C364">
        <v>30</v>
      </c>
      <c r="D364" t="s">
        <v>426</v>
      </c>
      <c r="E364" t="s">
        <v>349</v>
      </c>
      <c r="F364">
        <v>36</v>
      </c>
      <c r="G364">
        <v>3</v>
      </c>
      <c r="H364">
        <v>9</v>
      </c>
      <c r="I364">
        <v>12</v>
      </c>
      <c r="J364">
        <v>7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0</v>
      </c>
      <c r="S364">
        <v>39</v>
      </c>
      <c r="T364">
        <v>7.7</v>
      </c>
      <c r="U364">
        <v>98</v>
      </c>
      <c r="V364" t="s">
        <v>2414</v>
      </c>
      <c r="W364" t="s">
        <v>2075</v>
      </c>
      <c r="X364">
        <v>0</v>
      </c>
      <c r="Y364">
        <v>0</v>
      </c>
      <c r="AA364">
        <v>50</v>
      </c>
      <c r="AB364">
        <v>44</v>
      </c>
      <c r="AC364">
        <v>12</v>
      </c>
      <c r="AD364">
        <v>42</v>
      </c>
      <c r="AE364" t="s">
        <v>60</v>
      </c>
    </row>
    <row r="365" spans="1:31" x14ac:dyDescent="0.2">
      <c r="A365">
        <v>356</v>
      </c>
      <c r="B365" t="s">
        <v>829</v>
      </c>
      <c r="C365">
        <v>20</v>
      </c>
      <c r="D365" t="s">
        <v>361</v>
      </c>
      <c r="E365" t="s">
        <v>335</v>
      </c>
      <c r="F365">
        <v>27</v>
      </c>
      <c r="G365">
        <v>4</v>
      </c>
      <c r="H365">
        <v>7</v>
      </c>
      <c r="I365">
        <v>11</v>
      </c>
      <c r="J365">
        <v>0</v>
      </c>
      <c r="K365">
        <v>4</v>
      </c>
      <c r="L365">
        <v>4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43</v>
      </c>
      <c r="T365">
        <v>9.3000000000000007</v>
      </c>
      <c r="U365">
        <v>83</v>
      </c>
      <c r="V365" t="s">
        <v>2743</v>
      </c>
      <c r="W365" t="s">
        <v>1739</v>
      </c>
      <c r="X365">
        <v>1</v>
      </c>
      <c r="Y365">
        <v>4</v>
      </c>
      <c r="Z365">
        <v>20</v>
      </c>
      <c r="AA365">
        <v>14</v>
      </c>
      <c r="AB365">
        <v>26</v>
      </c>
      <c r="AC365">
        <v>4</v>
      </c>
      <c r="AD365">
        <v>29</v>
      </c>
      <c r="AE365" t="s">
        <v>60</v>
      </c>
    </row>
    <row r="366" spans="1:31" x14ac:dyDescent="0.2">
      <c r="A366">
        <v>357</v>
      </c>
      <c r="B366" t="s">
        <v>789</v>
      </c>
      <c r="C366">
        <v>25</v>
      </c>
      <c r="D366" t="s">
        <v>324</v>
      </c>
      <c r="E366" t="s">
        <v>322</v>
      </c>
      <c r="F366">
        <v>38</v>
      </c>
      <c r="G366">
        <v>2</v>
      </c>
      <c r="H366">
        <v>9</v>
      </c>
      <c r="I366">
        <v>11</v>
      </c>
      <c r="J366">
        <v>-13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1</v>
      </c>
      <c r="S366">
        <v>41</v>
      </c>
      <c r="T366">
        <v>4.9000000000000004</v>
      </c>
      <c r="U366">
        <v>82</v>
      </c>
      <c r="V366" t="s">
        <v>2415</v>
      </c>
      <c r="W366" t="s">
        <v>638</v>
      </c>
      <c r="X366">
        <v>241</v>
      </c>
      <c r="Y366">
        <v>226</v>
      </c>
      <c r="Z366">
        <v>51.6</v>
      </c>
      <c r="AA366">
        <v>32</v>
      </c>
      <c r="AB366">
        <v>108</v>
      </c>
      <c r="AC366">
        <v>7</v>
      </c>
      <c r="AD366">
        <v>23</v>
      </c>
      <c r="AE366" t="s">
        <v>60</v>
      </c>
    </row>
    <row r="367" spans="1:31" x14ac:dyDescent="0.2">
      <c r="A367">
        <v>358</v>
      </c>
      <c r="B367" t="s">
        <v>792</v>
      </c>
      <c r="C367">
        <v>35</v>
      </c>
      <c r="D367" t="s">
        <v>404</v>
      </c>
      <c r="E367" t="s">
        <v>349</v>
      </c>
      <c r="F367">
        <v>38</v>
      </c>
      <c r="G367">
        <v>3</v>
      </c>
      <c r="H367">
        <v>8</v>
      </c>
      <c r="I367">
        <v>11</v>
      </c>
      <c r="J367">
        <v>-2</v>
      </c>
      <c r="K367">
        <v>33</v>
      </c>
      <c r="L367">
        <v>3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1</v>
      </c>
      <c r="S367">
        <v>29</v>
      </c>
      <c r="T367">
        <v>10.3</v>
      </c>
      <c r="U367">
        <v>69</v>
      </c>
      <c r="V367" t="s">
        <v>2416</v>
      </c>
      <c r="W367" t="s">
        <v>1717</v>
      </c>
      <c r="X367">
        <v>0</v>
      </c>
      <c r="Y367">
        <v>0</v>
      </c>
      <c r="AA367">
        <v>58</v>
      </c>
      <c r="AB367">
        <v>95</v>
      </c>
      <c r="AC367">
        <v>8</v>
      </c>
      <c r="AD367">
        <v>19</v>
      </c>
      <c r="AE367" t="s">
        <v>60</v>
      </c>
    </row>
    <row r="368" spans="1:31" x14ac:dyDescent="0.2">
      <c r="A368">
        <v>359</v>
      </c>
      <c r="B368" t="s">
        <v>740</v>
      </c>
      <c r="C368">
        <v>25</v>
      </c>
      <c r="D368" t="s">
        <v>321</v>
      </c>
      <c r="E368" t="s">
        <v>322</v>
      </c>
      <c r="F368">
        <v>37</v>
      </c>
      <c r="G368">
        <v>5</v>
      </c>
      <c r="H368">
        <v>6</v>
      </c>
      <c r="I368">
        <v>11</v>
      </c>
      <c r="J368">
        <v>8</v>
      </c>
      <c r="K368">
        <v>14</v>
      </c>
      <c r="L368">
        <v>5</v>
      </c>
      <c r="M368">
        <v>0</v>
      </c>
      <c r="N368">
        <v>0</v>
      </c>
      <c r="O368">
        <v>0</v>
      </c>
      <c r="P368">
        <v>6</v>
      </c>
      <c r="Q368">
        <v>0</v>
      </c>
      <c r="R368">
        <v>0</v>
      </c>
      <c r="S368">
        <v>41</v>
      </c>
      <c r="T368">
        <v>12.2</v>
      </c>
      <c r="U368">
        <v>85</v>
      </c>
      <c r="V368" t="s">
        <v>2417</v>
      </c>
      <c r="W368" t="s">
        <v>1932</v>
      </c>
      <c r="X368">
        <v>260</v>
      </c>
      <c r="Y368">
        <v>192</v>
      </c>
      <c r="Z368">
        <v>57.5</v>
      </c>
      <c r="AA368">
        <v>30</v>
      </c>
      <c r="AB368">
        <v>15</v>
      </c>
      <c r="AC368">
        <v>8</v>
      </c>
      <c r="AD368">
        <v>15</v>
      </c>
      <c r="AE368" t="s">
        <v>60</v>
      </c>
    </row>
    <row r="369" spans="1:31" x14ac:dyDescent="0.2">
      <c r="A369">
        <v>360</v>
      </c>
      <c r="B369" t="s">
        <v>744</v>
      </c>
      <c r="C369">
        <v>26</v>
      </c>
      <c r="D369" t="s">
        <v>368</v>
      </c>
      <c r="E369" t="s">
        <v>349</v>
      </c>
      <c r="F369">
        <v>38</v>
      </c>
      <c r="G369">
        <v>3</v>
      </c>
      <c r="H369">
        <v>8</v>
      </c>
      <c r="I369">
        <v>11</v>
      </c>
      <c r="J369">
        <v>12</v>
      </c>
      <c r="K369">
        <v>17</v>
      </c>
      <c r="L369">
        <v>3</v>
      </c>
      <c r="M369">
        <v>0</v>
      </c>
      <c r="N369">
        <v>0</v>
      </c>
      <c r="O369">
        <v>0</v>
      </c>
      <c r="P369">
        <v>8</v>
      </c>
      <c r="Q369">
        <v>0</v>
      </c>
      <c r="R369">
        <v>0</v>
      </c>
      <c r="S369">
        <v>42</v>
      </c>
      <c r="T369">
        <v>7.1</v>
      </c>
      <c r="U369">
        <v>100</v>
      </c>
      <c r="V369" t="s">
        <v>2418</v>
      </c>
      <c r="W369" t="s">
        <v>1701</v>
      </c>
      <c r="X369">
        <v>0</v>
      </c>
      <c r="Y369">
        <v>0</v>
      </c>
      <c r="AA369">
        <v>69</v>
      </c>
      <c r="AB369">
        <v>44</v>
      </c>
      <c r="AC369">
        <v>6</v>
      </c>
      <c r="AD369">
        <v>26</v>
      </c>
      <c r="AE369" t="s">
        <v>60</v>
      </c>
    </row>
    <row r="370" spans="1:31" x14ac:dyDescent="0.2">
      <c r="A370">
        <v>361</v>
      </c>
      <c r="B370" t="s">
        <v>878</v>
      </c>
      <c r="C370">
        <v>25</v>
      </c>
      <c r="D370" t="s">
        <v>353</v>
      </c>
      <c r="E370" t="s">
        <v>322</v>
      </c>
      <c r="F370">
        <v>34</v>
      </c>
      <c r="G370">
        <v>3</v>
      </c>
      <c r="H370">
        <v>8</v>
      </c>
      <c r="I370">
        <v>11</v>
      </c>
      <c r="J370">
        <v>7</v>
      </c>
      <c r="K370">
        <v>23</v>
      </c>
      <c r="L370">
        <v>3</v>
      </c>
      <c r="M370">
        <v>0</v>
      </c>
      <c r="N370">
        <v>0</v>
      </c>
      <c r="O370">
        <v>0</v>
      </c>
      <c r="P370">
        <v>7</v>
      </c>
      <c r="Q370">
        <v>1</v>
      </c>
      <c r="R370">
        <v>0</v>
      </c>
      <c r="S370">
        <v>26</v>
      </c>
      <c r="T370">
        <v>11.5</v>
      </c>
      <c r="U370">
        <v>58</v>
      </c>
      <c r="V370" t="s">
        <v>2744</v>
      </c>
      <c r="W370" t="s">
        <v>751</v>
      </c>
      <c r="X370">
        <v>4</v>
      </c>
      <c r="Y370">
        <v>8</v>
      </c>
      <c r="Z370">
        <v>33.299999999999997</v>
      </c>
      <c r="AA370">
        <v>17</v>
      </c>
      <c r="AB370">
        <v>35</v>
      </c>
      <c r="AC370">
        <v>8</v>
      </c>
      <c r="AD370">
        <v>29</v>
      </c>
      <c r="AE370" t="s">
        <v>60</v>
      </c>
    </row>
    <row r="371" spans="1:31" x14ac:dyDescent="0.2">
      <c r="A371">
        <v>362</v>
      </c>
      <c r="B371" t="s">
        <v>802</v>
      </c>
      <c r="C371">
        <v>27</v>
      </c>
      <c r="D371" t="s">
        <v>344</v>
      </c>
      <c r="E371" t="s">
        <v>322</v>
      </c>
      <c r="F371">
        <v>32</v>
      </c>
      <c r="G371">
        <v>7</v>
      </c>
      <c r="H371">
        <v>4</v>
      </c>
      <c r="I371">
        <v>11</v>
      </c>
      <c r="J371">
        <v>-2</v>
      </c>
      <c r="K371">
        <v>18</v>
      </c>
      <c r="L371">
        <v>7</v>
      </c>
      <c r="M371">
        <v>0</v>
      </c>
      <c r="N371">
        <v>0</v>
      </c>
      <c r="O371">
        <v>0</v>
      </c>
      <c r="P371">
        <v>4</v>
      </c>
      <c r="Q371">
        <v>0</v>
      </c>
      <c r="R371">
        <v>0</v>
      </c>
      <c r="S371">
        <v>38</v>
      </c>
      <c r="T371">
        <v>18.399999999999999</v>
      </c>
      <c r="U371">
        <v>67</v>
      </c>
      <c r="V371" t="s">
        <v>2419</v>
      </c>
      <c r="W371" t="s">
        <v>1124</v>
      </c>
      <c r="X371">
        <v>185</v>
      </c>
      <c r="Y371">
        <v>168</v>
      </c>
      <c r="Z371">
        <v>52.4</v>
      </c>
      <c r="AA371">
        <v>7</v>
      </c>
      <c r="AB371">
        <v>56</v>
      </c>
      <c r="AC371">
        <v>6</v>
      </c>
      <c r="AD371">
        <v>30</v>
      </c>
      <c r="AE371" t="s">
        <v>60</v>
      </c>
    </row>
    <row r="372" spans="1:31" x14ac:dyDescent="0.2">
      <c r="A372">
        <v>363</v>
      </c>
      <c r="B372" t="s">
        <v>941</v>
      </c>
      <c r="C372">
        <v>23</v>
      </c>
      <c r="D372" t="s">
        <v>384</v>
      </c>
      <c r="E372" t="s">
        <v>322</v>
      </c>
      <c r="F372">
        <v>36</v>
      </c>
      <c r="G372">
        <v>3</v>
      </c>
      <c r="H372">
        <v>8</v>
      </c>
      <c r="I372">
        <v>11</v>
      </c>
      <c r="J372">
        <v>-12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0</v>
      </c>
      <c r="R372">
        <v>0</v>
      </c>
      <c r="S372">
        <v>56</v>
      </c>
      <c r="T372">
        <v>5.4</v>
      </c>
      <c r="U372">
        <v>105</v>
      </c>
      <c r="V372" t="s">
        <v>2745</v>
      </c>
      <c r="W372" t="s">
        <v>1670</v>
      </c>
      <c r="X372">
        <v>0</v>
      </c>
      <c r="Y372">
        <v>1</v>
      </c>
      <c r="Z372">
        <v>0</v>
      </c>
      <c r="AA372">
        <v>17</v>
      </c>
      <c r="AB372">
        <v>5</v>
      </c>
      <c r="AC372">
        <v>8</v>
      </c>
      <c r="AD372">
        <v>22</v>
      </c>
      <c r="AE372" t="s">
        <v>60</v>
      </c>
    </row>
    <row r="373" spans="1:31" x14ac:dyDescent="0.2">
      <c r="A373">
        <v>364</v>
      </c>
      <c r="B373" t="s">
        <v>805</v>
      </c>
      <c r="C373">
        <v>36</v>
      </c>
      <c r="D373" t="s">
        <v>337</v>
      </c>
      <c r="E373" t="s">
        <v>322</v>
      </c>
      <c r="F373">
        <v>38</v>
      </c>
      <c r="G373">
        <v>2</v>
      </c>
      <c r="H373">
        <v>9</v>
      </c>
      <c r="I373">
        <v>11</v>
      </c>
      <c r="J373">
        <v>0</v>
      </c>
      <c r="K373">
        <v>16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62</v>
      </c>
      <c r="T373">
        <v>3.2</v>
      </c>
      <c r="U373">
        <v>112</v>
      </c>
      <c r="V373" t="s">
        <v>2420</v>
      </c>
      <c r="W373" t="s">
        <v>1908</v>
      </c>
      <c r="X373">
        <v>26</v>
      </c>
      <c r="Y373">
        <v>45</v>
      </c>
      <c r="Z373">
        <v>36.6</v>
      </c>
      <c r="AA373">
        <v>18</v>
      </c>
      <c r="AB373">
        <v>33</v>
      </c>
      <c r="AC373">
        <v>12</v>
      </c>
      <c r="AD373">
        <v>29</v>
      </c>
      <c r="AE373" t="s">
        <v>60</v>
      </c>
    </row>
    <row r="374" spans="1:31" x14ac:dyDescent="0.2">
      <c r="A374">
        <v>365</v>
      </c>
      <c r="B374" t="s">
        <v>760</v>
      </c>
      <c r="C374">
        <v>32</v>
      </c>
      <c r="D374" t="s">
        <v>356</v>
      </c>
      <c r="E374" t="s">
        <v>349</v>
      </c>
      <c r="F374">
        <v>31</v>
      </c>
      <c r="G374">
        <v>2</v>
      </c>
      <c r="H374">
        <v>9</v>
      </c>
      <c r="I374">
        <v>11</v>
      </c>
      <c r="J374">
        <v>-9</v>
      </c>
      <c r="K374">
        <v>32</v>
      </c>
      <c r="L374">
        <v>1</v>
      </c>
      <c r="M374">
        <v>1</v>
      </c>
      <c r="N374">
        <v>0</v>
      </c>
      <c r="O374">
        <v>1</v>
      </c>
      <c r="P374">
        <v>7</v>
      </c>
      <c r="Q374">
        <v>2</v>
      </c>
      <c r="R374">
        <v>0</v>
      </c>
      <c r="S374">
        <v>51</v>
      </c>
      <c r="T374">
        <v>3.9</v>
      </c>
      <c r="U374">
        <v>127</v>
      </c>
      <c r="V374" t="s">
        <v>2421</v>
      </c>
      <c r="W374" t="s">
        <v>1728</v>
      </c>
      <c r="X374">
        <v>0</v>
      </c>
      <c r="Y374">
        <v>0</v>
      </c>
      <c r="AA374">
        <v>52</v>
      </c>
      <c r="AB374">
        <v>4</v>
      </c>
      <c r="AC374">
        <v>10</v>
      </c>
      <c r="AD374">
        <v>36</v>
      </c>
      <c r="AE374" t="s">
        <v>60</v>
      </c>
    </row>
    <row r="375" spans="1:31" x14ac:dyDescent="0.2">
      <c r="A375">
        <v>366</v>
      </c>
      <c r="B375" t="s">
        <v>762</v>
      </c>
      <c r="C375">
        <v>29</v>
      </c>
      <c r="D375" t="s">
        <v>328</v>
      </c>
      <c r="E375" t="s">
        <v>340</v>
      </c>
      <c r="F375">
        <v>39</v>
      </c>
      <c r="G375">
        <v>5</v>
      </c>
      <c r="H375">
        <v>6</v>
      </c>
      <c r="I375">
        <v>11</v>
      </c>
      <c r="J375">
        <v>-16</v>
      </c>
      <c r="K375">
        <v>20</v>
      </c>
      <c r="L375">
        <v>5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38</v>
      </c>
      <c r="T375">
        <v>13.2</v>
      </c>
      <c r="U375">
        <v>87</v>
      </c>
      <c r="V375" t="s">
        <v>2422</v>
      </c>
      <c r="W375" t="s">
        <v>1683</v>
      </c>
      <c r="X375">
        <v>2</v>
      </c>
      <c r="Y375">
        <v>4</v>
      </c>
      <c r="Z375">
        <v>33.299999999999997</v>
      </c>
      <c r="AA375">
        <v>15</v>
      </c>
      <c r="AB375">
        <v>31</v>
      </c>
      <c r="AC375">
        <v>6</v>
      </c>
      <c r="AD375">
        <v>26</v>
      </c>
      <c r="AE375" t="s">
        <v>60</v>
      </c>
    </row>
    <row r="376" spans="1:31" x14ac:dyDescent="0.2">
      <c r="A376">
        <v>367</v>
      </c>
      <c r="B376" t="s">
        <v>1004</v>
      </c>
      <c r="C376">
        <v>26</v>
      </c>
      <c r="D376" t="s">
        <v>439</v>
      </c>
      <c r="E376" t="s">
        <v>322</v>
      </c>
      <c r="F376">
        <v>11</v>
      </c>
      <c r="G376">
        <v>5</v>
      </c>
      <c r="H376">
        <v>6</v>
      </c>
      <c r="I376">
        <v>11</v>
      </c>
      <c r="J376">
        <v>-1</v>
      </c>
      <c r="K376">
        <v>0</v>
      </c>
      <c r="L376">
        <v>4</v>
      </c>
      <c r="M376">
        <v>1</v>
      </c>
      <c r="N376">
        <v>0</v>
      </c>
      <c r="O376">
        <v>1</v>
      </c>
      <c r="P376">
        <v>2</v>
      </c>
      <c r="Q376">
        <v>4</v>
      </c>
      <c r="R376">
        <v>0</v>
      </c>
      <c r="S376">
        <v>19</v>
      </c>
      <c r="T376">
        <v>26.3</v>
      </c>
      <c r="U376">
        <v>40</v>
      </c>
      <c r="V376" t="s">
        <v>2423</v>
      </c>
      <c r="W376" t="s">
        <v>721</v>
      </c>
      <c r="X376">
        <v>63</v>
      </c>
      <c r="Y376">
        <v>69</v>
      </c>
      <c r="Z376">
        <v>47.7</v>
      </c>
      <c r="AA376">
        <v>3</v>
      </c>
      <c r="AB376">
        <v>4</v>
      </c>
      <c r="AC376">
        <v>2</v>
      </c>
      <c r="AD376">
        <v>7</v>
      </c>
      <c r="AE376" t="s">
        <v>60</v>
      </c>
    </row>
    <row r="377" spans="1:31" x14ac:dyDescent="0.2">
      <c r="A377">
        <v>368</v>
      </c>
      <c r="B377" t="s">
        <v>895</v>
      </c>
      <c r="C377">
        <v>27</v>
      </c>
      <c r="D377" t="s">
        <v>363</v>
      </c>
      <c r="E377" t="s">
        <v>335</v>
      </c>
      <c r="F377">
        <v>37</v>
      </c>
      <c r="G377">
        <v>7</v>
      </c>
      <c r="H377">
        <v>4</v>
      </c>
      <c r="I377">
        <v>11</v>
      </c>
      <c r="J377">
        <v>6</v>
      </c>
      <c r="K377">
        <v>4</v>
      </c>
      <c r="L377">
        <v>6</v>
      </c>
      <c r="M377">
        <v>0</v>
      </c>
      <c r="N377">
        <v>1</v>
      </c>
      <c r="O377">
        <v>0</v>
      </c>
      <c r="P377">
        <v>4</v>
      </c>
      <c r="Q377">
        <v>0</v>
      </c>
      <c r="R377">
        <v>0</v>
      </c>
      <c r="S377">
        <v>31</v>
      </c>
      <c r="T377">
        <v>22.6</v>
      </c>
      <c r="U377">
        <v>50</v>
      </c>
      <c r="V377" t="s">
        <v>2424</v>
      </c>
      <c r="W377" t="s">
        <v>1962</v>
      </c>
      <c r="X377">
        <v>1</v>
      </c>
      <c r="Y377">
        <v>8</v>
      </c>
      <c r="Z377">
        <v>11.1</v>
      </c>
      <c r="AA377">
        <v>18</v>
      </c>
      <c r="AB377">
        <v>35</v>
      </c>
      <c r="AC377">
        <v>7</v>
      </c>
      <c r="AD377">
        <v>14</v>
      </c>
      <c r="AE377" t="s">
        <v>60</v>
      </c>
    </row>
    <row r="378" spans="1:31" x14ac:dyDescent="0.2">
      <c r="A378">
        <v>369</v>
      </c>
      <c r="B378" t="s">
        <v>725</v>
      </c>
      <c r="C378">
        <v>23</v>
      </c>
      <c r="D378" t="s">
        <v>461</v>
      </c>
      <c r="E378" t="s">
        <v>322</v>
      </c>
      <c r="F378">
        <v>30</v>
      </c>
      <c r="G378">
        <v>3</v>
      </c>
      <c r="H378">
        <v>8</v>
      </c>
      <c r="I378">
        <v>11</v>
      </c>
      <c r="J378">
        <v>3</v>
      </c>
      <c r="K378">
        <v>16</v>
      </c>
      <c r="L378">
        <v>3</v>
      </c>
      <c r="M378">
        <v>0</v>
      </c>
      <c r="N378">
        <v>0</v>
      </c>
      <c r="O378">
        <v>1</v>
      </c>
      <c r="P378">
        <v>8</v>
      </c>
      <c r="Q378">
        <v>0</v>
      </c>
      <c r="R378">
        <v>0</v>
      </c>
      <c r="S378">
        <v>26</v>
      </c>
      <c r="T378">
        <v>11.5</v>
      </c>
      <c r="U378">
        <v>67</v>
      </c>
      <c r="V378" t="s">
        <v>2077</v>
      </c>
      <c r="W378" t="s">
        <v>1593</v>
      </c>
      <c r="X378">
        <v>210</v>
      </c>
      <c r="Y378">
        <v>135</v>
      </c>
      <c r="Z378">
        <v>60.9</v>
      </c>
      <c r="AA378">
        <v>7</v>
      </c>
      <c r="AB378">
        <v>75</v>
      </c>
      <c r="AC378">
        <v>4</v>
      </c>
      <c r="AD378">
        <v>17</v>
      </c>
      <c r="AE378" t="s">
        <v>60</v>
      </c>
    </row>
    <row r="379" spans="1:31" x14ac:dyDescent="0.2">
      <c r="A379">
        <v>370</v>
      </c>
      <c r="B379" t="s">
        <v>900</v>
      </c>
      <c r="C379">
        <v>25</v>
      </c>
      <c r="D379" t="s">
        <v>368</v>
      </c>
      <c r="E379" t="s">
        <v>349</v>
      </c>
      <c r="F379">
        <v>32</v>
      </c>
      <c r="G379">
        <v>2</v>
      </c>
      <c r="H379">
        <v>9</v>
      </c>
      <c r="I379">
        <v>11</v>
      </c>
      <c r="J379">
        <v>8</v>
      </c>
      <c r="K379">
        <v>8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0</v>
      </c>
      <c r="R379">
        <v>0</v>
      </c>
      <c r="S379">
        <v>37</v>
      </c>
      <c r="T379">
        <v>5.4</v>
      </c>
      <c r="U379">
        <v>85</v>
      </c>
      <c r="V379" t="s">
        <v>2425</v>
      </c>
      <c r="W379" t="s">
        <v>1899</v>
      </c>
      <c r="X379">
        <v>0</v>
      </c>
      <c r="Y379">
        <v>0</v>
      </c>
      <c r="AA379">
        <v>59</v>
      </c>
      <c r="AB379">
        <v>45</v>
      </c>
      <c r="AC379">
        <v>12</v>
      </c>
      <c r="AD379">
        <v>41</v>
      </c>
      <c r="AE379" t="s">
        <v>60</v>
      </c>
    </row>
    <row r="380" spans="1:31" x14ac:dyDescent="0.2">
      <c r="A380">
        <v>371</v>
      </c>
      <c r="B380" t="s">
        <v>814</v>
      </c>
      <c r="C380">
        <v>25</v>
      </c>
      <c r="D380" t="s">
        <v>387</v>
      </c>
      <c r="E380" t="s">
        <v>325</v>
      </c>
      <c r="F380">
        <v>26</v>
      </c>
      <c r="G380">
        <v>4</v>
      </c>
      <c r="H380">
        <v>7</v>
      </c>
      <c r="I380">
        <v>11</v>
      </c>
      <c r="J380">
        <v>-5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3</v>
      </c>
      <c r="Q380">
        <v>4</v>
      </c>
      <c r="R380">
        <v>0</v>
      </c>
      <c r="S380">
        <v>34</v>
      </c>
      <c r="T380">
        <v>11.8</v>
      </c>
      <c r="U380">
        <v>78</v>
      </c>
      <c r="V380" t="s">
        <v>2746</v>
      </c>
      <c r="W380" t="s">
        <v>2747</v>
      </c>
      <c r="X380">
        <v>0</v>
      </c>
      <c r="Y380">
        <v>2</v>
      </c>
      <c r="Z380">
        <v>0</v>
      </c>
      <c r="AA380">
        <v>7</v>
      </c>
      <c r="AB380">
        <v>17</v>
      </c>
      <c r="AC380">
        <v>8</v>
      </c>
      <c r="AD380">
        <v>19</v>
      </c>
      <c r="AE380" t="s">
        <v>60</v>
      </c>
    </row>
    <row r="381" spans="1:31" x14ac:dyDescent="0.2">
      <c r="A381">
        <v>372</v>
      </c>
      <c r="B381" t="s">
        <v>728</v>
      </c>
      <c r="C381">
        <v>21</v>
      </c>
      <c r="D381" t="s">
        <v>536</v>
      </c>
      <c r="E381" t="s">
        <v>335</v>
      </c>
      <c r="F381">
        <v>27</v>
      </c>
      <c r="G381">
        <v>5</v>
      </c>
      <c r="H381">
        <v>6</v>
      </c>
      <c r="I381">
        <v>11</v>
      </c>
      <c r="J381">
        <v>-2</v>
      </c>
      <c r="K381">
        <v>6</v>
      </c>
      <c r="L381">
        <v>3</v>
      </c>
      <c r="M381">
        <v>2</v>
      </c>
      <c r="N381">
        <v>0</v>
      </c>
      <c r="O381">
        <v>2</v>
      </c>
      <c r="P381">
        <v>4</v>
      </c>
      <c r="Q381">
        <v>2</v>
      </c>
      <c r="R381">
        <v>0</v>
      </c>
      <c r="S381">
        <v>47</v>
      </c>
      <c r="T381">
        <v>10.6</v>
      </c>
      <c r="U381">
        <v>106</v>
      </c>
      <c r="V381" t="s">
        <v>2426</v>
      </c>
      <c r="W381" t="s">
        <v>695</v>
      </c>
      <c r="X381">
        <v>2</v>
      </c>
      <c r="Y381">
        <v>0</v>
      </c>
      <c r="Z381">
        <v>100</v>
      </c>
      <c r="AA381">
        <v>17</v>
      </c>
      <c r="AB381">
        <v>27</v>
      </c>
      <c r="AC381">
        <v>10</v>
      </c>
      <c r="AD381">
        <v>14</v>
      </c>
      <c r="AE381" t="s">
        <v>60</v>
      </c>
    </row>
    <row r="382" spans="1:31" x14ac:dyDescent="0.2">
      <c r="A382">
        <v>373</v>
      </c>
      <c r="B382" t="s">
        <v>860</v>
      </c>
      <c r="C382">
        <v>29</v>
      </c>
      <c r="D382" t="s">
        <v>359</v>
      </c>
      <c r="E382" t="s">
        <v>322</v>
      </c>
      <c r="F382">
        <v>39</v>
      </c>
      <c r="G382">
        <v>2</v>
      </c>
      <c r="H382">
        <v>9</v>
      </c>
      <c r="I382">
        <v>11</v>
      </c>
      <c r="J382">
        <v>6</v>
      </c>
      <c r="K382">
        <v>21</v>
      </c>
      <c r="L382">
        <v>2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47</v>
      </c>
      <c r="T382">
        <v>4.3</v>
      </c>
      <c r="U382">
        <v>92</v>
      </c>
      <c r="V382" t="s">
        <v>2427</v>
      </c>
      <c r="W382" t="s">
        <v>887</v>
      </c>
      <c r="X382">
        <v>29</v>
      </c>
      <c r="Y382">
        <v>45</v>
      </c>
      <c r="Z382">
        <v>39.200000000000003</v>
      </c>
      <c r="AA382">
        <v>24</v>
      </c>
      <c r="AB382">
        <v>189</v>
      </c>
      <c r="AC382">
        <v>11</v>
      </c>
      <c r="AD382">
        <v>30</v>
      </c>
      <c r="AE382" t="s">
        <v>60</v>
      </c>
    </row>
    <row r="383" spans="1:31" x14ac:dyDescent="0.2">
      <c r="A383">
        <v>374</v>
      </c>
      <c r="B383" t="s">
        <v>910</v>
      </c>
      <c r="C383">
        <v>36</v>
      </c>
      <c r="D383" t="s">
        <v>373</v>
      </c>
      <c r="E383" t="s">
        <v>340</v>
      </c>
      <c r="F383">
        <v>31</v>
      </c>
      <c r="G383">
        <v>9</v>
      </c>
      <c r="H383">
        <v>2</v>
      </c>
      <c r="I383">
        <v>11</v>
      </c>
      <c r="J383">
        <v>-9</v>
      </c>
      <c r="K383">
        <v>10</v>
      </c>
      <c r="L383">
        <v>6</v>
      </c>
      <c r="M383">
        <v>3</v>
      </c>
      <c r="N383">
        <v>0</v>
      </c>
      <c r="O383">
        <v>1</v>
      </c>
      <c r="P383">
        <v>1</v>
      </c>
      <c r="Q383">
        <v>1</v>
      </c>
      <c r="R383">
        <v>0</v>
      </c>
      <c r="S383">
        <v>56</v>
      </c>
      <c r="T383">
        <v>16.100000000000001</v>
      </c>
      <c r="U383">
        <v>107</v>
      </c>
      <c r="V383" t="s">
        <v>2125</v>
      </c>
      <c r="W383" t="s">
        <v>1211</v>
      </c>
      <c r="X383">
        <v>1</v>
      </c>
      <c r="Y383">
        <v>1</v>
      </c>
      <c r="Z383">
        <v>50</v>
      </c>
      <c r="AA383">
        <v>20</v>
      </c>
      <c r="AB383">
        <v>6</v>
      </c>
      <c r="AC383">
        <v>3</v>
      </c>
      <c r="AD383">
        <v>18</v>
      </c>
      <c r="AE383" t="s">
        <v>60</v>
      </c>
    </row>
    <row r="384" spans="1:31" x14ac:dyDescent="0.2">
      <c r="A384">
        <v>375</v>
      </c>
      <c r="B384" t="s">
        <v>822</v>
      </c>
      <c r="C384">
        <v>31</v>
      </c>
      <c r="D384" t="s">
        <v>402</v>
      </c>
      <c r="E384" t="s">
        <v>349</v>
      </c>
      <c r="F384">
        <v>37</v>
      </c>
      <c r="G384">
        <v>4</v>
      </c>
      <c r="H384">
        <v>7</v>
      </c>
      <c r="I384">
        <v>11</v>
      </c>
      <c r="J384">
        <v>-9</v>
      </c>
      <c r="K384">
        <v>18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1</v>
      </c>
      <c r="R384">
        <v>1</v>
      </c>
      <c r="S384">
        <v>82</v>
      </c>
      <c r="T384">
        <v>4.9000000000000004</v>
      </c>
      <c r="U384">
        <v>232</v>
      </c>
      <c r="V384" t="s">
        <v>2428</v>
      </c>
      <c r="W384" t="s">
        <v>2040</v>
      </c>
      <c r="X384">
        <v>0</v>
      </c>
      <c r="Y384">
        <v>0</v>
      </c>
      <c r="AA384">
        <v>57</v>
      </c>
      <c r="AB384">
        <v>59</v>
      </c>
      <c r="AC384">
        <v>11</v>
      </c>
      <c r="AD384">
        <v>34</v>
      </c>
      <c r="AE384" t="s">
        <v>60</v>
      </c>
    </row>
    <row r="385" spans="1:31" x14ac:dyDescent="0.2">
      <c r="A385">
        <v>376</v>
      </c>
      <c r="B385" t="s">
        <v>778</v>
      </c>
      <c r="C385">
        <v>28</v>
      </c>
      <c r="D385" t="s">
        <v>378</v>
      </c>
      <c r="E385" t="s">
        <v>349</v>
      </c>
      <c r="F385">
        <v>37</v>
      </c>
      <c r="G385">
        <v>2</v>
      </c>
      <c r="H385">
        <v>9</v>
      </c>
      <c r="I385">
        <v>11</v>
      </c>
      <c r="J385">
        <v>-3</v>
      </c>
      <c r="K385">
        <v>28</v>
      </c>
      <c r="L385">
        <v>2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1</v>
      </c>
      <c r="S385">
        <v>34</v>
      </c>
      <c r="T385">
        <v>5.9</v>
      </c>
      <c r="U385">
        <v>77</v>
      </c>
      <c r="V385" t="s">
        <v>2748</v>
      </c>
      <c r="W385" t="s">
        <v>2011</v>
      </c>
      <c r="X385">
        <v>0</v>
      </c>
      <c r="Y385">
        <v>0</v>
      </c>
      <c r="AA385">
        <v>56</v>
      </c>
      <c r="AB385">
        <v>73</v>
      </c>
      <c r="AC385">
        <v>19</v>
      </c>
      <c r="AD385">
        <v>64</v>
      </c>
      <c r="AE385" t="s">
        <v>60</v>
      </c>
    </row>
    <row r="386" spans="1:31" x14ac:dyDescent="0.2">
      <c r="A386">
        <v>377</v>
      </c>
      <c r="B386" t="s">
        <v>863</v>
      </c>
      <c r="C386">
        <v>23</v>
      </c>
      <c r="D386" t="s">
        <v>415</v>
      </c>
      <c r="E386" t="s">
        <v>349</v>
      </c>
      <c r="F386">
        <v>27</v>
      </c>
      <c r="G386">
        <v>1</v>
      </c>
      <c r="H386">
        <v>9</v>
      </c>
      <c r="I386">
        <v>10</v>
      </c>
      <c r="J386">
        <v>9</v>
      </c>
      <c r="K386">
        <v>10</v>
      </c>
      <c r="L386">
        <v>1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23</v>
      </c>
      <c r="T386">
        <v>4.3</v>
      </c>
      <c r="U386">
        <v>61</v>
      </c>
      <c r="V386" t="s">
        <v>2749</v>
      </c>
      <c r="W386" t="s">
        <v>559</v>
      </c>
      <c r="X386">
        <v>0</v>
      </c>
      <c r="Y386">
        <v>0</v>
      </c>
      <c r="AA386">
        <v>24</v>
      </c>
      <c r="AB386">
        <v>25</v>
      </c>
      <c r="AC386">
        <v>4</v>
      </c>
      <c r="AD386">
        <v>19</v>
      </c>
      <c r="AE386" t="s">
        <v>60</v>
      </c>
    </row>
    <row r="387" spans="1:31" x14ac:dyDescent="0.2">
      <c r="A387">
        <v>378</v>
      </c>
      <c r="B387" t="s">
        <v>780</v>
      </c>
      <c r="C387">
        <v>30</v>
      </c>
      <c r="D387" t="s">
        <v>373</v>
      </c>
      <c r="E387" t="s">
        <v>322</v>
      </c>
      <c r="F387">
        <v>30</v>
      </c>
      <c r="G387">
        <v>4</v>
      </c>
      <c r="H387">
        <v>6</v>
      </c>
      <c r="I387">
        <v>10</v>
      </c>
      <c r="J387">
        <v>-1</v>
      </c>
      <c r="K387">
        <v>24</v>
      </c>
      <c r="L387">
        <v>4</v>
      </c>
      <c r="M387">
        <v>0</v>
      </c>
      <c r="N387">
        <v>0</v>
      </c>
      <c r="O387">
        <v>1</v>
      </c>
      <c r="P387">
        <v>6</v>
      </c>
      <c r="Q387">
        <v>0</v>
      </c>
      <c r="R387">
        <v>0</v>
      </c>
      <c r="S387">
        <v>33</v>
      </c>
      <c r="T387">
        <v>12.1</v>
      </c>
      <c r="U387">
        <v>52</v>
      </c>
      <c r="V387" t="s">
        <v>2750</v>
      </c>
      <c r="W387" t="s">
        <v>640</v>
      </c>
      <c r="X387">
        <v>2</v>
      </c>
      <c r="Y387">
        <v>5</v>
      </c>
      <c r="Z387">
        <v>28.6</v>
      </c>
      <c r="AA387">
        <v>13</v>
      </c>
      <c r="AB387">
        <v>33</v>
      </c>
      <c r="AC387">
        <v>0</v>
      </c>
      <c r="AD387">
        <v>15</v>
      </c>
      <c r="AE387" t="s">
        <v>60</v>
      </c>
    </row>
    <row r="388" spans="1:31" x14ac:dyDescent="0.2">
      <c r="A388">
        <v>379</v>
      </c>
      <c r="B388" t="s">
        <v>787</v>
      </c>
      <c r="C388">
        <v>32</v>
      </c>
      <c r="D388" t="s">
        <v>359</v>
      </c>
      <c r="E388" t="s">
        <v>349</v>
      </c>
      <c r="F388">
        <v>34</v>
      </c>
      <c r="G388">
        <v>3</v>
      </c>
      <c r="H388">
        <v>7</v>
      </c>
      <c r="I388">
        <v>10</v>
      </c>
      <c r="J388">
        <v>13</v>
      </c>
      <c r="K388">
        <v>8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32</v>
      </c>
      <c r="T388">
        <v>9.4</v>
      </c>
      <c r="U388">
        <v>85</v>
      </c>
      <c r="V388" t="s">
        <v>2429</v>
      </c>
      <c r="W388" t="s">
        <v>2014</v>
      </c>
      <c r="X388">
        <v>0</v>
      </c>
      <c r="Y388">
        <v>0</v>
      </c>
      <c r="AA388">
        <v>74</v>
      </c>
      <c r="AB388">
        <v>7</v>
      </c>
      <c r="AC388">
        <v>8</v>
      </c>
      <c r="AD388">
        <v>28</v>
      </c>
      <c r="AE388" t="s">
        <v>60</v>
      </c>
    </row>
    <row r="389" spans="1:31" x14ac:dyDescent="0.2">
      <c r="A389">
        <v>380</v>
      </c>
      <c r="B389" t="s">
        <v>922</v>
      </c>
      <c r="C389">
        <v>26</v>
      </c>
      <c r="D389" t="s">
        <v>404</v>
      </c>
      <c r="E389" t="s">
        <v>322</v>
      </c>
      <c r="F389">
        <v>38</v>
      </c>
      <c r="G389">
        <v>5</v>
      </c>
      <c r="H389">
        <v>5</v>
      </c>
      <c r="I389">
        <v>10</v>
      </c>
      <c r="J389">
        <v>-9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38</v>
      </c>
      <c r="T389">
        <v>13.2</v>
      </c>
      <c r="U389">
        <v>83</v>
      </c>
      <c r="V389" t="s">
        <v>2430</v>
      </c>
      <c r="W389" t="s">
        <v>1061</v>
      </c>
      <c r="X389">
        <v>17</v>
      </c>
      <c r="Y389">
        <v>15</v>
      </c>
      <c r="Z389">
        <v>53.1</v>
      </c>
      <c r="AA389">
        <v>11</v>
      </c>
      <c r="AB389">
        <v>102</v>
      </c>
      <c r="AC389">
        <v>7</v>
      </c>
      <c r="AD389">
        <v>17</v>
      </c>
      <c r="AE389" t="s">
        <v>60</v>
      </c>
    </row>
    <row r="390" spans="1:31" x14ac:dyDescent="0.2">
      <c r="A390">
        <v>381</v>
      </c>
      <c r="B390" t="s">
        <v>831</v>
      </c>
      <c r="C390">
        <v>29</v>
      </c>
      <c r="D390" t="s">
        <v>365</v>
      </c>
      <c r="E390" t="s">
        <v>322</v>
      </c>
      <c r="F390">
        <v>34</v>
      </c>
      <c r="G390">
        <v>5</v>
      </c>
      <c r="H390">
        <v>5</v>
      </c>
      <c r="I390">
        <v>10</v>
      </c>
      <c r="J390">
        <v>-13</v>
      </c>
      <c r="K390">
        <v>18</v>
      </c>
      <c r="L390">
        <v>4</v>
      </c>
      <c r="M390">
        <v>0</v>
      </c>
      <c r="N390">
        <v>1</v>
      </c>
      <c r="O390">
        <v>0</v>
      </c>
      <c r="P390">
        <v>5</v>
      </c>
      <c r="Q390">
        <v>0</v>
      </c>
      <c r="R390">
        <v>0</v>
      </c>
      <c r="S390">
        <v>34</v>
      </c>
      <c r="T390">
        <v>14.7</v>
      </c>
      <c r="U390">
        <v>75</v>
      </c>
      <c r="V390" t="s">
        <v>1941</v>
      </c>
      <c r="W390" t="s">
        <v>1942</v>
      </c>
      <c r="X390">
        <v>236</v>
      </c>
      <c r="Y390">
        <v>200</v>
      </c>
      <c r="Z390">
        <v>54.1</v>
      </c>
      <c r="AA390">
        <v>24</v>
      </c>
      <c r="AB390">
        <v>44</v>
      </c>
      <c r="AC390">
        <v>6</v>
      </c>
      <c r="AD390">
        <v>26</v>
      </c>
      <c r="AE390" t="s">
        <v>60</v>
      </c>
    </row>
    <row r="391" spans="1:31" x14ac:dyDescent="0.2">
      <c r="A391">
        <v>382</v>
      </c>
      <c r="B391" t="s">
        <v>1201</v>
      </c>
      <c r="C391">
        <v>27</v>
      </c>
      <c r="D391" t="s">
        <v>321</v>
      </c>
      <c r="E391" t="s">
        <v>349</v>
      </c>
      <c r="F391">
        <v>22</v>
      </c>
      <c r="G391">
        <v>3</v>
      </c>
      <c r="H391">
        <v>7</v>
      </c>
      <c r="I391">
        <v>10</v>
      </c>
      <c r="J391">
        <v>8</v>
      </c>
      <c r="K391">
        <v>2</v>
      </c>
      <c r="L391">
        <v>3</v>
      </c>
      <c r="M391">
        <v>0</v>
      </c>
      <c r="N391">
        <v>0</v>
      </c>
      <c r="O391">
        <v>1</v>
      </c>
      <c r="P391">
        <v>7</v>
      </c>
      <c r="Q391">
        <v>0</v>
      </c>
      <c r="R391">
        <v>0</v>
      </c>
      <c r="S391">
        <v>20</v>
      </c>
      <c r="T391">
        <v>15</v>
      </c>
      <c r="U391">
        <v>70</v>
      </c>
      <c r="V391" t="s">
        <v>2431</v>
      </c>
      <c r="W391" t="s">
        <v>2037</v>
      </c>
      <c r="X391">
        <v>0</v>
      </c>
      <c r="Y391">
        <v>0</v>
      </c>
      <c r="AA391">
        <v>23</v>
      </c>
      <c r="AB391">
        <v>9</v>
      </c>
      <c r="AC391">
        <v>3</v>
      </c>
      <c r="AD391">
        <v>19</v>
      </c>
      <c r="AE391" t="s">
        <v>60</v>
      </c>
    </row>
    <row r="392" spans="1:31" x14ac:dyDescent="0.2">
      <c r="A392">
        <v>383</v>
      </c>
      <c r="B392" t="s">
        <v>837</v>
      </c>
      <c r="C392">
        <v>32</v>
      </c>
      <c r="D392" t="s">
        <v>344</v>
      </c>
      <c r="E392" t="s">
        <v>349</v>
      </c>
      <c r="F392">
        <v>29</v>
      </c>
      <c r="G392">
        <v>5</v>
      </c>
      <c r="H392">
        <v>5</v>
      </c>
      <c r="I392">
        <v>10</v>
      </c>
      <c r="J392">
        <v>4</v>
      </c>
      <c r="K392">
        <v>13</v>
      </c>
      <c r="L392">
        <v>5</v>
      </c>
      <c r="M392">
        <v>0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45</v>
      </c>
      <c r="T392">
        <v>11.1</v>
      </c>
      <c r="U392">
        <v>83</v>
      </c>
      <c r="V392" t="s">
        <v>2432</v>
      </c>
      <c r="W392" t="s">
        <v>573</v>
      </c>
      <c r="X392">
        <v>0</v>
      </c>
      <c r="Y392">
        <v>0</v>
      </c>
      <c r="AA392">
        <v>29</v>
      </c>
      <c r="AB392">
        <v>12</v>
      </c>
      <c r="AC392">
        <v>11</v>
      </c>
      <c r="AD392">
        <v>28</v>
      </c>
      <c r="AE392" t="s">
        <v>60</v>
      </c>
    </row>
    <row r="393" spans="1:31" x14ac:dyDescent="0.2">
      <c r="A393">
        <v>384</v>
      </c>
      <c r="B393" t="s">
        <v>880</v>
      </c>
      <c r="C393">
        <v>31</v>
      </c>
      <c r="D393" t="s">
        <v>337</v>
      </c>
      <c r="E393" t="s">
        <v>340</v>
      </c>
      <c r="F393">
        <v>37</v>
      </c>
      <c r="G393">
        <v>2</v>
      </c>
      <c r="H393">
        <v>8</v>
      </c>
      <c r="I393">
        <v>10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22</v>
      </c>
      <c r="T393">
        <v>9.1</v>
      </c>
      <c r="U393">
        <v>47</v>
      </c>
      <c r="V393" t="s">
        <v>2433</v>
      </c>
      <c r="W393" t="s">
        <v>1046</v>
      </c>
      <c r="X393">
        <v>2</v>
      </c>
      <c r="Y393">
        <v>3</v>
      </c>
      <c r="Z393">
        <v>40</v>
      </c>
      <c r="AA393">
        <v>11</v>
      </c>
      <c r="AB393">
        <v>111</v>
      </c>
      <c r="AC393">
        <v>4</v>
      </c>
      <c r="AD393">
        <v>21</v>
      </c>
      <c r="AE393" t="s">
        <v>60</v>
      </c>
    </row>
    <row r="394" spans="1:31" x14ac:dyDescent="0.2">
      <c r="A394">
        <v>385</v>
      </c>
      <c r="B394" t="s">
        <v>840</v>
      </c>
      <c r="C394">
        <v>29</v>
      </c>
      <c r="D394" t="s">
        <v>361</v>
      </c>
      <c r="E394" t="s">
        <v>322</v>
      </c>
      <c r="F394">
        <v>36</v>
      </c>
      <c r="G394">
        <v>6</v>
      </c>
      <c r="H394">
        <v>4</v>
      </c>
      <c r="I394">
        <v>10</v>
      </c>
      <c r="J394">
        <v>-2</v>
      </c>
      <c r="K394">
        <v>25</v>
      </c>
      <c r="L394">
        <v>6</v>
      </c>
      <c r="M394">
        <v>0</v>
      </c>
      <c r="N394">
        <v>0</v>
      </c>
      <c r="O394">
        <v>2</v>
      </c>
      <c r="P394">
        <v>4</v>
      </c>
      <c r="Q394">
        <v>0</v>
      </c>
      <c r="R394">
        <v>0</v>
      </c>
      <c r="S394">
        <v>32</v>
      </c>
      <c r="T394">
        <v>18.8</v>
      </c>
      <c r="U394">
        <v>56</v>
      </c>
      <c r="V394" t="s">
        <v>2751</v>
      </c>
      <c r="W394" t="s">
        <v>982</v>
      </c>
      <c r="X394">
        <v>2</v>
      </c>
      <c r="Y394">
        <v>12</v>
      </c>
      <c r="Z394">
        <v>14.3</v>
      </c>
      <c r="AA394">
        <v>26</v>
      </c>
      <c r="AB394">
        <v>127</v>
      </c>
      <c r="AC394">
        <v>7</v>
      </c>
      <c r="AD394">
        <v>13</v>
      </c>
      <c r="AE394" t="s">
        <v>60</v>
      </c>
    </row>
    <row r="395" spans="1:31" x14ac:dyDescent="0.2">
      <c r="A395">
        <v>386</v>
      </c>
      <c r="B395" t="s">
        <v>945</v>
      </c>
      <c r="C395">
        <v>33</v>
      </c>
      <c r="D395" t="s">
        <v>356</v>
      </c>
      <c r="E395" t="s">
        <v>322</v>
      </c>
      <c r="F395">
        <v>39</v>
      </c>
      <c r="G395">
        <v>3</v>
      </c>
      <c r="H395">
        <v>7</v>
      </c>
      <c r="I395">
        <v>10</v>
      </c>
      <c r="J395">
        <v>0</v>
      </c>
      <c r="K395">
        <v>24</v>
      </c>
      <c r="L395">
        <v>3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57</v>
      </c>
      <c r="T395">
        <v>5.3</v>
      </c>
      <c r="U395">
        <v>106</v>
      </c>
      <c r="V395" t="s">
        <v>2434</v>
      </c>
      <c r="W395" t="s">
        <v>1874</v>
      </c>
      <c r="X395">
        <v>190</v>
      </c>
      <c r="Y395">
        <v>218</v>
      </c>
      <c r="Z395">
        <v>46.6</v>
      </c>
      <c r="AA395">
        <v>25</v>
      </c>
      <c r="AB395">
        <v>42</v>
      </c>
      <c r="AC395">
        <v>10</v>
      </c>
      <c r="AD395">
        <v>26</v>
      </c>
      <c r="AE395" t="s">
        <v>60</v>
      </c>
    </row>
    <row r="396" spans="1:31" x14ac:dyDescent="0.2">
      <c r="A396">
        <v>387</v>
      </c>
      <c r="B396" t="s">
        <v>889</v>
      </c>
      <c r="C396">
        <v>29</v>
      </c>
      <c r="D396" t="s">
        <v>361</v>
      </c>
      <c r="E396" t="s">
        <v>322</v>
      </c>
      <c r="F396">
        <v>31</v>
      </c>
      <c r="G396">
        <v>4</v>
      </c>
      <c r="H396">
        <v>6</v>
      </c>
      <c r="I396">
        <v>10</v>
      </c>
      <c r="J396">
        <v>0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6</v>
      </c>
      <c r="Q396">
        <v>0</v>
      </c>
      <c r="R396">
        <v>0</v>
      </c>
      <c r="S396">
        <v>30</v>
      </c>
      <c r="T396">
        <v>13.3</v>
      </c>
      <c r="U396">
        <v>45</v>
      </c>
      <c r="V396" t="s">
        <v>2752</v>
      </c>
      <c r="W396" t="s">
        <v>1250</v>
      </c>
      <c r="X396">
        <v>32</v>
      </c>
      <c r="Y396">
        <v>31</v>
      </c>
      <c r="Z396">
        <v>50.8</v>
      </c>
      <c r="AA396">
        <v>20</v>
      </c>
      <c r="AB396">
        <v>73</v>
      </c>
      <c r="AC396">
        <v>6</v>
      </c>
      <c r="AD396">
        <v>17</v>
      </c>
      <c r="AE396" t="s">
        <v>60</v>
      </c>
    </row>
    <row r="397" spans="1:31" x14ac:dyDescent="0.2">
      <c r="A397">
        <v>388</v>
      </c>
      <c r="B397" t="s">
        <v>844</v>
      </c>
      <c r="C397">
        <v>35</v>
      </c>
      <c r="D397" t="s">
        <v>476</v>
      </c>
      <c r="E397" t="s">
        <v>322</v>
      </c>
      <c r="F397">
        <v>28</v>
      </c>
      <c r="G397">
        <v>7</v>
      </c>
      <c r="H397">
        <v>3</v>
      </c>
      <c r="I397">
        <v>10</v>
      </c>
      <c r="J397">
        <v>-18</v>
      </c>
      <c r="K397">
        <v>6</v>
      </c>
      <c r="L397">
        <v>3</v>
      </c>
      <c r="M397">
        <v>4</v>
      </c>
      <c r="N397">
        <v>0</v>
      </c>
      <c r="O397">
        <v>1</v>
      </c>
      <c r="P397">
        <v>3</v>
      </c>
      <c r="Q397">
        <v>0</v>
      </c>
      <c r="R397">
        <v>0</v>
      </c>
      <c r="S397">
        <v>60</v>
      </c>
      <c r="T397">
        <v>11.7</v>
      </c>
      <c r="U397">
        <v>125</v>
      </c>
      <c r="V397" t="s">
        <v>1817</v>
      </c>
      <c r="W397" t="s">
        <v>1665</v>
      </c>
      <c r="X397">
        <v>8</v>
      </c>
      <c r="Y397">
        <v>8</v>
      </c>
      <c r="Z397">
        <v>50</v>
      </c>
      <c r="AA397">
        <v>5</v>
      </c>
      <c r="AB397">
        <v>38</v>
      </c>
      <c r="AC397">
        <v>4</v>
      </c>
      <c r="AD397">
        <v>32</v>
      </c>
      <c r="AE397" t="s">
        <v>60</v>
      </c>
    </row>
    <row r="398" spans="1:31" x14ac:dyDescent="0.2">
      <c r="A398">
        <v>389</v>
      </c>
      <c r="B398" t="s">
        <v>845</v>
      </c>
      <c r="C398">
        <v>26</v>
      </c>
      <c r="D398" t="s">
        <v>412</v>
      </c>
      <c r="E398" t="s">
        <v>322</v>
      </c>
      <c r="F398">
        <v>39</v>
      </c>
      <c r="G398">
        <v>4</v>
      </c>
      <c r="H398">
        <v>6</v>
      </c>
      <c r="I398">
        <v>10</v>
      </c>
      <c r="J398">
        <v>-1</v>
      </c>
      <c r="K398">
        <v>32</v>
      </c>
      <c r="L398">
        <v>4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54</v>
      </c>
      <c r="T398">
        <v>7.4</v>
      </c>
      <c r="U398">
        <v>112</v>
      </c>
      <c r="V398" t="s">
        <v>2126</v>
      </c>
      <c r="W398" t="s">
        <v>1453</v>
      </c>
      <c r="X398">
        <v>196</v>
      </c>
      <c r="Y398">
        <v>197</v>
      </c>
      <c r="Z398">
        <v>49.9</v>
      </c>
      <c r="AA398">
        <v>30</v>
      </c>
      <c r="AB398">
        <v>128</v>
      </c>
      <c r="AC398">
        <v>7</v>
      </c>
      <c r="AD398">
        <v>25</v>
      </c>
      <c r="AE398" t="s">
        <v>60</v>
      </c>
    </row>
    <row r="399" spans="1:31" x14ac:dyDescent="0.2">
      <c r="A399">
        <v>390</v>
      </c>
      <c r="B399" t="s">
        <v>890</v>
      </c>
      <c r="C399">
        <v>31</v>
      </c>
      <c r="D399" t="s">
        <v>330</v>
      </c>
      <c r="E399" t="s">
        <v>325</v>
      </c>
      <c r="F399">
        <v>34</v>
      </c>
      <c r="G399">
        <v>6</v>
      </c>
      <c r="H399">
        <v>4</v>
      </c>
      <c r="I399">
        <v>10</v>
      </c>
      <c r="J399">
        <v>-5</v>
      </c>
      <c r="K399">
        <v>8</v>
      </c>
      <c r="L399">
        <v>6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1</v>
      </c>
      <c r="S399">
        <v>61</v>
      </c>
      <c r="T399">
        <v>9.8000000000000007</v>
      </c>
      <c r="U399">
        <v>105</v>
      </c>
      <c r="V399" t="s">
        <v>2127</v>
      </c>
      <c r="W399" t="s">
        <v>579</v>
      </c>
      <c r="X399">
        <v>0</v>
      </c>
      <c r="Y399">
        <v>5</v>
      </c>
      <c r="Z399">
        <v>0</v>
      </c>
      <c r="AA399">
        <v>11</v>
      </c>
      <c r="AB399">
        <v>17</v>
      </c>
      <c r="AC399">
        <v>11</v>
      </c>
      <c r="AD399">
        <v>26</v>
      </c>
      <c r="AE399" t="s">
        <v>60</v>
      </c>
    </row>
    <row r="400" spans="1:31" x14ac:dyDescent="0.2">
      <c r="A400">
        <v>391</v>
      </c>
      <c r="B400" t="s">
        <v>812</v>
      </c>
      <c r="C400">
        <v>32</v>
      </c>
      <c r="D400" t="s">
        <v>536</v>
      </c>
      <c r="E400" t="s">
        <v>349</v>
      </c>
      <c r="F400">
        <v>39</v>
      </c>
      <c r="G400">
        <v>0</v>
      </c>
      <c r="H400">
        <v>10</v>
      </c>
      <c r="I400">
        <v>10</v>
      </c>
      <c r="J400">
        <v>-7</v>
      </c>
      <c r="K400">
        <v>12</v>
      </c>
      <c r="L400">
        <v>0</v>
      </c>
      <c r="M400">
        <v>0</v>
      </c>
      <c r="N400">
        <v>0</v>
      </c>
      <c r="O400">
        <v>0</v>
      </c>
      <c r="P400">
        <v>10</v>
      </c>
      <c r="Q400">
        <v>0</v>
      </c>
      <c r="R400">
        <v>0</v>
      </c>
      <c r="S400">
        <v>45</v>
      </c>
      <c r="T400">
        <v>0</v>
      </c>
      <c r="U400">
        <v>110</v>
      </c>
      <c r="V400" t="s">
        <v>2435</v>
      </c>
      <c r="W400" t="s">
        <v>2004</v>
      </c>
      <c r="X400">
        <v>0</v>
      </c>
      <c r="Y400">
        <v>0</v>
      </c>
      <c r="AA400">
        <v>91</v>
      </c>
      <c r="AB400">
        <v>37</v>
      </c>
      <c r="AC400">
        <v>17</v>
      </c>
      <c r="AD400">
        <v>47</v>
      </c>
      <c r="AE400" t="s">
        <v>60</v>
      </c>
    </row>
    <row r="401" spans="1:31" x14ac:dyDescent="0.2">
      <c r="A401">
        <v>392</v>
      </c>
      <c r="B401" t="s">
        <v>894</v>
      </c>
      <c r="C401">
        <v>23</v>
      </c>
      <c r="D401" t="s">
        <v>439</v>
      </c>
      <c r="E401" t="s">
        <v>349</v>
      </c>
      <c r="F401">
        <v>36</v>
      </c>
      <c r="G401">
        <v>3</v>
      </c>
      <c r="H401">
        <v>7</v>
      </c>
      <c r="I401">
        <v>10</v>
      </c>
      <c r="J401">
        <v>-5</v>
      </c>
      <c r="K401">
        <v>4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2</v>
      </c>
      <c r="S401">
        <v>56</v>
      </c>
      <c r="T401">
        <v>5.4</v>
      </c>
      <c r="U401">
        <v>120</v>
      </c>
      <c r="V401" t="s">
        <v>2436</v>
      </c>
      <c r="W401" t="s">
        <v>1653</v>
      </c>
      <c r="X401">
        <v>0</v>
      </c>
      <c r="Y401">
        <v>0</v>
      </c>
      <c r="AA401">
        <v>32</v>
      </c>
      <c r="AB401">
        <v>19</v>
      </c>
      <c r="AC401">
        <v>11</v>
      </c>
      <c r="AD401">
        <v>36</v>
      </c>
      <c r="AE401" t="s">
        <v>60</v>
      </c>
    </row>
    <row r="402" spans="1:31" x14ac:dyDescent="0.2">
      <c r="A402">
        <v>393</v>
      </c>
      <c r="B402" t="s">
        <v>766</v>
      </c>
      <c r="C402">
        <v>30</v>
      </c>
      <c r="D402" t="s">
        <v>368</v>
      </c>
      <c r="E402" t="s">
        <v>349</v>
      </c>
      <c r="F402">
        <v>38</v>
      </c>
      <c r="G402">
        <v>1</v>
      </c>
      <c r="H402">
        <v>9</v>
      </c>
      <c r="I402">
        <v>10</v>
      </c>
      <c r="J402">
        <v>15</v>
      </c>
      <c r="K402">
        <v>4</v>
      </c>
      <c r="L402">
        <v>1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52</v>
      </c>
      <c r="T402">
        <v>1.9</v>
      </c>
      <c r="U402">
        <v>111</v>
      </c>
      <c r="V402" t="s">
        <v>2437</v>
      </c>
      <c r="W402" t="s">
        <v>2188</v>
      </c>
      <c r="X402">
        <v>0</v>
      </c>
      <c r="Y402">
        <v>0</v>
      </c>
      <c r="AA402">
        <v>81</v>
      </c>
      <c r="AB402">
        <v>47</v>
      </c>
      <c r="AC402">
        <v>6</v>
      </c>
      <c r="AD402">
        <v>34</v>
      </c>
      <c r="AE402" t="s">
        <v>60</v>
      </c>
    </row>
    <row r="403" spans="1:31" x14ac:dyDescent="0.2">
      <c r="A403">
        <v>394</v>
      </c>
      <c r="B403" t="s">
        <v>901</v>
      </c>
      <c r="C403">
        <v>25</v>
      </c>
      <c r="D403" t="s">
        <v>461</v>
      </c>
      <c r="E403" t="s">
        <v>325</v>
      </c>
      <c r="F403">
        <v>34</v>
      </c>
      <c r="G403">
        <v>8</v>
      </c>
      <c r="H403">
        <v>2</v>
      </c>
      <c r="I403">
        <v>10</v>
      </c>
      <c r="J403">
        <v>-1</v>
      </c>
      <c r="K403">
        <v>10</v>
      </c>
      <c r="L403">
        <v>8</v>
      </c>
      <c r="M403">
        <v>0</v>
      </c>
      <c r="N403">
        <v>0</v>
      </c>
      <c r="O403">
        <v>0</v>
      </c>
      <c r="P403">
        <v>1</v>
      </c>
      <c r="Q403">
        <v>1</v>
      </c>
      <c r="R403">
        <v>0</v>
      </c>
      <c r="S403">
        <v>35</v>
      </c>
      <c r="T403">
        <v>22.9</v>
      </c>
      <c r="U403">
        <v>58</v>
      </c>
      <c r="V403" t="s">
        <v>2438</v>
      </c>
      <c r="W403" t="s">
        <v>2439</v>
      </c>
      <c r="X403">
        <v>81</v>
      </c>
      <c r="Y403">
        <v>114</v>
      </c>
      <c r="Z403">
        <v>41.5</v>
      </c>
      <c r="AA403">
        <v>22</v>
      </c>
      <c r="AB403">
        <v>16</v>
      </c>
      <c r="AC403">
        <v>5</v>
      </c>
      <c r="AD403">
        <v>16</v>
      </c>
      <c r="AE403" t="s">
        <v>60</v>
      </c>
    </row>
    <row r="404" spans="1:31" x14ac:dyDescent="0.2">
      <c r="A404">
        <v>395</v>
      </c>
      <c r="B404" t="s">
        <v>961</v>
      </c>
      <c r="C404">
        <v>34</v>
      </c>
      <c r="D404" t="s">
        <v>344</v>
      </c>
      <c r="E404" t="s">
        <v>335</v>
      </c>
      <c r="F404">
        <v>33</v>
      </c>
      <c r="G404">
        <v>5</v>
      </c>
      <c r="H404">
        <v>5</v>
      </c>
      <c r="I404">
        <v>10</v>
      </c>
      <c r="J404">
        <v>-4</v>
      </c>
      <c r="K404">
        <v>2</v>
      </c>
      <c r="L404">
        <v>4</v>
      </c>
      <c r="M404">
        <v>1</v>
      </c>
      <c r="N404">
        <v>0</v>
      </c>
      <c r="O404">
        <v>1</v>
      </c>
      <c r="P404">
        <v>5</v>
      </c>
      <c r="Q404">
        <v>0</v>
      </c>
      <c r="R404">
        <v>0</v>
      </c>
      <c r="S404">
        <v>36</v>
      </c>
      <c r="T404">
        <v>13.9</v>
      </c>
      <c r="U404">
        <v>70</v>
      </c>
      <c r="V404" t="s">
        <v>2440</v>
      </c>
      <c r="W404" t="s">
        <v>1922</v>
      </c>
      <c r="X404">
        <v>4</v>
      </c>
      <c r="Y404">
        <v>7</v>
      </c>
      <c r="Z404">
        <v>36.4</v>
      </c>
      <c r="AA404">
        <v>8</v>
      </c>
      <c r="AB404">
        <v>13</v>
      </c>
      <c r="AC404">
        <v>7</v>
      </c>
      <c r="AD404">
        <v>29</v>
      </c>
      <c r="AE404" t="s">
        <v>60</v>
      </c>
    </row>
    <row r="405" spans="1:31" x14ac:dyDescent="0.2">
      <c r="A405">
        <v>396</v>
      </c>
      <c r="B405" t="s">
        <v>859</v>
      </c>
      <c r="C405">
        <v>26</v>
      </c>
      <c r="D405" t="s">
        <v>356</v>
      </c>
      <c r="E405" t="s">
        <v>325</v>
      </c>
      <c r="F405">
        <v>22</v>
      </c>
      <c r="G405">
        <v>8</v>
      </c>
      <c r="H405">
        <v>2</v>
      </c>
      <c r="I405">
        <v>10</v>
      </c>
      <c r="J405">
        <v>3</v>
      </c>
      <c r="K405">
        <v>23</v>
      </c>
      <c r="L405">
        <v>6</v>
      </c>
      <c r="M405">
        <v>1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31</v>
      </c>
      <c r="T405">
        <v>25.8</v>
      </c>
      <c r="U405">
        <v>64</v>
      </c>
      <c r="V405" t="s">
        <v>2441</v>
      </c>
      <c r="W405" t="s">
        <v>1781</v>
      </c>
      <c r="X405">
        <v>2</v>
      </c>
      <c r="Y405">
        <v>4</v>
      </c>
      <c r="Z405">
        <v>33.299999999999997</v>
      </c>
      <c r="AA405">
        <v>15</v>
      </c>
      <c r="AB405">
        <v>85</v>
      </c>
      <c r="AC405">
        <v>6</v>
      </c>
      <c r="AD405">
        <v>16</v>
      </c>
      <c r="AE405" t="s">
        <v>60</v>
      </c>
    </row>
    <row r="406" spans="1:31" x14ac:dyDescent="0.2">
      <c r="A406">
        <v>397</v>
      </c>
      <c r="B406" t="s">
        <v>963</v>
      </c>
      <c r="C406">
        <v>29</v>
      </c>
      <c r="D406" t="s">
        <v>412</v>
      </c>
      <c r="E406" t="s">
        <v>322</v>
      </c>
      <c r="F406">
        <v>39</v>
      </c>
      <c r="G406">
        <v>3</v>
      </c>
      <c r="H406">
        <v>7</v>
      </c>
      <c r="I406">
        <v>10</v>
      </c>
      <c r="J406">
        <v>-4</v>
      </c>
      <c r="K406">
        <v>16</v>
      </c>
      <c r="L406">
        <v>3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1</v>
      </c>
      <c r="S406">
        <v>36</v>
      </c>
      <c r="T406">
        <v>8.3000000000000007</v>
      </c>
      <c r="U406">
        <v>84</v>
      </c>
      <c r="V406" t="s">
        <v>2128</v>
      </c>
      <c r="W406" t="s">
        <v>1304</v>
      </c>
      <c r="X406">
        <v>313</v>
      </c>
      <c r="Y406">
        <v>274</v>
      </c>
      <c r="Z406">
        <v>53.3</v>
      </c>
      <c r="AA406">
        <v>29</v>
      </c>
      <c r="AB406">
        <v>24</v>
      </c>
      <c r="AC406">
        <v>9</v>
      </c>
      <c r="AD406">
        <v>27</v>
      </c>
      <c r="AE406" t="s">
        <v>60</v>
      </c>
    </row>
    <row r="407" spans="1:31" x14ac:dyDescent="0.2">
      <c r="A407">
        <v>398</v>
      </c>
      <c r="B407" t="s">
        <v>772</v>
      </c>
      <c r="C407">
        <v>31</v>
      </c>
      <c r="D407" t="s">
        <v>536</v>
      </c>
      <c r="E407" t="s">
        <v>322</v>
      </c>
      <c r="F407">
        <v>30</v>
      </c>
      <c r="G407">
        <v>1</v>
      </c>
      <c r="H407">
        <v>9</v>
      </c>
      <c r="I407">
        <v>10</v>
      </c>
      <c r="J407">
        <v>-14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23</v>
      </c>
      <c r="T407">
        <v>4.3</v>
      </c>
      <c r="U407">
        <v>47</v>
      </c>
      <c r="V407" t="s">
        <v>2442</v>
      </c>
      <c r="W407" t="s">
        <v>782</v>
      </c>
      <c r="X407">
        <v>114</v>
      </c>
      <c r="Y407">
        <v>128</v>
      </c>
      <c r="Z407">
        <v>47.1</v>
      </c>
      <c r="AA407">
        <v>16</v>
      </c>
      <c r="AB407">
        <v>37</v>
      </c>
      <c r="AC407">
        <v>6</v>
      </c>
      <c r="AD407">
        <v>9</v>
      </c>
      <c r="AE407" t="s">
        <v>60</v>
      </c>
    </row>
    <row r="408" spans="1:31" x14ac:dyDescent="0.2">
      <c r="A408">
        <v>399</v>
      </c>
      <c r="B408" t="s">
        <v>817</v>
      </c>
      <c r="C408">
        <v>37</v>
      </c>
      <c r="D408" t="s">
        <v>346</v>
      </c>
      <c r="E408" t="s">
        <v>322</v>
      </c>
      <c r="F408">
        <v>36</v>
      </c>
      <c r="G408">
        <v>3</v>
      </c>
      <c r="H408">
        <v>7</v>
      </c>
      <c r="I408">
        <v>10</v>
      </c>
      <c r="J408">
        <v>-14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5</v>
      </c>
      <c r="Q408">
        <v>2</v>
      </c>
      <c r="R408">
        <v>0</v>
      </c>
      <c r="S408">
        <v>50</v>
      </c>
      <c r="T408">
        <v>6</v>
      </c>
      <c r="U408">
        <v>86</v>
      </c>
      <c r="V408" t="s">
        <v>2443</v>
      </c>
      <c r="W408" t="s">
        <v>686</v>
      </c>
      <c r="X408">
        <v>293</v>
      </c>
      <c r="Y408">
        <v>175</v>
      </c>
      <c r="Z408">
        <v>62.6</v>
      </c>
      <c r="AA408">
        <v>19</v>
      </c>
      <c r="AB408">
        <v>7</v>
      </c>
      <c r="AC408">
        <v>7</v>
      </c>
      <c r="AD408">
        <v>24</v>
      </c>
      <c r="AE408" t="s">
        <v>60</v>
      </c>
    </row>
    <row r="409" spans="1:31" x14ac:dyDescent="0.2">
      <c r="A409">
        <v>400</v>
      </c>
      <c r="B409" t="s">
        <v>775</v>
      </c>
      <c r="C409">
        <v>29</v>
      </c>
      <c r="D409" t="s">
        <v>328</v>
      </c>
      <c r="E409" t="s">
        <v>349</v>
      </c>
      <c r="F409">
        <v>17</v>
      </c>
      <c r="G409">
        <v>3</v>
      </c>
      <c r="H409">
        <v>7</v>
      </c>
      <c r="I409">
        <v>10</v>
      </c>
      <c r="J409">
        <v>-3</v>
      </c>
      <c r="K409">
        <v>8</v>
      </c>
      <c r="L409">
        <v>1</v>
      </c>
      <c r="M409">
        <v>1</v>
      </c>
      <c r="N409">
        <v>1</v>
      </c>
      <c r="O409">
        <v>1</v>
      </c>
      <c r="P409">
        <v>7</v>
      </c>
      <c r="Q409">
        <v>0</v>
      </c>
      <c r="R409">
        <v>0</v>
      </c>
      <c r="S409">
        <v>23</v>
      </c>
      <c r="T409">
        <v>13</v>
      </c>
      <c r="U409">
        <v>66</v>
      </c>
      <c r="V409" t="s">
        <v>776</v>
      </c>
      <c r="W409" t="s">
        <v>777</v>
      </c>
      <c r="X409">
        <v>0</v>
      </c>
      <c r="Y409">
        <v>0</v>
      </c>
      <c r="AA409">
        <v>31</v>
      </c>
      <c r="AB409">
        <v>7</v>
      </c>
      <c r="AC409">
        <v>7</v>
      </c>
      <c r="AD409">
        <v>23</v>
      </c>
      <c r="AE409" t="s">
        <v>60</v>
      </c>
    </row>
    <row r="410" spans="1:31" x14ac:dyDescent="0.2">
      <c r="A410">
        <v>401</v>
      </c>
      <c r="B410" t="s">
        <v>967</v>
      </c>
      <c r="C410">
        <v>24</v>
      </c>
      <c r="D410" t="s">
        <v>448</v>
      </c>
      <c r="E410" t="s">
        <v>322</v>
      </c>
      <c r="F410">
        <v>36</v>
      </c>
      <c r="G410">
        <v>4</v>
      </c>
      <c r="H410">
        <v>6</v>
      </c>
      <c r="I410">
        <v>10</v>
      </c>
      <c r="J410">
        <v>-3</v>
      </c>
      <c r="K410">
        <v>12</v>
      </c>
      <c r="L410">
        <v>3</v>
      </c>
      <c r="M410">
        <v>1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46</v>
      </c>
      <c r="T410">
        <v>8.6999999999999993</v>
      </c>
      <c r="U410">
        <v>87</v>
      </c>
      <c r="V410" t="s">
        <v>2444</v>
      </c>
      <c r="W410" t="s">
        <v>2445</v>
      </c>
      <c r="X410">
        <v>45</v>
      </c>
      <c r="Y410">
        <v>60</v>
      </c>
      <c r="Z410">
        <v>42.9</v>
      </c>
      <c r="AA410">
        <v>10</v>
      </c>
      <c r="AB410">
        <v>24</v>
      </c>
      <c r="AC410">
        <v>5</v>
      </c>
      <c r="AD410">
        <v>20</v>
      </c>
      <c r="AE410" t="s">
        <v>60</v>
      </c>
    </row>
    <row r="411" spans="1:31" x14ac:dyDescent="0.2">
      <c r="A411">
        <v>402</v>
      </c>
      <c r="B411" t="s">
        <v>916</v>
      </c>
      <c r="C411">
        <v>25</v>
      </c>
      <c r="D411" t="s">
        <v>1022</v>
      </c>
      <c r="E411" t="s">
        <v>335</v>
      </c>
      <c r="F411">
        <v>20</v>
      </c>
      <c r="G411">
        <v>4</v>
      </c>
      <c r="H411">
        <v>6</v>
      </c>
      <c r="I411">
        <v>10</v>
      </c>
      <c r="J411">
        <v>-2</v>
      </c>
      <c r="K411">
        <v>6</v>
      </c>
      <c r="L411">
        <v>2</v>
      </c>
      <c r="M411">
        <v>2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28</v>
      </c>
      <c r="T411">
        <v>14.3</v>
      </c>
      <c r="U411">
        <v>56</v>
      </c>
      <c r="V411" t="s">
        <v>2446</v>
      </c>
      <c r="W411" t="s">
        <v>937</v>
      </c>
      <c r="X411">
        <v>0</v>
      </c>
      <c r="Y411">
        <v>0</v>
      </c>
      <c r="AA411">
        <v>3</v>
      </c>
      <c r="AB411">
        <v>14</v>
      </c>
      <c r="AC411">
        <v>1</v>
      </c>
      <c r="AD411">
        <v>18</v>
      </c>
      <c r="AE411" t="s">
        <v>60</v>
      </c>
    </row>
    <row r="412" spans="1:31" x14ac:dyDescent="0.2">
      <c r="A412">
        <v>402</v>
      </c>
      <c r="B412" t="s">
        <v>916</v>
      </c>
      <c r="C412">
        <v>25</v>
      </c>
      <c r="D412" t="s">
        <v>373</v>
      </c>
      <c r="E412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t="s">
        <v>1734</v>
      </c>
      <c r="W412" t="s">
        <v>854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t="s">
        <v>60</v>
      </c>
    </row>
    <row r="413" spans="1:31" x14ac:dyDescent="0.2">
      <c r="A413">
        <v>402</v>
      </c>
      <c r="B413" t="s">
        <v>916</v>
      </c>
      <c r="C413">
        <v>25</v>
      </c>
      <c r="D413" t="s">
        <v>536</v>
      </c>
      <c r="E413" t="s">
        <v>335</v>
      </c>
      <c r="F413">
        <v>5</v>
      </c>
      <c r="G413">
        <v>2</v>
      </c>
      <c r="H413">
        <v>2</v>
      </c>
      <c r="I413">
        <v>4</v>
      </c>
      <c r="J413">
        <v>1</v>
      </c>
      <c r="K413">
        <v>0</v>
      </c>
      <c r="L413">
        <v>1</v>
      </c>
      <c r="M413">
        <v>1</v>
      </c>
      <c r="N413">
        <v>0</v>
      </c>
      <c r="O413">
        <v>0</v>
      </c>
      <c r="P413">
        <v>2</v>
      </c>
      <c r="Q413">
        <v>0</v>
      </c>
      <c r="R413">
        <v>0</v>
      </c>
      <c r="S413">
        <v>8</v>
      </c>
      <c r="T413">
        <v>25</v>
      </c>
      <c r="U413">
        <v>12</v>
      </c>
      <c r="V413" t="s">
        <v>2447</v>
      </c>
      <c r="W413" t="s">
        <v>800</v>
      </c>
      <c r="X413">
        <v>0</v>
      </c>
      <c r="Y413">
        <v>0</v>
      </c>
      <c r="AA413">
        <v>0</v>
      </c>
      <c r="AB413">
        <v>4</v>
      </c>
      <c r="AC413">
        <v>0</v>
      </c>
      <c r="AD413">
        <v>4</v>
      </c>
      <c r="AE413" t="s">
        <v>60</v>
      </c>
    </row>
    <row r="414" spans="1:31" x14ac:dyDescent="0.2">
      <c r="A414">
        <v>403</v>
      </c>
      <c r="B414" t="s">
        <v>866</v>
      </c>
      <c r="C414">
        <v>21</v>
      </c>
      <c r="D414" t="s">
        <v>321</v>
      </c>
      <c r="E414" t="s">
        <v>322</v>
      </c>
      <c r="F414">
        <v>25</v>
      </c>
      <c r="G414">
        <v>5</v>
      </c>
      <c r="H414">
        <v>4</v>
      </c>
      <c r="I414">
        <v>9</v>
      </c>
      <c r="J414">
        <v>5</v>
      </c>
      <c r="K414">
        <v>8</v>
      </c>
      <c r="L414">
        <v>5</v>
      </c>
      <c r="M414">
        <v>0</v>
      </c>
      <c r="N414">
        <v>0</v>
      </c>
      <c r="O414">
        <v>3</v>
      </c>
      <c r="P414">
        <v>4</v>
      </c>
      <c r="Q414">
        <v>0</v>
      </c>
      <c r="R414">
        <v>0</v>
      </c>
      <c r="S414">
        <v>34</v>
      </c>
      <c r="T414">
        <v>14.7</v>
      </c>
      <c r="U414">
        <v>58</v>
      </c>
      <c r="V414" t="s">
        <v>2448</v>
      </c>
      <c r="W414" t="s">
        <v>1953</v>
      </c>
      <c r="X414">
        <v>9</v>
      </c>
      <c r="Y414">
        <v>12</v>
      </c>
      <c r="Z414">
        <v>42.9</v>
      </c>
      <c r="AA414">
        <v>7</v>
      </c>
      <c r="AB414">
        <v>24</v>
      </c>
      <c r="AC414">
        <v>4</v>
      </c>
      <c r="AD414">
        <v>10</v>
      </c>
      <c r="AE414" t="s">
        <v>60</v>
      </c>
    </row>
    <row r="415" spans="1:31" x14ac:dyDescent="0.2">
      <c r="A415">
        <v>404</v>
      </c>
      <c r="B415" t="s">
        <v>827</v>
      </c>
      <c r="C415">
        <v>29</v>
      </c>
      <c r="D415" t="s">
        <v>365</v>
      </c>
      <c r="E415" t="s">
        <v>349</v>
      </c>
      <c r="F415">
        <v>38</v>
      </c>
      <c r="G415">
        <v>1</v>
      </c>
      <c r="H415">
        <v>8</v>
      </c>
      <c r="I415">
        <v>9</v>
      </c>
      <c r="J415">
        <v>-8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8</v>
      </c>
      <c r="Q415">
        <v>0</v>
      </c>
      <c r="R415">
        <v>0</v>
      </c>
      <c r="S415">
        <v>27</v>
      </c>
      <c r="T415">
        <v>3.7</v>
      </c>
      <c r="U415">
        <v>82</v>
      </c>
      <c r="V415" t="s">
        <v>2753</v>
      </c>
      <c r="W415" t="s">
        <v>430</v>
      </c>
      <c r="X415">
        <v>0</v>
      </c>
      <c r="Y415">
        <v>0</v>
      </c>
      <c r="AA415">
        <v>82</v>
      </c>
      <c r="AB415">
        <v>18</v>
      </c>
      <c r="AC415">
        <v>16</v>
      </c>
      <c r="AD415">
        <v>34</v>
      </c>
      <c r="AE415" t="s">
        <v>60</v>
      </c>
    </row>
    <row r="416" spans="1:31" x14ac:dyDescent="0.2">
      <c r="A416">
        <v>405</v>
      </c>
      <c r="B416" t="s">
        <v>869</v>
      </c>
      <c r="C416">
        <v>32</v>
      </c>
      <c r="D416" t="s">
        <v>426</v>
      </c>
      <c r="E416" t="s">
        <v>322</v>
      </c>
      <c r="F416">
        <v>36</v>
      </c>
      <c r="G416">
        <v>6</v>
      </c>
      <c r="H416">
        <v>3</v>
      </c>
      <c r="I416">
        <v>9</v>
      </c>
      <c r="J416">
        <v>1</v>
      </c>
      <c r="K416">
        <v>33</v>
      </c>
      <c r="L416">
        <v>6</v>
      </c>
      <c r="M416">
        <v>0</v>
      </c>
      <c r="N416">
        <v>0</v>
      </c>
      <c r="O416">
        <v>1</v>
      </c>
      <c r="P416">
        <v>3</v>
      </c>
      <c r="Q416">
        <v>0</v>
      </c>
      <c r="R416">
        <v>0</v>
      </c>
      <c r="S416">
        <v>29</v>
      </c>
      <c r="T416">
        <v>20.7</v>
      </c>
      <c r="U416">
        <v>55</v>
      </c>
      <c r="V416" t="s">
        <v>2449</v>
      </c>
      <c r="W416" t="s">
        <v>757</v>
      </c>
      <c r="X416">
        <v>9</v>
      </c>
      <c r="Y416">
        <v>11</v>
      </c>
      <c r="Z416">
        <v>45</v>
      </c>
      <c r="AA416">
        <v>15</v>
      </c>
      <c r="AB416">
        <v>78</v>
      </c>
      <c r="AC416">
        <v>6</v>
      </c>
      <c r="AD416">
        <v>21</v>
      </c>
      <c r="AE416" t="s">
        <v>60</v>
      </c>
    </row>
    <row r="417" spans="1:31" x14ac:dyDescent="0.2">
      <c r="A417">
        <v>406</v>
      </c>
      <c r="B417" t="s">
        <v>1048</v>
      </c>
      <c r="C417">
        <v>26</v>
      </c>
      <c r="D417" t="s">
        <v>404</v>
      </c>
      <c r="E417" t="s">
        <v>322</v>
      </c>
      <c r="F417">
        <v>27</v>
      </c>
      <c r="G417">
        <v>7</v>
      </c>
      <c r="H417">
        <v>2</v>
      </c>
      <c r="I417">
        <v>9</v>
      </c>
      <c r="J417">
        <v>3</v>
      </c>
      <c r="K417">
        <v>12</v>
      </c>
      <c r="L417">
        <v>6</v>
      </c>
      <c r="M417">
        <v>1</v>
      </c>
      <c r="N417">
        <v>0</v>
      </c>
      <c r="O417">
        <v>1</v>
      </c>
      <c r="P417">
        <v>2</v>
      </c>
      <c r="Q417">
        <v>0</v>
      </c>
      <c r="R417">
        <v>0</v>
      </c>
      <c r="S417">
        <v>47</v>
      </c>
      <c r="T417">
        <v>14.9</v>
      </c>
      <c r="U417">
        <v>75</v>
      </c>
      <c r="V417" t="s">
        <v>2450</v>
      </c>
      <c r="W417" t="s">
        <v>2048</v>
      </c>
      <c r="X417">
        <v>172</v>
      </c>
      <c r="Y417">
        <v>153</v>
      </c>
      <c r="Z417">
        <v>52.9</v>
      </c>
      <c r="AA417">
        <v>9</v>
      </c>
      <c r="AB417">
        <v>15</v>
      </c>
      <c r="AC417">
        <v>1</v>
      </c>
      <c r="AD417">
        <v>17</v>
      </c>
      <c r="AE417" t="s">
        <v>60</v>
      </c>
    </row>
    <row r="418" spans="1:31" x14ac:dyDescent="0.2">
      <c r="A418">
        <v>407</v>
      </c>
      <c r="B418" t="s">
        <v>879</v>
      </c>
      <c r="C418">
        <v>27</v>
      </c>
      <c r="D418" t="s">
        <v>476</v>
      </c>
      <c r="E418" t="s">
        <v>349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t="s">
        <v>2451</v>
      </c>
      <c r="W418" t="s">
        <v>2007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t="s">
        <v>60</v>
      </c>
    </row>
    <row r="419" spans="1:31" x14ac:dyDescent="0.2">
      <c r="A419">
        <v>408</v>
      </c>
      <c r="B419" t="s">
        <v>798</v>
      </c>
      <c r="C419">
        <v>24</v>
      </c>
      <c r="D419" t="s">
        <v>337</v>
      </c>
      <c r="E419" t="s">
        <v>349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t="s">
        <v>2452</v>
      </c>
      <c r="W419" t="s">
        <v>1668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t="s">
        <v>60</v>
      </c>
    </row>
    <row r="420" spans="1:31" x14ac:dyDescent="0.2">
      <c r="A420">
        <v>409</v>
      </c>
      <c r="B420" t="s">
        <v>799</v>
      </c>
      <c r="C420">
        <v>35</v>
      </c>
      <c r="D420" t="s">
        <v>328</v>
      </c>
      <c r="E420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t="s">
        <v>2453</v>
      </c>
      <c r="W420" t="s">
        <v>598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t="s">
        <v>60</v>
      </c>
    </row>
    <row r="421" spans="1:31" x14ac:dyDescent="0.2">
      <c r="A421">
        <v>410</v>
      </c>
      <c r="B421" t="s">
        <v>984</v>
      </c>
      <c r="C421">
        <v>23</v>
      </c>
      <c r="D421" t="s">
        <v>330</v>
      </c>
      <c r="E421" t="s">
        <v>349</v>
      </c>
      <c r="F421">
        <v>38</v>
      </c>
      <c r="G421">
        <v>4</v>
      </c>
      <c r="H421">
        <v>5</v>
      </c>
      <c r="I421">
        <v>9</v>
      </c>
      <c r="J421">
        <v>0</v>
      </c>
      <c r="K421">
        <v>18</v>
      </c>
      <c r="L421">
        <v>4</v>
      </c>
      <c r="M421">
        <v>0</v>
      </c>
      <c r="N421">
        <v>0</v>
      </c>
      <c r="O421">
        <v>1</v>
      </c>
      <c r="P421">
        <v>5</v>
      </c>
      <c r="Q421">
        <v>0</v>
      </c>
      <c r="R421">
        <v>0</v>
      </c>
      <c r="S421">
        <v>40</v>
      </c>
      <c r="T421">
        <v>10</v>
      </c>
      <c r="U421">
        <v>87</v>
      </c>
      <c r="V421" t="s">
        <v>2754</v>
      </c>
      <c r="W421" t="s">
        <v>1703</v>
      </c>
      <c r="X421">
        <v>0</v>
      </c>
      <c r="Y421">
        <v>0</v>
      </c>
      <c r="AA421">
        <v>37</v>
      </c>
      <c r="AB421">
        <v>25</v>
      </c>
      <c r="AC421">
        <v>19</v>
      </c>
      <c r="AD421">
        <v>42</v>
      </c>
      <c r="AE421" t="s">
        <v>60</v>
      </c>
    </row>
    <row r="422" spans="1:31" x14ac:dyDescent="0.2">
      <c r="A422">
        <v>411</v>
      </c>
      <c r="B422" t="s">
        <v>1147</v>
      </c>
      <c r="C422">
        <v>25</v>
      </c>
      <c r="D422" t="s">
        <v>344</v>
      </c>
      <c r="E422" t="s">
        <v>349</v>
      </c>
      <c r="F422">
        <v>36</v>
      </c>
      <c r="G422">
        <v>3</v>
      </c>
      <c r="H422">
        <v>6</v>
      </c>
      <c r="I422">
        <v>9</v>
      </c>
      <c r="J422">
        <v>7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6</v>
      </c>
      <c r="Q422">
        <v>0</v>
      </c>
      <c r="R422">
        <v>0</v>
      </c>
      <c r="S422">
        <v>29</v>
      </c>
      <c r="T422">
        <v>10.3</v>
      </c>
      <c r="U422">
        <v>79</v>
      </c>
      <c r="V422" t="s">
        <v>2454</v>
      </c>
      <c r="W422" t="s">
        <v>552</v>
      </c>
      <c r="X422">
        <v>0</v>
      </c>
      <c r="Y422">
        <v>0</v>
      </c>
      <c r="AA422">
        <v>56</v>
      </c>
      <c r="AB422">
        <v>55</v>
      </c>
      <c r="AC422">
        <v>4</v>
      </c>
      <c r="AD422">
        <v>47</v>
      </c>
      <c r="AE422" t="s">
        <v>60</v>
      </c>
    </row>
    <row r="423" spans="1:31" x14ac:dyDescent="0.2">
      <c r="A423">
        <v>412</v>
      </c>
      <c r="B423" t="s">
        <v>891</v>
      </c>
      <c r="C423">
        <v>22</v>
      </c>
      <c r="D423" t="s">
        <v>337</v>
      </c>
      <c r="E423" t="s">
        <v>349</v>
      </c>
      <c r="F423">
        <v>33</v>
      </c>
      <c r="G423">
        <v>4</v>
      </c>
      <c r="H423">
        <v>5</v>
      </c>
      <c r="I423">
        <v>9</v>
      </c>
      <c r="J423">
        <v>0</v>
      </c>
      <c r="K423">
        <v>2</v>
      </c>
      <c r="L423">
        <v>4</v>
      </c>
      <c r="M423">
        <v>0</v>
      </c>
      <c r="N423">
        <v>0</v>
      </c>
      <c r="O423">
        <v>2</v>
      </c>
      <c r="P423">
        <v>5</v>
      </c>
      <c r="Q423">
        <v>0</v>
      </c>
      <c r="R423">
        <v>0</v>
      </c>
      <c r="S423">
        <v>31</v>
      </c>
      <c r="T423">
        <v>12.9</v>
      </c>
      <c r="U423">
        <v>88</v>
      </c>
      <c r="V423" t="s">
        <v>2078</v>
      </c>
      <c r="W423" t="s">
        <v>1949</v>
      </c>
      <c r="X423">
        <v>0</v>
      </c>
      <c r="Y423">
        <v>0</v>
      </c>
      <c r="AA423">
        <v>55</v>
      </c>
      <c r="AB423">
        <v>18</v>
      </c>
      <c r="AC423">
        <v>7</v>
      </c>
      <c r="AD423">
        <v>26</v>
      </c>
      <c r="AE423" t="s">
        <v>60</v>
      </c>
    </row>
    <row r="424" spans="1:31" x14ac:dyDescent="0.2">
      <c r="A424">
        <v>413</v>
      </c>
      <c r="B424" t="s">
        <v>846</v>
      </c>
      <c r="C424">
        <v>21</v>
      </c>
      <c r="D424" t="s">
        <v>330</v>
      </c>
      <c r="E424" t="s">
        <v>322</v>
      </c>
      <c r="F424">
        <v>26</v>
      </c>
      <c r="G424">
        <v>3</v>
      </c>
      <c r="H424">
        <v>6</v>
      </c>
      <c r="I424">
        <v>9</v>
      </c>
      <c r="J424">
        <v>-5</v>
      </c>
      <c r="K424">
        <v>6</v>
      </c>
      <c r="L424">
        <v>3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33</v>
      </c>
      <c r="T424">
        <v>9.1</v>
      </c>
      <c r="U424">
        <v>56</v>
      </c>
      <c r="V424" t="s">
        <v>2755</v>
      </c>
      <c r="W424" t="s">
        <v>1878</v>
      </c>
      <c r="X424">
        <v>9</v>
      </c>
      <c r="Y424">
        <v>7</v>
      </c>
      <c r="Z424">
        <v>56.3</v>
      </c>
      <c r="AA424">
        <v>10</v>
      </c>
      <c r="AB424">
        <v>15</v>
      </c>
      <c r="AC424">
        <v>9</v>
      </c>
      <c r="AD424">
        <v>18</v>
      </c>
      <c r="AE424" t="s">
        <v>60</v>
      </c>
    </row>
    <row r="425" spans="1:31" x14ac:dyDescent="0.2">
      <c r="A425">
        <v>414</v>
      </c>
      <c r="B425" t="s">
        <v>811</v>
      </c>
      <c r="C425">
        <v>28</v>
      </c>
      <c r="D425" t="s">
        <v>384</v>
      </c>
      <c r="E425" t="s">
        <v>325</v>
      </c>
      <c r="F425">
        <v>24</v>
      </c>
      <c r="G425">
        <v>3</v>
      </c>
      <c r="H425">
        <v>6</v>
      </c>
      <c r="I425">
        <v>9</v>
      </c>
      <c r="J425">
        <v>2</v>
      </c>
      <c r="K425">
        <v>44</v>
      </c>
      <c r="L425">
        <v>3</v>
      </c>
      <c r="M425">
        <v>0</v>
      </c>
      <c r="N425">
        <v>0</v>
      </c>
      <c r="O425">
        <v>1</v>
      </c>
      <c r="P425">
        <v>6</v>
      </c>
      <c r="Q425">
        <v>0</v>
      </c>
      <c r="R425">
        <v>0</v>
      </c>
      <c r="S425">
        <v>31</v>
      </c>
      <c r="T425">
        <v>9.6999999999999993</v>
      </c>
      <c r="U425">
        <v>69</v>
      </c>
      <c r="V425" t="s">
        <v>2756</v>
      </c>
      <c r="W425" t="s">
        <v>654</v>
      </c>
      <c r="X425">
        <v>0</v>
      </c>
      <c r="Y425">
        <v>0</v>
      </c>
      <c r="AA425">
        <v>21</v>
      </c>
      <c r="AB425">
        <v>77</v>
      </c>
      <c r="AC425">
        <v>4</v>
      </c>
      <c r="AD425">
        <v>10</v>
      </c>
      <c r="AE425" t="s">
        <v>60</v>
      </c>
    </row>
    <row r="426" spans="1:31" x14ac:dyDescent="0.2">
      <c r="A426">
        <v>415</v>
      </c>
      <c r="B426" t="s">
        <v>955</v>
      </c>
      <c r="C426">
        <v>21</v>
      </c>
      <c r="D426" t="s">
        <v>439</v>
      </c>
      <c r="E426" t="s">
        <v>322</v>
      </c>
      <c r="F426">
        <v>26</v>
      </c>
      <c r="G426">
        <v>6</v>
      </c>
      <c r="H426">
        <v>3</v>
      </c>
      <c r="I426">
        <v>9</v>
      </c>
      <c r="J426">
        <v>5</v>
      </c>
      <c r="K426">
        <v>2</v>
      </c>
      <c r="L426">
        <v>5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30</v>
      </c>
      <c r="T426">
        <v>20</v>
      </c>
      <c r="U426">
        <v>54</v>
      </c>
      <c r="V426" t="s">
        <v>2455</v>
      </c>
      <c r="W426" t="s">
        <v>2019</v>
      </c>
      <c r="X426">
        <v>41</v>
      </c>
      <c r="Y426">
        <v>102</v>
      </c>
      <c r="Z426">
        <v>28.7</v>
      </c>
      <c r="AA426">
        <v>14</v>
      </c>
      <c r="AB426">
        <v>1</v>
      </c>
      <c r="AC426">
        <v>7</v>
      </c>
      <c r="AD426">
        <v>15</v>
      </c>
      <c r="AE426" t="s">
        <v>60</v>
      </c>
    </row>
    <row r="427" spans="1:31" x14ac:dyDescent="0.2">
      <c r="A427">
        <v>416</v>
      </c>
      <c r="B427" t="s">
        <v>957</v>
      </c>
      <c r="C427">
        <v>30</v>
      </c>
      <c r="D427" t="s">
        <v>353</v>
      </c>
      <c r="E427" t="s">
        <v>340</v>
      </c>
      <c r="F427">
        <v>19</v>
      </c>
      <c r="G427">
        <v>4</v>
      </c>
      <c r="H427">
        <v>5</v>
      </c>
      <c r="I427">
        <v>9</v>
      </c>
      <c r="J427">
        <v>-1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30</v>
      </c>
      <c r="T427">
        <v>13.3</v>
      </c>
      <c r="U427">
        <v>60</v>
      </c>
      <c r="V427" t="s">
        <v>2757</v>
      </c>
      <c r="W427" t="s">
        <v>709</v>
      </c>
      <c r="X427">
        <v>128</v>
      </c>
      <c r="Y427">
        <v>111</v>
      </c>
      <c r="Z427">
        <v>53.6</v>
      </c>
      <c r="AA427">
        <v>10</v>
      </c>
      <c r="AB427">
        <v>31</v>
      </c>
      <c r="AC427">
        <v>4</v>
      </c>
      <c r="AD427">
        <v>13</v>
      </c>
      <c r="AE427" t="s">
        <v>60</v>
      </c>
    </row>
    <row r="428" spans="1:31" x14ac:dyDescent="0.2">
      <c r="A428">
        <v>417</v>
      </c>
      <c r="B428" t="s">
        <v>851</v>
      </c>
      <c r="C428">
        <v>33</v>
      </c>
      <c r="D428" t="s">
        <v>334</v>
      </c>
      <c r="E428" t="s">
        <v>349</v>
      </c>
      <c r="F428">
        <v>37</v>
      </c>
      <c r="G428">
        <v>2</v>
      </c>
      <c r="H428">
        <v>7</v>
      </c>
      <c r="I428">
        <v>9</v>
      </c>
      <c r="J428">
        <v>6</v>
      </c>
      <c r="K428">
        <v>47</v>
      </c>
      <c r="L428">
        <v>2</v>
      </c>
      <c r="M428">
        <v>0</v>
      </c>
      <c r="N428">
        <v>0</v>
      </c>
      <c r="O428">
        <v>0</v>
      </c>
      <c r="P428">
        <v>7</v>
      </c>
      <c r="Q428">
        <v>0</v>
      </c>
      <c r="R428">
        <v>0</v>
      </c>
      <c r="S428">
        <v>42</v>
      </c>
      <c r="T428">
        <v>4.8</v>
      </c>
      <c r="U428">
        <v>82</v>
      </c>
      <c r="V428" t="s">
        <v>2456</v>
      </c>
      <c r="W428" t="s">
        <v>1070</v>
      </c>
      <c r="X428">
        <v>0</v>
      </c>
      <c r="Y428">
        <v>0</v>
      </c>
      <c r="AA428">
        <v>57</v>
      </c>
      <c r="AB428">
        <v>57</v>
      </c>
      <c r="AC428">
        <v>8</v>
      </c>
      <c r="AD428">
        <v>32</v>
      </c>
      <c r="AE428" t="s">
        <v>60</v>
      </c>
    </row>
    <row r="429" spans="1:31" x14ac:dyDescent="0.2">
      <c r="A429">
        <v>418</v>
      </c>
      <c r="B429" t="s">
        <v>903</v>
      </c>
      <c r="C429">
        <v>33</v>
      </c>
      <c r="D429" t="s">
        <v>363</v>
      </c>
      <c r="E429" t="s">
        <v>340</v>
      </c>
      <c r="F429">
        <v>35</v>
      </c>
      <c r="G429">
        <v>1</v>
      </c>
      <c r="H429">
        <v>8</v>
      </c>
      <c r="I429">
        <v>9</v>
      </c>
      <c r="J429">
        <v>-3</v>
      </c>
      <c r="K429">
        <v>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2</v>
      </c>
      <c r="R429">
        <v>0</v>
      </c>
      <c r="S429">
        <v>53</v>
      </c>
      <c r="T429">
        <v>1.9</v>
      </c>
      <c r="U429">
        <v>110</v>
      </c>
      <c r="V429" t="s">
        <v>2032</v>
      </c>
      <c r="W429" t="s">
        <v>1189</v>
      </c>
      <c r="X429">
        <v>8</v>
      </c>
      <c r="Y429">
        <v>5</v>
      </c>
      <c r="Z429">
        <v>61.5</v>
      </c>
      <c r="AA429">
        <v>24</v>
      </c>
      <c r="AB429">
        <v>15</v>
      </c>
      <c r="AC429">
        <v>12</v>
      </c>
      <c r="AD429">
        <v>25</v>
      </c>
      <c r="AE429" t="s">
        <v>60</v>
      </c>
    </row>
    <row r="430" spans="1:31" x14ac:dyDescent="0.2">
      <c r="A430">
        <v>419</v>
      </c>
      <c r="B430" t="s">
        <v>907</v>
      </c>
      <c r="C430">
        <v>23</v>
      </c>
      <c r="D430" t="s">
        <v>368</v>
      </c>
      <c r="E430" t="s">
        <v>335</v>
      </c>
      <c r="F430">
        <v>37</v>
      </c>
      <c r="G430">
        <v>3</v>
      </c>
      <c r="H430">
        <v>6</v>
      </c>
      <c r="I430">
        <v>9</v>
      </c>
      <c r="J430">
        <v>6</v>
      </c>
      <c r="K430">
        <v>12</v>
      </c>
      <c r="L430">
        <v>3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45</v>
      </c>
      <c r="T430">
        <v>6.7</v>
      </c>
      <c r="U430">
        <v>106</v>
      </c>
      <c r="V430" t="s">
        <v>2457</v>
      </c>
      <c r="W430" t="s">
        <v>1086</v>
      </c>
      <c r="X430">
        <v>143</v>
      </c>
      <c r="Y430">
        <v>140</v>
      </c>
      <c r="Z430">
        <v>50.5</v>
      </c>
      <c r="AA430">
        <v>15</v>
      </c>
      <c r="AB430">
        <v>48</v>
      </c>
      <c r="AC430">
        <v>6</v>
      </c>
      <c r="AD430">
        <v>22</v>
      </c>
      <c r="AE430" t="s">
        <v>60</v>
      </c>
    </row>
    <row r="431" spans="1:31" x14ac:dyDescent="0.2">
      <c r="A431">
        <v>420</v>
      </c>
      <c r="B431" t="s">
        <v>1090</v>
      </c>
      <c r="C431">
        <v>36</v>
      </c>
      <c r="D431" t="s">
        <v>359</v>
      </c>
      <c r="E431" t="s">
        <v>349</v>
      </c>
      <c r="F431">
        <v>39</v>
      </c>
      <c r="G431">
        <v>2</v>
      </c>
      <c r="H431">
        <v>7</v>
      </c>
      <c r="I431">
        <v>9</v>
      </c>
      <c r="J431">
        <v>2</v>
      </c>
      <c r="K431">
        <v>8</v>
      </c>
      <c r="L431">
        <v>0</v>
      </c>
      <c r="M431">
        <v>2</v>
      </c>
      <c r="N431">
        <v>0</v>
      </c>
      <c r="O431">
        <v>0</v>
      </c>
      <c r="P431">
        <v>5</v>
      </c>
      <c r="Q431">
        <v>2</v>
      </c>
      <c r="R431">
        <v>0</v>
      </c>
      <c r="S431">
        <v>44</v>
      </c>
      <c r="T431">
        <v>4.5</v>
      </c>
      <c r="U431">
        <v>107</v>
      </c>
      <c r="V431" t="s">
        <v>2458</v>
      </c>
      <c r="W431" t="s">
        <v>1673</v>
      </c>
      <c r="X431">
        <v>0</v>
      </c>
      <c r="Y431">
        <v>0</v>
      </c>
      <c r="AA431">
        <v>75</v>
      </c>
      <c r="AB431">
        <v>51</v>
      </c>
      <c r="AC431">
        <v>9</v>
      </c>
      <c r="AD431">
        <v>31</v>
      </c>
      <c r="AE431" t="s">
        <v>60</v>
      </c>
    </row>
    <row r="432" spans="1:31" x14ac:dyDescent="0.2">
      <c r="A432">
        <v>421</v>
      </c>
      <c r="B432" t="s">
        <v>816</v>
      </c>
      <c r="C432">
        <v>26</v>
      </c>
      <c r="D432" t="s">
        <v>1022</v>
      </c>
      <c r="E432" t="s">
        <v>349</v>
      </c>
      <c r="F432">
        <v>38</v>
      </c>
      <c r="G432">
        <v>1</v>
      </c>
      <c r="H432">
        <v>8</v>
      </c>
      <c r="I432">
        <v>9</v>
      </c>
      <c r="J432">
        <v>-1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1</v>
      </c>
      <c r="S432">
        <v>37</v>
      </c>
      <c r="T432">
        <v>2.7</v>
      </c>
      <c r="U432">
        <v>84</v>
      </c>
      <c r="V432" t="s">
        <v>2459</v>
      </c>
      <c r="W432" t="s">
        <v>1464</v>
      </c>
      <c r="X432">
        <v>0</v>
      </c>
      <c r="Y432">
        <v>0</v>
      </c>
      <c r="AA432">
        <v>33</v>
      </c>
      <c r="AB432">
        <v>7</v>
      </c>
      <c r="AC432">
        <v>13</v>
      </c>
      <c r="AD432">
        <v>34</v>
      </c>
      <c r="AE432" t="s">
        <v>60</v>
      </c>
    </row>
    <row r="433" spans="1:31" x14ac:dyDescent="0.2">
      <c r="A433">
        <v>421</v>
      </c>
      <c r="B433" t="s">
        <v>816</v>
      </c>
      <c r="C433">
        <v>26</v>
      </c>
      <c r="D433" t="s">
        <v>476</v>
      </c>
      <c r="E433" t="s">
        <v>349</v>
      </c>
      <c r="F433">
        <v>30</v>
      </c>
      <c r="G433">
        <v>1</v>
      </c>
      <c r="H433">
        <v>8</v>
      </c>
      <c r="I433">
        <v>9</v>
      </c>
      <c r="J433">
        <v>-1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1</v>
      </c>
      <c r="S433">
        <v>30</v>
      </c>
      <c r="T433">
        <v>3.3</v>
      </c>
      <c r="U433">
        <v>67</v>
      </c>
      <c r="V433" t="s">
        <v>1731</v>
      </c>
      <c r="W433" t="s">
        <v>1450</v>
      </c>
      <c r="X433">
        <v>0</v>
      </c>
      <c r="Y433">
        <v>0</v>
      </c>
      <c r="AA433">
        <v>25</v>
      </c>
      <c r="AB433">
        <v>5</v>
      </c>
      <c r="AC433">
        <v>9</v>
      </c>
      <c r="AD433">
        <v>22</v>
      </c>
      <c r="AE433" t="s">
        <v>60</v>
      </c>
    </row>
    <row r="434" spans="1:31" x14ac:dyDescent="0.2">
      <c r="A434">
        <v>421</v>
      </c>
      <c r="B434" t="s">
        <v>816</v>
      </c>
      <c r="C434">
        <v>26</v>
      </c>
      <c r="D434" t="s">
        <v>328</v>
      </c>
      <c r="E434" t="s">
        <v>349</v>
      </c>
      <c r="F434">
        <v>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7</v>
      </c>
      <c r="T434">
        <v>0</v>
      </c>
      <c r="U434">
        <v>17</v>
      </c>
      <c r="V434" t="s">
        <v>2460</v>
      </c>
      <c r="W434" t="s">
        <v>548</v>
      </c>
      <c r="X434">
        <v>0</v>
      </c>
      <c r="Y434">
        <v>0</v>
      </c>
      <c r="AA434">
        <v>8</v>
      </c>
      <c r="AB434">
        <v>2</v>
      </c>
      <c r="AC434">
        <v>4</v>
      </c>
      <c r="AD434">
        <v>12</v>
      </c>
      <c r="AE434" t="s">
        <v>60</v>
      </c>
    </row>
    <row r="435" spans="1:31" x14ac:dyDescent="0.2">
      <c r="A435">
        <v>422</v>
      </c>
      <c r="B435" t="s">
        <v>1098</v>
      </c>
      <c r="C435">
        <v>22</v>
      </c>
      <c r="D435" t="s">
        <v>476</v>
      </c>
      <c r="E435" t="s">
        <v>322</v>
      </c>
      <c r="F435">
        <v>35</v>
      </c>
      <c r="G435">
        <v>2</v>
      </c>
      <c r="H435">
        <v>7</v>
      </c>
      <c r="I435">
        <v>9</v>
      </c>
      <c r="J435">
        <v>-1</v>
      </c>
      <c r="K435">
        <v>12</v>
      </c>
      <c r="L435">
        <v>1</v>
      </c>
      <c r="M435">
        <v>0</v>
      </c>
      <c r="N435">
        <v>1</v>
      </c>
      <c r="O435">
        <v>0</v>
      </c>
      <c r="P435">
        <v>7</v>
      </c>
      <c r="Q435">
        <v>0</v>
      </c>
      <c r="R435">
        <v>0</v>
      </c>
      <c r="S435">
        <v>47</v>
      </c>
      <c r="T435">
        <v>4.3</v>
      </c>
      <c r="U435">
        <v>81</v>
      </c>
      <c r="V435" t="s">
        <v>2461</v>
      </c>
      <c r="W435" t="s">
        <v>2462</v>
      </c>
      <c r="X435">
        <v>106</v>
      </c>
      <c r="Y435">
        <v>137</v>
      </c>
      <c r="Z435">
        <v>43.6</v>
      </c>
      <c r="AA435">
        <v>11</v>
      </c>
      <c r="AB435">
        <v>27</v>
      </c>
      <c r="AC435">
        <v>7</v>
      </c>
      <c r="AD435">
        <v>20</v>
      </c>
      <c r="AE435" t="s">
        <v>60</v>
      </c>
    </row>
    <row r="436" spans="1:31" x14ac:dyDescent="0.2">
      <c r="A436">
        <v>423</v>
      </c>
      <c r="B436" t="s">
        <v>819</v>
      </c>
      <c r="C436">
        <v>31</v>
      </c>
      <c r="D436" t="s">
        <v>536</v>
      </c>
      <c r="E436" t="s">
        <v>322</v>
      </c>
      <c r="F436">
        <v>25</v>
      </c>
      <c r="G436">
        <v>3</v>
      </c>
      <c r="H436">
        <v>6</v>
      </c>
      <c r="I436">
        <v>9</v>
      </c>
      <c r="J436">
        <v>-2</v>
      </c>
      <c r="K436">
        <v>14</v>
      </c>
      <c r="L436">
        <v>3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27</v>
      </c>
      <c r="T436">
        <v>11.1</v>
      </c>
      <c r="U436">
        <v>46</v>
      </c>
      <c r="V436" t="s">
        <v>820</v>
      </c>
      <c r="W436" t="s">
        <v>821</v>
      </c>
      <c r="X436">
        <v>27</v>
      </c>
      <c r="Y436">
        <v>22</v>
      </c>
      <c r="Z436">
        <v>55.1</v>
      </c>
      <c r="AA436">
        <v>21</v>
      </c>
      <c r="AB436">
        <v>95</v>
      </c>
      <c r="AC436">
        <v>2</v>
      </c>
      <c r="AD436">
        <v>13</v>
      </c>
      <c r="AE436" t="s">
        <v>60</v>
      </c>
    </row>
    <row r="437" spans="1:31" x14ac:dyDescent="0.2">
      <c r="A437">
        <v>424</v>
      </c>
      <c r="B437" t="s">
        <v>861</v>
      </c>
      <c r="C437">
        <v>20</v>
      </c>
      <c r="D437" t="s">
        <v>461</v>
      </c>
      <c r="E437" t="s">
        <v>349</v>
      </c>
      <c r="F437">
        <v>27</v>
      </c>
      <c r="G437">
        <v>1</v>
      </c>
      <c r="H437">
        <v>8</v>
      </c>
      <c r="I437">
        <v>9</v>
      </c>
      <c r="J437">
        <v>-1</v>
      </c>
      <c r="K437">
        <v>6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2</v>
      </c>
      <c r="R437">
        <v>0</v>
      </c>
      <c r="S437">
        <v>20</v>
      </c>
      <c r="T437">
        <v>5</v>
      </c>
      <c r="U437">
        <v>58</v>
      </c>
      <c r="V437" t="s">
        <v>2463</v>
      </c>
      <c r="W437" t="s">
        <v>1453</v>
      </c>
      <c r="X437">
        <v>0</v>
      </c>
      <c r="Y437">
        <v>0</v>
      </c>
      <c r="AA437">
        <v>24</v>
      </c>
      <c r="AB437">
        <v>5</v>
      </c>
      <c r="AC437">
        <v>4</v>
      </c>
      <c r="AD437">
        <v>16</v>
      </c>
      <c r="AE437" t="s">
        <v>60</v>
      </c>
    </row>
    <row r="438" spans="1:31" x14ac:dyDescent="0.2">
      <c r="A438">
        <v>425</v>
      </c>
      <c r="B438" t="s">
        <v>911</v>
      </c>
      <c r="C438">
        <v>27</v>
      </c>
      <c r="D438" t="s">
        <v>412</v>
      </c>
      <c r="E438" t="s">
        <v>335</v>
      </c>
      <c r="F438">
        <v>26</v>
      </c>
      <c r="G438">
        <v>4</v>
      </c>
      <c r="H438">
        <v>5</v>
      </c>
      <c r="I438">
        <v>9</v>
      </c>
      <c r="J438">
        <v>5</v>
      </c>
      <c r="K438">
        <v>8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20</v>
      </c>
      <c r="T438">
        <v>20</v>
      </c>
      <c r="U438">
        <v>38</v>
      </c>
      <c r="V438" t="s">
        <v>1818</v>
      </c>
      <c r="W438" t="s">
        <v>1819</v>
      </c>
      <c r="X438">
        <v>10</v>
      </c>
      <c r="Y438">
        <v>17</v>
      </c>
      <c r="Z438">
        <v>37</v>
      </c>
      <c r="AA438">
        <v>6</v>
      </c>
      <c r="AB438">
        <v>13</v>
      </c>
      <c r="AC438">
        <v>2</v>
      </c>
      <c r="AD438">
        <v>9</v>
      </c>
      <c r="AE438" t="s">
        <v>60</v>
      </c>
    </row>
    <row r="439" spans="1:31" x14ac:dyDescent="0.2">
      <c r="A439">
        <v>426</v>
      </c>
      <c r="B439" t="s">
        <v>1029</v>
      </c>
      <c r="C439">
        <v>34</v>
      </c>
      <c r="D439" t="s">
        <v>378</v>
      </c>
      <c r="E439" t="s">
        <v>322</v>
      </c>
      <c r="F439">
        <v>24</v>
      </c>
      <c r="G439">
        <v>3</v>
      </c>
      <c r="H439">
        <v>5</v>
      </c>
      <c r="I439">
        <v>8</v>
      </c>
      <c r="J439">
        <v>-1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23</v>
      </c>
      <c r="T439">
        <v>13</v>
      </c>
      <c r="U439">
        <v>41</v>
      </c>
      <c r="V439" t="s">
        <v>2758</v>
      </c>
      <c r="W439" t="s">
        <v>2117</v>
      </c>
      <c r="X439">
        <v>102</v>
      </c>
      <c r="Y439">
        <v>74</v>
      </c>
      <c r="Z439">
        <v>58</v>
      </c>
      <c r="AA439">
        <v>17</v>
      </c>
      <c r="AB439">
        <v>33</v>
      </c>
      <c r="AC439">
        <v>3</v>
      </c>
      <c r="AD439">
        <v>4</v>
      </c>
      <c r="AE439" t="s">
        <v>60</v>
      </c>
    </row>
    <row r="440" spans="1:31" x14ac:dyDescent="0.2">
      <c r="A440">
        <v>427</v>
      </c>
      <c r="B440" t="s">
        <v>862</v>
      </c>
      <c r="C440">
        <v>26</v>
      </c>
      <c r="D440" t="s">
        <v>429</v>
      </c>
      <c r="E440" t="s">
        <v>349</v>
      </c>
      <c r="F440">
        <v>37</v>
      </c>
      <c r="G440">
        <v>2</v>
      </c>
      <c r="H440">
        <v>6</v>
      </c>
      <c r="I440">
        <v>8</v>
      </c>
      <c r="J440">
        <v>12</v>
      </c>
      <c r="K440">
        <v>10</v>
      </c>
      <c r="L440">
        <v>2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27</v>
      </c>
      <c r="T440">
        <v>7.4</v>
      </c>
      <c r="U440">
        <v>77</v>
      </c>
      <c r="V440" t="s">
        <v>2464</v>
      </c>
      <c r="W440" t="s">
        <v>338</v>
      </c>
      <c r="X440">
        <v>0</v>
      </c>
      <c r="Y440">
        <v>0</v>
      </c>
      <c r="AA440">
        <v>58</v>
      </c>
      <c r="AB440">
        <v>40</v>
      </c>
      <c r="AC440">
        <v>6</v>
      </c>
      <c r="AD440">
        <v>28</v>
      </c>
      <c r="AE440" t="s">
        <v>60</v>
      </c>
    </row>
    <row r="441" spans="1:31" x14ac:dyDescent="0.2">
      <c r="A441">
        <v>428</v>
      </c>
      <c r="B441" t="s">
        <v>972</v>
      </c>
      <c r="C441">
        <v>32</v>
      </c>
      <c r="D441" t="s">
        <v>363</v>
      </c>
      <c r="E441" t="s">
        <v>322</v>
      </c>
      <c r="F441">
        <v>25</v>
      </c>
      <c r="G441">
        <v>3</v>
      </c>
      <c r="H441">
        <v>5</v>
      </c>
      <c r="I441">
        <v>8</v>
      </c>
      <c r="J441">
        <v>3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31</v>
      </c>
      <c r="T441">
        <v>9.6999999999999993</v>
      </c>
      <c r="U441">
        <v>77</v>
      </c>
      <c r="V441" t="s">
        <v>2465</v>
      </c>
      <c r="W441" t="s">
        <v>912</v>
      </c>
      <c r="X441">
        <v>12</v>
      </c>
      <c r="Y441">
        <v>7</v>
      </c>
      <c r="Z441">
        <v>63.2</v>
      </c>
      <c r="AA441">
        <v>9</v>
      </c>
      <c r="AB441">
        <v>10</v>
      </c>
      <c r="AC441">
        <v>9</v>
      </c>
      <c r="AD441">
        <v>12</v>
      </c>
      <c r="AE441" t="s">
        <v>60</v>
      </c>
    </row>
    <row r="442" spans="1:31" x14ac:dyDescent="0.2">
      <c r="A442">
        <v>429</v>
      </c>
      <c r="B442" t="s">
        <v>920</v>
      </c>
      <c r="C442">
        <v>31</v>
      </c>
      <c r="D442" t="s">
        <v>402</v>
      </c>
      <c r="E442" t="s">
        <v>340</v>
      </c>
      <c r="F442">
        <v>30</v>
      </c>
      <c r="G442">
        <v>3</v>
      </c>
      <c r="H442">
        <v>5</v>
      </c>
      <c r="I442">
        <v>8</v>
      </c>
      <c r="J442">
        <v>2</v>
      </c>
      <c r="K442">
        <v>6</v>
      </c>
      <c r="L442">
        <v>3</v>
      </c>
      <c r="M442">
        <v>0</v>
      </c>
      <c r="N442">
        <v>0</v>
      </c>
      <c r="O442">
        <v>1</v>
      </c>
      <c r="P442">
        <v>5</v>
      </c>
      <c r="Q442">
        <v>0</v>
      </c>
      <c r="R442">
        <v>0</v>
      </c>
      <c r="S442">
        <v>31</v>
      </c>
      <c r="T442">
        <v>9.6999999999999993</v>
      </c>
      <c r="U442">
        <v>77</v>
      </c>
      <c r="V442" t="s">
        <v>2466</v>
      </c>
      <c r="W442" t="s">
        <v>1819</v>
      </c>
      <c r="X442">
        <v>1</v>
      </c>
      <c r="Y442">
        <v>1</v>
      </c>
      <c r="Z442">
        <v>50</v>
      </c>
      <c r="AA442">
        <v>8</v>
      </c>
      <c r="AB442">
        <v>63</v>
      </c>
      <c r="AC442">
        <v>9</v>
      </c>
      <c r="AD442">
        <v>9</v>
      </c>
      <c r="AE442" t="s">
        <v>60</v>
      </c>
    </row>
    <row r="443" spans="1:31" x14ac:dyDescent="0.2">
      <c r="A443">
        <v>430</v>
      </c>
      <c r="B443" t="s">
        <v>828</v>
      </c>
      <c r="C443">
        <v>34</v>
      </c>
      <c r="D443" t="s">
        <v>373</v>
      </c>
      <c r="E443" t="s">
        <v>349</v>
      </c>
      <c r="F443">
        <v>40</v>
      </c>
      <c r="G443">
        <v>4</v>
      </c>
      <c r="H443">
        <v>4</v>
      </c>
      <c r="I443">
        <v>8</v>
      </c>
      <c r="J443">
        <v>-2</v>
      </c>
      <c r="K443">
        <v>40</v>
      </c>
      <c r="L443">
        <v>4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47</v>
      </c>
      <c r="T443">
        <v>8.5</v>
      </c>
      <c r="U443">
        <v>121</v>
      </c>
      <c r="V443" t="s">
        <v>2759</v>
      </c>
      <c r="W443" t="s">
        <v>2191</v>
      </c>
      <c r="X443">
        <v>0</v>
      </c>
      <c r="Y443">
        <v>0</v>
      </c>
      <c r="AA443">
        <v>88</v>
      </c>
      <c r="AB443">
        <v>84</v>
      </c>
      <c r="AC443">
        <v>16</v>
      </c>
      <c r="AD443">
        <v>42</v>
      </c>
      <c r="AE443" t="s">
        <v>60</v>
      </c>
    </row>
    <row r="444" spans="1:31" x14ac:dyDescent="0.2">
      <c r="A444">
        <v>431</v>
      </c>
      <c r="B444" t="s">
        <v>867</v>
      </c>
      <c r="C444">
        <v>34</v>
      </c>
      <c r="D444" t="s">
        <v>387</v>
      </c>
      <c r="E444" t="s">
        <v>322</v>
      </c>
      <c r="F444">
        <v>39</v>
      </c>
      <c r="G444">
        <v>3</v>
      </c>
      <c r="H444">
        <v>5</v>
      </c>
      <c r="I444">
        <v>8</v>
      </c>
      <c r="J444">
        <v>-4</v>
      </c>
      <c r="K444">
        <v>8</v>
      </c>
      <c r="L444">
        <v>3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23</v>
      </c>
      <c r="T444">
        <v>13</v>
      </c>
      <c r="U444">
        <v>53</v>
      </c>
      <c r="V444" t="s">
        <v>2760</v>
      </c>
      <c r="W444" t="s">
        <v>1692</v>
      </c>
      <c r="X444">
        <v>137</v>
      </c>
      <c r="Y444">
        <v>150</v>
      </c>
      <c r="Z444">
        <v>47.7</v>
      </c>
      <c r="AA444">
        <v>30</v>
      </c>
      <c r="AB444">
        <v>88</v>
      </c>
      <c r="AC444">
        <v>5</v>
      </c>
      <c r="AD444">
        <v>23</v>
      </c>
      <c r="AE444" t="s">
        <v>60</v>
      </c>
    </row>
    <row r="445" spans="1:31" x14ac:dyDescent="0.2">
      <c r="A445">
        <v>432</v>
      </c>
      <c r="B445" t="s">
        <v>1042</v>
      </c>
      <c r="C445">
        <v>30</v>
      </c>
      <c r="D445" t="s">
        <v>330</v>
      </c>
      <c r="E445" t="s">
        <v>322</v>
      </c>
      <c r="F445">
        <v>25</v>
      </c>
      <c r="G445">
        <v>4</v>
      </c>
      <c r="H445">
        <v>4</v>
      </c>
      <c r="I445">
        <v>8</v>
      </c>
      <c r="J445">
        <v>-5</v>
      </c>
      <c r="K445">
        <v>8</v>
      </c>
      <c r="L445">
        <v>3</v>
      </c>
      <c r="M445">
        <v>0</v>
      </c>
      <c r="N445">
        <v>1</v>
      </c>
      <c r="O445">
        <v>0</v>
      </c>
      <c r="P445">
        <v>3</v>
      </c>
      <c r="Q445">
        <v>0</v>
      </c>
      <c r="R445">
        <v>1</v>
      </c>
      <c r="S445">
        <v>34</v>
      </c>
      <c r="T445">
        <v>11.8</v>
      </c>
      <c r="U445">
        <v>70</v>
      </c>
      <c r="V445" t="s">
        <v>2761</v>
      </c>
      <c r="W445" t="s">
        <v>1270</v>
      </c>
      <c r="X445">
        <v>191</v>
      </c>
      <c r="Y445">
        <v>205</v>
      </c>
      <c r="Z445">
        <v>48.2</v>
      </c>
      <c r="AA445">
        <v>16</v>
      </c>
      <c r="AB445">
        <v>28</v>
      </c>
      <c r="AC445">
        <v>4</v>
      </c>
      <c r="AD445">
        <v>20</v>
      </c>
      <c r="AE445" t="s">
        <v>60</v>
      </c>
    </row>
    <row r="446" spans="1:31" x14ac:dyDescent="0.2">
      <c r="A446">
        <v>433</v>
      </c>
      <c r="B446" t="s">
        <v>976</v>
      </c>
      <c r="C446">
        <v>35</v>
      </c>
      <c r="D446" t="s">
        <v>368</v>
      </c>
      <c r="E446" t="s">
        <v>322</v>
      </c>
      <c r="F446">
        <v>30</v>
      </c>
      <c r="G446">
        <v>2</v>
      </c>
      <c r="H446">
        <v>6</v>
      </c>
      <c r="I446">
        <v>8</v>
      </c>
      <c r="J446">
        <v>-1</v>
      </c>
      <c r="K446">
        <v>25</v>
      </c>
      <c r="L446">
        <v>2</v>
      </c>
      <c r="M446">
        <v>0</v>
      </c>
      <c r="N446">
        <v>0</v>
      </c>
      <c r="O446">
        <v>0</v>
      </c>
      <c r="P446">
        <v>6</v>
      </c>
      <c r="Q446">
        <v>0</v>
      </c>
      <c r="R446">
        <v>0</v>
      </c>
      <c r="S446">
        <v>31</v>
      </c>
      <c r="T446">
        <v>6.5</v>
      </c>
      <c r="U446">
        <v>57</v>
      </c>
      <c r="V446" t="s">
        <v>2467</v>
      </c>
      <c r="W446" t="s">
        <v>977</v>
      </c>
      <c r="X446">
        <v>191</v>
      </c>
      <c r="Y446">
        <v>213</v>
      </c>
      <c r="Z446">
        <v>47.3</v>
      </c>
      <c r="AA446">
        <v>20</v>
      </c>
      <c r="AB446">
        <v>47</v>
      </c>
      <c r="AC446">
        <v>8</v>
      </c>
      <c r="AD446">
        <v>17</v>
      </c>
      <c r="AE446" t="s">
        <v>60</v>
      </c>
    </row>
    <row r="447" spans="1:31" x14ac:dyDescent="0.2">
      <c r="A447">
        <v>434</v>
      </c>
      <c r="B447" t="s">
        <v>926</v>
      </c>
      <c r="C447">
        <v>34</v>
      </c>
      <c r="D447" t="s">
        <v>429</v>
      </c>
      <c r="E447" t="s">
        <v>349</v>
      </c>
      <c r="F447">
        <v>37</v>
      </c>
      <c r="G447">
        <v>0</v>
      </c>
      <c r="H447">
        <v>8</v>
      </c>
      <c r="I447">
        <v>8</v>
      </c>
      <c r="J447">
        <v>3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38</v>
      </c>
      <c r="T447">
        <v>0</v>
      </c>
      <c r="U447">
        <v>95</v>
      </c>
      <c r="V447" t="s">
        <v>2468</v>
      </c>
      <c r="W447" t="s">
        <v>1172</v>
      </c>
      <c r="X447">
        <v>0</v>
      </c>
      <c r="Y447">
        <v>0</v>
      </c>
      <c r="AA447">
        <v>51</v>
      </c>
      <c r="AB447">
        <v>20</v>
      </c>
      <c r="AC447">
        <v>9</v>
      </c>
      <c r="AD447">
        <v>42</v>
      </c>
      <c r="AE447" t="s">
        <v>60</v>
      </c>
    </row>
    <row r="448" spans="1:31" x14ac:dyDescent="0.2">
      <c r="A448">
        <v>435</v>
      </c>
      <c r="B448" t="s">
        <v>1197</v>
      </c>
      <c r="C448">
        <v>27</v>
      </c>
      <c r="D448" t="s">
        <v>412</v>
      </c>
      <c r="E448" t="s">
        <v>349</v>
      </c>
      <c r="F448">
        <v>18</v>
      </c>
      <c r="G448">
        <v>1</v>
      </c>
      <c r="H448">
        <v>7</v>
      </c>
      <c r="I448">
        <v>8</v>
      </c>
      <c r="J448">
        <v>-12</v>
      </c>
      <c r="K448">
        <v>22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2</v>
      </c>
      <c r="R448">
        <v>0</v>
      </c>
      <c r="S448">
        <v>34</v>
      </c>
      <c r="T448">
        <v>2.9</v>
      </c>
      <c r="U448">
        <v>78</v>
      </c>
      <c r="V448" t="s">
        <v>2130</v>
      </c>
      <c r="W448" t="s">
        <v>393</v>
      </c>
      <c r="X448">
        <v>0</v>
      </c>
      <c r="Y448">
        <v>0</v>
      </c>
      <c r="AA448">
        <v>36</v>
      </c>
      <c r="AB448">
        <v>10</v>
      </c>
      <c r="AC448">
        <v>3</v>
      </c>
      <c r="AD448">
        <v>24</v>
      </c>
      <c r="AE448" t="s">
        <v>60</v>
      </c>
    </row>
    <row r="449" spans="1:31" x14ac:dyDescent="0.2">
      <c r="A449">
        <v>436</v>
      </c>
      <c r="B449" t="s">
        <v>1043</v>
      </c>
      <c r="C449">
        <v>20</v>
      </c>
      <c r="D449" t="s">
        <v>536</v>
      </c>
      <c r="E449" t="s">
        <v>322</v>
      </c>
      <c r="F449">
        <v>29</v>
      </c>
      <c r="G449">
        <v>5</v>
      </c>
      <c r="H449">
        <v>3</v>
      </c>
      <c r="I449">
        <v>8</v>
      </c>
      <c r="J449">
        <v>-8</v>
      </c>
      <c r="K449">
        <v>6</v>
      </c>
      <c r="L449">
        <v>1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39</v>
      </c>
      <c r="T449">
        <v>12.8</v>
      </c>
      <c r="U449">
        <v>71</v>
      </c>
      <c r="V449" t="s">
        <v>2469</v>
      </c>
      <c r="W449" t="s">
        <v>1137</v>
      </c>
      <c r="X449">
        <v>126</v>
      </c>
      <c r="Y449">
        <v>135</v>
      </c>
      <c r="Z449">
        <v>48.3</v>
      </c>
      <c r="AA449">
        <v>12</v>
      </c>
      <c r="AB449">
        <v>46</v>
      </c>
      <c r="AC449">
        <v>6</v>
      </c>
      <c r="AD449">
        <v>24</v>
      </c>
      <c r="AE449" t="s">
        <v>60</v>
      </c>
    </row>
    <row r="450" spans="1:31" x14ac:dyDescent="0.2">
      <c r="A450">
        <v>437</v>
      </c>
      <c r="B450" t="s">
        <v>930</v>
      </c>
      <c r="C450">
        <v>24</v>
      </c>
      <c r="D450" t="s">
        <v>555</v>
      </c>
      <c r="E450" t="s">
        <v>349</v>
      </c>
      <c r="F450">
        <v>22</v>
      </c>
      <c r="G450">
        <v>3</v>
      </c>
      <c r="H450">
        <v>5</v>
      </c>
      <c r="I450">
        <v>8</v>
      </c>
      <c r="J450">
        <v>-1</v>
      </c>
      <c r="K450">
        <v>12</v>
      </c>
      <c r="L450">
        <v>3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0</v>
      </c>
      <c r="S450">
        <v>20</v>
      </c>
      <c r="T450">
        <v>15</v>
      </c>
      <c r="U450">
        <v>43</v>
      </c>
      <c r="V450" t="s">
        <v>2762</v>
      </c>
      <c r="W450" t="s">
        <v>390</v>
      </c>
      <c r="X450">
        <v>0</v>
      </c>
      <c r="Y450">
        <v>0</v>
      </c>
      <c r="AA450">
        <v>17</v>
      </c>
      <c r="AB450">
        <v>14</v>
      </c>
      <c r="AC450">
        <v>2</v>
      </c>
      <c r="AD450">
        <v>17</v>
      </c>
      <c r="AE450" t="s">
        <v>60</v>
      </c>
    </row>
    <row r="451" spans="1:31" x14ac:dyDescent="0.2">
      <c r="A451">
        <v>438</v>
      </c>
      <c r="B451" t="s">
        <v>876</v>
      </c>
      <c r="C451">
        <v>27</v>
      </c>
      <c r="D451" t="s">
        <v>324</v>
      </c>
      <c r="E451" t="s">
        <v>349</v>
      </c>
      <c r="F451">
        <v>38</v>
      </c>
      <c r="G451">
        <v>1</v>
      </c>
      <c r="H451">
        <v>7</v>
      </c>
      <c r="I451">
        <v>8</v>
      </c>
      <c r="J451">
        <v>-2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102</v>
      </c>
      <c r="V451" t="s">
        <v>2470</v>
      </c>
      <c r="W451" t="s">
        <v>2206</v>
      </c>
      <c r="X451">
        <v>0</v>
      </c>
      <c r="Y451">
        <v>0</v>
      </c>
      <c r="AA451">
        <v>78</v>
      </c>
      <c r="AB451">
        <v>71</v>
      </c>
      <c r="AC451">
        <v>16</v>
      </c>
      <c r="AD451">
        <v>47</v>
      </c>
      <c r="AE451" t="s">
        <v>60</v>
      </c>
    </row>
    <row r="452" spans="1:31" x14ac:dyDescent="0.2">
      <c r="A452">
        <v>439</v>
      </c>
      <c r="B452" t="s">
        <v>1132</v>
      </c>
      <c r="C452">
        <v>32</v>
      </c>
      <c r="D452" t="s">
        <v>555</v>
      </c>
      <c r="E452" t="s">
        <v>322</v>
      </c>
      <c r="F452">
        <v>23</v>
      </c>
      <c r="G452">
        <v>3</v>
      </c>
      <c r="H452">
        <v>5</v>
      </c>
      <c r="I452">
        <v>8</v>
      </c>
      <c r="J452">
        <v>2</v>
      </c>
      <c r="K452">
        <v>7</v>
      </c>
      <c r="L452">
        <v>2</v>
      </c>
      <c r="M452">
        <v>1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22</v>
      </c>
      <c r="T452">
        <v>13.6</v>
      </c>
      <c r="U452">
        <v>57</v>
      </c>
      <c r="V452" t="s">
        <v>2023</v>
      </c>
      <c r="W452" t="s">
        <v>1270</v>
      </c>
      <c r="X452">
        <v>99</v>
      </c>
      <c r="Y452">
        <v>155</v>
      </c>
      <c r="Z452">
        <v>39</v>
      </c>
      <c r="AA452">
        <v>17</v>
      </c>
      <c r="AB452">
        <v>9</v>
      </c>
      <c r="AC452">
        <v>11</v>
      </c>
      <c r="AD452">
        <v>12</v>
      </c>
      <c r="AE452" t="s">
        <v>60</v>
      </c>
    </row>
    <row r="453" spans="1:31" x14ac:dyDescent="0.2">
      <c r="A453">
        <v>440</v>
      </c>
      <c r="B453" t="s">
        <v>935</v>
      </c>
      <c r="C453">
        <v>35</v>
      </c>
      <c r="D453" t="s">
        <v>337</v>
      </c>
      <c r="E453" t="s">
        <v>349</v>
      </c>
      <c r="F453">
        <v>27</v>
      </c>
      <c r="G453">
        <v>1</v>
      </c>
      <c r="H453">
        <v>7</v>
      </c>
      <c r="I453">
        <v>8</v>
      </c>
      <c r="J453">
        <v>-5</v>
      </c>
      <c r="K453">
        <v>9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35</v>
      </c>
      <c r="T453">
        <v>2.9</v>
      </c>
      <c r="U453">
        <v>91</v>
      </c>
      <c r="V453" t="s">
        <v>2471</v>
      </c>
      <c r="W453" t="s">
        <v>490</v>
      </c>
      <c r="X453">
        <v>0</v>
      </c>
      <c r="Y453">
        <v>0</v>
      </c>
      <c r="AA453">
        <v>49</v>
      </c>
      <c r="AB453">
        <v>94</v>
      </c>
      <c r="AC453">
        <v>7</v>
      </c>
      <c r="AD453">
        <v>22</v>
      </c>
      <c r="AE453" t="s">
        <v>60</v>
      </c>
    </row>
    <row r="454" spans="1:31" x14ac:dyDescent="0.2">
      <c r="A454">
        <v>441</v>
      </c>
      <c r="B454" t="s">
        <v>833</v>
      </c>
      <c r="C454">
        <v>32</v>
      </c>
      <c r="D454" t="s">
        <v>404</v>
      </c>
      <c r="E454" t="s">
        <v>349</v>
      </c>
      <c r="F454">
        <v>34</v>
      </c>
      <c r="G454">
        <v>4</v>
      </c>
      <c r="H454">
        <v>4</v>
      </c>
      <c r="I454">
        <v>8</v>
      </c>
      <c r="J454">
        <v>-5</v>
      </c>
      <c r="K454">
        <v>24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2</v>
      </c>
      <c r="R454">
        <v>0</v>
      </c>
      <c r="S454">
        <v>85</v>
      </c>
      <c r="T454">
        <v>4.7</v>
      </c>
      <c r="U454">
        <v>200</v>
      </c>
      <c r="V454" t="s">
        <v>2472</v>
      </c>
      <c r="W454" t="s">
        <v>2080</v>
      </c>
      <c r="X454">
        <v>0</v>
      </c>
      <c r="Y454">
        <v>0</v>
      </c>
      <c r="AA454">
        <v>36</v>
      </c>
      <c r="AB454">
        <v>35</v>
      </c>
      <c r="AC454">
        <v>6</v>
      </c>
      <c r="AD454">
        <v>55</v>
      </c>
      <c r="AE454" t="s">
        <v>60</v>
      </c>
    </row>
    <row r="455" spans="1:31" x14ac:dyDescent="0.2">
      <c r="A455">
        <v>442</v>
      </c>
      <c r="B455" t="s">
        <v>979</v>
      </c>
      <c r="C455">
        <v>25</v>
      </c>
      <c r="D455" t="s">
        <v>412</v>
      </c>
      <c r="E455" t="s">
        <v>322</v>
      </c>
      <c r="F455">
        <v>34</v>
      </c>
      <c r="G455">
        <v>4</v>
      </c>
      <c r="H455">
        <v>4</v>
      </c>
      <c r="I455">
        <v>8</v>
      </c>
      <c r="J455">
        <v>-2</v>
      </c>
      <c r="K455">
        <v>26</v>
      </c>
      <c r="L455">
        <v>2</v>
      </c>
      <c r="M455">
        <v>2</v>
      </c>
      <c r="N455">
        <v>0</v>
      </c>
      <c r="O455">
        <v>0</v>
      </c>
      <c r="P455">
        <v>3</v>
      </c>
      <c r="Q455">
        <v>1</v>
      </c>
      <c r="R455">
        <v>0</v>
      </c>
      <c r="S455">
        <v>56</v>
      </c>
      <c r="T455">
        <v>7.1</v>
      </c>
      <c r="U455">
        <v>93</v>
      </c>
      <c r="V455" t="s">
        <v>2131</v>
      </c>
      <c r="W455" t="s">
        <v>1690</v>
      </c>
      <c r="X455">
        <v>196</v>
      </c>
      <c r="Y455">
        <v>199</v>
      </c>
      <c r="Z455">
        <v>49.6</v>
      </c>
      <c r="AA455">
        <v>14</v>
      </c>
      <c r="AB455">
        <v>10</v>
      </c>
      <c r="AC455">
        <v>9</v>
      </c>
      <c r="AD455">
        <v>19</v>
      </c>
      <c r="AE455" t="s">
        <v>60</v>
      </c>
    </row>
    <row r="456" spans="1:31" x14ac:dyDescent="0.2">
      <c r="A456">
        <v>443</v>
      </c>
      <c r="B456" t="s">
        <v>940</v>
      </c>
      <c r="C456">
        <v>35</v>
      </c>
      <c r="D456" t="s">
        <v>426</v>
      </c>
      <c r="E456" t="s">
        <v>349</v>
      </c>
      <c r="F456">
        <v>37</v>
      </c>
      <c r="G456">
        <v>1</v>
      </c>
      <c r="H456">
        <v>7</v>
      </c>
      <c r="I456">
        <v>8</v>
      </c>
      <c r="J456">
        <v>-10</v>
      </c>
      <c r="K456">
        <v>20</v>
      </c>
      <c r="L456">
        <v>1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22</v>
      </c>
      <c r="T456">
        <v>4.5</v>
      </c>
      <c r="U456">
        <v>77</v>
      </c>
      <c r="V456" t="s">
        <v>2473</v>
      </c>
      <c r="W456" t="s">
        <v>1919</v>
      </c>
      <c r="X456">
        <v>0</v>
      </c>
      <c r="Y456">
        <v>0</v>
      </c>
      <c r="AA456">
        <v>37</v>
      </c>
      <c r="AB456">
        <v>24</v>
      </c>
      <c r="AC456">
        <v>8</v>
      </c>
      <c r="AD456">
        <v>36</v>
      </c>
      <c r="AE456" t="s">
        <v>60</v>
      </c>
    </row>
    <row r="457" spans="1:31" x14ac:dyDescent="0.2">
      <c r="A457">
        <v>444</v>
      </c>
      <c r="B457" t="s">
        <v>839</v>
      </c>
      <c r="C457">
        <v>28</v>
      </c>
      <c r="D457" t="s">
        <v>536</v>
      </c>
      <c r="E457" t="s">
        <v>335</v>
      </c>
      <c r="F457">
        <v>32</v>
      </c>
      <c r="G457">
        <v>2</v>
      </c>
      <c r="H457">
        <v>6</v>
      </c>
      <c r="I457">
        <v>8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60</v>
      </c>
      <c r="V457" t="s">
        <v>2079</v>
      </c>
      <c r="W457" t="s">
        <v>1031</v>
      </c>
      <c r="X457">
        <v>3</v>
      </c>
      <c r="Y457">
        <v>9</v>
      </c>
      <c r="Z457">
        <v>25</v>
      </c>
      <c r="AA457">
        <v>19</v>
      </c>
      <c r="AB457">
        <v>71</v>
      </c>
      <c r="AC457">
        <v>9</v>
      </c>
      <c r="AD457">
        <v>18</v>
      </c>
      <c r="AE457" t="s">
        <v>60</v>
      </c>
    </row>
    <row r="458" spans="1:31" x14ac:dyDescent="0.2">
      <c r="A458">
        <v>445</v>
      </c>
      <c r="B458" t="s">
        <v>1143</v>
      </c>
      <c r="C458">
        <v>24</v>
      </c>
      <c r="D458" t="s">
        <v>555</v>
      </c>
      <c r="E458" t="s">
        <v>335</v>
      </c>
      <c r="F458">
        <v>20</v>
      </c>
      <c r="G458">
        <v>2</v>
      </c>
      <c r="H458">
        <v>6</v>
      </c>
      <c r="I458">
        <v>8</v>
      </c>
      <c r="J458">
        <v>0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2</v>
      </c>
      <c r="R458">
        <v>0</v>
      </c>
      <c r="S458">
        <v>29</v>
      </c>
      <c r="T458">
        <v>6.9</v>
      </c>
      <c r="U458">
        <v>53</v>
      </c>
      <c r="V458" t="s">
        <v>2763</v>
      </c>
      <c r="W458" t="s">
        <v>885</v>
      </c>
      <c r="X458">
        <v>6</v>
      </c>
      <c r="Y458">
        <v>7</v>
      </c>
      <c r="Z458">
        <v>46.2</v>
      </c>
      <c r="AA458">
        <v>3</v>
      </c>
      <c r="AB458">
        <v>8</v>
      </c>
      <c r="AC458">
        <v>5</v>
      </c>
      <c r="AD458">
        <v>12</v>
      </c>
      <c r="AE458" t="s">
        <v>60</v>
      </c>
    </row>
    <row r="459" spans="1:31" x14ac:dyDescent="0.2">
      <c r="A459">
        <v>446</v>
      </c>
      <c r="B459" t="s">
        <v>986</v>
      </c>
      <c r="C459">
        <v>25</v>
      </c>
      <c r="D459" t="s">
        <v>448</v>
      </c>
      <c r="E459" t="s">
        <v>325</v>
      </c>
      <c r="F459">
        <v>37</v>
      </c>
      <c r="G459">
        <v>3</v>
      </c>
      <c r="H459">
        <v>5</v>
      </c>
      <c r="I459">
        <v>8</v>
      </c>
      <c r="J459">
        <v>-3</v>
      </c>
      <c r="K459">
        <v>72</v>
      </c>
      <c r="L459">
        <v>3</v>
      </c>
      <c r="M459">
        <v>0</v>
      </c>
      <c r="N459">
        <v>0</v>
      </c>
      <c r="O459">
        <v>0</v>
      </c>
      <c r="P459">
        <v>4</v>
      </c>
      <c r="Q459">
        <v>1</v>
      </c>
      <c r="R459">
        <v>0</v>
      </c>
      <c r="S459">
        <v>38</v>
      </c>
      <c r="T459">
        <v>7.9</v>
      </c>
      <c r="U459">
        <v>86</v>
      </c>
      <c r="V459" t="s">
        <v>2474</v>
      </c>
      <c r="W459" t="s">
        <v>2475</v>
      </c>
      <c r="X459">
        <v>6</v>
      </c>
      <c r="Y459">
        <v>10</v>
      </c>
      <c r="Z459">
        <v>37.5</v>
      </c>
      <c r="AA459">
        <v>20</v>
      </c>
      <c r="AB459">
        <v>129</v>
      </c>
      <c r="AC459">
        <v>6</v>
      </c>
      <c r="AD459">
        <v>14</v>
      </c>
      <c r="AE459" t="s">
        <v>60</v>
      </c>
    </row>
    <row r="460" spans="1:31" x14ac:dyDescent="0.2">
      <c r="A460">
        <v>447</v>
      </c>
      <c r="B460" t="s">
        <v>888</v>
      </c>
      <c r="C460">
        <v>33</v>
      </c>
      <c r="D460" t="s">
        <v>555</v>
      </c>
      <c r="E460" t="s">
        <v>349</v>
      </c>
      <c r="F460">
        <v>36</v>
      </c>
      <c r="G460">
        <v>2</v>
      </c>
      <c r="H460">
        <v>6</v>
      </c>
      <c r="I460">
        <v>8</v>
      </c>
      <c r="J460">
        <v>-5</v>
      </c>
      <c r="K460">
        <v>18</v>
      </c>
      <c r="L460">
        <v>2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37</v>
      </c>
      <c r="T460">
        <v>5.4</v>
      </c>
      <c r="U460">
        <v>77</v>
      </c>
      <c r="V460" t="s">
        <v>2764</v>
      </c>
      <c r="W460" t="s">
        <v>2118</v>
      </c>
      <c r="X460">
        <v>0</v>
      </c>
      <c r="Y460">
        <v>0</v>
      </c>
      <c r="AA460">
        <v>81</v>
      </c>
      <c r="AB460">
        <v>49</v>
      </c>
      <c r="AC460">
        <v>7</v>
      </c>
      <c r="AD460">
        <v>20</v>
      </c>
      <c r="AE460" t="s">
        <v>60</v>
      </c>
    </row>
    <row r="461" spans="1:31" x14ac:dyDescent="0.2">
      <c r="A461">
        <v>448</v>
      </c>
      <c r="B461" t="s">
        <v>950</v>
      </c>
      <c r="C461">
        <v>29</v>
      </c>
      <c r="D461" t="s">
        <v>555</v>
      </c>
      <c r="E461" t="s">
        <v>322</v>
      </c>
      <c r="F461">
        <v>12</v>
      </c>
      <c r="G461">
        <v>5</v>
      </c>
      <c r="H461">
        <v>3</v>
      </c>
      <c r="I461">
        <v>8</v>
      </c>
      <c r="J461">
        <v>0</v>
      </c>
      <c r="K461">
        <v>0</v>
      </c>
      <c r="L461">
        <v>4</v>
      </c>
      <c r="M461">
        <v>1</v>
      </c>
      <c r="N461">
        <v>0</v>
      </c>
      <c r="O461">
        <v>1</v>
      </c>
      <c r="P461">
        <v>2</v>
      </c>
      <c r="Q461">
        <v>1</v>
      </c>
      <c r="R461">
        <v>0</v>
      </c>
      <c r="S461">
        <v>29</v>
      </c>
      <c r="T461">
        <v>17.2</v>
      </c>
      <c r="U461">
        <v>63</v>
      </c>
      <c r="V461" t="s">
        <v>2765</v>
      </c>
      <c r="W461" t="s">
        <v>1669</v>
      </c>
      <c r="X461">
        <v>4</v>
      </c>
      <c r="Y461">
        <v>7</v>
      </c>
      <c r="Z461">
        <v>36.4</v>
      </c>
      <c r="AA461">
        <v>8</v>
      </c>
      <c r="AB461">
        <v>14</v>
      </c>
      <c r="AC461">
        <v>2</v>
      </c>
      <c r="AD461">
        <v>9</v>
      </c>
      <c r="AE461" t="s">
        <v>60</v>
      </c>
    </row>
    <row r="462" spans="1:31" x14ac:dyDescent="0.2">
      <c r="A462">
        <v>449</v>
      </c>
      <c r="B462" t="s">
        <v>951</v>
      </c>
      <c r="C462">
        <v>36</v>
      </c>
      <c r="D462" t="s">
        <v>353</v>
      </c>
      <c r="E462" t="s">
        <v>349</v>
      </c>
      <c r="F462">
        <v>18</v>
      </c>
      <c r="G462">
        <v>4</v>
      </c>
      <c r="H462">
        <v>4</v>
      </c>
      <c r="I462">
        <v>8</v>
      </c>
      <c r="J462">
        <v>1</v>
      </c>
      <c r="K462">
        <v>0</v>
      </c>
      <c r="L462">
        <v>4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17</v>
      </c>
      <c r="T462">
        <v>23.5</v>
      </c>
      <c r="U462">
        <v>48</v>
      </c>
      <c r="V462" t="s">
        <v>2081</v>
      </c>
      <c r="W462" t="s">
        <v>341</v>
      </c>
      <c r="X462">
        <v>0</v>
      </c>
      <c r="Y462">
        <v>0</v>
      </c>
      <c r="AA462">
        <v>29</v>
      </c>
      <c r="AB462">
        <v>9</v>
      </c>
      <c r="AC462">
        <v>7</v>
      </c>
      <c r="AD462">
        <v>19</v>
      </c>
      <c r="AE462" t="s">
        <v>60</v>
      </c>
    </row>
    <row r="463" spans="1:31" x14ac:dyDescent="0.2">
      <c r="A463">
        <v>450</v>
      </c>
      <c r="B463" t="s">
        <v>893</v>
      </c>
      <c r="C463">
        <v>35</v>
      </c>
      <c r="D463" t="s">
        <v>461</v>
      </c>
      <c r="E463" t="s">
        <v>349</v>
      </c>
      <c r="F463">
        <v>37</v>
      </c>
      <c r="G463">
        <v>1</v>
      </c>
      <c r="H463">
        <v>7</v>
      </c>
      <c r="I463">
        <v>8</v>
      </c>
      <c r="J463">
        <v>-10</v>
      </c>
      <c r="K463">
        <v>32</v>
      </c>
      <c r="L463">
        <v>1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0</v>
      </c>
      <c r="S463">
        <v>37</v>
      </c>
      <c r="T463">
        <v>2.7</v>
      </c>
      <c r="U463">
        <v>102</v>
      </c>
      <c r="V463" t="s">
        <v>2476</v>
      </c>
      <c r="W463" t="s">
        <v>1666</v>
      </c>
      <c r="X463">
        <v>0</v>
      </c>
      <c r="Y463">
        <v>0</v>
      </c>
      <c r="AA463">
        <v>72</v>
      </c>
      <c r="AB463">
        <v>45</v>
      </c>
      <c r="AC463">
        <v>12</v>
      </c>
      <c r="AD463">
        <v>36</v>
      </c>
      <c r="AE463" t="s">
        <v>60</v>
      </c>
    </row>
    <row r="464" spans="1:31" x14ac:dyDescent="0.2">
      <c r="A464">
        <v>451</v>
      </c>
      <c r="B464" t="s">
        <v>847</v>
      </c>
      <c r="C464">
        <v>33</v>
      </c>
      <c r="D464" t="s">
        <v>346</v>
      </c>
      <c r="E464" t="s">
        <v>322</v>
      </c>
      <c r="F464">
        <v>36</v>
      </c>
      <c r="G464">
        <v>6</v>
      </c>
      <c r="H464">
        <v>2</v>
      </c>
      <c r="I464">
        <v>8</v>
      </c>
      <c r="J464">
        <v>-7</v>
      </c>
      <c r="K464">
        <v>20</v>
      </c>
      <c r="L464">
        <v>4</v>
      </c>
      <c r="M464">
        <v>2</v>
      </c>
      <c r="N464">
        <v>0</v>
      </c>
      <c r="O464">
        <v>1</v>
      </c>
      <c r="P464">
        <v>2</v>
      </c>
      <c r="Q464">
        <v>0</v>
      </c>
      <c r="R464">
        <v>0</v>
      </c>
      <c r="S464">
        <v>49</v>
      </c>
      <c r="T464">
        <v>12.2</v>
      </c>
      <c r="U464">
        <v>99</v>
      </c>
      <c r="V464" t="s">
        <v>2477</v>
      </c>
      <c r="W464" t="s">
        <v>2110</v>
      </c>
      <c r="X464">
        <v>64</v>
      </c>
      <c r="Y464">
        <v>97</v>
      </c>
      <c r="Z464">
        <v>39.799999999999997</v>
      </c>
      <c r="AA464">
        <v>21</v>
      </c>
      <c r="AB464">
        <v>46</v>
      </c>
      <c r="AC464">
        <v>4</v>
      </c>
      <c r="AD464">
        <v>26</v>
      </c>
      <c r="AE464" t="s">
        <v>60</v>
      </c>
    </row>
    <row r="465" spans="1:31" x14ac:dyDescent="0.2">
      <c r="A465">
        <v>452</v>
      </c>
      <c r="B465" t="s">
        <v>848</v>
      </c>
      <c r="C465">
        <v>24</v>
      </c>
      <c r="D465" t="s">
        <v>337</v>
      </c>
      <c r="E465" t="s">
        <v>322</v>
      </c>
      <c r="F465">
        <v>23</v>
      </c>
      <c r="G465">
        <v>1</v>
      </c>
      <c r="H465">
        <v>7</v>
      </c>
      <c r="I465">
        <v>8</v>
      </c>
      <c r="J465">
        <v>1</v>
      </c>
      <c r="K465">
        <v>8</v>
      </c>
      <c r="L465">
        <v>1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22</v>
      </c>
      <c r="T465">
        <v>4.5</v>
      </c>
      <c r="U465">
        <v>49</v>
      </c>
      <c r="V465" t="s">
        <v>849</v>
      </c>
      <c r="W465" t="s">
        <v>850</v>
      </c>
      <c r="X465">
        <v>9</v>
      </c>
      <c r="Y465">
        <v>17</v>
      </c>
      <c r="Z465">
        <v>34.6</v>
      </c>
      <c r="AA465">
        <v>5</v>
      </c>
      <c r="AB465">
        <v>41</v>
      </c>
      <c r="AC465">
        <v>1</v>
      </c>
      <c r="AD465">
        <v>12</v>
      </c>
      <c r="AE465" t="s">
        <v>60</v>
      </c>
    </row>
    <row r="466" spans="1:31" x14ac:dyDescent="0.2">
      <c r="A466">
        <v>453</v>
      </c>
      <c r="B466" t="s">
        <v>1009</v>
      </c>
      <c r="C466">
        <v>27</v>
      </c>
      <c r="D466" t="s">
        <v>356</v>
      </c>
      <c r="E466" t="s">
        <v>349</v>
      </c>
      <c r="F466">
        <v>39</v>
      </c>
      <c r="G466">
        <v>3</v>
      </c>
      <c r="H466">
        <v>5</v>
      </c>
      <c r="I466">
        <v>8</v>
      </c>
      <c r="J466">
        <v>-13</v>
      </c>
      <c r="K466">
        <v>12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45</v>
      </c>
      <c r="T466">
        <v>6.7</v>
      </c>
      <c r="U466">
        <v>112</v>
      </c>
      <c r="V466" t="s">
        <v>2478</v>
      </c>
      <c r="W466" t="s">
        <v>351</v>
      </c>
      <c r="X466">
        <v>0</v>
      </c>
      <c r="Y466">
        <v>0</v>
      </c>
      <c r="AA466">
        <v>78</v>
      </c>
      <c r="AB466">
        <v>52</v>
      </c>
      <c r="AC466">
        <v>8</v>
      </c>
      <c r="AD466">
        <v>36</v>
      </c>
      <c r="AE466" t="s">
        <v>60</v>
      </c>
    </row>
    <row r="467" spans="1:31" x14ac:dyDescent="0.2">
      <c r="A467">
        <v>454</v>
      </c>
      <c r="B467" t="s">
        <v>855</v>
      </c>
      <c r="C467">
        <v>21</v>
      </c>
      <c r="D467" t="s">
        <v>330</v>
      </c>
      <c r="E467" t="s">
        <v>349</v>
      </c>
      <c r="F467">
        <v>28</v>
      </c>
      <c r="G467">
        <v>1</v>
      </c>
      <c r="H467">
        <v>7</v>
      </c>
      <c r="I467">
        <v>8</v>
      </c>
      <c r="J467">
        <v>0</v>
      </c>
      <c r="K467">
        <v>28</v>
      </c>
      <c r="L467">
        <v>1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39</v>
      </c>
      <c r="T467">
        <v>2.6</v>
      </c>
      <c r="U467">
        <v>114</v>
      </c>
      <c r="V467" t="s">
        <v>856</v>
      </c>
      <c r="W467" t="s">
        <v>786</v>
      </c>
      <c r="X467">
        <v>0</v>
      </c>
      <c r="Y467">
        <v>0</v>
      </c>
      <c r="AA467">
        <v>29</v>
      </c>
      <c r="AB467">
        <v>26</v>
      </c>
      <c r="AC467">
        <v>4</v>
      </c>
      <c r="AD467">
        <v>37</v>
      </c>
      <c r="AE467" t="s">
        <v>60</v>
      </c>
    </row>
    <row r="468" spans="1:31" x14ac:dyDescent="0.2">
      <c r="A468">
        <v>455</v>
      </c>
      <c r="B468" t="s">
        <v>1014</v>
      </c>
      <c r="C468">
        <v>21</v>
      </c>
      <c r="D468" t="s">
        <v>387</v>
      </c>
      <c r="E468" t="s">
        <v>322</v>
      </c>
      <c r="F468">
        <v>28</v>
      </c>
      <c r="G468">
        <v>4</v>
      </c>
      <c r="H468">
        <v>4</v>
      </c>
      <c r="I468">
        <v>8</v>
      </c>
      <c r="J468">
        <v>1</v>
      </c>
      <c r="K468">
        <v>12</v>
      </c>
      <c r="L468">
        <v>3</v>
      </c>
      <c r="M468">
        <v>1</v>
      </c>
      <c r="N468">
        <v>0</v>
      </c>
      <c r="O468">
        <v>2</v>
      </c>
      <c r="P468">
        <v>4</v>
      </c>
      <c r="Q468">
        <v>0</v>
      </c>
      <c r="R468">
        <v>0</v>
      </c>
      <c r="S468">
        <v>30</v>
      </c>
      <c r="T468">
        <v>13.3</v>
      </c>
      <c r="U468">
        <v>55</v>
      </c>
      <c r="V468" t="s">
        <v>2479</v>
      </c>
      <c r="W468" t="s">
        <v>2480</v>
      </c>
      <c r="X468">
        <v>78</v>
      </c>
      <c r="Y468">
        <v>119</v>
      </c>
      <c r="Z468">
        <v>39.6</v>
      </c>
      <c r="AA468">
        <v>17</v>
      </c>
      <c r="AB468">
        <v>7</v>
      </c>
      <c r="AC468">
        <v>2</v>
      </c>
      <c r="AD468">
        <v>22</v>
      </c>
      <c r="AE468" t="s">
        <v>60</v>
      </c>
    </row>
    <row r="469" spans="1:31" x14ac:dyDescent="0.2">
      <c r="A469">
        <v>456</v>
      </c>
      <c r="B469" t="s">
        <v>1019</v>
      </c>
      <c r="C469">
        <v>24</v>
      </c>
      <c r="D469" t="s">
        <v>330</v>
      </c>
      <c r="E469" t="s">
        <v>349</v>
      </c>
      <c r="F469">
        <v>37</v>
      </c>
      <c r="G469">
        <v>2</v>
      </c>
      <c r="H469">
        <v>6</v>
      </c>
      <c r="I469">
        <v>8</v>
      </c>
      <c r="J469">
        <v>-11</v>
      </c>
      <c r="K469">
        <v>9</v>
      </c>
      <c r="L469">
        <v>2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35</v>
      </c>
      <c r="T469">
        <v>5.7</v>
      </c>
      <c r="U469">
        <v>93</v>
      </c>
      <c r="V469" t="s">
        <v>2766</v>
      </c>
      <c r="W469" t="s">
        <v>1652</v>
      </c>
      <c r="X469">
        <v>0</v>
      </c>
      <c r="Y469">
        <v>0</v>
      </c>
      <c r="AA469">
        <v>57</v>
      </c>
      <c r="AB469">
        <v>16</v>
      </c>
      <c r="AC469">
        <v>14</v>
      </c>
      <c r="AD469">
        <v>34</v>
      </c>
      <c r="AE469" t="s">
        <v>60</v>
      </c>
    </row>
    <row r="470" spans="1:31" x14ac:dyDescent="0.2">
      <c r="A470">
        <v>457</v>
      </c>
      <c r="B470" t="s">
        <v>1030</v>
      </c>
      <c r="C470">
        <v>25</v>
      </c>
      <c r="D470" t="s">
        <v>334</v>
      </c>
      <c r="E470" t="s">
        <v>322</v>
      </c>
      <c r="F470">
        <v>29</v>
      </c>
      <c r="G470">
        <v>3</v>
      </c>
      <c r="H470">
        <v>4</v>
      </c>
      <c r="I470">
        <v>7</v>
      </c>
      <c r="J470">
        <v>6</v>
      </c>
      <c r="K470">
        <v>6</v>
      </c>
      <c r="L470">
        <v>2</v>
      </c>
      <c r="M470">
        <v>0</v>
      </c>
      <c r="N470">
        <v>1</v>
      </c>
      <c r="O470">
        <v>1</v>
      </c>
      <c r="P470">
        <v>4</v>
      </c>
      <c r="Q470">
        <v>0</v>
      </c>
      <c r="R470">
        <v>0</v>
      </c>
      <c r="S470">
        <v>17</v>
      </c>
      <c r="T470">
        <v>17.600000000000001</v>
      </c>
      <c r="U470">
        <v>34</v>
      </c>
      <c r="V470" t="s">
        <v>2481</v>
      </c>
      <c r="W470" t="s">
        <v>1031</v>
      </c>
      <c r="X470">
        <v>8</v>
      </c>
      <c r="Y470">
        <v>11</v>
      </c>
      <c r="Z470">
        <v>42.1</v>
      </c>
      <c r="AA470">
        <v>17</v>
      </c>
      <c r="AB470">
        <v>12</v>
      </c>
      <c r="AC470">
        <v>6</v>
      </c>
      <c r="AD470">
        <v>18</v>
      </c>
      <c r="AE470" t="s">
        <v>60</v>
      </c>
    </row>
    <row r="471" spans="1:31" x14ac:dyDescent="0.2">
      <c r="A471">
        <v>458</v>
      </c>
      <c r="B471" t="s">
        <v>914</v>
      </c>
      <c r="C471">
        <v>25</v>
      </c>
      <c r="D471" t="s">
        <v>448</v>
      </c>
      <c r="E471" t="s">
        <v>349</v>
      </c>
      <c r="F471">
        <v>37</v>
      </c>
      <c r="G471">
        <v>3</v>
      </c>
      <c r="H471">
        <v>4</v>
      </c>
      <c r="I471">
        <v>7</v>
      </c>
      <c r="J471">
        <v>10</v>
      </c>
      <c r="K471">
        <v>29</v>
      </c>
      <c r="L471">
        <v>3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31</v>
      </c>
      <c r="T471">
        <v>9.6999999999999993</v>
      </c>
      <c r="U471">
        <v>74</v>
      </c>
      <c r="V471" t="s">
        <v>2482</v>
      </c>
      <c r="W471" t="s">
        <v>1890</v>
      </c>
      <c r="X471">
        <v>0</v>
      </c>
      <c r="Y471">
        <v>0</v>
      </c>
      <c r="AA471">
        <v>52</v>
      </c>
      <c r="AB471">
        <v>45</v>
      </c>
      <c r="AC471">
        <v>26</v>
      </c>
      <c r="AD471">
        <v>46</v>
      </c>
      <c r="AE471" t="s">
        <v>60</v>
      </c>
    </row>
    <row r="472" spans="1:31" x14ac:dyDescent="0.2">
      <c r="A472">
        <v>459</v>
      </c>
      <c r="B472" t="s">
        <v>969</v>
      </c>
      <c r="C472">
        <v>29</v>
      </c>
      <c r="D472" t="s">
        <v>375</v>
      </c>
      <c r="E472" t="s">
        <v>349</v>
      </c>
      <c r="F472">
        <v>28</v>
      </c>
      <c r="G472">
        <v>1</v>
      </c>
      <c r="H472">
        <v>6</v>
      </c>
      <c r="I472">
        <v>7</v>
      </c>
      <c r="J472">
        <v>2</v>
      </c>
      <c r="K472">
        <v>14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23</v>
      </c>
      <c r="T472">
        <v>4.3</v>
      </c>
      <c r="U472">
        <v>54</v>
      </c>
      <c r="V472" t="s">
        <v>2483</v>
      </c>
      <c r="W472" t="s">
        <v>693</v>
      </c>
      <c r="X472">
        <v>0</v>
      </c>
      <c r="Y472">
        <v>0</v>
      </c>
      <c r="AA472">
        <v>18</v>
      </c>
      <c r="AB472">
        <v>37</v>
      </c>
      <c r="AC472">
        <v>12</v>
      </c>
      <c r="AD472">
        <v>12</v>
      </c>
      <c r="AE472" t="s">
        <v>60</v>
      </c>
    </row>
    <row r="473" spans="1:31" x14ac:dyDescent="0.2">
      <c r="A473">
        <v>460</v>
      </c>
      <c r="B473" t="s">
        <v>917</v>
      </c>
      <c r="C473">
        <v>32</v>
      </c>
      <c r="D473" t="s">
        <v>334</v>
      </c>
      <c r="E473" t="s">
        <v>322</v>
      </c>
      <c r="F473">
        <v>35</v>
      </c>
      <c r="G473">
        <v>2</v>
      </c>
      <c r="H473">
        <v>5</v>
      </c>
      <c r="I473">
        <v>7</v>
      </c>
      <c r="J473">
        <v>-1</v>
      </c>
      <c r="K473">
        <v>14</v>
      </c>
      <c r="L473">
        <v>2</v>
      </c>
      <c r="M473">
        <v>0</v>
      </c>
      <c r="N473">
        <v>0</v>
      </c>
      <c r="O473">
        <v>1</v>
      </c>
      <c r="P473">
        <v>5</v>
      </c>
      <c r="Q473">
        <v>0</v>
      </c>
      <c r="R473">
        <v>0</v>
      </c>
      <c r="S473">
        <v>25</v>
      </c>
      <c r="T473">
        <v>8</v>
      </c>
      <c r="U473">
        <v>59</v>
      </c>
      <c r="V473" t="s">
        <v>2036</v>
      </c>
      <c r="W473" t="s">
        <v>743</v>
      </c>
      <c r="X473">
        <v>58</v>
      </c>
      <c r="Y473">
        <v>86</v>
      </c>
      <c r="Z473">
        <v>40.299999999999997</v>
      </c>
      <c r="AA473">
        <v>16</v>
      </c>
      <c r="AB473">
        <v>54</v>
      </c>
      <c r="AC473">
        <v>3</v>
      </c>
      <c r="AD473">
        <v>19</v>
      </c>
      <c r="AE473" t="s">
        <v>60</v>
      </c>
    </row>
    <row r="474" spans="1:31" x14ac:dyDescent="0.2">
      <c r="A474">
        <v>461</v>
      </c>
      <c r="B474" t="s">
        <v>918</v>
      </c>
      <c r="C474">
        <v>27</v>
      </c>
      <c r="D474" t="s">
        <v>375</v>
      </c>
      <c r="E474" t="s">
        <v>322</v>
      </c>
      <c r="F474">
        <v>37</v>
      </c>
      <c r="G474">
        <v>3</v>
      </c>
      <c r="H474">
        <v>4</v>
      </c>
      <c r="I474">
        <v>7</v>
      </c>
      <c r="J474">
        <v>-3</v>
      </c>
      <c r="K474">
        <v>10</v>
      </c>
      <c r="L474">
        <v>3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33</v>
      </c>
      <c r="T474">
        <v>9.1</v>
      </c>
      <c r="U474">
        <v>62</v>
      </c>
      <c r="V474" t="s">
        <v>2484</v>
      </c>
      <c r="W474" t="s">
        <v>1962</v>
      </c>
      <c r="X474">
        <v>20</v>
      </c>
      <c r="Y474">
        <v>44</v>
      </c>
      <c r="Z474">
        <v>31.3</v>
      </c>
      <c r="AA474">
        <v>19</v>
      </c>
      <c r="AB474">
        <v>81</v>
      </c>
      <c r="AC474">
        <v>1</v>
      </c>
      <c r="AD474">
        <v>28</v>
      </c>
      <c r="AE474" t="s">
        <v>60</v>
      </c>
    </row>
    <row r="475" spans="1:31" x14ac:dyDescent="0.2">
      <c r="A475">
        <v>462</v>
      </c>
      <c r="B475" t="s">
        <v>921</v>
      </c>
      <c r="C475">
        <v>32</v>
      </c>
      <c r="D475" t="s">
        <v>429</v>
      </c>
      <c r="E475" t="s">
        <v>349</v>
      </c>
      <c r="F475">
        <v>37</v>
      </c>
      <c r="G475">
        <v>1</v>
      </c>
      <c r="H475">
        <v>6</v>
      </c>
      <c r="I475">
        <v>7</v>
      </c>
      <c r="J475">
        <v>-2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1</v>
      </c>
      <c r="S475">
        <v>32</v>
      </c>
      <c r="T475">
        <v>3.1</v>
      </c>
      <c r="U475">
        <v>92</v>
      </c>
      <c r="V475" t="s">
        <v>2485</v>
      </c>
      <c r="W475" t="s">
        <v>1689</v>
      </c>
      <c r="X475">
        <v>0</v>
      </c>
      <c r="Y475">
        <v>0</v>
      </c>
      <c r="AA475">
        <v>48</v>
      </c>
      <c r="AB475">
        <v>19</v>
      </c>
      <c r="AC475">
        <v>8</v>
      </c>
      <c r="AD475">
        <v>32</v>
      </c>
      <c r="AE475" t="s">
        <v>60</v>
      </c>
    </row>
    <row r="476" spans="1:31" x14ac:dyDescent="0.2">
      <c r="A476">
        <v>463</v>
      </c>
      <c r="B476" t="s">
        <v>1120</v>
      </c>
      <c r="C476">
        <v>25</v>
      </c>
      <c r="D476" t="s">
        <v>353</v>
      </c>
      <c r="E476" t="s">
        <v>349</v>
      </c>
      <c r="F476">
        <v>20</v>
      </c>
      <c r="G476">
        <v>1</v>
      </c>
      <c r="H476">
        <v>6</v>
      </c>
      <c r="I476">
        <v>7</v>
      </c>
      <c r="J476">
        <v>4</v>
      </c>
      <c r="K476">
        <v>21</v>
      </c>
      <c r="L476">
        <v>1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28</v>
      </c>
      <c r="T476">
        <v>3.6</v>
      </c>
      <c r="U476">
        <v>60</v>
      </c>
      <c r="V476" t="s">
        <v>2767</v>
      </c>
      <c r="W476" t="s">
        <v>1681</v>
      </c>
      <c r="X476">
        <v>0</v>
      </c>
      <c r="Y476">
        <v>0</v>
      </c>
      <c r="AA476">
        <v>21</v>
      </c>
      <c r="AB476">
        <v>24</v>
      </c>
      <c r="AC476">
        <v>5</v>
      </c>
      <c r="AD476">
        <v>8</v>
      </c>
      <c r="AE476" t="s">
        <v>60</v>
      </c>
    </row>
    <row r="477" spans="1:31" x14ac:dyDescent="0.2">
      <c r="A477">
        <v>464</v>
      </c>
      <c r="B477" t="s">
        <v>924</v>
      </c>
      <c r="C477">
        <v>23</v>
      </c>
      <c r="D477" t="s">
        <v>330</v>
      </c>
      <c r="E477" t="s">
        <v>322</v>
      </c>
      <c r="F477">
        <v>38</v>
      </c>
      <c r="G477">
        <v>3</v>
      </c>
      <c r="H477">
        <v>4</v>
      </c>
      <c r="I477">
        <v>7</v>
      </c>
      <c r="J477">
        <v>-14</v>
      </c>
      <c r="K477">
        <v>45</v>
      </c>
      <c r="L477">
        <v>2</v>
      </c>
      <c r="M477">
        <v>1</v>
      </c>
      <c r="N477">
        <v>0</v>
      </c>
      <c r="O477">
        <v>1</v>
      </c>
      <c r="P477">
        <v>3</v>
      </c>
      <c r="Q477">
        <v>1</v>
      </c>
      <c r="R477">
        <v>0</v>
      </c>
      <c r="S477">
        <v>43</v>
      </c>
      <c r="T477">
        <v>7</v>
      </c>
      <c r="U477">
        <v>83</v>
      </c>
      <c r="V477" t="s">
        <v>2768</v>
      </c>
      <c r="W477" t="s">
        <v>1693</v>
      </c>
      <c r="X477">
        <v>25</v>
      </c>
      <c r="Y477">
        <v>40</v>
      </c>
      <c r="Z477">
        <v>38.5</v>
      </c>
      <c r="AA477">
        <v>21</v>
      </c>
      <c r="AB477">
        <v>133</v>
      </c>
      <c r="AC477">
        <v>12</v>
      </c>
      <c r="AD477">
        <v>20</v>
      </c>
      <c r="AE477" t="s">
        <v>60</v>
      </c>
    </row>
    <row r="478" spans="1:31" x14ac:dyDescent="0.2">
      <c r="A478">
        <v>465</v>
      </c>
      <c r="B478" t="s">
        <v>871</v>
      </c>
      <c r="C478">
        <v>25</v>
      </c>
      <c r="D478" t="s">
        <v>365</v>
      </c>
      <c r="E478" t="s">
        <v>322</v>
      </c>
      <c r="F478">
        <v>15</v>
      </c>
      <c r="G478">
        <v>5</v>
      </c>
      <c r="H478">
        <v>2</v>
      </c>
      <c r="I478">
        <v>7</v>
      </c>
      <c r="J478">
        <v>-2</v>
      </c>
      <c r="K478">
        <v>16</v>
      </c>
      <c r="L478">
        <v>5</v>
      </c>
      <c r="M478">
        <v>0</v>
      </c>
      <c r="N478">
        <v>0</v>
      </c>
      <c r="O478">
        <v>0</v>
      </c>
      <c r="P478">
        <v>1</v>
      </c>
      <c r="Q478">
        <v>1</v>
      </c>
      <c r="R478">
        <v>0</v>
      </c>
      <c r="S478">
        <v>22</v>
      </c>
      <c r="T478">
        <v>22.7</v>
      </c>
      <c r="U478">
        <v>44</v>
      </c>
      <c r="V478" t="s">
        <v>872</v>
      </c>
      <c r="W478" t="s">
        <v>873</v>
      </c>
      <c r="X478">
        <v>46</v>
      </c>
      <c r="Y478">
        <v>61</v>
      </c>
      <c r="Z478">
        <v>43</v>
      </c>
      <c r="AA478">
        <v>15</v>
      </c>
      <c r="AB478">
        <v>21</v>
      </c>
      <c r="AC478">
        <v>8</v>
      </c>
      <c r="AD478">
        <v>8</v>
      </c>
      <c r="AE478" t="s">
        <v>60</v>
      </c>
    </row>
    <row r="479" spans="1:31" x14ac:dyDescent="0.2">
      <c r="A479">
        <v>466</v>
      </c>
      <c r="B479" t="s">
        <v>975</v>
      </c>
      <c r="C479">
        <v>21</v>
      </c>
      <c r="D479" t="s">
        <v>373</v>
      </c>
      <c r="E479" t="s">
        <v>322</v>
      </c>
      <c r="F479">
        <v>25</v>
      </c>
      <c r="G479">
        <v>2</v>
      </c>
      <c r="H479">
        <v>5</v>
      </c>
      <c r="I479">
        <v>7</v>
      </c>
      <c r="J479">
        <v>-5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2</v>
      </c>
      <c r="Q479">
        <v>3</v>
      </c>
      <c r="R479">
        <v>0</v>
      </c>
      <c r="S479">
        <v>31</v>
      </c>
      <c r="T479">
        <v>6.5</v>
      </c>
      <c r="U479">
        <v>58</v>
      </c>
      <c r="V479" t="s">
        <v>2769</v>
      </c>
      <c r="W479" t="s">
        <v>2770</v>
      </c>
      <c r="X479">
        <v>52</v>
      </c>
      <c r="Y479">
        <v>87</v>
      </c>
      <c r="Z479">
        <v>37.4</v>
      </c>
      <c r="AA479">
        <v>8</v>
      </c>
      <c r="AB479">
        <v>8</v>
      </c>
      <c r="AC479">
        <v>6</v>
      </c>
      <c r="AD479">
        <v>16</v>
      </c>
      <c r="AE479" t="s">
        <v>60</v>
      </c>
    </row>
    <row r="480" spans="1:31" x14ac:dyDescent="0.2">
      <c r="A480">
        <v>467</v>
      </c>
      <c r="B480" t="s">
        <v>929</v>
      </c>
      <c r="C480">
        <v>25</v>
      </c>
      <c r="D480" t="s">
        <v>328</v>
      </c>
      <c r="E480" t="s">
        <v>349</v>
      </c>
      <c r="F480">
        <v>34</v>
      </c>
      <c r="G480">
        <v>1</v>
      </c>
      <c r="H480">
        <v>6</v>
      </c>
      <c r="I480">
        <v>7</v>
      </c>
      <c r="J480">
        <v>4</v>
      </c>
      <c r="K480">
        <v>10</v>
      </c>
      <c r="L480">
        <v>1</v>
      </c>
      <c r="M480">
        <v>0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23</v>
      </c>
      <c r="T480">
        <v>4.3</v>
      </c>
      <c r="U480">
        <v>59</v>
      </c>
      <c r="V480" t="s">
        <v>2486</v>
      </c>
      <c r="W480" t="s">
        <v>1270</v>
      </c>
      <c r="X480">
        <v>0</v>
      </c>
      <c r="Y480">
        <v>0</v>
      </c>
      <c r="AA480">
        <v>60</v>
      </c>
      <c r="AB480">
        <v>50</v>
      </c>
      <c r="AC480">
        <v>6</v>
      </c>
      <c r="AD480">
        <v>24</v>
      </c>
      <c r="AE480" t="s">
        <v>60</v>
      </c>
    </row>
    <row r="481" spans="1:31" x14ac:dyDescent="0.2">
      <c r="A481">
        <v>468</v>
      </c>
      <c r="B481" t="s">
        <v>932</v>
      </c>
      <c r="C481">
        <v>38</v>
      </c>
      <c r="D481" t="s">
        <v>330</v>
      </c>
      <c r="E481" t="s">
        <v>340</v>
      </c>
      <c r="F481">
        <v>16</v>
      </c>
      <c r="G481">
        <v>1</v>
      </c>
      <c r="H481">
        <v>6</v>
      </c>
      <c r="I481">
        <v>7</v>
      </c>
      <c r="J481">
        <v>2</v>
      </c>
      <c r="K481">
        <v>16</v>
      </c>
      <c r="L481">
        <v>1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19</v>
      </c>
      <c r="T481">
        <v>5.3</v>
      </c>
      <c r="U481">
        <v>31</v>
      </c>
      <c r="V481" t="s">
        <v>2041</v>
      </c>
      <c r="W481" t="s">
        <v>885</v>
      </c>
      <c r="X481">
        <v>85</v>
      </c>
      <c r="Y481">
        <v>79</v>
      </c>
      <c r="Z481">
        <v>51.8</v>
      </c>
      <c r="AA481">
        <v>11</v>
      </c>
      <c r="AB481">
        <v>43</v>
      </c>
      <c r="AC481">
        <v>1</v>
      </c>
      <c r="AD481">
        <v>9</v>
      </c>
      <c r="AE481" t="s">
        <v>60</v>
      </c>
    </row>
    <row r="482" spans="1:31" x14ac:dyDescent="0.2">
      <c r="A482">
        <v>469</v>
      </c>
      <c r="B482" t="s">
        <v>934</v>
      </c>
      <c r="C482">
        <v>32</v>
      </c>
      <c r="D482" t="s">
        <v>353</v>
      </c>
      <c r="E482" t="s">
        <v>322</v>
      </c>
      <c r="F482">
        <v>31</v>
      </c>
      <c r="G482">
        <v>5</v>
      </c>
      <c r="H482">
        <v>2</v>
      </c>
      <c r="I482">
        <v>7</v>
      </c>
      <c r="J482">
        <v>-1</v>
      </c>
      <c r="K482">
        <v>12</v>
      </c>
      <c r="L482">
        <v>5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46</v>
      </c>
      <c r="T482">
        <v>10.9</v>
      </c>
      <c r="U482">
        <v>76</v>
      </c>
      <c r="V482" t="s">
        <v>2771</v>
      </c>
      <c r="W482" t="s">
        <v>1077</v>
      </c>
      <c r="X482">
        <v>36</v>
      </c>
      <c r="Y482">
        <v>60</v>
      </c>
      <c r="Z482">
        <v>37.5</v>
      </c>
      <c r="AA482">
        <v>21</v>
      </c>
      <c r="AB482">
        <v>88</v>
      </c>
      <c r="AC482">
        <v>1</v>
      </c>
      <c r="AD482">
        <v>18</v>
      </c>
      <c r="AE482" t="s">
        <v>60</v>
      </c>
    </row>
    <row r="483" spans="1:31" x14ac:dyDescent="0.2">
      <c r="A483">
        <v>470</v>
      </c>
      <c r="B483" t="s">
        <v>1135</v>
      </c>
      <c r="C483">
        <v>32</v>
      </c>
      <c r="D483" t="s">
        <v>324</v>
      </c>
      <c r="E483" t="s">
        <v>335</v>
      </c>
      <c r="F483">
        <v>38</v>
      </c>
      <c r="G483">
        <v>3</v>
      </c>
      <c r="H483">
        <v>4</v>
      </c>
      <c r="I483">
        <v>7</v>
      </c>
      <c r="J483">
        <v>-6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33</v>
      </c>
      <c r="T483">
        <v>9.1</v>
      </c>
      <c r="U483">
        <v>60</v>
      </c>
      <c r="V483" t="s">
        <v>2344</v>
      </c>
      <c r="W483" t="s">
        <v>896</v>
      </c>
      <c r="X483">
        <v>10</v>
      </c>
      <c r="Y483">
        <v>18</v>
      </c>
      <c r="Z483">
        <v>35.700000000000003</v>
      </c>
      <c r="AA483">
        <v>27</v>
      </c>
      <c r="AB483">
        <v>55</v>
      </c>
      <c r="AC483">
        <v>4</v>
      </c>
      <c r="AD483">
        <v>15</v>
      </c>
      <c r="AE483" t="s">
        <v>60</v>
      </c>
    </row>
    <row r="484" spans="1:31" x14ac:dyDescent="0.2">
      <c r="A484">
        <v>471</v>
      </c>
      <c r="B484" t="s">
        <v>1050</v>
      </c>
      <c r="C484">
        <v>22</v>
      </c>
      <c r="D484" t="s">
        <v>415</v>
      </c>
      <c r="E484" t="s">
        <v>335</v>
      </c>
      <c r="F484">
        <v>26</v>
      </c>
      <c r="G484">
        <v>2</v>
      </c>
      <c r="H484">
        <v>5</v>
      </c>
      <c r="I484">
        <v>7</v>
      </c>
      <c r="J484">
        <v>-2</v>
      </c>
      <c r="K484">
        <v>21</v>
      </c>
      <c r="L484">
        <v>2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13.3</v>
      </c>
      <c r="U484">
        <v>31</v>
      </c>
      <c r="V484" t="s">
        <v>2772</v>
      </c>
      <c r="W484" t="s">
        <v>1556</v>
      </c>
      <c r="X484">
        <v>2</v>
      </c>
      <c r="Y484">
        <v>1</v>
      </c>
      <c r="Z484">
        <v>66.7</v>
      </c>
      <c r="AA484">
        <v>9</v>
      </c>
      <c r="AB484">
        <v>44</v>
      </c>
      <c r="AC484">
        <v>6</v>
      </c>
      <c r="AD484">
        <v>20</v>
      </c>
      <c r="AE484" t="s">
        <v>60</v>
      </c>
    </row>
    <row r="485" spans="1:31" x14ac:dyDescent="0.2">
      <c r="A485">
        <v>472</v>
      </c>
      <c r="B485" t="s">
        <v>1467</v>
      </c>
      <c r="C485">
        <v>28</v>
      </c>
      <c r="D485" t="s">
        <v>415</v>
      </c>
      <c r="E485" t="s">
        <v>335</v>
      </c>
      <c r="F485">
        <v>11</v>
      </c>
      <c r="G485">
        <v>6</v>
      </c>
      <c r="H485">
        <v>1</v>
      </c>
      <c r="I485">
        <v>7</v>
      </c>
      <c r="J485">
        <v>6</v>
      </c>
      <c r="K485">
        <v>6</v>
      </c>
      <c r="L485">
        <v>6</v>
      </c>
      <c r="M485">
        <v>0</v>
      </c>
      <c r="N485">
        <v>0</v>
      </c>
      <c r="O485">
        <v>1</v>
      </c>
      <c r="P485">
        <v>1</v>
      </c>
      <c r="Q485">
        <v>0</v>
      </c>
      <c r="R485">
        <v>0</v>
      </c>
      <c r="S485">
        <v>18</v>
      </c>
      <c r="T485">
        <v>33.299999999999997</v>
      </c>
      <c r="U485">
        <v>24</v>
      </c>
      <c r="V485" t="s">
        <v>2773</v>
      </c>
      <c r="W485" t="s">
        <v>908</v>
      </c>
      <c r="X485">
        <v>0</v>
      </c>
      <c r="Y485">
        <v>1</v>
      </c>
      <c r="Z485">
        <v>0</v>
      </c>
      <c r="AA485">
        <v>7</v>
      </c>
      <c r="AB485">
        <v>29</v>
      </c>
      <c r="AC485">
        <v>1</v>
      </c>
      <c r="AD485">
        <v>4</v>
      </c>
      <c r="AE485" t="s">
        <v>60</v>
      </c>
    </row>
    <row r="486" spans="1:31" x14ac:dyDescent="0.2">
      <c r="A486">
        <v>473</v>
      </c>
      <c r="B486" t="s">
        <v>1052</v>
      </c>
      <c r="C486">
        <v>32</v>
      </c>
      <c r="D486" t="s">
        <v>330</v>
      </c>
      <c r="E486" t="s">
        <v>349</v>
      </c>
      <c r="F486">
        <v>38</v>
      </c>
      <c r="G486">
        <v>0</v>
      </c>
      <c r="H486">
        <v>7</v>
      </c>
      <c r="I486">
        <v>7</v>
      </c>
      <c r="J486">
        <v>1</v>
      </c>
      <c r="K486">
        <v>18</v>
      </c>
      <c r="L486">
        <v>0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1</v>
      </c>
      <c r="S486">
        <v>42</v>
      </c>
      <c r="T486">
        <v>0</v>
      </c>
      <c r="U486">
        <v>100</v>
      </c>
      <c r="V486" t="s">
        <v>2774</v>
      </c>
      <c r="W486" t="s">
        <v>1705</v>
      </c>
      <c r="X486">
        <v>0</v>
      </c>
      <c r="Y486">
        <v>0</v>
      </c>
      <c r="AA486">
        <v>31</v>
      </c>
      <c r="AB486">
        <v>20</v>
      </c>
      <c r="AC486">
        <v>9</v>
      </c>
      <c r="AD486">
        <v>25</v>
      </c>
      <c r="AE486" t="s">
        <v>60</v>
      </c>
    </row>
    <row r="487" spans="1:31" x14ac:dyDescent="0.2">
      <c r="A487">
        <v>474</v>
      </c>
      <c r="B487" t="s">
        <v>981</v>
      </c>
      <c r="C487">
        <v>23</v>
      </c>
      <c r="D487" t="s">
        <v>353</v>
      </c>
      <c r="E487" t="s">
        <v>322</v>
      </c>
      <c r="F487">
        <v>23</v>
      </c>
      <c r="G487">
        <v>2</v>
      </c>
      <c r="H487">
        <v>5</v>
      </c>
      <c r="I487">
        <v>7</v>
      </c>
      <c r="J487">
        <v>1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25</v>
      </c>
      <c r="T487">
        <v>8</v>
      </c>
      <c r="U487">
        <v>61</v>
      </c>
      <c r="V487" t="s">
        <v>2082</v>
      </c>
      <c r="W487" t="s">
        <v>923</v>
      </c>
      <c r="X487">
        <v>60</v>
      </c>
      <c r="Y487">
        <v>70</v>
      </c>
      <c r="Z487">
        <v>46.2</v>
      </c>
      <c r="AA487">
        <v>9</v>
      </c>
      <c r="AB487">
        <v>32</v>
      </c>
      <c r="AC487">
        <v>6</v>
      </c>
      <c r="AD487">
        <v>14</v>
      </c>
      <c r="AE487" t="s">
        <v>60</v>
      </c>
    </row>
    <row r="488" spans="1:31" x14ac:dyDescent="0.2">
      <c r="A488">
        <v>475</v>
      </c>
      <c r="B488" t="s">
        <v>882</v>
      </c>
      <c r="C488">
        <v>33</v>
      </c>
      <c r="D488" t="s">
        <v>344</v>
      </c>
      <c r="E488" t="s">
        <v>322</v>
      </c>
      <c r="F488">
        <v>14</v>
      </c>
      <c r="G488">
        <v>4</v>
      </c>
      <c r="H488">
        <v>3</v>
      </c>
      <c r="I488">
        <v>7</v>
      </c>
      <c r="J488">
        <v>-1</v>
      </c>
      <c r="K488">
        <v>4</v>
      </c>
      <c r="L488">
        <v>2</v>
      </c>
      <c r="M488">
        <v>1</v>
      </c>
      <c r="N488">
        <v>1</v>
      </c>
      <c r="O488">
        <v>1</v>
      </c>
      <c r="P488">
        <v>3</v>
      </c>
      <c r="Q488">
        <v>0</v>
      </c>
      <c r="R488">
        <v>0</v>
      </c>
      <c r="S488">
        <v>30</v>
      </c>
      <c r="T488">
        <v>13.3</v>
      </c>
      <c r="U488">
        <v>48</v>
      </c>
      <c r="V488" t="s">
        <v>883</v>
      </c>
      <c r="W488" t="s">
        <v>741</v>
      </c>
      <c r="X488">
        <v>91</v>
      </c>
      <c r="Y488">
        <v>67</v>
      </c>
      <c r="Z488">
        <v>57.6</v>
      </c>
      <c r="AA488">
        <v>13</v>
      </c>
      <c r="AB488">
        <v>3</v>
      </c>
      <c r="AC488">
        <v>3</v>
      </c>
      <c r="AD488">
        <v>11</v>
      </c>
      <c r="AE488" t="s">
        <v>60</v>
      </c>
    </row>
    <row r="489" spans="1:31" x14ac:dyDescent="0.2">
      <c r="A489">
        <v>476</v>
      </c>
      <c r="B489" t="s">
        <v>994</v>
      </c>
      <c r="C489">
        <v>28</v>
      </c>
      <c r="D489" t="s">
        <v>378</v>
      </c>
      <c r="E489" t="s">
        <v>322</v>
      </c>
      <c r="F489">
        <v>28</v>
      </c>
      <c r="G489">
        <v>3</v>
      </c>
      <c r="H489">
        <v>4</v>
      </c>
      <c r="I489">
        <v>7</v>
      </c>
      <c r="J489">
        <v>2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t="s">
        <v>2775</v>
      </c>
      <c r="W489" t="s">
        <v>654</v>
      </c>
      <c r="X489">
        <v>143</v>
      </c>
      <c r="Y489">
        <v>131</v>
      </c>
      <c r="Z489">
        <v>52.2</v>
      </c>
      <c r="AA489">
        <v>13</v>
      </c>
      <c r="AB489">
        <v>25</v>
      </c>
      <c r="AC489">
        <v>7</v>
      </c>
      <c r="AD489">
        <v>18</v>
      </c>
      <c r="AE489" t="s">
        <v>60</v>
      </c>
    </row>
    <row r="490" spans="1:31" x14ac:dyDescent="0.2">
      <c r="A490">
        <v>477</v>
      </c>
      <c r="B490" t="s">
        <v>996</v>
      </c>
      <c r="C490">
        <v>31</v>
      </c>
      <c r="D490" t="s">
        <v>334</v>
      </c>
      <c r="E490" t="s">
        <v>349</v>
      </c>
      <c r="F490">
        <v>27</v>
      </c>
      <c r="G490">
        <v>1</v>
      </c>
      <c r="H490">
        <v>6</v>
      </c>
      <c r="I490">
        <v>7</v>
      </c>
      <c r="J490">
        <v>2</v>
      </c>
      <c r="K490">
        <v>23</v>
      </c>
      <c r="L490">
        <v>1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17</v>
      </c>
      <c r="T490">
        <v>5.9</v>
      </c>
      <c r="U490">
        <v>34</v>
      </c>
      <c r="V490" t="s">
        <v>551</v>
      </c>
      <c r="W490" t="s">
        <v>552</v>
      </c>
      <c r="X490">
        <v>0</v>
      </c>
      <c r="Y490">
        <v>0</v>
      </c>
      <c r="AA490">
        <v>52</v>
      </c>
      <c r="AB490">
        <v>43</v>
      </c>
      <c r="AC490">
        <v>5</v>
      </c>
      <c r="AD490">
        <v>27</v>
      </c>
      <c r="AE490" t="s">
        <v>60</v>
      </c>
    </row>
    <row r="491" spans="1:31" x14ac:dyDescent="0.2">
      <c r="A491">
        <v>478</v>
      </c>
      <c r="B491" t="s">
        <v>1002</v>
      </c>
      <c r="C491">
        <v>30</v>
      </c>
      <c r="D491" t="s">
        <v>359</v>
      </c>
      <c r="E491" t="s">
        <v>349</v>
      </c>
      <c r="F491">
        <v>32</v>
      </c>
      <c r="G491">
        <v>0</v>
      </c>
      <c r="H491">
        <v>7</v>
      </c>
      <c r="I491">
        <v>7</v>
      </c>
      <c r="J491">
        <v>1</v>
      </c>
      <c r="K491">
        <v>42</v>
      </c>
      <c r="L491">
        <v>0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27</v>
      </c>
      <c r="T491">
        <v>0</v>
      </c>
      <c r="U491">
        <v>63</v>
      </c>
      <c r="V491" t="s">
        <v>2488</v>
      </c>
      <c r="W491" t="s">
        <v>1654</v>
      </c>
      <c r="X491">
        <v>0</v>
      </c>
      <c r="Y491">
        <v>0</v>
      </c>
      <c r="AA491">
        <v>45</v>
      </c>
      <c r="AB491">
        <v>46</v>
      </c>
      <c r="AC491">
        <v>4</v>
      </c>
      <c r="AD491">
        <v>15</v>
      </c>
      <c r="AE491" t="s">
        <v>60</v>
      </c>
    </row>
    <row r="492" spans="1:31" x14ac:dyDescent="0.2">
      <c r="A492">
        <v>479</v>
      </c>
      <c r="B492" t="s">
        <v>952</v>
      </c>
      <c r="C492">
        <v>29</v>
      </c>
      <c r="D492" t="s">
        <v>368</v>
      </c>
      <c r="E492" t="s">
        <v>340</v>
      </c>
      <c r="F492">
        <v>23</v>
      </c>
      <c r="G492">
        <v>4</v>
      </c>
      <c r="H492">
        <v>3</v>
      </c>
      <c r="I492">
        <v>7</v>
      </c>
      <c r="J492">
        <v>1</v>
      </c>
      <c r="K492">
        <v>4</v>
      </c>
      <c r="L492">
        <v>4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26</v>
      </c>
      <c r="T492">
        <v>15.4</v>
      </c>
      <c r="U492">
        <v>41</v>
      </c>
      <c r="V492" t="s">
        <v>2133</v>
      </c>
      <c r="W492" t="s">
        <v>2134</v>
      </c>
      <c r="X492">
        <v>5</v>
      </c>
      <c r="Y492">
        <v>4</v>
      </c>
      <c r="Z492">
        <v>55.6</v>
      </c>
      <c r="AA492">
        <v>2</v>
      </c>
      <c r="AB492">
        <v>5</v>
      </c>
      <c r="AC492">
        <v>3</v>
      </c>
      <c r="AD492">
        <v>13</v>
      </c>
      <c r="AE492" t="s">
        <v>60</v>
      </c>
    </row>
    <row r="493" spans="1:31" x14ac:dyDescent="0.2">
      <c r="A493">
        <v>480</v>
      </c>
      <c r="B493" t="s">
        <v>1159</v>
      </c>
      <c r="C493">
        <v>32</v>
      </c>
      <c r="D493" t="s">
        <v>404</v>
      </c>
      <c r="E493" t="s">
        <v>335</v>
      </c>
      <c r="F493">
        <v>32</v>
      </c>
      <c r="G493">
        <v>3</v>
      </c>
      <c r="H493">
        <v>4</v>
      </c>
      <c r="I493">
        <v>7</v>
      </c>
      <c r="J493">
        <v>-10</v>
      </c>
      <c r="K493">
        <v>29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2</v>
      </c>
      <c r="R493">
        <v>0</v>
      </c>
      <c r="S493">
        <v>43</v>
      </c>
      <c r="T493">
        <v>7</v>
      </c>
      <c r="U493">
        <v>79</v>
      </c>
      <c r="V493" t="s">
        <v>2489</v>
      </c>
      <c r="W493" t="s">
        <v>1950</v>
      </c>
      <c r="X493">
        <v>13</v>
      </c>
      <c r="Y493">
        <v>16</v>
      </c>
      <c r="Z493">
        <v>44.8</v>
      </c>
      <c r="AA493">
        <v>12</v>
      </c>
      <c r="AB493">
        <v>30</v>
      </c>
      <c r="AC493">
        <v>2</v>
      </c>
      <c r="AD493">
        <v>19</v>
      </c>
      <c r="AE493" t="s">
        <v>60</v>
      </c>
    </row>
    <row r="494" spans="1:31" x14ac:dyDescent="0.2">
      <c r="A494">
        <v>481</v>
      </c>
      <c r="B494" t="s">
        <v>953</v>
      </c>
      <c r="C494">
        <v>36</v>
      </c>
      <c r="D494" t="s">
        <v>346</v>
      </c>
      <c r="E494" t="s">
        <v>335</v>
      </c>
      <c r="F494">
        <v>27</v>
      </c>
      <c r="G494">
        <v>0</v>
      </c>
      <c r="H494">
        <v>7</v>
      </c>
      <c r="I494">
        <v>7</v>
      </c>
      <c r="J494">
        <v>-3</v>
      </c>
      <c r="K494">
        <v>4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4</v>
      </c>
      <c r="R494">
        <v>0</v>
      </c>
      <c r="S494">
        <v>35</v>
      </c>
      <c r="T494">
        <v>0</v>
      </c>
      <c r="U494">
        <v>68</v>
      </c>
      <c r="V494" t="s">
        <v>2490</v>
      </c>
      <c r="W494" t="s">
        <v>956</v>
      </c>
      <c r="X494">
        <v>6</v>
      </c>
      <c r="Y494">
        <v>10</v>
      </c>
      <c r="Z494">
        <v>37.5</v>
      </c>
      <c r="AA494">
        <v>13</v>
      </c>
      <c r="AB494">
        <v>17</v>
      </c>
      <c r="AC494">
        <v>10</v>
      </c>
      <c r="AD494">
        <v>14</v>
      </c>
      <c r="AE494" t="s">
        <v>60</v>
      </c>
    </row>
    <row r="495" spans="1:31" x14ac:dyDescent="0.2">
      <c r="A495">
        <v>482</v>
      </c>
      <c r="B495" t="s">
        <v>1006</v>
      </c>
      <c r="C495">
        <v>34</v>
      </c>
      <c r="D495" t="s">
        <v>404</v>
      </c>
      <c r="E495" t="s">
        <v>340</v>
      </c>
      <c r="F495">
        <v>38</v>
      </c>
      <c r="G495">
        <v>2</v>
      </c>
      <c r="H495">
        <v>5</v>
      </c>
      <c r="I495">
        <v>7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1</v>
      </c>
      <c r="R495">
        <v>0</v>
      </c>
      <c r="S495">
        <v>45</v>
      </c>
      <c r="T495">
        <v>4.4000000000000004</v>
      </c>
      <c r="U495">
        <v>92</v>
      </c>
      <c r="V495" t="s">
        <v>2491</v>
      </c>
      <c r="W495" t="s">
        <v>1028</v>
      </c>
      <c r="X495">
        <v>3</v>
      </c>
      <c r="Y495">
        <v>8</v>
      </c>
      <c r="Z495">
        <v>27.3</v>
      </c>
      <c r="AA495">
        <v>33</v>
      </c>
      <c r="AB495">
        <v>57</v>
      </c>
      <c r="AC495">
        <v>6</v>
      </c>
      <c r="AD495">
        <v>20</v>
      </c>
      <c r="AE495" t="s">
        <v>60</v>
      </c>
    </row>
    <row r="496" spans="1:31" x14ac:dyDescent="0.2">
      <c r="A496">
        <v>483</v>
      </c>
      <c r="B496" t="s">
        <v>1082</v>
      </c>
      <c r="C496">
        <v>24</v>
      </c>
      <c r="D496" t="s">
        <v>346</v>
      </c>
      <c r="E496" t="s">
        <v>322</v>
      </c>
      <c r="F496">
        <v>22</v>
      </c>
      <c r="G496">
        <v>2</v>
      </c>
      <c r="H496">
        <v>5</v>
      </c>
      <c r="I496">
        <v>7</v>
      </c>
      <c r="J496">
        <v>-13</v>
      </c>
      <c r="K496">
        <v>6</v>
      </c>
      <c r="L496">
        <v>1</v>
      </c>
      <c r="M496">
        <v>1</v>
      </c>
      <c r="N496">
        <v>0</v>
      </c>
      <c r="O496">
        <v>1</v>
      </c>
      <c r="P496">
        <v>3</v>
      </c>
      <c r="Q496">
        <v>2</v>
      </c>
      <c r="R496">
        <v>0</v>
      </c>
      <c r="S496">
        <v>36</v>
      </c>
      <c r="T496">
        <v>5.6</v>
      </c>
      <c r="U496">
        <v>80</v>
      </c>
      <c r="V496" t="s">
        <v>2492</v>
      </c>
      <c r="W496" t="s">
        <v>2031</v>
      </c>
      <c r="X496">
        <v>3</v>
      </c>
      <c r="Y496">
        <v>3</v>
      </c>
      <c r="Z496">
        <v>50</v>
      </c>
      <c r="AA496">
        <v>9</v>
      </c>
      <c r="AB496">
        <v>17</v>
      </c>
      <c r="AC496">
        <v>8</v>
      </c>
      <c r="AD496">
        <v>19</v>
      </c>
      <c r="AE496" t="s">
        <v>60</v>
      </c>
    </row>
    <row r="497" spans="1:31" x14ac:dyDescent="0.2">
      <c r="A497">
        <v>484</v>
      </c>
      <c r="B497" t="s">
        <v>958</v>
      </c>
      <c r="C497">
        <v>38</v>
      </c>
      <c r="D497" t="s">
        <v>375</v>
      </c>
      <c r="E497" t="s">
        <v>349</v>
      </c>
      <c r="F497">
        <v>35</v>
      </c>
      <c r="G497">
        <v>0</v>
      </c>
      <c r="H497">
        <v>7</v>
      </c>
      <c r="I497">
        <v>7</v>
      </c>
      <c r="J497">
        <v>-2</v>
      </c>
      <c r="K497">
        <v>14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2</v>
      </c>
      <c r="R497">
        <v>0</v>
      </c>
      <c r="S497">
        <v>29</v>
      </c>
      <c r="T497">
        <v>0</v>
      </c>
      <c r="U497">
        <v>89</v>
      </c>
      <c r="V497" t="s">
        <v>2493</v>
      </c>
      <c r="W497" t="s">
        <v>2110</v>
      </c>
      <c r="X497">
        <v>0</v>
      </c>
      <c r="Y497">
        <v>0</v>
      </c>
      <c r="AA497">
        <v>40</v>
      </c>
      <c r="AB497">
        <v>29</v>
      </c>
      <c r="AC497">
        <v>1</v>
      </c>
      <c r="AD497">
        <v>31</v>
      </c>
      <c r="AE497" t="s">
        <v>60</v>
      </c>
    </row>
    <row r="498" spans="1:31" x14ac:dyDescent="0.2">
      <c r="A498">
        <v>485</v>
      </c>
      <c r="B498" t="s">
        <v>1010</v>
      </c>
      <c r="C498">
        <v>29</v>
      </c>
      <c r="D498" t="s">
        <v>461</v>
      </c>
      <c r="E498" t="s">
        <v>349</v>
      </c>
      <c r="F498">
        <v>37</v>
      </c>
      <c r="G498">
        <v>1</v>
      </c>
      <c r="H498">
        <v>6</v>
      </c>
      <c r="I498">
        <v>7</v>
      </c>
      <c r="J498">
        <v>-1</v>
      </c>
      <c r="K498">
        <v>37</v>
      </c>
      <c r="L498">
        <v>1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28</v>
      </c>
      <c r="T498">
        <v>3.6</v>
      </c>
      <c r="U498">
        <v>76</v>
      </c>
      <c r="V498" t="s">
        <v>2494</v>
      </c>
      <c r="W498" t="s">
        <v>1841</v>
      </c>
      <c r="X498">
        <v>0</v>
      </c>
      <c r="Y498">
        <v>0</v>
      </c>
      <c r="AA498">
        <v>61</v>
      </c>
      <c r="AB498">
        <v>25</v>
      </c>
      <c r="AC498">
        <v>7</v>
      </c>
      <c r="AD498">
        <v>35</v>
      </c>
      <c r="AE498" t="s">
        <v>60</v>
      </c>
    </row>
    <row r="499" spans="1:31" x14ac:dyDescent="0.2">
      <c r="A499">
        <v>486</v>
      </c>
      <c r="B499" t="s">
        <v>899</v>
      </c>
      <c r="C499">
        <v>22</v>
      </c>
      <c r="D499" t="s">
        <v>439</v>
      </c>
      <c r="E499" t="s">
        <v>335</v>
      </c>
      <c r="F499">
        <v>13</v>
      </c>
      <c r="G499">
        <v>3</v>
      </c>
      <c r="H499">
        <v>4</v>
      </c>
      <c r="I499">
        <v>7</v>
      </c>
      <c r="J499">
        <v>-3</v>
      </c>
      <c r="K499">
        <v>0</v>
      </c>
      <c r="L499">
        <v>3</v>
      </c>
      <c r="M499">
        <v>0</v>
      </c>
      <c r="N499">
        <v>0</v>
      </c>
      <c r="O499">
        <v>0</v>
      </c>
      <c r="P499">
        <v>2</v>
      </c>
      <c r="Q499">
        <v>2</v>
      </c>
      <c r="R499">
        <v>0</v>
      </c>
      <c r="S499">
        <v>14</v>
      </c>
      <c r="T499">
        <v>21.4</v>
      </c>
      <c r="U499">
        <v>35</v>
      </c>
      <c r="V499" t="s">
        <v>2039</v>
      </c>
      <c r="W499" t="s">
        <v>679</v>
      </c>
      <c r="X499">
        <v>1</v>
      </c>
      <c r="Y499">
        <v>0</v>
      </c>
      <c r="Z499">
        <v>100</v>
      </c>
      <c r="AA499">
        <v>9</v>
      </c>
      <c r="AB499">
        <v>6</v>
      </c>
      <c r="AC499">
        <v>4</v>
      </c>
      <c r="AD499">
        <v>10</v>
      </c>
      <c r="AE499" t="s">
        <v>60</v>
      </c>
    </row>
    <row r="500" spans="1:31" x14ac:dyDescent="0.2">
      <c r="A500">
        <v>487</v>
      </c>
      <c r="B500" t="s">
        <v>960</v>
      </c>
      <c r="C500">
        <v>24</v>
      </c>
      <c r="D500" t="s">
        <v>363</v>
      </c>
      <c r="E500" t="s">
        <v>349</v>
      </c>
      <c r="F500">
        <v>40</v>
      </c>
      <c r="G500">
        <v>1</v>
      </c>
      <c r="H500">
        <v>6</v>
      </c>
      <c r="I500">
        <v>7</v>
      </c>
      <c r="J500">
        <v>-3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46</v>
      </c>
      <c r="T500">
        <v>2.2000000000000002</v>
      </c>
      <c r="U500">
        <v>115</v>
      </c>
      <c r="V500" t="s">
        <v>2495</v>
      </c>
      <c r="W500" t="s">
        <v>1977</v>
      </c>
      <c r="X500">
        <v>0</v>
      </c>
      <c r="Y500">
        <v>0</v>
      </c>
      <c r="AA500">
        <v>62</v>
      </c>
      <c r="AB500">
        <v>85</v>
      </c>
      <c r="AC500">
        <v>12</v>
      </c>
      <c r="AD500">
        <v>41</v>
      </c>
      <c r="AE500" t="s">
        <v>60</v>
      </c>
    </row>
    <row r="501" spans="1:31" x14ac:dyDescent="0.2">
      <c r="A501">
        <v>488</v>
      </c>
      <c r="B501" t="s">
        <v>904</v>
      </c>
      <c r="C501">
        <v>33</v>
      </c>
      <c r="D501" t="s">
        <v>324</v>
      </c>
      <c r="E501" t="s">
        <v>340</v>
      </c>
      <c r="F501">
        <v>25</v>
      </c>
      <c r="G501">
        <v>4</v>
      </c>
      <c r="H501">
        <v>3</v>
      </c>
      <c r="I501">
        <v>7</v>
      </c>
      <c r="J501">
        <v>-11</v>
      </c>
      <c r="K501">
        <v>14</v>
      </c>
      <c r="L501">
        <v>4</v>
      </c>
      <c r="M501">
        <v>0</v>
      </c>
      <c r="N501">
        <v>0</v>
      </c>
      <c r="O501">
        <v>0</v>
      </c>
      <c r="P501">
        <v>2</v>
      </c>
      <c r="Q501">
        <v>1</v>
      </c>
      <c r="R501">
        <v>0</v>
      </c>
      <c r="S501">
        <v>45</v>
      </c>
      <c r="T501">
        <v>8.9</v>
      </c>
      <c r="U501">
        <v>89</v>
      </c>
      <c r="V501" t="s">
        <v>2496</v>
      </c>
      <c r="W501" t="s">
        <v>841</v>
      </c>
      <c r="X501">
        <v>2</v>
      </c>
      <c r="Y501">
        <v>8</v>
      </c>
      <c r="Z501">
        <v>20</v>
      </c>
      <c r="AA501">
        <v>8</v>
      </c>
      <c r="AB501">
        <v>12</v>
      </c>
      <c r="AC501">
        <v>9</v>
      </c>
      <c r="AD501">
        <v>20</v>
      </c>
      <c r="AE501" t="s">
        <v>60</v>
      </c>
    </row>
    <row r="502" spans="1:31" x14ac:dyDescent="0.2">
      <c r="A502">
        <v>489</v>
      </c>
      <c r="B502" t="s">
        <v>1180</v>
      </c>
      <c r="C502">
        <v>26</v>
      </c>
      <c r="D502" t="s">
        <v>1022</v>
      </c>
      <c r="E502" t="s">
        <v>322</v>
      </c>
      <c r="F502">
        <v>24</v>
      </c>
      <c r="G502">
        <v>3</v>
      </c>
      <c r="H502">
        <v>4</v>
      </c>
      <c r="I502">
        <v>7</v>
      </c>
      <c r="J502">
        <v>-1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10.3</v>
      </c>
      <c r="U502">
        <v>60</v>
      </c>
      <c r="V502" t="s">
        <v>2776</v>
      </c>
      <c r="W502" t="s">
        <v>821</v>
      </c>
      <c r="X502">
        <v>1</v>
      </c>
      <c r="Y502">
        <v>10</v>
      </c>
      <c r="Z502">
        <v>9.1</v>
      </c>
      <c r="AA502">
        <v>4</v>
      </c>
      <c r="AB502">
        <v>23</v>
      </c>
      <c r="AC502">
        <v>3</v>
      </c>
      <c r="AD502">
        <v>10</v>
      </c>
      <c r="AE502" t="s">
        <v>60</v>
      </c>
    </row>
    <row r="503" spans="1:31" x14ac:dyDescent="0.2">
      <c r="A503">
        <v>489</v>
      </c>
      <c r="B503" t="s">
        <v>1180</v>
      </c>
      <c r="C503">
        <v>26</v>
      </c>
      <c r="D503" t="s">
        <v>536</v>
      </c>
      <c r="E503" t="s">
        <v>322</v>
      </c>
      <c r="F503">
        <v>8</v>
      </c>
      <c r="G503">
        <v>0</v>
      </c>
      <c r="H503">
        <v>1</v>
      </c>
      <c r="I503">
        <v>1</v>
      </c>
      <c r="J503">
        <v>0</v>
      </c>
      <c r="K503">
        <v>2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7</v>
      </c>
      <c r="T503">
        <v>0</v>
      </c>
      <c r="U503">
        <v>13</v>
      </c>
      <c r="V503" t="s">
        <v>1181</v>
      </c>
      <c r="W503" t="s">
        <v>1182</v>
      </c>
      <c r="X503">
        <v>1</v>
      </c>
      <c r="Y503">
        <v>0</v>
      </c>
      <c r="Z503">
        <v>100</v>
      </c>
      <c r="AA503">
        <v>1</v>
      </c>
      <c r="AB503">
        <v>9</v>
      </c>
      <c r="AC503">
        <v>1</v>
      </c>
      <c r="AD503">
        <v>2</v>
      </c>
      <c r="AE503" t="s">
        <v>60</v>
      </c>
    </row>
    <row r="504" spans="1:31" x14ac:dyDescent="0.2">
      <c r="A504">
        <v>489</v>
      </c>
      <c r="B504" t="s">
        <v>1180</v>
      </c>
      <c r="C504">
        <v>26</v>
      </c>
      <c r="D504" t="s">
        <v>365</v>
      </c>
      <c r="E504" t="s">
        <v>322</v>
      </c>
      <c r="F504">
        <v>16</v>
      </c>
      <c r="G504">
        <v>3</v>
      </c>
      <c r="H504">
        <v>3</v>
      </c>
      <c r="I504">
        <v>6</v>
      </c>
      <c r="J504">
        <v>-1</v>
      </c>
      <c r="K504">
        <v>4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22</v>
      </c>
      <c r="T504">
        <v>13.6</v>
      </c>
      <c r="U504">
        <v>47</v>
      </c>
      <c r="V504" t="s">
        <v>2777</v>
      </c>
      <c r="W504" t="s">
        <v>1597</v>
      </c>
      <c r="X504">
        <v>0</v>
      </c>
      <c r="Y504">
        <v>10</v>
      </c>
      <c r="Z504">
        <v>0</v>
      </c>
      <c r="AA504">
        <v>3</v>
      </c>
      <c r="AB504">
        <v>14</v>
      </c>
      <c r="AC504">
        <v>2</v>
      </c>
      <c r="AD504">
        <v>8</v>
      </c>
      <c r="AE504" t="s">
        <v>60</v>
      </c>
    </row>
    <row r="505" spans="1:31" x14ac:dyDescent="0.2">
      <c r="A505">
        <v>490</v>
      </c>
      <c r="B505" t="s">
        <v>1256</v>
      </c>
      <c r="C505">
        <v>30</v>
      </c>
      <c r="D505" t="s">
        <v>415</v>
      </c>
      <c r="E505" t="s">
        <v>322</v>
      </c>
      <c r="F505">
        <v>32</v>
      </c>
      <c r="G505">
        <v>2</v>
      </c>
      <c r="H505">
        <v>4</v>
      </c>
      <c r="I505">
        <v>6</v>
      </c>
      <c r="J505">
        <v>-2</v>
      </c>
      <c r="K505">
        <v>11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32</v>
      </c>
      <c r="T505">
        <v>6.3</v>
      </c>
      <c r="U505">
        <v>66</v>
      </c>
      <c r="V505" t="s">
        <v>2778</v>
      </c>
      <c r="W505" t="s">
        <v>2084</v>
      </c>
      <c r="X505">
        <v>114</v>
      </c>
      <c r="Y505">
        <v>115</v>
      </c>
      <c r="Z505">
        <v>49.8</v>
      </c>
      <c r="AA505">
        <v>18</v>
      </c>
      <c r="AB505">
        <v>40</v>
      </c>
      <c r="AC505">
        <v>8</v>
      </c>
      <c r="AD505">
        <v>9</v>
      </c>
      <c r="AE505" t="s">
        <v>60</v>
      </c>
    </row>
    <row r="506" spans="1:31" x14ac:dyDescent="0.2">
      <c r="A506">
        <v>491</v>
      </c>
      <c r="B506" t="s">
        <v>919</v>
      </c>
      <c r="C506">
        <v>33</v>
      </c>
      <c r="D506" t="s">
        <v>363</v>
      </c>
      <c r="E506" t="s">
        <v>322</v>
      </c>
      <c r="F506">
        <v>40</v>
      </c>
      <c r="G506">
        <v>1</v>
      </c>
      <c r="H506">
        <v>5</v>
      </c>
      <c r="I506">
        <v>6</v>
      </c>
      <c r="J506">
        <v>2</v>
      </c>
      <c r="K506">
        <v>28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1</v>
      </c>
      <c r="S506">
        <v>44</v>
      </c>
      <c r="T506">
        <v>2.2999999999999998</v>
      </c>
      <c r="U506">
        <v>83</v>
      </c>
      <c r="V506" t="s">
        <v>2497</v>
      </c>
      <c r="W506" t="s">
        <v>1823</v>
      </c>
      <c r="X506">
        <v>138</v>
      </c>
      <c r="Y506">
        <v>122</v>
      </c>
      <c r="Z506">
        <v>53.1</v>
      </c>
      <c r="AA506">
        <v>20</v>
      </c>
      <c r="AB506">
        <v>55</v>
      </c>
      <c r="AC506">
        <v>9</v>
      </c>
      <c r="AD506">
        <v>15</v>
      </c>
      <c r="AE506" t="s">
        <v>60</v>
      </c>
    </row>
    <row r="507" spans="1:31" x14ac:dyDescent="0.2">
      <c r="A507">
        <v>492</v>
      </c>
      <c r="B507" t="s">
        <v>1040</v>
      </c>
      <c r="C507">
        <v>29</v>
      </c>
      <c r="D507" t="s">
        <v>402</v>
      </c>
      <c r="E507" t="s">
        <v>349</v>
      </c>
      <c r="F507">
        <v>30</v>
      </c>
      <c r="G507">
        <v>0</v>
      </c>
      <c r="H507">
        <v>6</v>
      </c>
      <c r="I507">
        <v>6</v>
      </c>
      <c r="J507">
        <v>9</v>
      </c>
      <c r="K507">
        <v>12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38</v>
      </c>
      <c r="T507">
        <v>0</v>
      </c>
      <c r="U507">
        <v>110</v>
      </c>
      <c r="V507" t="s">
        <v>2498</v>
      </c>
      <c r="W507" t="s">
        <v>519</v>
      </c>
      <c r="X507">
        <v>0</v>
      </c>
      <c r="Y507">
        <v>0</v>
      </c>
      <c r="AA507">
        <v>30</v>
      </c>
      <c r="AB507">
        <v>15</v>
      </c>
      <c r="AC507">
        <v>12</v>
      </c>
      <c r="AD507">
        <v>29</v>
      </c>
      <c r="AE507" t="s">
        <v>60</v>
      </c>
    </row>
    <row r="508" spans="1:31" x14ac:dyDescent="0.2">
      <c r="A508">
        <v>493</v>
      </c>
      <c r="B508" t="s">
        <v>1041</v>
      </c>
      <c r="C508">
        <v>24</v>
      </c>
      <c r="D508" t="s">
        <v>384</v>
      </c>
      <c r="E508" t="s">
        <v>335</v>
      </c>
      <c r="F508">
        <v>29</v>
      </c>
      <c r="G508">
        <v>3</v>
      </c>
      <c r="H508">
        <v>3</v>
      </c>
      <c r="I508">
        <v>6</v>
      </c>
      <c r="J508">
        <v>-6</v>
      </c>
      <c r="K508">
        <v>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36</v>
      </c>
      <c r="T508">
        <v>8.3000000000000007</v>
      </c>
      <c r="U508">
        <v>79</v>
      </c>
      <c r="V508" t="s">
        <v>1955</v>
      </c>
      <c r="W508" t="s">
        <v>1956</v>
      </c>
      <c r="X508">
        <v>0</v>
      </c>
      <c r="Y508">
        <v>0</v>
      </c>
      <c r="AA508">
        <v>8</v>
      </c>
      <c r="AB508">
        <v>28</v>
      </c>
      <c r="AC508">
        <v>3</v>
      </c>
      <c r="AD508">
        <v>15</v>
      </c>
      <c r="AE508" t="s">
        <v>60</v>
      </c>
    </row>
    <row r="509" spans="1:31" x14ac:dyDescent="0.2">
      <c r="A509">
        <v>494</v>
      </c>
      <c r="B509" t="s">
        <v>925</v>
      </c>
      <c r="C509">
        <v>28</v>
      </c>
      <c r="D509" t="s">
        <v>368</v>
      </c>
      <c r="E509" t="s">
        <v>335</v>
      </c>
      <c r="F509">
        <v>38</v>
      </c>
      <c r="G509">
        <v>4</v>
      </c>
      <c r="H509">
        <v>2</v>
      </c>
      <c r="I509">
        <v>6</v>
      </c>
      <c r="J509">
        <v>-2</v>
      </c>
      <c r="K509">
        <v>33</v>
      </c>
      <c r="L509">
        <v>3</v>
      </c>
      <c r="M509">
        <v>0</v>
      </c>
      <c r="N509">
        <v>1</v>
      </c>
      <c r="O509">
        <v>0</v>
      </c>
      <c r="P509">
        <v>2</v>
      </c>
      <c r="Q509">
        <v>0</v>
      </c>
      <c r="R509">
        <v>0</v>
      </c>
      <c r="S509">
        <v>27</v>
      </c>
      <c r="T509">
        <v>14.8</v>
      </c>
      <c r="U509">
        <v>63</v>
      </c>
      <c r="V509" t="s">
        <v>2499</v>
      </c>
      <c r="W509" t="s">
        <v>912</v>
      </c>
      <c r="X509">
        <v>7</v>
      </c>
      <c r="Y509">
        <v>18</v>
      </c>
      <c r="Z509">
        <v>28</v>
      </c>
      <c r="AA509">
        <v>25</v>
      </c>
      <c r="AB509">
        <v>87</v>
      </c>
      <c r="AC509">
        <v>5</v>
      </c>
      <c r="AD509">
        <v>11</v>
      </c>
      <c r="AE509" t="s">
        <v>60</v>
      </c>
    </row>
    <row r="510" spans="1:31" x14ac:dyDescent="0.2">
      <c r="A510">
        <v>495</v>
      </c>
      <c r="B510" t="s">
        <v>928</v>
      </c>
      <c r="C510">
        <v>36</v>
      </c>
      <c r="D510" t="s">
        <v>426</v>
      </c>
      <c r="E510" t="s">
        <v>322</v>
      </c>
      <c r="F510">
        <v>28</v>
      </c>
      <c r="G510">
        <v>2</v>
      </c>
      <c r="H510">
        <v>4</v>
      </c>
      <c r="I510">
        <v>6</v>
      </c>
      <c r="J510">
        <v>-6</v>
      </c>
      <c r="K510">
        <v>6</v>
      </c>
      <c r="L510">
        <v>1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24</v>
      </c>
      <c r="T510">
        <v>8.3000000000000007</v>
      </c>
      <c r="U510">
        <v>52</v>
      </c>
      <c r="V510" t="s">
        <v>1735</v>
      </c>
      <c r="W510" t="s">
        <v>908</v>
      </c>
      <c r="X510">
        <v>158</v>
      </c>
      <c r="Y510">
        <v>103</v>
      </c>
      <c r="Z510">
        <v>60.5</v>
      </c>
      <c r="AA510">
        <v>18</v>
      </c>
      <c r="AB510">
        <v>21</v>
      </c>
      <c r="AC510">
        <v>4</v>
      </c>
      <c r="AD510">
        <v>14</v>
      </c>
      <c r="AE510" t="s">
        <v>60</v>
      </c>
    </row>
    <row r="511" spans="1:31" x14ac:dyDescent="0.2">
      <c r="A511">
        <v>496</v>
      </c>
      <c r="B511" t="s">
        <v>1047</v>
      </c>
      <c r="C511">
        <v>27</v>
      </c>
      <c r="D511" t="s">
        <v>384</v>
      </c>
      <c r="E511" t="s">
        <v>349</v>
      </c>
      <c r="F511">
        <v>37</v>
      </c>
      <c r="G511">
        <v>2</v>
      </c>
      <c r="H511">
        <v>4</v>
      </c>
      <c r="I511">
        <v>6</v>
      </c>
      <c r="J511">
        <v>-13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5.4</v>
      </c>
      <c r="U511">
        <v>91</v>
      </c>
      <c r="V511" t="s">
        <v>2779</v>
      </c>
      <c r="W511" t="s">
        <v>1185</v>
      </c>
      <c r="X511">
        <v>0</v>
      </c>
      <c r="Y511">
        <v>0</v>
      </c>
      <c r="AA511">
        <v>68</v>
      </c>
      <c r="AB511">
        <v>31</v>
      </c>
      <c r="AC511">
        <v>9</v>
      </c>
      <c r="AD511">
        <v>28</v>
      </c>
      <c r="AE511" t="s">
        <v>60</v>
      </c>
    </row>
    <row r="512" spans="1:31" x14ac:dyDescent="0.2">
      <c r="A512">
        <v>497</v>
      </c>
      <c r="B512" t="s">
        <v>931</v>
      </c>
      <c r="C512">
        <v>29</v>
      </c>
      <c r="D512" t="s">
        <v>429</v>
      </c>
      <c r="E512" t="s">
        <v>340</v>
      </c>
      <c r="F512">
        <v>29</v>
      </c>
      <c r="G512">
        <v>5</v>
      </c>
      <c r="H512">
        <v>1</v>
      </c>
      <c r="I512">
        <v>6</v>
      </c>
      <c r="J512">
        <v>2</v>
      </c>
      <c r="K512">
        <v>14</v>
      </c>
      <c r="L512">
        <v>5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0</v>
      </c>
      <c r="S512">
        <v>43</v>
      </c>
      <c r="T512">
        <v>11.6</v>
      </c>
      <c r="U512">
        <v>90</v>
      </c>
      <c r="V512" t="s">
        <v>2500</v>
      </c>
      <c r="W512" t="s">
        <v>1089</v>
      </c>
      <c r="X512">
        <v>6</v>
      </c>
      <c r="Y512">
        <v>11</v>
      </c>
      <c r="Z512">
        <v>35.299999999999997</v>
      </c>
      <c r="AA512">
        <v>7</v>
      </c>
      <c r="AB512">
        <v>32</v>
      </c>
      <c r="AC512">
        <v>4</v>
      </c>
      <c r="AD512">
        <v>30</v>
      </c>
      <c r="AE512" t="s">
        <v>60</v>
      </c>
    </row>
    <row r="513" spans="1:31" x14ac:dyDescent="0.2">
      <c r="A513">
        <v>498</v>
      </c>
      <c r="B513" t="s">
        <v>983</v>
      </c>
      <c r="C513">
        <v>33</v>
      </c>
      <c r="D513" t="s">
        <v>328</v>
      </c>
      <c r="E513" t="s">
        <v>322</v>
      </c>
      <c r="F513">
        <v>23</v>
      </c>
      <c r="G513">
        <v>1</v>
      </c>
      <c r="H513">
        <v>5</v>
      </c>
      <c r="I513">
        <v>6</v>
      </c>
      <c r="J513">
        <v>-4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15</v>
      </c>
      <c r="T513">
        <v>6.7</v>
      </c>
      <c r="U513">
        <v>32</v>
      </c>
      <c r="V513" t="s">
        <v>2501</v>
      </c>
      <c r="W513" t="s">
        <v>841</v>
      </c>
      <c r="X513">
        <v>6</v>
      </c>
      <c r="Y513">
        <v>11</v>
      </c>
      <c r="Z513">
        <v>35.299999999999997</v>
      </c>
      <c r="AA513">
        <v>9</v>
      </c>
      <c r="AB513">
        <v>9</v>
      </c>
      <c r="AC513">
        <v>3</v>
      </c>
      <c r="AD513">
        <v>8</v>
      </c>
      <c r="AE513" t="s">
        <v>60</v>
      </c>
    </row>
    <row r="514" spans="1:31" x14ac:dyDescent="0.2">
      <c r="A514">
        <v>499</v>
      </c>
      <c r="B514" t="s">
        <v>942</v>
      </c>
      <c r="C514">
        <v>26</v>
      </c>
      <c r="D514" t="s">
        <v>356</v>
      </c>
      <c r="E514" t="s">
        <v>349</v>
      </c>
      <c r="F514">
        <v>25</v>
      </c>
      <c r="G514">
        <v>0</v>
      </c>
      <c r="H514">
        <v>6</v>
      </c>
      <c r="I514">
        <v>6</v>
      </c>
      <c r="J514">
        <v>-5</v>
      </c>
      <c r="K514">
        <v>10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2</v>
      </c>
      <c r="R514">
        <v>0</v>
      </c>
      <c r="S514">
        <v>22</v>
      </c>
      <c r="T514">
        <v>0</v>
      </c>
      <c r="U514">
        <v>73</v>
      </c>
      <c r="V514" t="s">
        <v>943</v>
      </c>
      <c r="W514" t="s">
        <v>944</v>
      </c>
      <c r="X514">
        <v>0</v>
      </c>
      <c r="Y514">
        <v>0</v>
      </c>
      <c r="AA514">
        <v>19</v>
      </c>
      <c r="AB514">
        <v>13</v>
      </c>
      <c r="AC514">
        <v>4</v>
      </c>
      <c r="AD514">
        <v>31</v>
      </c>
      <c r="AE514" t="s">
        <v>60</v>
      </c>
    </row>
    <row r="515" spans="1:31" x14ac:dyDescent="0.2">
      <c r="A515">
        <v>500</v>
      </c>
      <c r="B515" t="s">
        <v>1064</v>
      </c>
      <c r="C515">
        <v>27</v>
      </c>
      <c r="D515" t="s">
        <v>476</v>
      </c>
      <c r="E515" t="s">
        <v>322</v>
      </c>
      <c r="F515">
        <v>27</v>
      </c>
      <c r="G515">
        <v>3</v>
      </c>
      <c r="H515">
        <v>3</v>
      </c>
      <c r="I515">
        <v>6</v>
      </c>
      <c r="J515">
        <v>-6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28</v>
      </c>
      <c r="T515">
        <v>10.7</v>
      </c>
      <c r="U515">
        <v>49</v>
      </c>
      <c r="V515" t="s">
        <v>2502</v>
      </c>
      <c r="W515" t="s">
        <v>2480</v>
      </c>
      <c r="X515">
        <v>16</v>
      </c>
      <c r="Y515">
        <v>19</v>
      </c>
      <c r="Z515">
        <v>45.7</v>
      </c>
      <c r="AA515">
        <v>8</v>
      </c>
      <c r="AB515">
        <v>33</v>
      </c>
      <c r="AC515">
        <v>9</v>
      </c>
      <c r="AD515">
        <v>9</v>
      </c>
      <c r="AE515" t="s">
        <v>60</v>
      </c>
    </row>
    <row r="516" spans="1:31" x14ac:dyDescent="0.2">
      <c r="A516">
        <v>501</v>
      </c>
      <c r="B516" t="s">
        <v>985</v>
      </c>
      <c r="C516">
        <v>24</v>
      </c>
      <c r="D516" t="s">
        <v>555</v>
      </c>
      <c r="E516" t="s">
        <v>325</v>
      </c>
      <c r="F516">
        <v>34</v>
      </c>
      <c r="G516">
        <v>2</v>
      </c>
      <c r="H516">
        <v>4</v>
      </c>
      <c r="I516">
        <v>6</v>
      </c>
      <c r="J516">
        <v>-7</v>
      </c>
      <c r="K516">
        <v>21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24</v>
      </c>
      <c r="T516">
        <v>8.3000000000000007</v>
      </c>
      <c r="U516">
        <v>61</v>
      </c>
      <c r="V516" t="s">
        <v>2780</v>
      </c>
      <c r="W516" t="s">
        <v>1966</v>
      </c>
      <c r="X516">
        <v>2</v>
      </c>
      <c r="Y516">
        <v>8</v>
      </c>
      <c r="Z516">
        <v>20</v>
      </c>
      <c r="AA516">
        <v>22</v>
      </c>
      <c r="AB516">
        <v>87</v>
      </c>
      <c r="AC516">
        <v>8</v>
      </c>
      <c r="AD516">
        <v>17</v>
      </c>
      <c r="AE516" t="s">
        <v>60</v>
      </c>
    </row>
    <row r="517" spans="1:31" x14ac:dyDescent="0.2">
      <c r="A517">
        <v>502</v>
      </c>
      <c r="B517" t="s">
        <v>988</v>
      </c>
      <c r="C517">
        <v>27</v>
      </c>
      <c r="D517" t="s">
        <v>346</v>
      </c>
      <c r="E517" t="s">
        <v>340</v>
      </c>
      <c r="F517">
        <v>24</v>
      </c>
      <c r="G517">
        <v>2</v>
      </c>
      <c r="H517">
        <v>4</v>
      </c>
      <c r="I517">
        <v>6</v>
      </c>
      <c r="J517">
        <v>-1</v>
      </c>
      <c r="K517">
        <v>12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29</v>
      </c>
      <c r="T517">
        <v>6.9</v>
      </c>
      <c r="U517">
        <v>58</v>
      </c>
      <c r="V517" t="s">
        <v>1820</v>
      </c>
      <c r="W517" t="s">
        <v>1293</v>
      </c>
      <c r="X517">
        <v>0</v>
      </c>
      <c r="Y517">
        <v>0</v>
      </c>
      <c r="AA517">
        <v>5</v>
      </c>
      <c r="AB517">
        <v>74</v>
      </c>
      <c r="AC517">
        <v>7</v>
      </c>
      <c r="AD517">
        <v>8</v>
      </c>
      <c r="AE517" t="s">
        <v>60</v>
      </c>
    </row>
    <row r="518" spans="1:31" x14ac:dyDescent="0.2">
      <c r="A518">
        <v>503</v>
      </c>
      <c r="B518" t="s">
        <v>1066</v>
      </c>
      <c r="C518">
        <v>28</v>
      </c>
      <c r="D518" t="s">
        <v>344</v>
      </c>
      <c r="E518" t="s">
        <v>335</v>
      </c>
      <c r="F518">
        <v>36</v>
      </c>
      <c r="G518">
        <v>0</v>
      </c>
      <c r="H518">
        <v>6</v>
      </c>
      <c r="I518">
        <v>6</v>
      </c>
      <c r="J518">
        <v>-10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31</v>
      </c>
      <c r="T518">
        <v>0</v>
      </c>
      <c r="U518">
        <v>56</v>
      </c>
      <c r="V518" t="s">
        <v>2503</v>
      </c>
      <c r="W518" t="s">
        <v>676</v>
      </c>
      <c r="X518">
        <v>7</v>
      </c>
      <c r="Y518">
        <v>10</v>
      </c>
      <c r="Z518">
        <v>41.2</v>
      </c>
      <c r="AA518">
        <v>25</v>
      </c>
      <c r="AB518">
        <v>107</v>
      </c>
      <c r="AC518">
        <v>2</v>
      </c>
      <c r="AD518">
        <v>15</v>
      </c>
      <c r="AE518" t="s">
        <v>60</v>
      </c>
    </row>
    <row r="519" spans="1:31" x14ac:dyDescent="0.2">
      <c r="A519">
        <v>504</v>
      </c>
      <c r="B519" t="s">
        <v>989</v>
      </c>
      <c r="C519">
        <v>25</v>
      </c>
      <c r="D519" t="s">
        <v>402</v>
      </c>
      <c r="E519" t="s">
        <v>322</v>
      </c>
      <c r="F519">
        <v>21</v>
      </c>
      <c r="G519">
        <v>2</v>
      </c>
      <c r="H519">
        <v>4</v>
      </c>
      <c r="I519">
        <v>6</v>
      </c>
      <c r="J519">
        <v>2</v>
      </c>
      <c r="K519">
        <v>8</v>
      </c>
      <c r="L519">
        <v>2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9.1</v>
      </c>
      <c r="U519">
        <v>40</v>
      </c>
      <c r="V519" t="s">
        <v>2504</v>
      </c>
      <c r="W519" t="s">
        <v>1067</v>
      </c>
      <c r="X519">
        <v>71</v>
      </c>
      <c r="Y519">
        <v>85</v>
      </c>
      <c r="Z519">
        <v>45.5</v>
      </c>
      <c r="AA519">
        <v>11</v>
      </c>
      <c r="AB519">
        <v>35</v>
      </c>
      <c r="AC519">
        <v>2</v>
      </c>
      <c r="AD519">
        <v>13</v>
      </c>
      <c r="AE519" t="s">
        <v>60</v>
      </c>
    </row>
    <row r="520" spans="1:31" x14ac:dyDescent="0.2">
      <c r="A520">
        <v>505</v>
      </c>
      <c r="B520" t="s">
        <v>1148</v>
      </c>
      <c r="C520">
        <v>23</v>
      </c>
      <c r="D520" t="s">
        <v>448</v>
      </c>
      <c r="E520" t="s">
        <v>349</v>
      </c>
      <c r="F520">
        <v>24</v>
      </c>
      <c r="G520">
        <v>2</v>
      </c>
      <c r="H520">
        <v>4</v>
      </c>
      <c r="I520">
        <v>6</v>
      </c>
      <c r="J520">
        <v>1</v>
      </c>
      <c r="K520">
        <v>16</v>
      </c>
      <c r="L520">
        <v>2</v>
      </c>
      <c r="M520">
        <v>0</v>
      </c>
      <c r="N520">
        <v>0</v>
      </c>
      <c r="O520">
        <v>1</v>
      </c>
      <c r="P520">
        <v>3</v>
      </c>
      <c r="Q520">
        <v>0</v>
      </c>
      <c r="R520">
        <v>1</v>
      </c>
      <c r="S520">
        <v>21</v>
      </c>
      <c r="T520">
        <v>9.5</v>
      </c>
      <c r="U520">
        <v>54</v>
      </c>
      <c r="V520" t="s">
        <v>2505</v>
      </c>
      <c r="W520" t="s">
        <v>437</v>
      </c>
      <c r="X520">
        <v>0</v>
      </c>
      <c r="Y520">
        <v>0</v>
      </c>
      <c r="AA520">
        <v>37</v>
      </c>
      <c r="AB520">
        <v>38</v>
      </c>
      <c r="AC520">
        <v>4</v>
      </c>
      <c r="AD520">
        <v>22</v>
      </c>
      <c r="AE520" t="s">
        <v>60</v>
      </c>
    </row>
    <row r="521" spans="1:31" x14ac:dyDescent="0.2">
      <c r="A521">
        <v>506</v>
      </c>
      <c r="B521" t="s">
        <v>993</v>
      </c>
      <c r="C521">
        <v>23</v>
      </c>
      <c r="D521" t="s">
        <v>368</v>
      </c>
      <c r="E521" t="s">
        <v>322</v>
      </c>
      <c r="F521">
        <v>35</v>
      </c>
      <c r="G521">
        <v>0</v>
      </c>
      <c r="H521">
        <v>6</v>
      </c>
      <c r="I521">
        <v>6</v>
      </c>
      <c r="J521">
        <v>1</v>
      </c>
      <c r="K521">
        <v>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0</v>
      </c>
      <c r="U521">
        <v>55</v>
      </c>
      <c r="V521" t="s">
        <v>2506</v>
      </c>
      <c r="W521" t="s">
        <v>2165</v>
      </c>
      <c r="X521">
        <v>50</v>
      </c>
      <c r="Y521">
        <v>79</v>
      </c>
      <c r="Z521">
        <v>38.799999999999997</v>
      </c>
      <c r="AA521">
        <v>7</v>
      </c>
      <c r="AB521">
        <v>22</v>
      </c>
      <c r="AC521">
        <v>5</v>
      </c>
      <c r="AD521">
        <v>19</v>
      </c>
      <c r="AE521" t="s">
        <v>60</v>
      </c>
    </row>
    <row r="522" spans="1:31" x14ac:dyDescent="0.2">
      <c r="A522">
        <v>507</v>
      </c>
      <c r="B522" t="s">
        <v>949</v>
      </c>
      <c r="C522">
        <v>24</v>
      </c>
      <c r="D522" t="s">
        <v>353</v>
      </c>
      <c r="E522" t="s">
        <v>349</v>
      </c>
      <c r="F522">
        <v>32</v>
      </c>
      <c r="G522">
        <v>2</v>
      </c>
      <c r="H522">
        <v>4</v>
      </c>
      <c r="I522">
        <v>6</v>
      </c>
      <c r="J522">
        <v>9</v>
      </c>
      <c r="K522">
        <v>43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24</v>
      </c>
      <c r="T522">
        <v>8.3000000000000007</v>
      </c>
      <c r="U522">
        <v>62</v>
      </c>
      <c r="V522" t="s">
        <v>1780</v>
      </c>
      <c r="W522" t="s">
        <v>1689</v>
      </c>
      <c r="X522">
        <v>0</v>
      </c>
      <c r="Y522">
        <v>0</v>
      </c>
      <c r="AA522">
        <v>33</v>
      </c>
      <c r="AB522">
        <v>53</v>
      </c>
      <c r="AC522">
        <v>5</v>
      </c>
      <c r="AD522">
        <v>25</v>
      </c>
      <c r="AE522" t="s">
        <v>60</v>
      </c>
    </row>
    <row r="523" spans="1:31" x14ac:dyDescent="0.2">
      <c r="A523">
        <v>508</v>
      </c>
      <c r="B523" t="s">
        <v>1000</v>
      </c>
      <c r="C523">
        <v>30</v>
      </c>
      <c r="D523" t="s">
        <v>476</v>
      </c>
      <c r="E523" t="s">
        <v>335</v>
      </c>
      <c r="F523">
        <v>36</v>
      </c>
      <c r="G523">
        <v>1</v>
      </c>
      <c r="H523">
        <v>5</v>
      </c>
      <c r="I523">
        <v>6</v>
      </c>
      <c r="J523">
        <v>-9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43</v>
      </c>
      <c r="T523">
        <v>2.2999999999999998</v>
      </c>
      <c r="U523">
        <v>78</v>
      </c>
      <c r="V523" t="s">
        <v>2507</v>
      </c>
      <c r="W523" t="s">
        <v>800</v>
      </c>
      <c r="X523">
        <v>274</v>
      </c>
      <c r="Y523">
        <v>233</v>
      </c>
      <c r="Z523">
        <v>54</v>
      </c>
      <c r="AA523">
        <v>34</v>
      </c>
      <c r="AB523">
        <v>97</v>
      </c>
      <c r="AC523">
        <v>7</v>
      </c>
      <c r="AD523">
        <v>21</v>
      </c>
      <c r="AE523" t="s">
        <v>60</v>
      </c>
    </row>
    <row r="524" spans="1:31" x14ac:dyDescent="0.2">
      <c r="A524">
        <v>509</v>
      </c>
      <c r="B524" t="s">
        <v>1078</v>
      </c>
      <c r="C524">
        <v>29</v>
      </c>
      <c r="D524" t="s">
        <v>375</v>
      </c>
      <c r="E524" t="s">
        <v>349</v>
      </c>
      <c r="F524">
        <v>37</v>
      </c>
      <c r="G524">
        <v>1</v>
      </c>
      <c r="H524">
        <v>5</v>
      </c>
      <c r="I524">
        <v>6</v>
      </c>
      <c r="J524">
        <v>10</v>
      </c>
      <c r="K524">
        <v>35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38</v>
      </c>
      <c r="T524">
        <v>2.6</v>
      </c>
      <c r="U524">
        <v>97</v>
      </c>
      <c r="V524" t="s">
        <v>2508</v>
      </c>
      <c r="W524" t="s">
        <v>1704</v>
      </c>
      <c r="X524">
        <v>0</v>
      </c>
      <c r="Y524">
        <v>0</v>
      </c>
      <c r="AA524">
        <v>42</v>
      </c>
      <c r="AB524">
        <v>62</v>
      </c>
      <c r="AC524">
        <v>13</v>
      </c>
      <c r="AD524">
        <v>45</v>
      </c>
      <c r="AE524" t="s">
        <v>60</v>
      </c>
    </row>
    <row r="525" spans="1:31" x14ac:dyDescent="0.2">
      <c r="A525">
        <v>510</v>
      </c>
      <c r="B525" t="s">
        <v>1003</v>
      </c>
      <c r="C525">
        <v>24</v>
      </c>
      <c r="D525" t="s">
        <v>324</v>
      </c>
      <c r="E525" t="s">
        <v>349</v>
      </c>
      <c r="F525">
        <v>20</v>
      </c>
      <c r="G525">
        <v>2</v>
      </c>
      <c r="H525">
        <v>4</v>
      </c>
      <c r="I525">
        <v>6</v>
      </c>
      <c r="J525">
        <v>1</v>
      </c>
      <c r="K525">
        <v>10</v>
      </c>
      <c r="L525">
        <v>2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16</v>
      </c>
      <c r="T525">
        <v>12.5</v>
      </c>
      <c r="U525">
        <v>44</v>
      </c>
      <c r="V525" t="s">
        <v>2509</v>
      </c>
      <c r="W525" t="s">
        <v>435</v>
      </c>
      <c r="X525">
        <v>0</v>
      </c>
      <c r="Y525">
        <v>0</v>
      </c>
      <c r="AA525">
        <v>21</v>
      </c>
      <c r="AB525">
        <v>10</v>
      </c>
      <c r="AC525">
        <v>3</v>
      </c>
      <c r="AD525">
        <v>20</v>
      </c>
      <c r="AE525" t="s">
        <v>60</v>
      </c>
    </row>
    <row r="526" spans="1:31" x14ac:dyDescent="0.2">
      <c r="A526">
        <v>511</v>
      </c>
      <c r="B526" t="s">
        <v>1080</v>
      </c>
      <c r="C526">
        <v>21</v>
      </c>
      <c r="D526" t="s">
        <v>555</v>
      </c>
      <c r="E526" t="s">
        <v>335</v>
      </c>
      <c r="F526">
        <v>24</v>
      </c>
      <c r="G526">
        <v>4</v>
      </c>
      <c r="H526">
        <v>2</v>
      </c>
      <c r="I526">
        <v>6</v>
      </c>
      <c r="J526">
        <v>1</v>
      </c>
      <c r="K526">
        <v>6</v>
      </c>
      <c r="L526">
        <v>3</v>
      </c>
      <c r="M526">
        <v>1</v>
      </c>
      <c r="N526">
        <v>0</v>
      </c>
      <c r="O526">
        <v>0</v>
      </c>
      <c r="P526">
        <v>1</v>
      </c>
      <c r="Q526">
        <v>1</v>
      </c>
      <c r="R526">
        <v>0</v>
      </c>
      <c r="S526">
        <v>31</v>
      </c>
      <c r="T526">
        <v>12.9</v>
      </c>
      <c r="U526">
        <v>68</v>
      </c>
      <c r="V526" t="s">
        <v>2085</v>
      </c>
      <c r="W526" t="s">
        <v>1823</v>
      </c>
      <c r="X526">
        <v>2</v>
      </c>
      <c r="Y526">
        <v>4</v>
      </c>
      <c r="Z526">
        <v>33.299999999999997</v>
      </c>
      <c r="AA526">
        <v>4</v>
      </c>
      <c r="AB526">
        <v>20</v>
      </c>
      <c r="AC526">
        <v>1</v>
      </c>
      <c r="AD526">
        <v>13</v>
      </c>
      <c r="AE526" t="s">
        <v>60</v>
      </c>
    </row>
    <row r="527" spans="1:31" x14ac:dyDescent="0.2">
      <c r="A527">
        <v>512</v>
      </c>
      <c r="B527" t="s">
        <v>1160</v>
      </c>
      <c r="C527">
        <v>23</v>
      </c>
      <c r="D527" t="s">
        <v>402</v>
      </c>
      <c r="E527" t="s">
        <v>349</v>
      </c>
      <c r="F527">
        <v>26</v>
      </c>
      <c r="G527">
        <v>0</v>
      </c>
      <c r="H527">
        <v>6</v>
      </c>
      <c r="I527">
        <v>6</v>
      </c>
      <c r="J527">
        <v>4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33</v>
      </c>
      <c r="T527">
        <v>0</v>
      </c>
      <c r="U527">
        <v>87</v>
      </c>
      <c r="V527" t="s">
        <v>2510</v>
      </c>
      <c r="W527" t="s">
        <v>1909</v>
      </c>
      <c r="X527">
        <v>0</v>
      </c>
      <c r="Y527">
        <v>0</v>
      </c>
      <c r="AA527">
        <v>15</v>
      </c>
      <c r="AB527">
        <v>7</v>
      </c>
      <c r="AC527">
        <v>4</v>
      </c>
      <c r="AD527">
        <v>21</v>
      </c>
      <c r="AE527" t="s">
        <v>60</v>
      </c>
    </row>
    <row r="528" spans="1:31" x14ac:dyDescent="0.2">
      <c r="A528">
        <v>513</v>
      </c>
      <c r="B528" t="s">
        <v>1005</v>
      </c>
      <c r="C528">
        <v>33</v>
      </c>
      <c r="D528" t="s">
        <v>555</v>
      </c>
      <c r="E528" t="s">
        <v>349</v>
      </c>
      <c r="F528">
        <v>34</v>
      </c>
      <c r="G528">
        <v>2</v>
      </c>
      <c r="H528">
        <v>4</v>
      </c>
      <c r="I528">
        <v>6</v>
      </c>
      <c r="J528">
        <v>5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74</v>
      </c>
      <c r="V528" t="s">
        <v>2781</v>
      </c>
      <c r="W528" t="s">
        <v>1923</v>
      </c>
      <c r="X528">
        <v>0</v>
      </c>
      <c r="Y528">
        <v>0</v>
      </c>
      <c r="AA528">
        <v>53</v>
      </c>
      <c r="AB528">
        <v>47</v>
      </c>
      <c r="AC528">
        <v>13</v>
      </c>
      <c r="AD528">
        <v>35</v>
      </c>
      <c r="AE528" t="s">
        <v>60</v>
      </c>
    </row>
    <row r="529" spans="1:31" x14ac:dyDescent="0.2">
      <c r="A529">
        <v>514</v>
      </c>
      <c r="B529" t="s">
        <v>1007</v>
      </c>
      <c r="C529">
        <v>33</v>
      </c>
      <c r="D529" t="s">
        <v>346</v>
      </c>
      <c r="E529" t="s">
        <v>340</v>
      </c>
      <c r="F529">
        <v>30</v>
      </c>
      <c r="G529">
        <v>4</v>
      </c>
      <c r="H529">
        <v>2</v>
      </c>
      <c r="I529">
        <v>6</v>
      </c>
      <c r="J529">
        <v>3</v>
      </c>
      <c r="K529">
        <v>23</v>
      </c>
      <c r="L529">
        <v>4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22</v>
      </c>
      <c r="T529">
        <v>18.2</v>
      </c>
      <c r="U529">
        <v>44</v>
      </c>
      <c r="V529" t="s">
        <v>1951</v>
      </c>
      <c r="W529" t="s">
        <v>1008</v>
      </c>
      <c r="X529">
        <v>4</v>
      </c>
      <c r="Y529">
        <v>6</v>
      </c>
      <c r="Z529">
        <v>40</v>
      </c>
      <c r="AA529">
        <v>18</v>
      </c>
      <c r="AB529">
        <v>35</v>
      </c>
      <c r="AC529">
        <v>3</v>
      </c>
      <c r="AD529">
        <v>16</v>
      </c>
      <c r="AE529" t="s">
        <v>60</v>
      </c>
    </row>
    <row r="530" spans="1:31" x14ac:dyDescent="0.2">
      <c r="A530">
        <v>515</v>
      </c>
      <c r="B530" t="s">
        <v>1081</v>
      </c>
      <c r="C530">
        <v>27</v>
      </c>
      <c r="D530" t="s">
        <v>476</v>
      </c>
      <c r="E530" t="s">
        <v>349</v>
      </c>
      <c r="F530">
        <v>34</v>
      </c>
      <c r="G530">
        <v>2</v>
      </c>
      <c r="H530">
        <v>4</v>
      </c>
      <c r="I530">
        <v>6</v>
      </c>
      <c r="J530">
        <v>-12</v>
      </c>
      <c r="K530">
        <v>10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37</v>
      </c>
      <c r="T530">
        <v>5.4</v>
      </c>
      <c r="U530">
        <v>90</v>
      </c>
      <c r="V530" t="s">
        <v>2511</v>
      </c>
      <c r="W530" t="s">
        <v>777</v>
      </c>
      <c r="X530">
        <v>0</v>
      </c>
      <c r="Y530">
        <v>0</v>
      </c>
      <c r="AA530">
        <v>34</v>
      </c>
      <c r="AB530">
        <v>17</v>
      </c>
      <c r="AC530">
        <v>6</v>
      </c>
      <c r="AD530">
        <v>38</v>
      </c>
      <c r="AE530" t="s">
        <v>60</v>
      </c>
    </row>
    <row r="531" spans="1:31" x14ac:dyDescent="0.2">
      <c r="A531">
        <v>516</v>
      </c>
      <c r="B531" t="s">
        <v>467</v>
      </c>
      <c r="C531">
        <v>21</v>
      </c>
      <c r="D531" t="s">
        <v>461</v>
      </c>
      <c r="E531" t="s">
        <v>349</v>
      </c>
      <c r="F531">
        <v>34</v>
      </c>
      <c r="G531">
        <v>1</v>
      </c>
      <c r="H531">
        <v>5</v>
      </c>
      <c r="I531">
        <v>6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20</v>
      </c>
      <c r="T531">
        <v>5</v>
      </c>
      <c r="U531">
        <v>70</v>
      </c>
      <c r="V531" t="s">
        <v>2512</v>
      </c>
      <c r="W531" t="s">
        <v>525</v>
      </c>
      <c r="X531">
        <v>0</v>
      </c>
      <c r="Y531">
        <v>0</v>
      </c>
      <c r="AA531">
        <v>38</v>
      </c>
      <c r="AB531">
        <v>56</v>
      </c>
      <c r="AC531">
        <v>8</v>
      </c>
      <c r="AD531">
        <v>31</v>
      </c>
      <c r="AE531" t="s">
        <v>60</v>
      </c>
    </row>
    <row r="532" spans="1:31" x14ac:dyDescent="0.2">
      <c r="A532">
        <v>517</v>
      </c>
      <c r="B532" t="s">
        <v>1011</v>
      </c>
      <c r="C532">
        <v>30</v>
      </c>
      <c r="D532" t="s">
        <v>346</v>
      </c>
      <c r="E532" t="s">
        <v>349</v>
      </c>
      <c r="F532">
        <v>32</v>
      </c>
      <c r="G532">
        <v>2</v>
      </c>
      <c r="H532">
        <v>4</v>
      </c>
      <c r="I532">
        <v>6</v>
      </c>
      <c r="J532">
        <v>1</v>
      </c>
      <c r="K532">
        <v>12</v>
      </c>
      <c r="L532">
        <v>1</v>
      </c>
      <c r="M532">
        <v>1</v>
      </c>
      <c r="N532">
        <v>0</v>
      </c>
      <c r="O532">
        <v>1</v>
      </c>
      <c r="P532">
        <v>3</v>
      </c>
      <c r="Q532">
        <v>1</v>
      </c>
      <c r="R532">
        <v>0</v>
      </c>
      <c r="S532">
        <v>68</v>
      </c>
      <c r="T532">
        <v>2.9</v>
      </c>
      <c r="U532">
        <v>152</v>
      </c>
      <c r="V532" t="s">
        <v>2513</v>
      </c>
      <c r="W532" t="s">
        <v>2514</v>
      </c>
      <c r="X532">
        <v>0</v>
      </c>
      <c r="Y532">
        <v>0</v>
      </c>
      <c r="AA532">
        <v>51</v>
      </c>
      <c r="AB532">
        <v>68</v>
      </c>
      <c r="AC532">
        <v>8</v>
      </c>
      <c r="AD532">
        <v>36</v>
      </c>
      <c r="AE532" t="s">
        <v>60</v>
      </c>
    </row>
    <row r="533" spans="1:31" x14ac:dyDescent="0.2">
      <c r="A533">
        <v>518</v>
      </c>
      <c r="B533" t="s">
        <v>1170</v>
      </c>
      <c r="C533">
        <v>24</v>
      </c>
      <c r="D533" t="s">
        <v>363</v>
      </c>
      <c r="E533" t="s">
        <v>349</v>
      </c>
      <c r="F533">
        <v>31</v>
      </c>
      <c r="G533">
        <v>2</v>
      </c>
      <c r="H533">
        <v>4</v>
      </c>
      <c r="I533">
        <v>6</v>
      </c>
      <c r="J533">
        <v>-2</v>
      </c>
      <c r="K533">
        <v>16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30</v>
      </c>
      <c r="T533">
        <v>6.7</v>
      </c>
      <c r="U533">
        <v>90</v>
      </c>
      <c r="V533" t="s">
        <v>2515</v>
      </c>
      <c r="W533" t="s">
        <v>1678</v>
      </c>
      <c r="X533">
        <v>0</v>
      </c>
      <c r="Y533">
        <v>0</v>
      </c>
      <c r="AA533">
        <v>36</v>
      </c>
      <c r="AB533">
        <v>47</v>
      </c>
      <c r="AC533">
        <v>0</v>
      </c>
      <c r="AD533">
        <v>20</v>
      </c>
      <c r="AE533" t="s">
        <v>60</v>
      </c>
    </row>
    <row r="534" spans="1:31" x14ac:dyDescent="0.2">
      <c r="A534">
        <v>519</v>
      </c>
      <c r="B534" t="s">
        <v>962</v>
      </c>
      <c r="C534">
        <v>31</v>
      </c>
      <c r="D534" t="s">
        <v>363</v>
      </c>
      <c r="E534" t="s">
        <v>349</v>
      </c>
      <c r="F534">
        <v>36</v>
      </c>
      <c r="G534">
        <v>3</v>
      </c>
      <c r="H534">
        <v>3</v>
      </c>
      <c r="I534">
        <v>6</v>
      </c>
      <c r="J534">
        <v>8</v>
      </c>
      <c r="K534">
        <v>14</v>
      </c>
      <c r="L534">
        <v>3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32</v>
      </c>
      <c r="T534">
        <v>9.4</v>
      </c>
      <c r="U534">
        <v>79</v>
      </c>
      <c r="V534" t="s">
        <v>2516</v>
      </c>
      <c r="W534" t="s">
        <v>1741</v>
      </c>
      <c r="X534">
        <v>0</v>
      </c>
      <c r="Y534">
        <v>0</v>
      </c>
      <c r="AA534">
        <v>49</v>
      </c>
      <c r="AB534">
        <v>55</v>
      </c>
      <c r="AC534">
        <v>9</v>
      </c>
      <c r="AD534">
        <v>35</v>
      </c>
      <c r="AE534" t="s">
        <v>60</v>
      </c>
    </row>
    <row r="535" spans="1:31" x14ac:dyDescent="0.2">
      <c r="A535">
        <v>520</v>
      </c>
      <c r="B535" t="s">
        <v>1092</v>
      </c>
      <c r="C535">
        <v>31</v>
      </c>
      <c r="D535" t="s">
        <v>1022</v>
      </c>
      <c r="E535" t="s">
        <v>349</v>
      </c>
      <c r="F535">
        <v>25</v>
      </c>
      <c r="G535">
        <v>1</v>
      </c>
      <c r="H535">
        <v>5</v>
      </c>
      <c r="I535">
        <v>6</v>
      </c>
      <c r="J535">
        <v>9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19</v>
      </c>
      <c r="T535">
        <v>5.3</v>
      </c>
      <c r="U535">
        <v>55</v>
      </c>
      <c r="V535" t="s">
        <v>2782</v>
      </c>
      <c r="W535" t="s">
        <v>471</v>
      </c>
      <c r="X535">
        <v>0</v>
      </c>
      <c r="Y535">
        <v>0</v>
      </c>
      <c r="AA535">
        <v>23</v>
      </c>
      <c r="AB535">
        <v>13</v>
      </c>
      <c r="AC535">
        <v>7</v>
      </c>
      <c r="AD535">
        <v>30</v>
      </c>
      <c r="AE535" t="s">
        <v>60</v>
      </c>
    </row>
    <row r="536" spans="1:31" x14ac:dyDescent="0.2">
      <c r="A536">
        <v>520</v>
      </c>
      <c r="B536" t="s">
        <v>1092</v>
      </c>
      <c r="C536">
        <v>31</v>
      </c>
      <c r="D536" t="s">
        <v>328</v>
      </c>
      <c r="E536" t="s">
        <v>349</v>
      </c>
      <c r="F536">
        <v>6</v>
      </c>
      <c r="G536">
        <v>0</v>
      </c>
      <c r="H536">
        <v>0</v>
      </c>
      <c r="I536">
        <v>0</v>
      </c>
      <c r="J536">
        <v>0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</v>
      </c>
      <c r="T536">
        <v>0</v>
      </c>
      <c r="U536">
        <v>9</v>
      </c>
      <c r="V536" t="s">
        <v>1094</v>
      </c>
      <c r="W536" t="s">
        <v>1095</v>
      </c>
      <c r="X536">
        <v>0</v>
      </c>
      <c r="Y536">
        <v>0</v>
      </c>
      <c r="AA536">
        <v>3</v>
      </c>
      <c r="AB536">
        <v>2</v>
      </c>
      <c r="AC536">
        <v>2</v>
      </c>
      <c r="AD536">
        <v>8</v>
      </c>
      <c r="AE536" t="s">
        <v>60</v>
      </c>
    </row>
    <row r="537" spans="1:31" x14ac:dyDescent="0.2">
      <c r="A537">
        <v>520</v>
      </c>
      <c r="B537" t="s">
        <v>1092</v>
      </c>
      <c r="C537">
        <v>31</v>
      </c>
      <c r="D537" t="s">
        <v>361</v>
      </c>
      <c r="E537" t="s">
        <v>349</v>
      </c>
      <c r="F537">
        <v>19</v>
      </c>
      <c r="G537">
        <v>1</v>
      </c>
      <c r="H537">
        <v>5</v>
      </c>
      <c r="I537">
        <v>6</v>
      </c>
      <c r="J537">
        <v>9</v>
      </c>
      <c r="K537">
        <v>2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16</v>
      </c>
      <c r="T537">
        <v>6.3</v>
      </c>
      <c r="U537">
        <v>46</v>
      </c>
      <c r="V537" t="s">
        <v>2783</v>
      </c>
      <c r="W537" t="s">
        <v>326</v>
      </c>
      <c r="X537">
        <v>0</v>
      </c>
      <c r="Y537">
        <v>0</v>
      </c>
      <c r="AA537">
        <v>20</v>
      </c>
      <c r="AB537">
        <v>11</v>
      </c>
      <c r="AC537">
        <v>5</v>
      </c>
      <c r="AD537">
        <v>22</v>
      </c>
      <c r="AE537" t="s">
        <v>60</v>
      </c>
    </row>
    <row r="538" spans="1:31" x14ac:dyDescent="0.2">
      <c r="A538">
        <v>521</v>
      </c>
      <c r="B538" t="s">
        <v>1015</v>
      </c>
      <c r="C538">
        <v>32</v>
      </c>
      <c r="D538" t="s">
        <v>337</v>
      </c>
      <c r="E538" t="s">
        <v>322</v>
      </c>
      <c r="F538">
        <v>20</v>
      </c>
      <c r="G538">
        <v>2</v>
      </c>
      <c r="H538">
        <v>4</v>
      </c>
      <c r="I538">
        <v>6</v>
      </c>
      <c r="J538">
        <v>0</v>
      </c>
      <c r="K538">
        <v>14</v>
      </c>
      <c r="L538">
        <v>1</v>
      </c>
      <c r="M538">
        <v>1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24</v>
      </c>
      <c r="T538">
        <v>8.3000000000000007</v>
      </c>
      <c r="U538">
        <v>50</v>
      </c>
      <c r="V538" t="s">
        <v>2517</v>
      </c>
      <c r="W538" t="s">
        <v>854</v>
      </c>
      <c r="X538">
        <v>72</v>
      </c>
      <c r="Y538">
        <v>90</v>
      </c>
      <c r="Z538">
        <v>44.4</v>
      </c>
      <c r="AA538">
        <v>3</v>
      </c>
      <c r="AB538">
        <v>8</v>
      </c>
      <c r="AC538">
        <v>2</v>
      </c>
      <c r="AD538">
        <v>11</v>
      </c>
      <c r="AE538" t="s">
        <v>60</v>
      </c>
    </row>
    <row r="539" spans="1:31" x14ac:dyDescent="0.2">
      <c r="A539">
        <v>522</v>
      </c>
      <c r="B539" t="s">
        <v>1247</v>
      </c>
      <c r="C539">
        <v>30</v>
      </c>
      <c r="D539" t="s">
        <v>359</v>
      </c>
      <c r="E539" t="s">
        <v>322</v>
      </c>
      <c r="F539">
        <v>17</v>
      </c>
      <c r="G539">
        <v>2</v>
      </c>
      <c r="H539">
        <v>4</v>
      </c>
      <c r="I539">
        <v>6</v>
      </c>
      <c r="J539">
        <v>3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19</v>
      </c>
      <c r="T539">
        <v>10.5</v>
      </c>
      <c r="U539">
        <v>31</v>
      </c>
      <c r="V539" t="s">
        <v>2518</v>
      </c>
      <c r="W539" t="s">
        <v>1819</v>
      </c>
      <c r="X539">
        <v>78</v>
      </c>
      <c r="Y539">
        <v>76</v>
      </c>
      <c r="Z539">
        <v>50.6</v>
      </c>
      <c r="AA539">
        <v>9</v>
      </c>
      <c r="AB539">
        <v>15</v>
      </c>
      <c r="AC539">
        <v>3</v>
      </c>
      <c r="AD539">
        <v>6</v>
      </c>
      <c r="AE539" t="s">
        <v>60</v>
      </c>
    </row>
    <row r="540" spans="1:31" x14ac:dyDescent="0.2">
      <c r="A540">
        <v>523</v>
      </c>
      <c r="B540" t="s">
        <v>964</v>
      </c>
      <c r="C540">
        <v>27</v>
      </c>
      <c r="D540" t="s">
        <v>439</v>
      </c>
      <c r="E540" t="s">
        <v>349</v>
      </c>
      <c r="F540">
        <v>33</v>
      </c>
      <c r="G540">
        <v>0</v>
      </c>
      <c r="H540">
        <v>6</v>
      </c>
      <c r="I540">
        <v>6</v>
      </c>
      <c r="J540">
        <v>-11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33</v>
      </c>
      <c r="T540">
        <v>0</v>
      </c>
      <c r="U540">
        <v>90</v>
      </c>
      <c r="V540" t="s">
        <v>1849</v>
      </c>
      <c r="W540" t="s">
        <v>1204</v>
      </c>
      <c r="X540">
        <v>0</v>
      </c>
      <c r="Y540">
        <v>0</v>
      </c>
      <c r="AA540">
        <v>70</v>
      </c>
      <c r="AB540">
        <v>25</v>
      </c>
      <c r="AC540">
        <v>8</v>
      </c>
      <c r="AD540">
        <v>40</v>
      </c>
      <c r="AE540" t="s">
        <v>60</v>
      </c>
    </row>
    <row r="541" spans="1:31" x14ac:dyDescent="0.2">
      <c r="A541">
        <v>524</v>
      </c>
      <c r="B541" t="s">
        <v>1099</v>
      </c>
      <c r="C541">
        <v>25</v>
      </c>
      <c r="D541" t="s">
        <v>536</v>
      </c>
      <c r="E541" t="s">
        <v>349</v>
      </c>
      <c r="F541">
        <v>34</v>
      </c>
      <c r="G541">
        <v>1</v>
      </c>
      <c r="H541">
        <v>5</v>
      </c>
      <c r="I541">
        <v>6</v>
      </c>
      <c r="J541">
        <v>-7</v>
      </c>
      <c r="K541">
        <v>43</v>
      </c>
      <c r="L541">
        <v>1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37</v>
      </c>
      <c r="T541">
        <v>2.7</v>
      </c>
      <c r="U541">
        <v>81</v>
      </c>
      <c r="V541" t="s">
        <v>2519</v>
      </c>
      <c r="W541" t="s">
        <v>2091</v>
      </c>
      <c r="X541">
        <v>0</v>
      </c>
      <c r="Y541">
        <v>0</v>
      </c>
      <c r="AA541">
        <v>25</v>
      </c>
      <c r="AB541">
        <v>41</v>
      </c>
      <c r="AC541">
        <v>4</v>
      </c>
      <c r="AD541">
        <v>31</v>
      </c>
      <c r="AE541" t="s">
        <v>60</v>
      </c>
    </row>
    <row r="542" spans="1:31" x14ac:dyDescent="0.2">
      <c r="A542">
        <v>525</v>
      </c>
      <c r="B542" t="s">
        <v>966</v>
      </c>
      <c r="C542">
        <v>24</v>
      </c>
      <c r="D542" t="s">
        <v>429</v>
      </c>
      <c r="E542" t="s">
        <v>322</v>
      </c>
      <c r="F542">
        <v>36</v>
      </c>
      <c r="G542">
        <v>2</v>
      </c>
      <c r="H542">
        <v>4</v>
      </c>
      <c r="I542">
        <v>6</v>
      </c>
      <c r="J542">
        <v>-2</v>
      </c>
      <c r="K542">
        <v>17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35</v>
      </c>
      <c r="T542">
        <v>5.7</v>
      </c>
      <c r="U542">
        <v>70</v>
      </c>
      <c r="V542" t="s">
        <v>2520</v>
      </c>
      <c r="W542" t="s">
        <v>2521</v>
      </c>
      <c r="X542">
        <v>143</v>
      </c>
      <c r="Y542">
        <v>111</v>
      </c>
      <c r="Z542">
        <v>56.3</v>
      </c>
      <c r="AA542">
        <v>15</v>
      </c>
      <c r="AB542">
        <v>14</v>
      </c>
      <c r="AC542">
        <v>6</v>
      </c>
      <c r="AD542">
        <v>16</v>
      </c>
      <c r="AE542" t="s">
        <v>60</v>
      </c>
    </row>
    <row r="543" spans="1:31" x14ac:dyDescent="0.2">
      <c r="A543">
        <v>526</v>
      </c>
      <c r="B543" t="s">
        <v>1100</v>
      </c>
      <c r="C543">
        <v>31</v>
      </c>
      <c r="D543" t="s">
        <v>337</v>
      </c>
      <c r="E543" t="s">
        <v>340</v>
      </c>
      <c r="F543">
        <v>38</v>
      </c>
      <c r="G543">
        <v>3</v>
      </c>
      <c r="H543">
        <v>3</v>
      </c>
      <c r="I543">
        <v>6</v>
      </c>
      <c r="J543">
        <v>-10</v>
      </c>
      <c r="K543">
        <v>36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1</v>
      </c>
      <c r="R543">
        <v>0</v>
      </c>
      <c r="S543">
        <v>68</v>
      </c>
      <c r="T543">
        <v>4.4000000000000004</v>
      </c>
      <c r="U543">
        <v>118</v>
      </c>
      <c r="V543" t="s">
        <v>2522</v>
      </c>
      <c r="W543" t="s">
        <v>1061</v>
      </c>
      <c r="X543">
        <v>5</v>
      </c>
      <c r="Y543">
        <v>8</v>
      </c>
      <c r="Z543">
        <v>38.5</v>
      </c>
      <c r="AA543">
        <v>24</v>
      </c>
      <c r="AB543">
        <v>67</v>
      </c>
      <c r="AC543">
        <v>5</v>
      </c>
      <c r="AD543">
        <v>15</v>
      </c>
      <c r="AE543" t="s">
        <v>60</v>
      </c>
    </row>
    <row r="544" spans="1:31" x14ac:dyDescent="0.2">
      <c r="A544">
        <v>527</v>
      </c>
      <c r="B544" t="s">
        <v>1179</v>
      </c>
      <c r="C544">
        <v>25</v>
      </c>
      <c r="D544" t="s">
        <v>476</v>
      </c>
      <c r="E544" t="s">
        <v>349</v>
      </c>
      <c r="F544">
        <v>27</v>
      </c>
      <c r="G544">
        <v>1</v>
      </c>
      <c r="H544">
        <v>5</v>
      </c>
      <c r="I544">
        <v>6</v>
      </c>
      <c r="J544">
        <v>2</v>
      </c>
      <c r="K544">
        <v>14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22</v>
      </c>
      <c r="T544">
        <v>4.5</v>
      </c>
      <c r="U544">
        <v>59</v>
      </c>
      <c r="V544" t="s">
        <v>2523</v>
      </c>
      <c r="W544" t="s">
        <v>1669</v>
      </c>
      <c r="X544">
        <v>0</v>
      </c>
      <c r="Y544">
        <v>0</v>
      </c>
      <c r="AA544">
        <v>21</v>
      </c>
      <c r="AB544">
        <v>12</v>
      </c>
      <c r="AC544">
        <v>8</v>
      </c>
      <c r="AD544">
        <v>23</v>
      </c>
      <c r="AE544" t="s">
        <v>60</v>
      </c>
    </row>
    <row r="545" spans="1:31" x14ac:dyDescent="0.2">
      <c r="A545">
        <v>528</v>
      </c>
      <c r="B545" t="s">
        <v>968</v>
      </c>
      <c r="C545">
        <v>25</v>
      </c>
      <c r="D545" t="s">
        <v>461</v>
      </c>
      <c r="E545" t="s">
        <v>325</v>
      </c>
      <c r="F545">
        <v>26</v>
      </c>
      <c r="G545">
        <v>1</v>
      </c>
      <c r="H545">
        <v>4</v>
      </c>
      <c r="I545">
        <v>5</v>
      </c>
      <c r="J545">
        <v>0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1</v>
      </c>
      <c r="R545">
        <v>0</v>
      </c>
      <c r="S545">
        <v>14</v>
      </c>
      <c r="T545">
        <v>7.1</v>
      </c>
      <c r="U545">
        <v>26</v>
      </c>
      <c r="V545" t="s">
        <v>1736</v>
      </c>
      <c r="W545" t="s">
        <v>881</v>
      </c>
      <c r="X545">
        <v>2</v>
      </c>
      <c r="Y545">
        <v>12</v>
      </c>
      <c r="Z545">
        <v>14.3</v>
      </c>
      <c r="AA545">
        <v>5</v>
      </c>
      <c r="AB545">
        <v>22</v>
      </c>
      <c r="AC545">
        <v>6</v>
      </c>
      <c r="AD545">
        <v>9</v>
      </c>
      <c r="AE545" t="s">
        <v>60</v>
      </c>
    </row>
    <row r="546" spans="1:31" x14ac:dyDescent="0.2">
      <c r="A546">
        <v>529</v>
      </c>
      <c r="B546" t="s">
        <v>970</v>
      </c>
      <c r="C546">
        <v>24</v>
      </c>
      <c r="D546" t="s">
        <v>321</v>
      </c>
      <c r="E546" t="s">
        <v>322</v>
      </c>
      <c r="F546">
        <v>25</v>
      </c>
      <c r="G546">
        <v>1</v>
      </c>
      <c r="H546">
        <v>4</v>
      </c>
      <c r="I546">
        <v>5</v>
      </c>
      <c r="J546">
        <v>3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16</v>
      </c>
      <c r="T546">
        <v>6.3</v>
      </c>
      <c r="U546">
        <v>33</v>
      </c>
      <c r="V546" t="s">
        <v>1684</v>
      </c>
      <c r="W546" t="s">
        <v>1685</v>
      </c>
      <c r="X546">
        <v>54</v>
      </c>
      <c r="Y546">
        <v>73</v>
      </c>
      <c r="Z546">
        <v>42.5</v>
      </c>
      <c r="AA546">
        <v>9</v>
      </c>
      <c r="AB546">
        <v>22</v>
      </c>
      <c r="AC546">
        <v>2</v>
      </c>
      <c r="AD546">
        <v>14</v>
      </c>
      <c r="AE546" t="s">
        <v>60</v>
      </c>
    </row>
    <row r="547" spans="1:31" x14ac:dyDescent="0.2">
      <c r="A547">
        <v>530</v>
      </c>
      <c r="B547" t="s">
        <v>971</v>
      </c>
      <c r="C547">
        <v>33</v>
      </c>
      <c r="D547" t="s">
        <v>536</v>
      </c>
      <c r="E547" t="s">
        <v>322</v>
      </c>
      <c r="F547">
        <v>25</v>
      </c>
      <c r="G547">
        <v>4</v>
      </c>
      <c r="H547">
        <v>1</v>
      </c>
      <c r="I547">
        <v>5</v>
      </c>
      <c r="J547">
        <v>-4</v>
      </c>
      <c r="K547">
        <v>12</v>
      </c>
      <c r="L547">
        <v>4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39</v>
      </c>
      <c r="T547">
        <v>10.3</v>
      </c>
      <c r="U547">
        <v>64</v>
      </c>
      <c r="V547" t="s">
        <v>1686</v>
      </c>
      <c r="W547" t="s">
        <v>1687</v>
      </c>
      <c r="X547">
        <v>74</v>
      </c>
      <c r="Y547">
        <v>68</v>
      </c>
      <c r="Z547">
        <v>52.1</v>
      </c>
      <c r="AA547">
        <v>18</v>
      </c>
      <c r="AB547">
        <v>52</v>
      </c>
      <c r="AC547">
        <v>2</v>
      </c>
      <c r="AD547">
        <v>4</v>
      </c>
      <c r="AE547" t="s">
        <v>60</v>
      </c>
    </row>
    <row r="548" spans="1:31" x14ac:dyDescent="0.2">
      <c r="A548">
        <v>531</v>
      </c>
      <c r="B548" t="s">
        <v>973</v>
      </c>
      <c r="C548">
        <v>20</v>
      </c>
      <c r="D548" t="s">
        <v>555</v>
      </c>
      <c r="E548" t="s">
        <v>325</v>
      </c>
      <c r="F548">
        <v>23</v>
      </c>
      <c r="G548">
        <v>0</v>
      </c>
      <c r="H548">
        <v>5</v>
      </c>
      <c r="I548">
        <v>5</v>
      </c>
      <c r="J548">
        <v>-1</v>
      </c>
      <c r="K548">
        <v>8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1</v>
      </c>
      <c r="R548">
        <v>0</v>
      </c>
      <c r="S548">
        <v>20</v>
      </c>
      <c r="T548">
        <v>0</v>
      </c>
      <c r="U548">
        <v>46</v>
      </c>
      <c r="V548" t="s">
        <v>2784</v>
      </c>
      <c r="W548" t="s">
        <v>2785</v>
      </c>
      <c r="X548">
        <v>22</v>
      </c>
      <c r="Y548">
        <v>29</v>
      </c>
      <c r="Z548">
        <v>43.1</v>
      </c>
      <c r="AA548">
        <v>16</v>
      </c>
      <c r="AB548">
        <v>2</v>
      </c>
      <c r="AC548">
        <v>5</v>
      </c>
      <c r="AD548">
        <v>11</v>
      </c>
      <c r="AE548" t="s">
        <v>60</v>
      </c>
    </row>
    <row r="549" spans="1:31" x14ac:dyDescent="0.2">
      <c r="A549">
        <v>532</v>
      </c>
      <c r="B549" t="s">
        <v>1824</v>
      </c>
      <c r="C549">
        <v>20</v>
      </c>
      <c r="D549" t="s">
        <v>324</v>
      </c>
      <c r="E549" t="s">
        <v>340</v>
      </c>
      <c r="F549">
        <v>5</v>
      </c>
      <c r="G549">
        <v>1</v>
      </c>
      <c r="H549">
        <v>4</v>
      </c>
      <c r="I549">
        <v>5</v>
      </c>
      <c r="J549">
        <v>5</v>
      </c>
      <c r="K549">
        <v>0</v>
      </c>
      <c r="L549">
        <v>0</v>
      </c>
      <c r="M549">
        <v>1</v>
      </c>
      <c r="N549">
        <v>0</v>
      </c>
      <c r="O549">
        <v>1</v>
      </c>
      <c r="P549">
        <v>3</v>
      </c>
      <c r="Q549">
        <v>1</v>
      </c>
      <c r="R549">
        <v>0</v>
      </c>
      <c r="S549">
        <v>13</v>
      </c>
      <c r="T549">
        <v>7.7</v>
      </c>
      <c r="U549">
        <v>24</v>
      </c>
      <c r="V549" t="s">
        <v>2524</v>
      </c>
      <c r="W549" t="s">
        <v>1724</v>
      </c>
      <c r="X549">
        <v>0</v>
      </c>
      <c r="Y549">
        <v>0</v>
      </c>
      <c r="AA549">
        <v>2</v>
      </c>
      <c r="AB549">
        <v>1</v>
      </c>
      <c r="AC549">
        <v>0</v>
      </c>
      <c r="AD549">
        <v>7</v>
      </c>
      <c r="AE549" t="s">
        <v>60</v>
      </c>
    </row>
    <row r="550" spans="1:31" x14ac:dyDescent="0.2">
      <c r="A550">
        <v>533</v>
      </c>
      <c r="B550" t="s">
        <v>974</v>
      </c>
      <c r="C550">
        <v>32</v>
      </c>
      <c r="D550" t="s">
        <v>1022</v>
      </c>
      <c r="E550" t="s">
        <v>322</v>
      </c>
      <c r="F550">
        <v>32</v>
      </c>
      <c r="G550">
        <v>0</v>
      </c>
      <c r="H550">
        <v>5</v>
      </c>
      <c r="I550">
        <v>5</v>
      </c>
      <c r="J550">
        <v>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44</v>
      </c>
      <c r="T550">
        <v>0</v>
      </c>
      <c r="U550">
        <v>93</v>
      </c>
      <c r="V550" t="s">
        <v>2786</v>
      </c>
      <c r="W550" t="s">
        <v>1709</v>
      </c>
      <c r="X550">
        <v>237</v>
      </c>
      <c r="Y550">
        <v>210</v>
      </c>
      <c r="Z550">
        <v>53</v>
      </c>
      <c r="AA550">
        <v>11</v>
      </c>
      <c r="AB550">
        <v>26</v>
      </c>
      <c r="AC550">
        <v>5</v>
      </c>
      <c r="AD550">
        <v>27</v>
      </c>
      <c r="AE550" t="s">
        <v>60</v>
      </c>
    </row>
    <row r="551" spans="1:31" x14ac:dyDescent="0.2">
      <c r="A551">
        <v>533</v>
      </c>
      <c r="B551" t="s">
        <v>974</v>
      </c>
      <c r="C551">
        <v>32</v>
      </c>
      <c r="D551" t="s">
        <v>429</v>
      </c>
      <c r="E551" t="s">
        <v>322</v>
      </c>
      <c r="F551">
        <v>30</v>
      </c>
      <c r="G551">
        <v>0</v>
      </c>
      <c r="H551">
        <v>5</v>
      </c>
      <c r="I551">
        <v>5</v>
      </c>
      <c r="J551">
        <v>3</v>
      </c>
      <c r="K551">
        <v>6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1</v>
      </c>
      <c r="S551">
        <v>42</v>
      </c>
      <c r="T551">
        <v>0</v>
      </c>
      <c r="U551">
        <v>88</v>
      </c>
      <c r="V551" t="s">
        <v>1708</v>
      </c>
      <c r="W551" t="s">
        <v>1709</v>
      </c>
      <c r="X551">
        <v>219</v>
      </c>
      <c r="Y551">
        <v>195</v>
      </c>
      <c r="Z551">
        <v>52.9</v>
      </c>
      <c r="AA551">
        <v>11</v>
      </c>
      <c r="AB551">
        <v>22</v>
      </c>
      <c r="AC551">
        <v>4</v>
      </c>
      <c r="AD551">
        <v>25</v>
      </c>
      <c r="AE551" t="s">
        <v>60</v>
      </c>
    </row>
    <row r="552" spans="1:31" x14ac:dyDescent="0.2">
      <c r="A552">
        <v>533</v>
      </c>
      <c r="B552" t="s">
        <v>974</v>
      </c>
      <c r="C552">
        <v>32</v>
      </c>
      <c r="D552" t="s">
        <v>365</v>
      </c>
      <c r="E552" t="s">
        <v>322</v>
      </c>
      <c r="F552">
        <v>2</v>
      </c>
      <c r="G552">
        <v>0</v>
      </c>
      <c r="H552">
        <v>0</v>
      </c>
      <c r="I552">
        <v>0</v>
      </c>
      <c r="J552">
        <v>-1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2</v>
      </c>
      <c r="T552">
        <v>0</v>
      </c>
      <c r="U552">
        <v>5</v>
      </c>
      <c r="V552" t="s">
        <v>2787</v>
      </c>
      <c r="W552" t="s">
        <v>835</v>
      </c>
      <c r="X552">
        <v>18</v>
      </c>
      <c r="Y552">
        <v>15</v>
      </c>
      <c r="Z552">
        <v>54.5</v>
      </c>
      <c r="AA552">
        <v>0</v>
      </c>
      <c r="AB552">
        <v>4</v>
      </c>
      <c r="AC552">
        <v>1</v>
      </c>
      <c r="AD552">
        <v>2</v>
      </c>
      <c r="AE552" t="s">
        <v>60</v>
      </c>
    </row>
    <row r="553" spans="1:31" x14ac:dyDescent="0.2">
      <c r="A553">
        <v>534</v>
      </c>
      <c r="B553" t="s">
        <v>1195</v>
      </c>
      <c r="C553">
        <v>35</v>
      </c>
      <c r="D553" t="s">
        <v>334</v>
      </c>
      <c r="E553" t="s">
        <v>322</v>
      </c>
      <c r="F553">
        <v>14</v>
      </c>
      <c r="G553">
        <v>2</v>
      </c>
      <c r="H553">
        <v>3</v>
      </c>
      <c r="I553">
        <v>5</v>
      </c>
      <c r="J553">
        <v>1</v>
      </c>
      <c r="K553">
        <v>2</v>
      </c>
      <c r="L553">
        <v>1</v>
      </c>
      <c r="M553">
        <v>1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15</v>
      </c>
      <c r="T553">
        <v>13.3</v>
      </c>
      <c r="U553">
        <v>35</v>
      </c>
      <c r="V553" t="s">
        <v>2525</v>
      </c>
      <c r="W553" t="s">
        <v>1975</v>
      </c>
      <c r="X553">
        <v>49</v>
      </c>
      <c r="Y553">
        <v>42</v>
      </c>
      <c r="Z553">
        <v>53.8</v>
      </c>
      <c r="AA553">
        <v>9</v>
      </c>
      <c r="AB553">
        <v>4</v>
      </c>
      <c r="AC553">
        <v>4</v>
      </c>
      <c r="AD553">
        <v>7</v>
      </c>
      <c r="AE553" t="s">
        <v>60</v>
      </c>
    </row>
    <row r="554" spans="1:31" x14ac:dyDescent="0.2">
      <c r="A554">
        <v>535</v>
      </c>
      <c r="B554" t="s">
        <v>1205</v>
      </c>
      <c r="C554">
        <v>23</v>
      </c>
      <c r="D554" t="s">
        <v>426</v>
      </c>
      <c r="E554" t="s">
        <v>322</v>
      </c>
      <c r="F554">
        <v>14</v>
      </c>
      <c r="G554">
        <v>0</v>
      </c>
      <c r="H554">
        <v>5</v>
      </c>
      <c r="I554">
        <v>5</v>
      </c>
      <c r="J554">
        <v>-3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2</v>
      </c>
      <c r="Q554">
        <v>3</v>
      </c>
      <c r="R554">
        <v>0</v>
      </c>
      <c r="S554">
        <v>14</v>
      </c>
      <c r="T554">
        <v>0</v>
      </c>
      <c r="U554">
        <v>24</v>
      </c>
      <c r="V554" t="s">
        <v>2526</v>
      </c>
      <c r="W554" t="s">
        <v>1994</v>
      </c>
      <c r="X554">
        <v>21</v>
      </c>
      <c r="Y554">
        <v>31</v>
      </c>
      <c r="Z554">
        <v>40.4</v>
      </c>
      <c r="AA554">
        <v>5</v>
      </c>
      <c r="AB554">
        <v>18</v>
      </c>
      <c r="AC554">
        <v>1</v>
      </c>
      <c r="AD554">
        <v>10</v>
      </c>
      <c r="AE554" t="s">
        <v>60</v>
      </c>
    </row>
    <row r="555" spans="1:31" x14ac:dyDescent="0.2">
      <c r="A555">
        <v>536</v>
      </c>
      <c r="B555" t="s">
        <v>1056</v>
      </c>
      <c r="C555">
        <v>34</v>
      </c>
      <c r="D555" t="s">
        <v>448</v>
      </c>
      <c r="E555" t="s">
        <v>349</v>
      </c>
      <c r="F555">
        <v>35</v>
      </c>
      <c r="G555">
        <v>0</v>
      </c>
      <c r="H555">
        <v>5</v>
      </c>
      <c r="I555">
        <v>5</v>
      </c>
      <c r="J555">
        <v>0</v>
      </c>
      <c r="K555">
        <v>25</v>
      </c>
      <c r="L555">
        <v>0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26</v>
      </c>
      <c r="T555">
        <v>0</v>
      </c>
      <c r="U555">
        <v>67</v>
      </c>
      <c r="V555" t="s">
        <v>2527</v>
      </c>
      <c r="W555" t="s">
        <v>741</v>
      </c>
      <c r="X555">
        <v>0</v>
      </c>
      <c r="Y555">
        <v>0</v>
      </c>
      <c r="AA555">
        <v>49</v>
      </c>
      <c r="AB555">
        <v>23</v>
      </c>
      <c r="AC555">
        <v>7</v>
      </c>
      <c r="AD555">
        <v>29</v>
      </c>
      <c r="AE555" t="s">
        <v>60</v>
      </c>
    </row>
    <row r="556" spans="1:31" x14ac:dyDescent="0.2">
      <c r="A556">
        <v>537</v>
      </c>
      <c r="B556" t="s">
        <v>1057</v>
      </c>
      <c r="C556">
        <v>33</v>
      </c>
      <c r="D556" t="s">
        <v>378</v>
      </c>
      <c r="E556" t="s">
        <v>335</v>
      </c>
      <c r="F556">
        <v>21</v>
      </c>
      <c r="G556">
        <v>3</v>
      </c>
      <c r="H556">
        <v>2</v>
      </c>
      <c r="I556">
        <v>5</v>
      </c>
      <c r="J556">
        <v>-4</v>
      </c>
      <c r="K556">
        <v>4</v>
      </c>
      <c r="L556">
        <v>3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37</v>
      </c>
      <c r="T556">
        <v>8.1</v>
      </c>
      <c r="U556">
        <v>59</v>
      </c>
      <c r="V556" t="s">
        <v>2137</v>
      </c>
      <c r="W556" t="s">
        <v>1660</v>
      </c>
      <c r="X556">
        <v>33</v>
      </c>
      <c r="Y556">
        <v>52</v>
      </c>
      <c r="Z556">
        <v>38.799999999999997</v>
      </c>
      <c r="AA556">
        <v>7</v>
      </c>
      <c r="AB556">
        <v>25</v>
      </c>
      <c r="AC556">
        <v>3</v>
      </c>
      <c r="AD556">
        <v>15</v>
      </c>
      <c r="AE556" t="s">
        <v>60</v>
      </c>
    </row>
    <row r="557" spans="1:31" x14ac:dyDescent="0.2">
      <c r="A557">
        <v>538</v>
      </c>
      <c r="B557" t="s">
        <v>980</v>
      </c>
      <c r="C557">
        <v>31</v>
      </c>
      <c r="D557" t="s">
        <v>359</v>
      </c>
      <c r="E557" t="s">
        <v>322</v>
      </c>
      <c r="F557">
        <v>26</v>
      </c>
      <c r="G557">
        <v>2</v>
      </c>
      <c r="H557">
        <v>3</v>
      </c>
      <c r="I557">
        <v>5</v>
      </c>
      <c r="J557">
        <v>-4</v>
      </c>
      <c r="K557">
        <v>4</v>
      </c>
      <c r="L557">
        <v>2</v>
      </c>
      <c r="M557">
        <v>0</v>
      </c>
      <c r="N557">
        <v>0</v>
      </c>
      <c r="O557">
        <v>1</v>
      </c>
      <c r="P557">
        <v>2</v>
      </c>
      <c r="Q557">
        <v>1</v>
      </c>
      <c r="R557">
        <v>0</v>
      </c>
      <c r="S557">
        <v>23</v>
      </c>
      <c r="T557">
        <v>8.6999999999999993</v>
      </c>
      <c r="U557">
        <v>51</v>
      </c>
      <c r="V557" t="s">
        <v>2528</v>
      </c>
      <c r="W557" t="s">
        <v>747</v>
      </c>
      <c r="X557">
        <v>14</v>
      </c>
      <c r="Y557">
        <v>13</v>
      </c>
      <c r="Z557">
        <v>51.9</v>
      </c>
      <c r="AA557">
        <v>8</v>
      </c>
      <c r="AB557">
        <v>21</v>
      </c>
      <c r="AC557">
        <v>9</v>
      </c>
      <c r="AD557">
        <v>18</v>
      </c>
      <c r="AE557" t="s">
        <v>60</v>
      </c>
    </row>
    <row r="558" spans="1:31" x14ac:dyDescent="0.2">
      <c r="A558">
        <v>539</v>
      </c>
      <c r="B558" t="s">
        <v>1062</v>
      </c>
      <c r="C558">
        <v>31</v>
      </c>
      <c r="D558" t="s">
        <v>402</v>
      </c>
      <c r="E558" t="s">
        <v>322</v>
      </c>
      <c r="F558">
        <v>26</v>
      </c>
      <c r="G558">
        <v>1</v>
      </c>
      <c r="H558">
        <v>4</v>
      </c>
      <c r="I558">
        <v>5</v>
      </c>
      <c r="J558">
        <v>3</v>
      </c>
      <c r="K558">
        <v>12</v>
      </c>
      <c r="L558">
        <v>1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3.8</v>
      </c>
      <c r="U558">
        <v>55</v>
      </c>
      <c r="V558" t="s">
        <v>2529</v>
      </c>
      <c r="W558" t="s">
        <v>2132</v>
      </c>
      <c r="X558">
        <v>136</v>
      </c>
      <c r="Y558">
        <v>121</v>
      </c>
      <c r="Z558">
        <v>52.9</v>
      </c>
      <c r="AA558">
        <v>16</v>
      </c>
      <c r="AB558">
        <v>21</v>
      </c>
      <c r="AC558">
        <v>5</v>
      </c>
      <c r="AD558">
        <v>14</v>
      </c>
      <c r="AE558" t="s">
        <v>60</v>
      </c>
    </row>
    <row r="559" spans="1:31" x14ac:dyDescent="0.2">
      <c r="A559">
        <v>540</v>
      </c>
      <c r="B559" t="s">
        <v>1141</v>
      </c>
      <c r="C559">
        <v>25</v>
      </c>
      <c r="D559" t="s">
        <v>373</v>
      </c>
      <c r="E559" t="s">
        <v>349</v>
      </c>
      <c r="F559">
        <v>40</v>
      </c>
      <c r="G559">
        <v>0</v>
      </c>
      <c r="H559">
        <v>5</v>
      </c>
      <c r="I559">
        <v>5</v>
      </c>
      <c r="J559">
        <v>-13</v>
      </c>
      <c r="K559">
        <v>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27</v>
      </c>
      <c r="T559">
        <v>0</v>
      </c>
      <c r="U559">
        <v>88</v>
      </c>
      <c r="V559" t="s">
        <v>2788</v>
      </c>
      <c r="W559" t="s">
        <v>1674</v>
      </c>
      <c r="X559">
        <v>0</v>
      </c>
      <c r="Y559">
        <v>0</v>
      </c>
      <c r="AA559">
        <v>57</v>
      </c>
      <c r="AB559">
        <v>34</v>
      </c>
      <c r="AC559">
        <v>10</v>
      </c>
      <c r="AD559">
        <v>33</v>
      </c>
      <c r="AE559" t="s">
        <v>60</v>
      </c>
    </row>
    <row r="560" spans="1:31" x14ac:dyDescent="0.2">
      <c r="A560">
        <v>541</v>
      </c>
      <c r="B560" t="s">
        <v>1142</v>
      </c>
      <c r="C560">
        <v>28</v>
      </c>
      <c r="D560" t="s">
        <v>415</v>
      </c>
      <c r="E560" t="s">
        <v>349</v>
      </c>
      <c r="F560">
        <v>27</v>
      </c>
      <c r="G560">
        <v>1</v>
      </c>
      <c r="H560">
        <v>4</v>
      </c>
      <c r="I560">
        <v>5</v>
      </c>
      <c r="J560">
        <v>3</v>
      </c>
      <c r="K560">
        <v>8</v>
      </c>
      <c r="L560">
        <v>1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17</v>
      </c>
      <c r="T560">
        <v>5.9</v>
      </c>
      <c r="U560">
        <v>42</v>
      </c>
      <c r="V560" t="s">
        <v>1799</v>
      </c>
      <c r="W560" t="s">
        <v>666</v>
      </c>
      <c r="X560">
        <v>0</v>
      </c>
      <c r="Y560">
        <v>0</v>
      </c>
      <c r="AA560">
        <v>19</v>
      </c>
      <c r="AB560">
        <v>51</v>
      </c>
      <c r="AC560">
        <v>3</v>
      </c>
      <c r="AD560">
        <v>25</v>
      </c>
      <c r="AE560" t="s">
        <v>60</v>
      </c>
    </row>
    <row r="561" spans="1:31" x14ac:dyDescent="0.2">
      <c r="A561">
        <v>542</v>
      </c>
      <c r="B561" t="s">
        <v>1144</v>
      </c>
      <c r="C561">
        <v>21</v>
      </c>
      <c r="D561" t="s">
        <v>373</v>
      </c>
      <c r="E561" t="s">
        <v>322</v>
      </c>
      <c r="F561">
        <v>39</v>
      </c>
      <c r="G561">
        <v>3</v>
      </c>
      <c r="H561">
        <v>2</v>
      </c>
      <c r="I561">
        <v>5</v>
      </c>
      <c r="J561">
        <v>-13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61</v>
      </c>
      <c r="T561">
        <v>4.9000000000000004</v>
      </c>
      <c r="U561">
        <v>107</v>
      </c>
      <c r="V561" t="s">
        <v>2789</v>
      </c>
      <c r="W561" t="s">
        <v>1937</v>
      </c>
      <c r="X561">
        <v>133</v>
      </c>
      <c r="Y561">
        <v>140</v>
      </c>
      <c r="Z561">
        <v>48.7</v>
      </c>
      <c r="AA561">
        <v>25</v>
      </c>
      <c r="AB561">
        <v>86</v>
      </c>
      <c r="AC561">
        <v>6</v>
      </c>
      <c r="AD561">
        <v>25</v>
      </c>
      <c r="AE561" t="s">
        <v>60</v>
      </c>
    </row>
    <row r="562" spans="1:31" x14ac:dyDescent="0.2">
      <c r="A562">
        <v>543</v>
      </c>
      <c r="B562" t="s">
        <v>1065</v>
      </c>
      <c r="C562">
        <v>24</v>
      </c>
      <c r="D562" t="s">
        <v>426</v>
      </c>
      <c r="E562" t="s">
        <v>349</v>
      </c>
      <c r="F562">
        <v>32</v>
      </c>
      <c r="G562">
        <v>0</v>
      </c>
      <c r="H562">
        <v>5</v>
      </c>
      <c r="I562">
        <v>5</v>
      </c>
      <c r="J562">
        <v>-11</v>
      </c>
      <c r="K562">
        <v>13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0</v>
      </c>
      <c r="U562">
        <v>86</v>
      </c>
      <c r="V562" t="s">
        <v>1959</v>
      </c>
      <c r="W562" t="s">
        <v>548</v>
      </c>
      <c r="X562">
        <v>0</v>
      </c>
      <c r="Y562">
        <v>0</v>
      </c>
      <c r="AA562">
        <v>48</v>
      </c>
      <c r="AB562">
        <v>41</v>
      </c>
      <c r="AC562">
        <v>9</v>
      </c>
      <c r="AD562">
        <v>38</v>
      </c>
      <c r="AE562" t="s">
        <v>60</v>
      </c>
    </row>
    <row r="563" spans="1:31" x14ac:dyDescent="0.2">
      <c r="A563">
        <v>544</v>
      </c>
      <c r="B563" t="s">
        <v>990</v>
      </c>
      <c r="C563">
        <v>21</v>
      </c>
      <c r="D563" t="s">
        <v>439</v>
      </c>
      <c r="E563" t="s">
        <v>322</v>
      </c>
      <c r="F563">
        <v>12</v>
      </c>
      <c r="G563">
        <v>3</v>
      </c>
      <c r="H563">
        <v>2</v>
      </c>
      <c r="I563">
        <v>5</v>
      </c>
      <c r="J563">
        <v>-4</v>
      </c>
      <c r="K563">
        <v>4</v>
      </c>
      <c r="L563">
        <v>3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20</v>
      </c>
      <c r="T563">
        <v>15</v>
      </c>
      <c r="U563">
        <v>43</v>
      </c>
      <c r="V563" t="s">
        <v>991</v>
      </c>
      <c r="W563" t="s">
        <v>992</v>
      </c>
      <c r="X563">
        <v>68</v>
      </c>
      <c r="Y563">
        <v>95</v>
      </c>
      <c r="Z563">
        <v>41.7</v>
      </c>
      <c r="AA563">
        <v>12</v>
      </c>
      <c r="AB563">
        <v>9</v>
      </c>
      <c r="AC563">
        <v>1</v>
      </c>
      <c r="AD563">
        <v>10</v>
      </c>
      <c r="AE563" t="s">
        <v>60</v>
      </c>
    </row>
    <row r="564" spans="1:31" x14ac:dyDescent="0.2">
      <c r="A564">
        <v>545</v>
      </c>
      <c r="B564" t="s">
        <v>1149</v>
      </c>
      <c r="C564">
        <v>31</v>
      </c>
      <c r="D564" t="s">
        <v>361</v>
      </c>
      <c r="E564" t="s">
        <v>322</v>
      </c>
      <c r="F564">
        <v>20</v>
      </c>
      <c r="G564">
        <v>4</v>
      </c>
      <c r="H564">
        <v>1</v>
      </c>
      <c r="I564">
        <v>5</v>
      </c>
      <c r="J564">
        <v>0</v>
      </c>
      <c r="K564">
        <v>6</v>
      </c>
      <c r="L564">
        <v>3</v>
      </c>
      <c r="M564">
        <v>0</v>
      </c>
      <c r="N564">
        <v>1</v>
      </c>
      <c r="O564">
        <v>1</v>
      </c>
      <c r="P564">
        <v>1</v>
      </c>
      <c r="Q564">
        <v>0</v>
      </c>
      <c r="R564">
        <v>0</v>
      </c>
      <c r="S564">
        <v>25</v>
      </c>
      <c r="T564">
        <v>16</v>
      </c>
      <c r="U564">
        <v>44</v>
      </c>
      <c r="V564" t="s">
        <v>2790</v>
      </c>
      <c r="W564" t="s">
        <v>1973</v>
      </c>
      <c r="X564">
        <v>132</v>
      </c>
      <c r="Y564">
        <v>86</v>
      </c>
      <c r="Z564">
        <v>60.6</v>
      </c>
      <c r="AA564">
        <v>13</v>
      </c>
      <c r="AB564">
        <v>36</v>
      </c>
      <c r="AC564">
        <v>5</v>
      </c>
      <c r="AD564">
        <v>17</v>
      </c>
      <c r="AE564" t="s">
        <v>60</v>
      </c>
    </row>
    <row r="565" spans="1:31" x14ac:dyDescent="0.2">
      <c r="A565">
        <v>546</v>
      </c>
      <c r="B565" t="s">
        <v>1069</v>
      </c>
      <c r="C565">
        <v>28</v>
      </c>
      <c r="D565" t="s">
        <v>344</v>
      </c>
      <c r="E565" t="s">
        <v>349</v>
      </c>
      <c r="F565">
        <v>22</v>
      </c>
      <c r="G565">
        <v>0</v>
      </c>
      <c r="H565">
        <v>5</v>
      </c>
      <c r="I565">
        <v>5</v>
      </c>
      <c r="J565">
        <v>3</v>
      </c>
      <c r="K565">
        <v>37</v>
      </c>
      <c r="L565">
        <v>0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18</v>
      </c>
      <c r="T565">
        <v>0</v>
      </c>
      <c r="U565">
        <v>58</v>
      </c>
      <c r="V565" t="s">
        <v>2530</v>
      </c>
      <c r="W565" t="s">
        <v>1674</v>
      </c>
      <c r="X565">
        <v>0</v>
      </c>
      <c r="Y565">
        <v>0</v>
      </c>
      <c r="AA565">
        <v>35</v>
      </c>
      <c r="AB565">
        <v>72</v>
      </c>
      <c r="AC565">
        <v>3</v>
      </c>
      <c r="AD565">
        <v>15</v>
      </c>
      <c r="AE565" t="s">
        <v>60</v>
      </c>
    </row>
    <row r="566" spans="1:31" x14ac:dyDescent="0.2">
      <c r="A566">
        <v>547</v>
      </c>
      <c r="B566" t="s">
        <v>1151</v>
      </c>
      <c r="C566">
        <v>27</v>
      </c>
      <c r="D566" t="s">
        <v>555</v>
      </c>
      <c r="E566" t="s">
        <v>349</v>
      </c>
      <c r="F566">
        <v>36</v>
      </c>
      <c r="G566">
        <v>1</v>
      </c>
      <c r="H566">
        <v>4</v>
      </c>
      <c r="I566">
        <v>5</v>
      </c>
      <c r="J566">
        <v>4</v>
      </c>
      <c r="K566">
        <v>41</v>
      </c>
      <c r="L566">
        <v>1</v>
      </c>
      <c r="M566">
        <v>0</v>
      </c>
      <c r="N566">
        <v>0</v>
      </c>
      <c r="O566">
        <v>1</v>
      </c>
      <c r="P566">
        <v>3</v>
      </c>
      <c r="Q566">
        <v>0</v>
      </c>
      <c r="R566">
        <v>1</v>
      </c>
      <c r="S566">
        <v>27</v>
      </c>
      <c r="T566">
        <v>3.7</v>
      </c>
      <c r="U566">
        <v>89</v>
      </c>
      <c r="V566" t="s">
        <v>2791</v>
      </c>
      <c r="W566" t="s">
        <v>1698</v>
      </c>
      <c r="X566">
        <v>0</v>
      </c>
      <c r="Y566">
        <v>1</v>
      </c>
      <c r="Z566">
        <v>0</v>
      </c>
      <c r="AA566">
        <v>64</v>
      </c>
      <c r="AB566">
        <v>20</v>
      </c>
      <c r="AC566">
        <v>8</v>
      </c>
      <c r="AD566">
        <v>44</v>
      </c>
      <c r="AE566" t="s">
        <v>60</v>
      </c>
    </row>
    <row r="567" spans="1:31" x14ac:dyDescent="0.2">
      <c r="A567">
        <v>548</v>
      </c>
      <c r="B567" t="s">
        <v>1152</v>
      </c>
      <c r="C567">
        <v>32</v>
      </c>
      <c r="D567" t="s">
        <v>346</v>
      </c>
      <c r="E567" t="s">
        <v>340</v>
      </c>
      <c r="F567">
        <v>24</v>
      </c>
      <c r="G567">
        <v>1</v>
      </c>
      <c r="H567">
        <v>4</v>
      </c>
      <c r="I567">
        <v>5</v>
      </c>
      <c r="J567">
        <v>1</v>
      </c>
      <c r="K567">
        <v>10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21</v>
      </c>
      <c r="T567">
        <v>4.8</v>
      </c>
      <c r="U567">
        <v>54</v>
      </c>
      <c r="V567" t="s">
        <v>2531</v>
      </c>
      <c r="W567" t="s">
        <v>1655</v>
      </c>
      <c r="X567">
        <v>150</v>
      </c>
      <c r="Y567">
        <v>137</v>
      </c>
      <c r="Z567">
        <v>52.3</v>
      </c>
      <c r="AA567">
        <v>22</v>
      </c>
      <c r="AB567">
        <v>53</v>
      </c>
      <c r="AC567">
        <v>3</v>
      </c>
      <c r="AD567">
        <v>15</v>
      </c>
      <c r="AE567" t="s">
        <v>60</v>
      </c>
    </row>
    <row r="568" spans="1:31" x14ac:dyDescent="0.2">
      <c r="A568">
        <v>549</v>
      </c>
      <c r="B568" t="s">
        <v>995</v>
      </c>
      <c r="C568">
        <v>26</v>
      </c>
      <c r="D568" t="s">
        <v>384</v>
      </c>
      <c r="E568" t="s">
        <v>322</v>
      </c>
      <c r="F568">
        <v>35</v>
      </c>
      <c r="G568">
        <v>1</v>
      </c>
      <c r="H568">
        <v>4</v>
      </c>
      <c r="I568">
        <v>5</v>
      </c>
      <c r="J568">
        <v>-5</v>
      </c>
      <c r="K568">
        <v>4</v>
      </c>
      <c r="L568">
        <v>1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30</v>
      </c>
      <c r="T568">
        <v>3.3</v>
      </c>
      <c r="U568">
        <v>49</v>
      </c>
      <c r="V568" t="s">
        <v>2086</v>
      </c>
      <c r="W568" t="s">
        <v>954</v>
      </c>
      <c r="X568">
        <v>94</v>
      </c>
      <c r="Y568">
        <v>81</v>
      </c>
      <c r="Z568">
        <v>53.7</v>
      </c>
      <c r="AA568">
        <v>16</v>
      </c>
      <c r="AB568">
        <v>13</v>
      </c>
      <c r="AC568">
        <v>3</v>
      </c>
      <c r="AD568">
        <v>23</v>
      </c>
      <c r="AE568" t="s">
        <v>60</v>
      </c>
    </row>
    <row r="569" spans="1:31" x14ac:dyDescent="0.2">
      <c r="A569">
        <v>550</v>
      </c>
      <c r="B569" t="s">
        <v>998</v>
      </c>
      <c r="C569">
        <v>27</v>
      </c>
      <c r="D569" t="s">
        <v>439</v>
      </c>
      <c r="E569" t="s">
        <v>340</v>
      </c>
      <c r="F569">
        <v>36</v>
      </c>
      <c r="G569">
        <v>3</v>
      </c>
      <c r="H569">
        <v>2</v>
      </c>
      <c r="I569">
        <v>5</v>
      </c>
      <c r="J569">
        <v>-6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38</v>
      </c>
      <c r="T569">
        <v>7.9</v>
      </c>
      <c r="U569">
        <v>67</v>
      </c>
      <c r="V569" t="s">
        <v>2532</v>
      </c>
      <c r="W569" t="s">
        <v>2533</v>
      </c>
      <c r="X569">
        <v>1</v>
      </c>
      <c r="Y569">
        <v>3</v>
      </c>
      <c r="Z569">
        <v>25</v>
      </c>
      <c r="AA569">
        <v>39</v>
      </c>
      <c r="AB569">
        <v>125</v>
      </c>
      <c r="AC569">
        <v>5</v>
      </c>
      <c r="AD569">
        <v>17</v>
      </c>
      <c r="AE569" t="s">
        <v>60</v>
      </c>
    </row>
    <row r="570" spans="1:31" x14ac:dyDescent="0.2">
      <c r="A570">
        <v>551</v>
      </c>
      <c r="B570" t="s">
        <v>1154</v>
      </c>
      <c r="C570">
        <v>33</v>
      </c>
      <c r="D570" t="s">
        <v>387</v>
      </c>
      <c r="E570" t="s">
        <v>349</v>
      </c>
      <c r="F570">
        <v>37</v>
      </c>
      <c r="G570">
        <v>1</v>
      </c>
      <c r="H570">
        <v>4</v>
      </c>
      <c r="I570">
        <v>5</v>
      </c>
      <c r="J570">
        <v>2</v>
      </c>
      <c r="K570">
        <v>53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2.6</v>
      </c>
      <c r="U570">
        <v>96</v>
      </c>
      <c r="V570" t="s">
        <v>2248</v>
      </c>
      <c r="W570" t="s">
        <v>1716</v>
      </c>
      <c r="X570">
        <v>0</v>
      </c>
      <c r="Y570">
        <v>0</v>
      </c>
      <c r="AA570">
        <v>51</v>
      </c>
      <c r="AB570">
        <v>32</v>
      </c>
      <c r="AC570">
        <v>5</v>
      </c>
      <c r="AD570">
        <v>35</v>
      </c>
      <c r="AE570" t="s">
        <v>60</v>
      </c>
    </row>
    <row r="571" spans="1:31" x14ac:dyDescent="0.2">
      <c r="A571">
        <v>552</v>
      </c>
      <c r="B571" t="s">
        <v>1155</v>
      </c>
      <c r="C571">
        <v>27</v>
      </c>
      <c r="D571" t="s">
        <v>555</v>
      </c>
      <c r="E571" t="s">
        <v>325</v>
      </c>
      <c r="F571">
        <v>18</v>
      </c>
      <c r="G571">
        <v>2</v>
      </c>
      <c r="H571">
        <v>3</v>
      </c>
      <c r="I571">
        <v>5</v>
      </c>
      <c r="J571">
        <v>-5</v>
      </c>
      <c r="K571">
        <v>2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19</v>
      </c>
      <c r="T571">
        <v>10.5</v>
      </c>
      <c r="U571">
        <v>40</v>
      </c>
      <c r="V571" t="s">
        <v>2792</v>
      </c>
      <c r="W571" t="s">
        <v>1556</v>
      </c>
      <c r="X571">
        <v>48</v>
      </c>
      <c r="Y571">
        <v>52</v>
      </c>
      <c r="Z571">
        <v>48</v>
      </c>
      <c r="AA571">
        <v>3</v>
      </c>
      <c r="AB571">
        <v>20</v>
      </c>
      <c r="AC571">
        <v>1</v>
      </c>
      <c r="AD571">
        <v>2</v>
      </c>
      <c r="AE571" t="s">
        <v>60</v>
      </c>
    </row>
    <row r="572" spans="1:31" x14ac:dyDescent="0.2">
      <c r="A572">
        <v>553</v>
      </c>
      <c r="B572" t="s">
        <v>1079</v>
      </c>
      <c r="C572">
        <v>24</v>
      </c>
      <c r="D572" t="s">
        <v>337</v>
      </c>
      <c r="E572" t="s">
        <v>349</v>
      </c>
      <c r="F572">
        <v>24</v>
      </c>
      <c r="G572">
        <v>2</v>
      </c>
      <c r="H572">
        <v>3</v>
      </c>
      <c r="I572">
        <v>5</v>
      </c>
      <c r="J572">
        <v>1</v>
      </c>
      <c r="K572">
        <v>14</v>
      </c>
      <c r="L572">
        <v>2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25</v>
      </c>
      <c r="T572">
        <v>8</v>
      </c>
      <c r="U572">
        <v>67</v>
      </c>
      <c r="V572" t="s">
        <v>2534</v>
      </c>
      <c r="W572" t="s">
        <v>1954</v>
      </c>
      <c r="X572">
        <v>0</v>
      </c>
      <c r="Y572">
        <v>0</v>
      </c>
      <c r="AA572">
        <v>47</v>
      </c>
      <c r="AB572">
        <v>11</v>
      </c>
      <c r="AC572">
        <v>9</v>
      </c>
      <c r="AD572">
        <v>21</v>
      </c>
      <c r="AE572" t="s">
        <v>60</v>
      </c>
    </row>
    <row r="573" spans="1:31" x14ac:dyDescent="0.2">
      <c r="A573">
        <v>554</v>
      </c>
      <c r="B573" t="s">
        <v>1158</v>
      </c>
      <c r="C573">
        <v>32</v>
      </c>
      <c r="D573" t="s">
        <v>330</v>
      </c>
      <c r="E573" t="s">
        <v>349</v>
      </c>
      <c r="F573">
        <v>38</v>
      </c>
      <c r="G573">
        <v>0</v>
      </c>
      <c r="H573">
        <v>5</v>
      </c>
      <c r="I573">
        <v>5</v>
      </c>
      <c r="J573">
        <v>-5</v>
      </c>
      <c r="K573">
        <v>37</v>
      </c>
      <c r="L573">
        <v>0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0</v>
      </c>
      <c r="U573">
        <v>74</v>
      </c>
      <c r="V573" t="s">
        <v>2793</v>
      </c>
      <c r="W573" t="s">
        <v>1775</v>
      </c>
      <c r="X573">
        <v>0</v>
      </c>
      <c r="Y573">
        <v>0</v>
      </c>
      <c r="AA573">
        <v>53</v>
      </c>
      <c r="AB573">
        <v>40</v>
      </c>
      <c r="AC573">
        <v>9</v>
      </c>
      <c r="AD573">
        <v>36</v>
      </c>
      <c r="AE573" t="s">
        <v>60</v>
      </c>
    </row>
    <row r="574" spans="1:31" x14ac:dyDescent="0.2">
      <c r="A574">
        <v>555</v>
      </c>
      <c r="B574" t="s">
        <v>1165</v>
      </c>
      <c r="C574">
        <v>31</v>
      </c>
      <c r="D574" t="s">
        <v>387</v>
      </c>
      <c r="E574" t="s">
        <v>349</v>
      </c>
      <c r="F574">
        <v>39</v>
      </c>
      <c r="G574">
        <v>2</v>
      </c>
      <c r="H574">
        <v>3</v>
      </c>
      <c r="I574">
        <v>5</v>
      </c>
      <c r="J574">
        <v>7</v>
      </c>
      <c r="K574">
        <v>18</v>
      </c>
      <c r="L574">
        <v>2</v>
      </c>
      <c r="M574">
        <v>0</v>
      </c>
      <c r="N574">
        <v>0</v>
      </c>
      <c r="O574">
        <v>2</v>
      </c>
      <c r="P574">
        <v>3</v>
      </c>
      <c r="Q574">
        <v>0</v>
      </c>
      <c r="R574">
        <v>0</v>
      </c>
      <c r="S574">
        <v>57</v>
      </c>
      <c r="T574">
        <v>3.5</v>
      </c>
      <c r="U574">
        <v>152</v>
      </c>
      <c r="V574" t="s">
        <v>2794</v>
      </c>
      <c r="W574" t="s">
        <v>468</v>
      </c>
      <c r="X574">
        <v>0</v>
      </c>
      <c r="Y574">
        <v>0</v>
      </c>
      <c r="AA574">
        <v>63</v>
      </c>
      <c r="AB574">
        <v>24</v>
      </c>
      <c r="AC574">
        <v>18</v>
      </c>
      <c r="AD574">
        <v>38</v>
      </c>
      <c r="AE574" t="s">
        <v>60</v>
      </c>
    </row>
    <row r="575" spans="1:31" x14ac:dyDescent="0.2">
      <c r="A575">
        <v>556</v>
      </c>
      <c r="B575" t="s">
        <v>1012</v>
      </c>
      <c r="C575">
        <v>32</v>
      </c>
      <c r="D575" t="s">
        <v>402</v>
      </c>
      <c r="E575" t="s">
        <v>349</v>
      </c>
      <c r="F575">
        <v>24</v>
      </c>
      <c r="G575">
        <v>1</v>
      </c>
      <c r="H575">
        <v>4</v>
      </c>
      <c r="I575">
        <v>5</v>
      </c>
      <c r="J575">
        <v>7</v>
      </c>
      <c r="K575">
        <v>8</v>
      </c>
      <c r="L575">
        <v>0</v>
      </c>
      <c r="M575">
        <v>0</v>
      </c>
      <c r="N575">
        <v>1</v>
      </c>
      <c r="O575">
        <v>0</v>
      </c>
      <c r="P575">
        <v>4</v>
      </c>
      <c r="Q575">
        <v>0</v>
      </c>
      <c r="R575">
        <v>0</v>
      </c>
      <c r="S575">
        <v>38</v>
      </c>
      <c r="T575">
        <v>2.6</v>
      </c>
      <c r="U575">
        <v>94</v>
      </c>
      <c r="V575" t="s">
        <v>2535</v>
      </c>
      <c r="W575" t="s">
        <v>1733</v>
      </c>
      <c r="X575">
        <v>0</v>
      </c>
      <c r="Y575">
        <v>0</v>
      </c>
      <c r="AA575">
        <v>24</v>
      </c>
      <c r="AB575">
        <v>9</v>
      </c>
      <c r="AC575">
        <v>3</v>
      </c>
      <c r="AD575">
        <v>14</v>
      </c>
      <c r="AE575" t="s">
        <v>60</v>
      </c>
    </row>
    <row r="576" spans="1:31" x14ac:dyDescent="0.2">
      <c r="A576">
        <v>557</v>
      </c>
      <c r="B576" t="s">
        <v>1085</v>
      </c>
      <c r="C576">
        <v>33</v>
      </c>
      <c r="D576" t="s">
        <v>344</v>
      </c>
      <c r="E576" t="s">
        <v>340</v>
      </c>
      <c r="F576">
        <v>33</v>
      </c>
      <c r="G576">
        <v>1</v>
      </c>
      <c r="H576">
        <v>4</v>
      </c>
      <c r="I576">
        <v>5</v>
      </c>
      <c r="J576">
        <v>-3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52</v>
      </c>
      <c r="T576">
        <v>1.9</v>
      </c>
      <c r="U576">
        <v>96</v>
      </c>
      <c r="V576" t="s">
        <v>2536</v>
      </c>
      <c r="W576" t="s">
        <v>1597</v>
      </c>
      <c r="X576">
        <v>8</v>
      </c>
      <c r="Y576">
        <v>19</v>
      </c>
      <c r="Z576">
        <v>29.6</v>
      </c>
      <c r="AA576">
        <v>16</v>
      </c>
      <c r="AB576">
        <v>4</v>
      </c>
      <c r="AC576">
        <v>7</v>
      </c>
      <c r="AD576">
        <v>23</v>
      </c>
      <c r="AE576" t="s">
        <v>60</v>
      </c>
    </row>
    <row r="577" spans="1:31" x14ac:dyDescent="0.2">
      <c r="A577">
        <v>558</v>
      </c>
      <c r="B577" t="s">
        <v>1087</v>
      </c>
      <c r="C577">
        <v>27</v>
      </c>
      <c r="D577" t="s">
        <v>346</v>
      </c>
      <c r="E577" t="s">
        <v>349</v>
      </c>
      <c r="F577">
        <v>20</v>
      </c>
      <c r="G577">
        <v>0</v>
      </c>
      <c r="H577">
        <v>5</v>
      </c>
      <c r="I577">
        <v>5</v>
      </c>
      <c r="J577">
        <v>1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27</v>
      </c>
      <c r="T577">
        <v>0</v>
      </c>
      <c r="U577">
        <v>78</v>
      </c>
      <c r="V577" t="s">
        <v>2537</v>
      </c>
      <c r="W577" t="s">
        <v>2538</v>
      </c>
      <c r="X577">
        <v>0</v>
      </c>
      <c r="Y577">
        <v>0</v>
      </c>
      <c r="AA577">
        <v>39</v>
      </c>
      <c r="AB577">
        <v>20</v>
      </c>
      <c r="AC577">
        <v>11</v>
      </c>
      <c r="AD577">
        <v>24</v>
      </c>
      <c r="AE577" t="s">
        <v>60</v>
      </c>
    </row>
    <row r="578" spans="1:31" x14ac:dyDescent="0.2">
      <c r="A578">
        <v>559</v>
      </c>
      <c r="B578" t="s">
        <v>1173</v>
      </c>
      <c r="C578">
        <v>32</v>
      </c>
      <c r="D578" t="s">
        <v>344</v>
      </c>
      <c r="E578" t="s">
        <v>322</v>
      </c>
      <c r="F578">
        <v>32</v>
      </c>
      <c r="G578">
        <v>3</v>
      </c>
      <c r="H578">
        <v>2</v>
      </c>
      <c r="I578">
        <v>5</v>
      </c>
      <c r="J578">
        <v>-6</v>
      </c>
      <c r="K578">
        <v>15</v>
      </c>
      <c r="L578">
        <v>3</v>
      </c>
      <c r="M578">
        <v>0</v>
      </c>
      <c r="N578">
        <v>0</v>
      </c>
      <c r="O578">
        <v>1</v>
      </c>
      <c r="P578">
        <v>1</v>
      </c>
      <c r="Q578">
        <v>1</v>
      </c>
      <c r="R578">
        <v>0</v>
      </c>
      <c r="S578">
        <v>32</v>
      </c>
      <c r="T578">
        <v>9.4</v>
      </c>
      <c r="U578">
        <v>60</v>
      </c>
      <c r="V578" t="s">
        <v>2539</v>
      </c>
      <c r="W578" t="s">
        <v>2140</v>
      </c>
      <c r="X578">
        <v>184</v>
      </c>
      <c r="Y578">
        <v>152</v>
      </c>
      <c r="Z578">
        <v>54.8</v>
      </c>
      <c r="AA578">
        <v>21</v>
      </c>
      <c r="AB578">
        <v>46</v>
      </c>
      <c r="AC578">
        <v>4</v>
      </c>
      <c r="AD578">
        <v>14</v>
      </c>
      <c r="AE578" t="s">
        <v>60</v>
      </c>
    </row>
    <row r="579" spans="1:31" x14ac:dyDescent="0.2">
      <c r="A579">
        <v>560</v>
      </c>
      <c r="B579" t="s">
        <v>1175</v>
      </c>
      <c r="C579">
        <v>30</v>
      </c>
      <c r="D579" t="s">
        <v>476</v>
      </c>
      <c r="E579" t="s">
        <v>325</v>
      </c>
      <c r="F579">
        <v>18</v>
      </c>
      <c r="G579">
        <v>4</v>
      </c>
      <c r="H579">
        <v>1</v>
      </c>
      <c r="I579">
        <v>5</v>
      </c>
      <c r="J579">
        <v>-1</v>
      </c>
      <c r="K579">
        <v>12</v>
      </c>
      <c r="L579">
        <v>4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24</v>
      </c>
      <c r="T579">
        <v>16.7</v>
      </c>
      <c r="U579">
        <v>47</v>
      </c>
      <c r="V579" t="s">
        <v>1875</v>
      </c>
      <c r="W579" t="s">
        <v>693</v>
      </c>
      <c r="X579">
        <v>0</v>
      </c>
      <c r="Y579">
        <v>5</v>
      </c>
      <c r="Z579">
        <v>0</v>
      </c>
      <c r="AA579">
        <v>4</v>
      </c>
      <c r="AB579">
        <v>50</v>
      </c>
      <c r="AC579">
        <v>3</v>
      </c>
      <c r="AD579">
        <v>6</v>
      </c>
      <c r="AE579" t="s">
        <v>60</v>
      </c>
    </row>
    <row r="580" spans="1:31" x14ac:dyDescent="0.2">
      <c r="A580">
        <v>561</v>
      </c>
      <c r="B580" t="s">
        <v>1097</v>
      </c>
      <c r="C580">
        <v>24</v>
      </c>
      <c r="D580" t="s">
        <v>365</v>
      </c>
      <c r="E580" t="s">
        <v>349</v>
      </c>
      <c r="F580">
        <v>30</v>
      </c>
      <c r="G580">
        <v>0</v>
      </c>
      <c r="H580">
        <v>5</v>
      </c>
      <c r="I580">
        <v>5</v>
      </c>
      <c r="J580">
        <v>-7</v>
      </c>
      <c r="K580">
        <v>34</v>
      </c>
      <c r="L580">
        <v>0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11</v>
      </c>
      <c r="T580">
        <v>0</v>
      </c>
      <c r="U580">
        <v>51</v>
      </c>
      <c r="V580" t="s">
        <v>2795</v>
      </c>
      <c r="W580" t="s">
        <v>1189</v>
      </c>
      <c r="X580">
        <v>0</v>
      </c>
      <c r="Y580">
        <v>0</v>
      </c>
      <c r="AA580">
        <v>15</v>
      </c>
      <c r="AB580">
        <v>54</v>
      </c>
      <c r="AC580">
        <v>5</v>
      </c>
      <c r="AD580">
        <v>34</v>
      </c>
      <c r="AE580" t="s">
        <v>60</v>
      </c>
    </row>
    <row r="581" spans="1:31" x14ac:dyDescent="0.2">
      <c r="A581">
        <v>562</v>
      </c>
      <c r="B581" t="s">
        <v>1017</v>
      </c>
      <c r="C581">
        <v>29</v>
      </c>
      <c r="D581" t="s">
        <v>328</v>
      </c>
      <c r="E581" t="s">
        <v>325</v>
      </c>
      <c r="F581">
        <v>22</v>
      </c>
      <c r="G581">
        <v>3</v>
      </c>
      <c r="H581">
        <v>2</v>
      </c>
      <c r="I581">
        <v>5</v>
      </c>
      <c r="J581">
        <v>-6</v>
      </c>
      <c r="K581">
        <v>10</v>
      </c>
      <c r="L581">
        <v>3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>
        <v>30</v>
      </c>
      <c r="T581">
        <v>10</v>
      </c>
      <c r="U581">
        <v>52</v>
      </c>
      <c r="V581" t="s">
        <v>1783</v>
      </c>
      <c r="W581" t="s">
        <v>1784</v>
      </c>
      <c r="X581">
        <v>30</v>
      </c>
      <c r="Y581">
        <v>34</v>
      </c>
      <c r="Z581">
        <v>46.9</v>
      </c>
      <c r="AA581">
        <v>6</v>
      </c>
      <c r="AB581">
        <v>17</v>
      </c>
      <c r="AC581">
        <v>3</v>
      </c>
      <c r="AD581">
        <v>12</v>
      </c>
      <c r="AE581" t="s">
        <v>60</v>
      </c>
    </row>
    <row r="582" spans="1:31" x14ac:dyDescent="0.2">
      <c r="A582">
        <v>563</v>
      </c>
      <c r="B582" t="s">
        <v>1018</v>
      </c>
      <c r="C582">
        <v>34</v>
      </c>
      <c r="D582" t="s">
        <v>368</v>
      </c>
      <c r="E582" t="s">
        <v>349</v>
      </c>
      <c r="F582">
        <v>29</v>
      </c>
      <c r="G582">
        <v>1</v>
      </c>
      <c r="H582">
        <v>4</v>
      </c>
      <c r="I582">
        <v>5</v>
      </c>
      <c r="J582">
        <v>-1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17</v>
      </c>
      <c r="T582">
        <v>5.9</v>
      </c>
      <c r="U582">
        <v>43</v>
      </c>
      <c r="V582" t="s">
        <v>2540</v>
      </c>
      <c r="W582" t="s">
        <v>495</v>
      </c>
      <c r="X582">
        <v>0</v>
      </c>
      <c r="Y582">
        <v>0</v>
      </c>
      <c r="AA582">
        <v>37</v>
      </c>
      <c r="AB582">
        <v>3</v>
      </c>
      <c r="AC582">
        <v>7</v>
      </c>
      <c r="AD582">
        <v>18</v>
      </c>
      <c r="AE582" t="s">
        <v>60</v>
      </c>
    </row>
    <row r="583" spans="1:31" x14ac:dyDescent="0.2">
      <c r="A583">
        <v>564</v>
      </c>
      <c r="B583" t="s">
        <v>1178</v>
      </c>
      <c r="C583">
        <v>29</v>
      </c>
      <c r="D583" t="s">
        <v>344</v>
      </c>
      <c r="E583" t="s">
        <v>349</v>
      </c>
      <c r="F583">
        <v>36</v>
      </c>
      <c r="G583">
        <v>1</v>
      </c>
      <c r="H583">
        <v>4</v>
      </c>
      <c r="I583">
        <v>5</v>
      </c>
      <c r="J583">
        <v>-8</v>
      </c>
      <c r="K583">
        <v>18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26</v>
      </c>
      <c r="T583">
        <v>3.8</v>
      </c>
      <c r="U583">
        <v>87</v>
      </c>
      <c r="V583" t="s">
        <v>2541</v>
      </c>
      <c r="W583" t="s">
        <v>1649</v>
      </c>
      <c r="X583">
        <v>0</v>
      </c>
      <c r="Y583">
        <v>0</v>
      </c>
      <c r="AA583">
        <v>46</v>
      </c>
      <c r="AB583">
        <v>60</v>
      </c>
      <c r="AC583">
        <v>5</v>
      </c>
      <c r="AD583">
        <v>31</v>
      </c>
      <c r="AE583" t="s">
        <v>60</v>
      </c>
    </row>
    <row r="584" spans="1:31" x14ac:dyDescent="0.2">
      <c r="A584">
        <v>565</v>
      </c>
      <c r="B584" t="s">
        <v>1105</v>
      </c>
      <c r="C584">
        <v>22</v>
      </c>
      <c r="D584" t="s">
        <v>555</v>
      </c>
      <c r="E584" t="s">
        <v>322</v>
      </c>
      <c r="F584">
        <v>34</v>
      </c>
      <c r="G584">
        <v>2</v>
      </c>
      <c r="H584">
        <v>3</v>
      </c>
      <c r="I584">
        <v>5</v>
      </c>
      <c r="J584">
        <v>-3</v>
      </c>
      <c r="K584">
        <v>8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30</v>
      </c>
      <c r="T584">
        <v>6.7</v>
      </c>
      <c r="U584">
        <v>64</v>
      </c>
      <c r="V584" t="s">
        <v>2138</v>
      </c>
      <c r="W584" t="s">
        <v>1128</v>
      </c>
      <c r="X584">
        <v>0</v>
      </c>
      <c r="Y584">
        <v>3</v>
      </c>
      <c r="Z584">
        <v>0</v>
      </c>
      <c r="AA584">
        <v>16</v>
      </c>
      <c r="AB584">
        <v>38</v>
      </c>
      <c r="AC584">
        <v>4</v>
      </c>
      <c r="AD584">
        <v>16</v>
      </c>
      <c r="AE584" t="s">
        <v>60</v>
      </c>
    </row>
    <row r="585" spans="1:31" x14ac:dyDescent="0.2">
      <c r="A585">
        <v>566</v>
      </c>
      <c r="B585" t="s">
        <v>1021</v>
      </c>
      <c r="C585">
        <v>23</v>
      </c>
      <c r="D585" t="s">
        <v>1022</v>
      </c>
      <c r="E585" t="s">
        <v>340</v>
      </c>
      <c r="F585">
        <v>19</v>
      </c>
      <c r="G585">
        <v>2</v>
      </c>
      <c r="H585">
        <v>3</v>
      </c>
      <c r="I585">
        <v>5</v>
      </c>
      <c r="J585">
        <v>-4</v>
      </c>
      <c r="K585">
        <v>6</v>
      </c>
      <c r="L585">
        <v>2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15</v>
      </c>
      <c r="T585">
        <v>13.3</v>
      </c>
      <c r="U585">
        <v>36</v>
      </c>
      <c r="V585" t="s">
        <v>1023</v>
      </c>
      <c r="W585" t="s">
        <v>1024</v>
      </c>
      <c r="X585">
        <v>46</v>
      </c>
      <c r="Y585">
        <v>71</v>
      </c>
      <c r="Z585">
        <v>39.299999999999997</v>
      </c>
      <c r="AA585">
        <v>11</v>
      </c>
      <c r="AB585">
        <v>7</v>
      </c>
      <c r="AC585">
        <v>2</v>
      </c>
      <c r="AD585">
        <v>13</v>
      </c>
      <c r="AE585" t="s">
        <v>60</v>
      </c>
    </row>
    <row r="586" spans="1:31" x14ac:dyDescent="0.2">
      <c r="A586">
        <v>566</v>
      </c>
      <c r="B586" t="s">
        <v>1021</v>
      </c>
      <c r="C586">
        <v>23</v>
      </c>
      <c r="D586" t="s">
        <v>330</v>
      </c>
      <c r="E586" t="s">
        <v>340</v>
      </c>
      <c r="F586">
        <v>5</v>
      </c>
      <c r="G586">
        <v>2</v>
      </c>
      <c r="H586">
        <v>2</v>
      </c>
      <c r="I586">
        <v>4</v>
      </c>
      <c r="J586">
        <v>1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6</v>
      </c>
      <c r="T586">
        <v>33.299999999999997</v>
      </c>
      <c r="U586">
        <v>10</v>
      </c>
      <c r="V586" t="s">
        <v>1025</v>
      </c>
      <c r="W586" t="s">
        <v>1026</v>
      </c>
      <c r="X586">
        <v>2</v>
      </c>
      <c r="Y586">
        <v>5</v>
      </c>
      <c r="Z586">
        <v>28.6</v>
      </c>
      <c r="AA586">
        <v>3</v>
      </c>
      <c r="AB586">
        <v>1</v>
      </c>
      <c r="AC586">
        <v>1</v>
      </c>
      <c r="AD586">
        <v>4</v>
      </c>
      <c r="AE586" t="s">
        <v>60</v>
      </c>
    </row>
    <row r="587" spans="1:31" x14ac:dyDescent="0.2">
      <c r="A587">
        <v>566</v>
      </c>
      <c r="B587" t="s">
        <v>1021</v>
      </c>
      <c r="C587">
        <v>23</v>
      </c>
      <c r="D587" t="s">
        <v>461</v>
      </c>
      <c r="E587" t="s">
        <v>340</v>
      </c>
      <c r="F587">
        <v>14</v>
      </c>
      <c r="G587">
        <v>0</v>
      </c>
      <c r="H587">
        <v>1</v>
      </c>
      <c r="I587">
        <v>1</v>
      </c>
      <c r="J587">
        <v>-5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9</v>
      </c>
      <c r="T587">
        <v>0</v>
      </c>
      <c r="U587">
        <v>26</v>
      </c>
      <c r="V587" t="s">
        <v>1027</v>
      </c>
      <c r="W587" t="s">
        <v>1028</v>
      </c>
      <c r="X587">
        <v>44</v>
      </c>
      <c r="Y587">
        <v>66</v>
      </c>
      <c r="Z587">
        <v>40</v>
      </c>
      <c r="AA587">
        <v>8</v>
      </c>
      <c r="AB587">
        <v>6</v>
      </c>
      <c r="AC587">
        <v>1</v>
      </c>
      <c r="AD587">
        <v>9</v>
      </c>
      <c r="AE587" t="s">
        <v>60</v>
      </c>
    </row>
    <row r="588" spans="1:31" x14ac:dyDescent="0.2">
      <c r="A588">
        <v>567</v>
      </c>
      <c r="B588" t="s">
        <v>1113</v>
      </c>
      <c r="C588">
        <v>29</v>
      </c>
      <c r="D588" t="s">
        <v>1022</v>
      </c>
      <c r="E588" t="s">
        <v>340</v>
      </c>
      <c r="F588">
        <v>11</v>
      </c>
      <c r="G588">
        <v>2</v>
      </c>
      <c r="H588">
        <v>3</v>
      </c>
      <c r="I588">
        <v>5</v>
      </c>
      <c r="J588">
        <v>0</v>
      </c>
      <c r="K588">
        <v>6</v>
      </c>
      <c r="L588">
        <v>2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9</v>
      </c>
      <c r="T588">
        <v>22.2</v>
      </c>
      <c r="U588">
        <v>16</v>
      </c>
      <c r="V588" t="s">
        <v>2796</v>
      </c>
      <c r="W588" t="s">
        <v>2139</v>
      </c>
      <c r="X588">
        <v>1</v>
      </c>
      <c r="Y588">
        <v>0</v>
      </c>
      <c r="Z588">
        <v>100</v>
      </c>
      <c r="AA588">
        <v>8</v>
      </c>
      <c r="AB588">
        <v>38</v>
      </c>
      <c r="AC588">
        <v>1</v>
      </c>
      <c r="AD588">
        <v>2</v>
      </c>
      <c r="AE588" t="s">
        <v>60</v>
      </c>
    </row>
    <row r="589" spans="1:31" x14ac:dyDescent="0.2">
      <c r="A589">
        <v>567</v>
      </c>
      <c r="B589" t="s">
        <v>1113</v>
      </c>
      <c r="C589">
        <v>29</v>
      </c>
      <c r="D589" t="s">
        <v>361</v>
      </c>
      <c r="E589" t="s">
        <v>340</v>
      </c>
      <c r="F589">
        <v>8</v>
      </c>
      <c r="G589">
        <v>1</v>
      </c>
      <c r="H589">
        <v>2</v>
      </c>
      <c r="I589">
        <v>3</v>
      </c>
      <c r="J589">
        <v>-2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11</v>
      </c>
      <c r="V589" t="s">
        <v>1114</v>
      </c>
      <c r="W589" t="s">
        <v>1115</v>
      </c>
      <c r="X589">
        <v>1</v>
      </c>
      <c r="Y589">
        <v>0</v>
      </c>
      <c r="Z589">
        <v>100</v>
      </c>
      <c r="AA589">
        <v>5</v>
      </c>
      <c r="AB589">
        <v>28</v>
      </c>
      <c r="AC589">
        <v>1</v>
      </c>
      <c r="AD589">
        <v>2</v>
      </c>
      <c r="AE589" t="s">
        <v>60</v>
      </c>
    </row>
    <row r="590" spans="1:31" x14ac:dyDescent="0.2">
      <c r="A590">
        <v>567</v>
      </c>
      <c r="B590" t="s">
        <v>1113</v>
      </c>
      <c r="C590">
        <v>29</v>
      </c>
      <c r="D590" t="s">
        <v>365</v>
      </c>
      <c r="E590" t="s">
        <v>340</v>
      </c>
      <c r="F590">
        <v>3</v>
      </c>
      <c r="G590">
        <v>1</v>
      </c>
      <c r="H590">
        <v>1</v>
      </c>
      <c r="I590">
        <v>2</v>
      </c>
      <c r="J590">
        <v>2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2</v>
      </c>
      <c r="T590">
        <v>50</v>
      </c>
      <c r="U590">
        <v>5</v>
      </c>
      <c r="V590" t="s">
        <v>2797</v>
      </c>
      <c r="W590" t="s">
        <v>1867</v>
      </c>
      <c r="X590">
        <v>0</v>
      </c>
      <c r="Y590">
        <v>0</v>
      </c>
      <c r="AA590">
        <v>3</v>
      </c>
      <c r="AB590">
        <v>10</v>
      </c>
      <c r="AC590">
        <v>0</v>
      </c>
      <c r="AD590">
        <v>0</v>
      </c>
      <c r="AE590" t="s">
        <v>60</v>
      </c>
    </row>
    <row r="591" spans="1:31" x14ac:dyDescent="0.2">
      <c r="A591">
        <v>568</v>
      </c>
      <c r="B591" t="s">
        <v>1032</v>
      </c>
      <c r="C591">
        <v>24</v>
      </c>
      <c r="D591" t="s">
        <v>476</v>
      </c>
      <c r="E591" t="s">
        <v>349</v>
      </c>
      <c r="F591">
        <v>19</v>
      </c>
      <c r="G591">
        <v>0</v>
      </c>
      <c r="H591">
        <v>4</v>
      </c>
      <c r="I591">
        <v>4</v>
      </c>
      <c r="J591">
        <v>-1</v>
      </c>
      <c r="K591">
        <v>6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15</v>
      </c>
      <c r="T591">
        <v>0</v>
      </c>
      <c r="U591">
        <v>43</v>
      </c>
      <c r="V591" t="s">
        <v>1033</v>
      </c>
      <c r="W591" t="s">
        <v>1034</v>
      </c>
      <c r="X591">
        <v>0</v>
      </c>
      <c r="Y591">
        <v>0</v>
      </c>
      <c r="AA591">
        <v>22</v>
      </c>
      <c r="AB591">
        <v>13</v>
      </c>
      <c r="AC591">
        <v>1</v>
      </c>
      <c r="AD591">
        <v>28</v>
      </c>
      <c r="AE591" t="s">
        <v>60</v>
      </c>
    </row>
    <row r="592" spans="1:31" x14ac:dyDescent="0.2">
      <c r="A592">
        <v>569</v>
      </c>
      <c r="B592" t="s">
        <v>1035</v>
      </c>
      <c r="C592">
        <v>29</v>
      </c>
      <c r="D592" t="s">
        <v>363</v>
      </c>
      <c r="E592" t="s">
        <v>349</v>
      </c>
      <c r="F592">
        <v>33</v>
      </c>
      <c r="G592">
        <v>2</v>
      </c>
      <c r="H592">
        <v>2</v>
      </c>
      <c r="I592">
        <v>4</v>
      </c>
      <c r="J592">
        <v>3</v>
      </c>
      <c r="K592">
        <v>20</v>
      </c>
      <c r="L592">
        <v>2</v>
      </c>
      <c r="M592">
        <v>0</v>
      </c>
      <c r="N592">
        <v>0</v>
      </c>
      <c r="O592">
        <v>2</v>
      </c>
      <c r="P592">
        <v>2</v>
      </c>
      <c r="Q592">
        <v>0</v>
      </c>
      <c r="R592">
        <v>0</v>
      </c>
      <c r="S592">
        <v>34</v>
      </c>
      <c r="T592">
        <v>5.9</v>
      </c>
      <c r="U592">
        <v>89</v>
      </c>
      <c r="V592" t="s">
        <v>2542</v>
      </c>
      <c r="W592" t="s">
        <v>1667</v>
      </c>
      <c r="X592">
        <v>0</v>
      </c>
      <c r="Y592">
        <v>0</v>
      </c>
      <c r="AA592">
        <v>37</v>
      </c>
      <c r="AB592">
        <v>52</v>
      </c>
      <c r="AC592">
        <v>9</v>
      </c>
      <c r="AD592">
        <v>30</v>
      </c>
      <c r="AE592" t="s">
        <v>60</v>
      </c>
    </row>
    <row r="593" spans="1:31" x14ac:dyDescent="0.2">
      <c r="A593">
        <v>570</v>
      </c>
      <c r="B593" t="s">
        <v>1116</v>
      </c>
      <c r="C593">
        <v>28</v>
      </c>
      <c r="D593" t="s">
        <v>439</v>
      </c>
      <c r="E593" t="s">
        <v>349</v>
      </c>
      <c r="F593">
        <v>23</v>
      </c>
      <c r="G593">
        <v>1</v>
      </c>
      <c r="H593">
        <v>3</v>
      </c>
      <c r="I593">
        <v>4</v>
      </c>
      <c r="J593">
        <v>-3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7</v>
      </c>
      <c r="T593">
        <v>14.3</v>
      </c>
      <c r="U593">
        <v>28</v>
      </c>
      <c r="V593" t="s">
        <v>1785</v>
      </c>
      <c r="W593" t="s">
        <v>2088</v>
      </c>
      <c r="X593">
        <v>0</v>
      </c>
      <c r="Y593">
        <v>0</v>
      </c>
      <c r="AA593">
        <v>10</v>
      </c>
      <c r="AB593">
        <v>6</v>
      </c>
      <c r="AC593">
        <v>2</v>
      </c>
      <c r="AD593">
        <v>8</v>
      </c>
      <c r="AE593" t="s">
        <v>60</v>
      </c>
    </row>
    <row r="594" spans="1:31" x14ac:dyDescent="0.2">
      <c r="A594">
        <v>571</v>
      </c>
      <c r="B594" t="s">
        <v>1036</v>
      </c>
      <c r="C594">
        <v>28</v>
      </c>
      <c r="D594" t="s">
        <v>334</v>
      </c>
      <c r="E594" t="s">
        <v>349</v>
      </c>
      <c r="F594">
        <v>19</v>
      </c>
      <c r="G594">
        <v>1</v>
      </c>
      <c r="H594">
        <v>3</v>
      </c>
      <c r="I594">
        <v>4</v>
      </c>
      <c r="J594">
        <v>1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12</v>
      </c>
      <c r="T594">
        <v>8.3000000000000007</v>
      </c>
      <c r="U594">
        <v>39</v>
      </c>
      <c r="V594" t="s">
        <v>2543</v>
      </c>
      <c r="W594" t="s">
        <v>982</v>
      </c>
      <c r="X594">
        <v>0</v>
      </c>
      <c r="Y594">
        <v>0</v>
      </c>
      <c r="AA594">
        <v>12</v>
      </c>
      <c r="AB594">
        <v>7</v>
      </c>
      <c r="AC594">
        <v>8</v>
      </c>
      <c r="AD594">
        <v>10</v>
      </c>
      <c r="AE594" t="s">
        <v>60</v>
      </c>
    </row>
    <row r="595" spans="1:31" x14ac:dyDescent="0.2">
      <c r="A595">
        <v>572</v>
      </c>
      <c r="B595" t="s">
        <v>1038</v>
      </c>
      <c r="C595">
        <v>28</v>
      </c>
      <c r="D595" t="s">
        <v>353</v>
      </c>
      <c r="E595" t="s">
        <v>349</v>
      </c>
      <c r="F595">
        <v>19</v>
      </c>
      <c r="G595">
        <v>0</v>
      </c>
      <c r="H595">
        <v>4</v>
      </c>
      <c r="I595">
        <v>4</v>
      </c>
      <c r="J595">
        <v>0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1</v>
      </c>
      <c r="S595">
        <v>13</v>
      </c>
      <c r="T595">
        <v>0</v>
      </c>
      <c r="U595">
        <v>36</v>
      </c>
      <c r="V595" t="s">
        <v>1039</v>
      </c>
      <c r="W595" t="s">
        <v>965</v>
      </c>
      <c r="X595">
        <v>0</v>
      </c>
      <c r="Y595">
        <v>0</v>
      </c>
      <c r="AA595">
        <v>43</v>
      </c>
      <c r="AB595">
        <v>40</v>
      </c>
      <c r="AC595">
        <v>4</v>
      </c>
      <c r="AD595">
        <v>18</v>
      </c>
      <c r="AE595" t="s">
        <v>60</v>
      </c>
    </row>
    <row r="596" spans="1:31" x14ac:dyDescent="0.2">
      <c r="A596">
        <v>573</v>
      </c>
      <c r="B596" t="s">
        <v>1125</v>
      </c>
      <c r="C596">
        <v>27</v>
      </c>
      <c r="D596" t="s">
        <v>439</v>
      </c>
      <c r="E596" t="s">
        <v>322</v>
      </c>
      <c r="F596">
        <v>24</v>
      </c>
      <c r="G596">
        <v>1</v>
      </c>
      <c r="H596">
        <v>3</v>
      </c>
      <c r="I596">
        <v>4</v>
      </c>
      <c r="J596">
        <v>-3</v>
      </c>
      <c r="K596">
        <v>29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20</v>
      </c>
      <c r="T596">
        <v>5</v>
      </c>
      <c r="U596">
        <v>40</v>
      </c>
      <c r="V596" t="s">
        <v>2544</v>
      </c>
      <c r="W596" t="s">
        <v>1976</v>
      </c>
      <c r="X596">
        <v>29</v>
      </c>
      <c r="Y596">
        <v>35</v>
      </c>
      <c r="Z596">
        <v>45.3</v>
      </c>
      <c r="AA596">
        <v>10</v>
      </c>
      <c r="AB596">
        <v>26</v>
      </c>
      <c r="AC596">
        <v>4</v>
      </c>
      <c r="AD596">
        <v>14</v>
      </c>
      <c r="AE596" t="s">
        <v>60</v>
      </c>
    </row>
    <row r="597" spans="1:31" x14ac:dyDescent="0.2">
      <c r="A597">
        <v>574</v>
      </c>
      <c r="B597" t="s">
        <v>1044</v>
      </c>
      <c r="C597">
        <v>25</v>
      </c>
      <c r="D597" t="s">
        <v>363</v>
      </c>
      <c r="E597" t="s">
        <v>322</v>
      </c>
      <c r="F597">
        <v>24</v>
      </c>
      <c r="G597">
        <v>2</v>
      </c>
      <c r="H597">
        <v>2</v>
      </c>
      <c r="I597">
        <v>4</v>
      </c>
      <c r="J597">
        <v>5</v>
      </c>
      <c r="K597">
        <v>2</v>
      </c>
      <c r="L597">
        <v>2</v>
      </c>
      <c r="M597">
        <v>0</v>
      </c>
      <c r="N597">
        <v>0</v>
      </c>
      <c r="O597">
        <v>1</v>
      </c>
      <c r="P597">
        <v>2</v>
      </c>
      <c r="Q597">
        <v>0</v>
      </c>
      <c r="R597">
        <v>0</v>
      </c>
      <c r="S597">
        <v>21</v>
      </c>
      <c r="T597">
        <v>9.5</v>
      </c>
      <c r="U597">
        <v>35</v>
      </c>
      <c r="V597" t="s">
        <v>1045</v>
      </c>
      <c r="W597" t="s">
        <v>1046</v>
      </c>
      <c r="X597">
        <v>2</v>
      </c>
      <c r="Y597">
        <v>0</v>
      </c>
      <c r="Z597">
        <v>100</v>
      </c>
      <c r="AA597">
        <v>13</v>
      </c>
      <c r="AB597">
        <v>48</v>
      </c>
      <c r="AC597">
        <v>5</v>
      </c>
      <c r="AD597">
        <v>12</v>
      </c>
      <c r="AE597" t="s">
        <v>60</v>
      </c>
    </row>
    <row r="598" spans="1:31" x14ac:dyDescent="0.2">
      <c r="A598">
        <v>575</v>
      </c>
      <c r="B598" t="s">
        <v>1126</v>
      </c>
      <c r="C598">
        <v>30</v>
      </c>
      <c r="D598" t="s">
        <v>334</v>
      </c>
      <c r="E598" t="s">
        <v>340</v>
      </c>
      <c r="F598">
        <v>16</v>
      </c>
      <c r="G598">
        <v>3</v>
      </c>
      <c r="H598">
        <v>1</v>
      </c>
      <c r="I598">
        <v>4</v>
      </c>
      <c r="J598">
        <v>2</v>
      </c>
      <c r="K598">
        <v>2</v>
      </c>
      <c r="L598">
        <v>3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14</v>
      </c>
      <c r="T598">
        <v>21.4</v>
      </c>
      <c r="U598">
        <v>31</v>
      </c>
      <c r="V598" t="s">
        <v>2029</v>
      </c>
      <c r="W598" t="s">
        <v>2046</v>
      </c>
      <c r="X598">
        <v>2</v>
      </c>
      <c r="Y598">
        <v>3</v>
      </c>
      <c r="Z598">
        <v>40</v>
      </c>
      <c r="AA598">
        <v>8</v>
      </c>
      <c r="AB598">
        <v>53</v>
      </c>
      <c r="AC598">
        <v>1</v>
      </c>
      <c r="AD598">
        <v>4</v>
      </c>
      <c r="AE598" t="s">
        <v>60</v>
      </c>
    </row>
    <row r="599" spans="1:31" x14ac:dyDescent="0.2">
      <c r="A599">
        <v>576</v>
      </c>
      <c r="B599" t="s">
        <v>1133</v>
      </c>
      <c r="C599">
        <v>31</v>
      </c>
      <c r="D599" t="s">
        <v>384</v>
      </c>
      <c r="E599" t="s">
        <v>322</v>
      </c>
      <c r="F599">
        <v>13</v>
      </c>
      <c r="G599">
        <v>1</v>
      </c>
      <c r="H599">
        <v>3</v>
      </c>
      <c r="I599">
        <v>4</v>
      </c>
      <c r="J599">
        <v>-1</v>
      </c>
      <c r="K599">
        <v>10</v>
      </c>
      <c r="L599">
        <v>0</v>
      </c>
      <c r="M599">
        <v>0</v>
      </c>
      <c r="N599">
        <v>1</v>
      </c>
      <c r="O599">
        <v>0</v>
      </c>
      <c r="P599">
        <v>3</v>
      </c>
      <c r="Q599">
        <v>0</v>
      </c>
      <c r="R599">
        <v>0</v>
      </c>
      <c r="S599">
        <v>11</v>
      </c>
      <c r="T599">
        <v>9.1</v>
      </c>
      <c r="U599">
        <v>25</v>
      </c>
      <c r="V599" t="s">
        <v>2798</v>
      </c>
      <c r="W599" t="s">
        <v>1777</v>
      </c>
      <c r="X599">
        <v>34</v>
      </c>
      <c r="Y599">
        <v>23</v>
      </c>
      <c r="Z599">
        <v>59.6</v>
      </c>
      <c r="AA599">
        <v>8</v>
      </c>
      <c r="AB599">
        <v>34</v>
      </c>
      <c r="AC599">
        <v>2</v>
      </c>
      <c r="AD599">
        <v>2</v>
      </c>
      <c r="AE599" t="s">
        <v>60</v>
      </c>
    </row>
    <row r="600" spans="1:31" x14ac:dyDescent="0.2">
      <c r="A600">
        <v>577</v>
      </c>
      <c r="B600" t="s">
        <v>1136</v>
      </c>
      <c r="C600">
        <v>28</v>
      </c>
      <c r="D600" t="s">
        <v>439</v>
      </c>
      <c r="E600" t="s">
        <v>340</v>
      </c>
      <c r="F600">
        <v>22</v>
      </c>
      <c r="G600">
        <v>1</v>
      </c>
      <c r="H600">
        <v>3</v>
      </c>
      <c r="I600">
        <v>4</v>
      </c>
      <c r="J600">
        <v>-9</v>
      </c>
      <c r="K600">
        <v>19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23</v>
      </c>
      <c r="T600">
        <v>4.3</v>
      </c>
      <c r="U600">
        <v>47</v>
      </c>
      <c r="V600" t="s">
        <v>2545</v>
      </c>
      <c r="W600" t="s">
        <v>749</v>
      </c>
      <c r="X600">
        <v>8</v>
      </c>
      <c r="Y600">
        <v>14</v>
      </c>
      <c r="Z600">
        <v>36.4</v>
      </c>
      <c r="AA600">
        <v>8</v>
      </c>
      <c r="AB600">
        <v>28</v>
      </c>
      <c r="AC600">
        <v>4</v>
      </c>
      <c r="AD600">
        <v>10</v>
      </c>
      <c r="AE600" t="s">
        <v>60</v>
      </c>
    </row>
    <row r="601" spans="1:31" x14ac:dyDescent="0.2">
      <c r="A601">
        <v>578</v>
      </c>
      <c r="B601" t="s">
        <v>1053</v>
      </c>
      <c r="C601">
        <v>25</v>
      </c>
      <c r="D601" t="s">
        <v>378</v>
      </c>
      <c r="E601" t="s">
        <v>322</v>
      </c>
      <c r="F601">
        <v>13</v>
      </c>
      <c r="G601">
        <v>1</v>
      </c>
      <c r="H601">
        <v>3</v>
      </c>
      <c r="I601">
        <v>4</v>
      </c>
      <c r="J601">
        <v>4</v>
      </c>
      <c r="K601">
        <v>2</v>
      </c>
      <c r="L601">
        <v>0</v>
      </c>
      <c r="M601">
        <v>0</v>
      </c>
      <c r="N601">
        <v>1</v>
      </c>
      <c r="O601">
        <v>1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t="s">
        <v>1054</v>
      </c>
      <c r="W601" t="s">
        <v>1055</v>
      </c>
      <c r="X601">
        <v>0</v>
      </c>
      <c r="Y601">
        <v>2</v>
      </c>
      <c r="Z601">
        <v>0</v>
      </c>
      <c r="AA601">
        <v>5</v>
      </c>
      <c r="AB601">
        <v>3</v>
      </c>
      <c r="AC601">
        <v>2</v>
      </c>
      <c r="AD601">
        <v>12</v>
      </c>
      <c r="AE601" t="s">
        <v>60</v>
      </c>
    </row>
    <row r="602" spans="1:31" x14ac:dyDescent="0.2">
      <c r="A602">
        <v>579</v>
      </c>
      <c r="B602" t="s">
        <v>1059</v>
      </c>
      <c r="C602">
        <v>21</v>
      </c>
      <c r="D602" t="s">
        <v>448</v>
      </c>
      <c r="E602" t="s">
        <v>340</v>
      </c>
      <c r="F602">
        <v>18</v>
      </c>
      <c r="G602">
        <v>2</v>
      </c>
      <c r="H602">
        <v>2</v>
      </c>
      <c r="I602">
        <v>4</v>
      </c>
      <c r="J602">
        <v>1</v>
      </c>
      <c r="K602">
        <v>2</v>
      </c>
      <c r="L602">
        <v>2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22</v>
      </c>
      <c r="T602">
        <v>9.1</v>
      </c>
      <c r="U602">
        <v>42</v>
      </c>
      <c r="V602" t="s">
        <v>1060</v>
      </c>
      <c r="W602" t="s">
        <v>1061</v>
      </c>
      <c r="X602">
        <v>6</v>
      </c>
      <c r="Y602">
        <v>5</v>
      </c>
      <c r="Z602">
        <v>54.5</v>
      </c>
      <c r="AA602">
        <v>6</v>
      </c>
      <c r="AB602">
        <v>35</v>
      </c>
      <c r="AC602">
        <v>1</v>
      </c>
      <c r="AD602">
        <v>9</v>
      </c>
      <c r="AE602" t="s">
        <v>60</v>
      </c>
    </row>
    <row r="603" spans="1:31" x14ac:dyDescent="0.2">
      <c r="A603">
        <v>580</v>
      </c>
      <c r="B603" t="s">
        <v>1063</v>
      </c>
      <c r="C603">
        <v>34</v>
      </c>
      <c r="D603" t="s">
        <v>361</v>
      </c>
      <c r="E603" t="s">
        <v>322</v>
      </c>
      <c r="F603">
        <v>22</v>
      </c>
      <c r="G603">
        <v>4</v>
      </c>
      <c r="H603">
        <v>0</v>
      </c>
      <c r="I603">
        <v>4</v>
      </c>
      <c r="J603">
        <v>-8</v>
      </c>
      <c r="K603">
        <v>4</v>
      </c>
      <c r="L603">
        <v>4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22</v>
      </c>
      <c r="T603">
        <v>18.2</v>
      </c>
      <c r="U603">
        <v>32</v>
      </c>
      <c r="V603" t="s">
        <v>1964</v>
      </c>
      <c r="W603" t="s">
        <v>1965</v>
      </c>
      <c r="X603">
        <v>6</v>
      </c>
      <c r="Y603">
        <v>4</v>
      </c>
      <c r="Z603">
        <v>60</v>
      </c>
      <c r="AA603">
        <v>3</v>
      </c>
      <c r="AB603">
        <v>15</v>
      </c>
      <c r="AC603">
        <v>2</v>
      </c>
      <c r="AD603">
        <v>7</v>
      </c>
      <c r="AE603" t="s">
        <v>60</v>
      </c>
    </row>
    <row r="604" spans="1:31" x14ac:dyDescent="0.2">
      <c r="A604">
        <v>581</v>
      </c>
      <c r="B604" t="s">
        <v>1145</v>
      </c>
      <c r="C604">
        <v>22</v>
      </c>
      <c r="D604" t="s">
        <v>378</v>
      </c>
      <c r="E604" t="s">
        <v>335</v>
      </c>
      <c r="F604">
        <v>25</v>
      </c>
      <c r="G604">
        <v>1</v>
      </c>
      <c r="H604">
        <v>3</v>
      </c>
      <c r="I604">
        <v>4</v>
      </c>
      <c r="J604">
        <v>-5</v>
      </c>
      <c r="K604">
        <v>8</v>
      </c>
      <c r="L604">
        <v>0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25</v>
      </c>
      <c r="T604">
        <v>4</v>
      </c>
      <c r="U604">
        <v>61</v>
      </c>
      <c r="V604" t="s">
        <v>2799</v>
      </c>
      <c r="W604" t="s">
        <v>1878</v>
      </c>
      <c r="X604">
        <v>0</v>
      </c>
      <c r="Y604">
        <v>0</v>
      </c>
      <c r="AA604">
        <v>10</v>
      </c>
      <c r="AB604">
        <v>3</v>
      </c>
      <c r="AC604">
        <v>4</v>
      </c>
      <c r="AD604">
        <v>11</v>
      </c>
      <c r="AE604" t="s">
        <v>60</v>
      </c>
    </row>
    <row r="605" spans="1:31" x14ac:dyDescent="0.2">
      <c r="A605">
        <v>582</v>
      </c>
      <c r="B605" t="s">
        <v>1068</v>
      </c>
      <c r="C605">
        <v>23</v>
      </c>
      <c r="D605" t="s">
        <v>439</v>
      </c>
      <c r="E605" t="s">
        <v>322</v>
      </c>
      <c r="F605">
        <v>24</v>
      </c>
      <c r="G605">
        <v>2</v>
      </c>
      <c r="H605">
        <v>2</v>
      </c>
      <c r="I605">
        <v>4</v>
      </c>
      <c r="J605">
        <v>-4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19</v>
      </c>
      <c r="T605">
        <v>10.5</v>
      </c>
      <c r="U605">
        <v>35</v>
      </c>
      <c r="V605" t="s">
        <v>1850</v>
      </c>
      <c r="W605" t="s">
        <v>1593</v>
      </c>
      <c r="X605">
        <v>120</v>
      </c>
      <c r="Y605">
        <v>126</v>
      </c>
      <c r="Z605">
        <v>48.8</v>
      </c>
      <c r="AA605">
        <v>23</v>
      </c>
      <c r="AB605">
        <v>62</v>
      </c>
      <c r="AC605">
        <v>7</v>
      </c>
      <c r="AD605">
        <v>13</v>
      </c>
      <c r="AE605" t="s">
        <v>60</v>
      </c>
    </row>
    <row r="606" spans="1:31" x14ac:dyDescent="0.2">
      <c r="A606">
        <v>583</v>
      </c>
      <c r="B606" t="s">
        <v>1826</v>
      </c>
      <c r="C606">
        <v>27</v>
      </c>
      <c r="D606" t="s">
        <v>373</v>
      </c>
      <c r="E606" t="s">
        <v>340</v>
      </c>
      <c r="F606">
        <v>7</v>
      </c>
      <c r="G606">
        <v>2</v>
      </c>
      <c r="H606">
        <v>2</v>
      </c>
      <c r="I606">
        <v>4</v>
      </c>
      <c r="J606">
        <v>-2</v>
      </c>
      <c r="K606">
        <v>0</v>
      </c>
      <c r="L606">
        <v>2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8</v>
      </c>
      <c r="T606">
        <v>25</v>
      </c>
      <c r="U606">
        <v>23</v>
      </c>
      <c r="V606" t="s">
        <v>2800</v>
      </c>
      <c r="W606" t="s">
        <v>923</v>
      </c>
      <c r="X606">
        <v>0</v>
      </c>
      <c r="Y606">
        <v>0</v>
      </c>
      <c r="AA606">
        <v>5</v>
      </c>
      <c r="AB606">
        <v>7</v>
      </c>
      <c r="AC606">
        <v>2</v>
      </c>
      <c r="AD606">
        <v>7</v>
      </c>
      <c r="AE606" t="s">
        <v>60</v>
      </c>
    </row>
    <row r="607" spans="1:31" x14ac:dyDescent="0.2">
      <c r="A607">
        <v>584</v>
      </c>
      <c r="B607" t="s">
        <v>1071</v>
      </c>
      <c r="C607">
        <v>26</v>
      </c>
      <c r="D607" t="s">
        <v>324</v>
      </c>
      <c r="E607" t="s">
        <v>349</v>
      </c>
      <c r="F607">
        <v>28</v>
      </c>
      <c r="G607">
        <v>0</v>
      </c>
      <c r="H607">
        <v>4</v>
      </c>
      <c r="I607">
        <v>4</v>
      </c>
      <c r="J607">
        <v>-10</v>
      </c>
      <c r="K607">
        <v>18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18</v>
      </c>
      <c r="T607">
        <v>0</v>
      </c>
      <c r="U607">
        <v>61</v>
      </c>
      <c r="V607" t="s">
        <v>1851</v>
      </c>
      <c r="W607" t="s">
        <v>393</v>
      </c>
      <c r="X607">
        <v>0</v>
      </c>
      <c r="Y607">
        <v>0</v>
      </c>
      <c r="AA607">
        <v>63</v>
      </c>
      <c r="AB607">
        <v>25</v>
      </c>
      <c r="AC607">
        <v>3</v>
      </c>
      <c r="AD607">
        <v>28</v>
      </c>
      <c r="AE607" t="s">
        <v>60</v>
      </c>
    </row>
    <row r="608" spans="1:31" x14ac:dyDescent="0.2">
      <c r="A608">
        <v>585</v>
      </c>
      <c r="B608" t="s">
        <v>1334</v>
      </c>
      <c r="C608">
        <v>31</v>
      </c>
      <c r="D608" t="s">
        <v>448</v>
      </c>
      <c r="E608" t="s">
        <v>340</v>
      </c>
      <c r="F608">
        <v>34</v>
      </c>
      <c r="G608">
        <v>3</v>
      </c>
      <c r="H608">
        <v>1</v>
      </c>
      <c r="I608">
        <v>4</v>
      </c>
      <c r="J608">
        <v>2</v>
      </c>
      <c r="K608">
        <v>48</v>
      </c>
      <c r="L608">
        <v>3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35</v>
      </c>
      <c r="T608">
        <v>8.6</v>
      </c>
      <c r="U608">
        <v>60</v>
      </c>
      <c r="V608" t="s">
        <v>2546</v>
      </c>
      <c r="W608" t="s">
        <v>1658</v>
      </c>
      <c r="X608">
        <v>4</v>
      </c>
      <c r="Y608">
        <v>7</v>
      </c>
      <c r="Z608">
        <v>36.4</v>
      </c>
      <c r="AA608">
        <v>11</v>
      </c>
      <c r="AB608">
        <v>91</v>
      </c>
      <c r="AC608">
        <v>1</v>
      </c>
      <c r="AD608">
        <v>14</v>
      </c>
      <c r="AE608" t="s">
        <v>60</v>
      </c>
    </row>
    <row r="609" spans="1:31" x14ac:dyDescent="0.2">
      <c r="A609">
        <v>586</v>
      </c>
      <c r="B609" t="s">
        <v>1153</v>
      </c>
      <c r="C609">
        <v>25</v>
      </c>
      <c r="D609" t="s">
        <v>334</v>
      </c>
      <c r="E609" t="s">
        <v>349</v>
      </c>
      <c r="F609">
        <v>12</v>
      </c>
      <c r="G609">
        <v>2</v>
      </c>
      <c r="H609">
        <v>2</v>
      </c>
      <c r="I609">
        <v>4</v>
      </c>
      <c r="J609">
        <v>5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8</v>
      </c>
      <c r="T609">
        <v>25</v>
      </c>
      <c r="U609">
        <v>23</v>
      </c>
      <c r="V609" t="s">
        <v>2547</v>
      </c>
      <c r="W609" t="s">
        <v>1908</v>
      </c>
      <c r="X609">
        <v>0</v>
      </c>
      <c r="Y609">
        <v>0</v>
      </c>
      <c r="AA609">
        <v>17</v>
      </c>
      <c r="AB609">
        <v>9</v>
      </c>
      <c r="AC609">
        <v>4</v>
      </c>
      <c r="AD609">
        <v>19</v>
      </c>
      <c r="AE609" t="s">
        <v>60</v>
      </c>
    </row>
    <row r="610" spans="1:31" x14ac:dyDescent="0.2">
      <c r="A610">
        <v>587</v>
      </c>
      <c r="B610" t="s">
        <v>1073</v>
      </c>
      <c r="C610">
        <v>31</v>
      </c>
      <c r="D610" t="s">
        <v>461</v>
      </c>
      <c r="E610" t="s">
        <v>340</v>
      </c>
      <c r="F610">
        <v>8</v>
      </c>
      <c r="G610">
        <v>1</v>
      </c>
      <c r="H610">
        <v>3</v>
      </c>
      <c r="I610">
        <v>4</v>
      </c>
      <c r="J610">
        <v>0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6</v>
      </c>
      <c r="T610">
        <v>16.7</v>
      </c>
      <c r="U610">
        <v>10</v>
      </c>
      <c r="V610" t="s">
        <v>1074</v>
      </c>
      <c r="W610" t="s">
        <v>1075</v>
      </c>
      <c r="X610">
        <v>1</v>
      </c>
      <c r="Y610">
        <v>1</v>
      </c>
      <c r="Z610">
        <v>50</v>
      </c>
      <c r="AA610">
        <v>6</v>
      </c>
      <c r="AB610">
        <v>10</v>
      </c>
      <c r="AC610">
        <v>1</v>
      </c>
      <c r="AD610">
        <v>3</v>
      </c>
      <c r="AE610" t="s">
        <v>60</v>
      </c>
    </row>
    <row r="611" spans="1:31" x14ac:dyDescent="0.2">
      <c r="A611">
        <v>588</v>
      </c>
      <c r="B611" t="s">
        <v>1076</v>
      </c>
      <c r="C611">
        <v>27</v>
      </c>
      <c r="D611" t="s">
        <v>426</v>
      </c>
      <c r="E611" t="s">
        <v>349</v>
      </c>
      <c r="F611">
        <v>27</v>
      </c>
      <c r="G611">
        <v>0</v>
      </c>
      <c r="H611">
        <v>4</v>
      </c>
      <c r="I611">
        <v>4</v>
      </c>
      <c r="J611">
        <v>-1</v>
      </c>
      <c r="K611">
        <v>10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19</v>
      </c>
      <c r="T611">
        <v>0</v>
      </c>
      <c r="U611">
        <v>62</v>
      </c>
      <c r="V611" t="s">
        <v>2548</v>
      </c>
      <c r="W611" t="s">
        <v>686</v>
      </c>
      <c r="X611">
        <v>0</v>
      </c>
      <c r="Y611">
        <v>0</v>
      </c>
      <c r="AA611">
        <v>30</v>
      </c>
      <c r="AB611">
        <v>22</v>
      </c>
      <c r="AC611">
        <v>6</v>
      </c>
      <c r="AD611">
        <v>16</v>
      </c>
      <c r="AE611" t="s">
        <v>60</v>
      </c>
    </row>
    <row r="612" spans="1:31" x14ac:dyDescent="0.2">
      <c r="A612">
        <v>589</v>
      </c>
      <c r="B612" t="s">
        <v>1358</v>
      </c>
      <c r="C612">
        <v>20</v>
      </c>
      <c r="D612" t="s">
        <v>363</v>
      </c>
      <c r="E612" t="s">
        <v>335</v>
      </c>
      <c r="F612">
        <v>7</v>
      </c>
      <c r="G612">
        <v>1</v>
      </c>
      <c r="H612">
        <v>3</v>
      </c>
      <c r="I612">
        <v>4</v>
      </c>
      <c r="J612">
        <v>3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2</v>
      </c>
      <c r="Q612">
        <v>1</v>
      </c>
      <c r="R612">
        <v>0</v>
      </c>
      <c r="S612">
        <v>4</v>
      </c>
      <c r="T612">
        <v>25</v>
      </c>
      <c r="U612">
        <v>13</v>
      </c>
      <c r="V612" t="s">
        <v>2549</v>
      </c>
      <c r="W612" t="s">
        <v>1948</v>
      </c>
      <c r="X612">
        <v>1</v>
      </c>
      <c r="Y612">
        <v>0</v>
      </c>
      <c r="Z612">
        <v>100</v>
      </c>
      <c r="AA612">
        <v>6</v>
      </c>
      <c r="AB612">
        <v>3</v>
      </c>
      <c r="AC612">
        <v>1</v>
      </c>
      <c r="AD612">
        <v>4</v>
      </c>
      <c r="AE612" t="s">
        <v>60</v>
      </c>
    </row>
    <row r="613" spans="1:31" x14ac:dyDescent="0.2">
      <c r="A613">
        <v>590</v>
      </c>
      <c r="B613" t="s">
        <v>1166</v>
      </c>
      <c r="C613">
        <v>31</v>
      </c>
      <c r="D613" t="s">
        <v>404</v>
      </c>
      <c r="E613" t="s">
        <v>349</v>
      </c>
      <c r="F613">
        <v>14</v>
      </c>
      <c r="G613">
        <v>1</v>
      </c>
      <c r="H613">
        <v>3</v>
      </c>
      <c r="I613">
        <v>4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31</v>
      </c>
      <c r="V613" t="s">
        <v>2550</v>
      </c>
      <c r="W613" t="s">
        <v>1666</v>
      </c>
      <c r="X613">
        <v>0</v>
      </c>
      <c r="Y613">
        <v>0</v>
      </c>
      <c r="AA613">
        <v>39</v>
      </c>
      <c r="AB613">
        <v>5</v>
      </c>
      <c r="AC613">
        <v>4</v>
      </c>
      <c r="AD613">
        <v>6</v>
      </c>
      <c r="AE613" t="s">
        <v>60</v>
      </c>
    </row>
    <row r="614" spans="1:31" x14ac:dyDescent="0.2">
      <c r="A614">
        <v>591</v>
      </c>
      <c r="B614" t="s">
        <v>1084</v>
      </c>
      <c r="C614">
        <v>25</v>
      </c>
      <c r="D614" t="s">
        <v>344</v>
      </c>
      <c r="E614" t="s">
        <v>340</v>
      </c>
      <c r="F614">
        <v>26</v>
      </c>
      <c r="G614">
        <v>1</v>
      </c>
      <c r="H614">
        <v>3</v>
      </c>
      <c r="I614">
        <v>4</v>
      </c>
      <c r="J614">
        <v>-4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16</v>
      </c>
      <c r="T614">
        <v>6.3</v>
      </c>
      <c r="U614">
        <v>42</v>
      </c>
      <c r="V614" t="s">
        <v>2043</v>
      </c>
      <c r="W614" t="s">
        <v>2044</v>
      </c>
      <c r="X614">
        <v>3</v>
      </c>
      <c r="Y614">
        <v>4</v>
      </c>
      <c r="Z614">
        <v>42.9</v>
      </c>
      <c r="AA614">
        <v>4</v>
      </c>
      <c r="AB614">
        <v>46</v>
      </c>
      <c r="AC614">
        <v>2</v>
      </c>
      <c r="AD614">
        <v>13</v>
      </c>
      <c r="AE614" t="s">
        <v>60</v>
      </c>
    </row>
    <row r="615" spans="1:31" x14ac:dyDescent="0.2">
      <c r="A615">
        <v>592</v>
      </c>
      <c r="B615" t="s">
        <v>1088</v>
      </c>
      <c r="C615">
        <v>36</v>
      </c>
      <c r="D615" t="s">
        <v>346</v>
      </c>
      <c r="E615" t="s">
        <v>349</v>
      </c>
      <c r="F615">
        <v>25</v>
      </c>
      <c r="G615">
        <v>0</v>
      </c>
      <c r="H615">
        <v>4</v>
      </c>
      <c r="I615">
        <v>4</v>
      </c>
      <c r="J615">
        <v>-7</v>
      </c>
      <c r="K615">
        <v>21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22</v>
      </c>
      <c r="T615">
        <v>0</v>
      </c>
      <c r="U615">
        <v>55</v>
      </c>
      <c r="V615" t="s">
        <v>2551</v>
      </c>
      <c r="W615" t="s">
        <v>666</v>
      </c>
      <c r="X615">
        <v>0</v>
      </c>
      <c r="Y615">
        <v>0</v>
      </c>
      <c r="AA615">
        <v>29</v>
      </c>
      <c r="AB615">
        <v>66</v>
      </c>
      <c r="AC615">
        <v>4</v>
      </c>
      <c r="AD615">
        <v>27</v>
      </c>
      <c r="AE615" t="s">
        <v>60</v>
      </c>
    </row>
    <row r="616" spans="1:31" x14ac:dyDescent="0.2">
      <c r="A616">
        <v>593</v>
      </c>
      <c r="B616" t="s">
        <v>1171</v>
      </c>
      <c r="C616">
        <v>32</v>
      </c>
      <c r="D616" t="s">
        <v>415</v>
      </c>
      <c r="E616" t="s">
        <v>349</v>
      </c>
      <c r="F616">
        <v>37</v>
      </c>
      <c r="G616">
        <v>0</v>
      </c>
      <c r="H616">
        <v>4</v>
      </c>
      <c r="I616">
        <v>4</v>
      </c>
      <c r="J616">
        <v>-2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47</v>
      </c>
      <c r="T616">
        <v>0</v>
      </c>
      <c r="U616">
        <v>129</v>
      </c>
      <c r="V616" t="s">
        <v>2801</v>
      </c>
      <c r="W616" t="s">
        <v>464</v>
      </c>
      <c r="X616">
        <v>0</v>
      </c>
      <c r="Y616">
        <v>0</v>
      </c>
      <c r="AA616">
        <v>69</v>
      </c>
      <c r="AB616">
        <v>68</v>
      </c>
      <c r="AC616">
        <v>9</v>
      </c>
      <c r="AD616">
        <v>22</v>
      </c>
      <c r="AE616" t="s">
        <v>60</v>
      </c>
    </row>
    <row r="617" spans="1:31" x14ac:dyDescent="0.2">
      <c r="A617">
        <v>594</v>
      </c>
      <c r="B617" t="s">
        <v>1637</v>
      </c>
      <c r="C617">
        <v>28</v>
      </c>
      <c r="D617" t="s">
        <v>404</v>
      </c>
      <c r="E617" t="s">
        <v>349</v>
      </c>
      <c r="F617">
        <v>18</v>
      </c>
      <c r="G617">
        <v>0</v>
      </c>
      <c r="H617">
        <v>4</v>
      </c>
      <c r="I617">
        <v>4</v>
      </c>
      <c r="J617">
        <v>7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12</v>
      </c>
      <c r="T617">
        <v>0</v>
      </c>
      <c r="U617">
        <v>26</v>
      </c>
      <c r="V617" t="s">
        <v>2552</v>
      </c>
      <c r="W617" t="s">
        <v>923</v>
      </c>
      <c r="X617">
        <v>0</v>
      </c>
      <c r="Y617">
        <v>0</v>
      </c>
      <c r="AA617">
        <v>13</v>
      </c>
      <c r="AB617">
        <v>18</v>
      </c>
      <c r="AC617">
        <v>3</v>
      </c>
      <c r="AD617">
        <v>17</v>
      </c>
      <c r="AE617" t="s">
        <v>60</v>
      </c>
    </row>
    <row r="618" spans="1:31" x14ac:dyDescent="0.2">
      <c r="A618">
        <v>595</v>
      </c>
      <c r="B618" t="s">
        <v>1102</v>
      </c>
      <c r="C618">
        <v>23</v>
      </c>
      <c r="D618" t="s">
        <v>476</v>
      </c>
      <c r="E618" t="s">
        <v>335</v>
      </c>
      <c r="F618">
        <v>24</v>
      </c>
      <c r="G618">
        <v>1</v>
      </c>
      <c r="H618">
        <v>3</v>
      </c>
      <c r="I618">
        <v>4</v>
      </c>
      <c r="J618">
        <v>-6</v>
      </c>
      <c r="K618">
        <v>30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t="s">
        <v>1103</v>
      </c>
      <c r="W618" t="s">
        <v>1104</v>
      </c>
      <c r="X618">
        <v>0</v>
      </c>
      <c r="Y618">
        <v>4</v>
      </c>
      <c r="Z618">
        <v>0</v>
      </c>
      <c r="AA618">
        <v>10</v>
      </c>
      <c r="AB618">
        <v>60</v>
      </c>
      <c r="AC618">
        <v>5</v>
      </c>
      <c r="AD618">
        <v>11</v>
      </c>
      <c r="AE618" t="s">
        <v>60</v>
      </c>
    </row>
    <row r="619" spans="1:31" x14ac:dyDescent="0.2">
      <c r="A619">
        <v>596</v>
      </c>
      <c r="B619" t="s">
        <v>1106</v>
      </c>
      <c r="C619">
        <v>31</v>
      </c>
      <c r="D619" t="s">
        <v>384</v>
      </c>
      <c r="E619" t="s">
        <v>322</v>
      </c>
      <c r="F619">
        <v>18</v>
      </c>
      <c r="G619">
        <v>0</v>
      </c>
      <c r="H619">
        <v>3</v>
      </c>
      <c r="I619">
        <v>3</v>
      </c>
      <c r="J619">
        <v>-1</v>
      </c>
      <c r="K619">
        <v>8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13</v>
      </c>
      <c r="T619">
        <v>0</v>
      </c>
      <c r="U619">
        <v>21</v>
      </c>
      <c r="V619" t="s">
        <v>1852</v>
      </c>
      <c r="W619" t="s">
        <v>987</v>
      </c>
      <c r="X619">
        <v>5</v>
      </c>
      <c r="Y619">
        <v>16</v>
      </c>
      <c r="Z619">
        <v>23.8</v>
      </c>
      <c r="AA619">
        <v>10</v>
      </c>
      <c r="AB619">
        <v>44</v>
      </c>
      <c r="AC619">
        <v>1</v>
      </c>
      <c r="AD619">
        <v>9</v>
      </c>
      <c r="AE619" t="s">
        <v>60</v>
      </c>
    </row>
    <row r="620" spans="1:31" x14ac:dyDescent="0.2">
      <c r="A620">
        <v>597</v>
      </c>
      <c r="B620" t="s">
        <v>1107</v>
      </c>
      <c r="C620">
        <v>28</v>
      </c>
      <c r="D620" t="s">
        <v>334</v>
      </c>
      <c r="E620" t="s">
        <v>335</v>
      </c>
      <c r="F620">
        <v>20</v>
      </c>
      <c r="G620">
        <v>3</v>
      </c>
      <c r="H620">
        <v>0</v>
      </c>
      <c r="I620">
        <v>3</v>
      </c>
      <c r="J620">
        <v>3</v>
      </c>
      <c r="K620">
        <v>10</v>
      </c>
      <c r="L620">
        <v>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13</v>
      </c>
      <c r="T620">
        <v>23.1</v>
      </c>
      <c r="U620">
        <v>21</v>
      </c>
      <c r="V620" t="s">
        <v>2553</v>
      </c>
      <c r="W620" t="s">
        <v>1115</v>
      </c>
      <c r="X620">
        <v>0</v>
      </c>
      <c r="Y620">
        <v>0</v>
      </c>
      <c r="AA620">
        <v>5</v>
      </c>
      <c r="AB620">
        <v>48</v>
      </c>
      <c r="AC620">
        <v>1</v>
      </c>
      <c r="AD620">
        <v>5</v>
      </c>
      <c r="AE620" t="s">
        <v>60</v>
      </c>
    </row>
    <row r="621" spans="1:31" x14ac:dyDescent="0.2">
      <c r="A621">
        <v>598</v>
      </c>
      <c r="B621" t="s">
        <v>1109</v>
      </c>
      <c r="C621">
        <v>27</v>
      </c>
      <c r="D621" t="s">
        <v>361</v>
      </c>
      <c r="E621" t="s">
        <v>349</v>
      </c>
      <c r="F621">
        <v>33</v>
      </c>
      <c r="G621">
        <v>0</v>
      </c>
      <c r="H621">
        <v>3</v>
      </c>
      <c r="I621">
        <v>3</v>
      </c>
      <c r="J621">
        <v>-5</v>
      </c>
      <c r="K621">
        <v>21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0</v>
      </c>
      <c r="U621">
        <v>62</v>
      </c>
      <c r="V621" t="s">
        <v>2045</v>
      </c>
      <c r="W621" t="s">
        <v>1927</v>
      </c>
      <c r="X621">
        <v>0</v>
      </c>
      <c r="Y621">
        <v>0</v>
      </c>
      <c r="AA621">
        <v>52</v>
      </c>
      <c r="AB621">
        <v>81</v>
      </c>
      <c r="AC621">
        <v>6</v>
      </c>
      <c r="AD621">
        <v>36</v>
      </c>
      <c r="AE621" t="s">
        <v>60</v>
      </c>
    </row>
    <row r="622" spans="1:31" x14ac:dyDescent="0.2">
      <c r="A622">
        <v>599</v>
      </c>
      <c r="B622" t="s">
        <v>1110</v>
      </c>
      <c r="C622">
        <v>21</v>
      </c>
      <c r="D622" t="s">
        <v>334</v>
      </c>
      <c r="E622" t="s">
        <v>349</v>
      </c>
      <c r="F622">
        <v>26</v>
      </c>
      <c r="G622">
        <v>1</v>
      </c>
      <c r="H622">
        <v>2</v>
      </c>
      <c r="I622">
        <v>3</v>
      </c>
      <c r="J622">
        <v>6</v>
      </c>
      <c r="K622">
        <v>22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9</v>
      </c>
      <c r="T622">
        <v>11.1</v>
      </c>
      <c r="U622">
        <v>30</v>
      </c>
      <c r="V622" t="s">
        <v>1111</v>
      </c>
      <c r="W622" t="s">
        <v>1112</v>
      </c>
      <c r="X622">
        <v>0</v>
      </c>
      <c r="Y622">
        <v>0</v>
      </c>
      <c r="AA622">
        <v>24</v>
      </c>
      <c r="AB622">
        <v>85</v>
      </c>
      <c r="AC622">
        <v>4</v>
      </c>
      <c r="AD622">
        <v>23</v>
      </c>
      <c r="AE622" t="s">
        <v>60</v>
      </c>
    </row>
    <row r="623" spans="1:31" x14ac:dyDescent="0.2">
      <c r="A623">
        <v>600</v>
      </c>
      <c r="B623" t="s">
        <v>1411</v>
      </c>
      <c r="C623">
        <v>20</v>
      </c>
      <c r="D623" t="s">
        <v>412</v>
      </c>
      <c r="E623" t="s">
        <v>340</v>
      </c>
      <c r="F623">
        <v>12</v>
      </c>
      <c r="G623">
        <v>1</v>
      </c>
      <c r="H623">
        <v>2</v>
      </c>
      <c r="I623">
        <v>3</v>
      </c>
      <c r="J623">
        <v>1</v>
      </c>
      <c r="K623">
        <v>4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25</v>
      </c>
      <c r="T623">
        <v>4</v>
      </c>
      <c r="U623">
        <v>44</v>
      </c>
      <c r="V623" t="s">
        <v>2141</v>
      </c>
      <c r="W623" t="s">
        <v>841</v>
      </c>
      <c r="X623">
        <v>1</v>
      </c>
      <c r="Y623">
        <v>5</v>
      </c>
      <c r="Z623">
        <v>16.7</v>
      </c>
      <c r="AA623">
        <v>6</v>
      </c>
      <c r="AB623">
        <v>7</v>
      </c>
      <c r="AC623">
        <v>2</v>
      </c>
      <c r="AD623">
        <v>4</v>
      </c>
      <c r="AE623" t="s">
        <v>60</v>
      </c>
    </row>
    <row r="624" spans="1:31" x14ac:dyDescent="0.2">
      <c r="A624">
        <v>601</v>
      </c>
      <c r="B624" t="s">
        <v>1273</v>
      </c>
      <c r="C624">
        <v>25</v>
      </c>
      <c r="D624" t="s">
        <v>353</v>
      </c>
      <c r="E624" t="s">
        <v>349</v>
      </c>
      <c r="F624">
        <v>17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14</v>
      </c>
      <c r="T624">
        <v>7.1</v>
      </c>
      <c r="U624">
        <v>39</v>
      </c>
      <c r="V624" t="s">
        <v>2802</v>
      </c>
      <c r="W624" t="s">
        <v>2445</v>
      </c>
      <c r="X624">
        <v>0</v>
      </c>
      <c r="Y624">
        <v>0</v>
      </c>
      <c r="AA624">
        <v>16</v>
      </c>
      <c r="AB624">
        <v>22</v>
      </c>
      <c r="AC624">
        <v>3</v>
      </c>
      <c r="AD624">
        <v>8</v>
      </c>
      <c r="AE624" t="s">
        <v>60</v>
      </c>
    </row>
    <row r="625" spans="1:31" x14ac:dyDescent="0.2">
      <c r="A625">
        <v>602</v>
      </c>
      <c r="B625" t="s">
        <v>1188</v>
      </c>
      <c r="C625">
        <v>26</v>
      </c>
      <c r="D625" t="s">
        <v>368</v>
      </c>
      <c r="E625" t="s">
        <v>349</v>
      </c>
      <c r="F625">
        <v>15</v>
      </c>
      <c r="G625">
        <v>0</v>
      </c>
      <c r="H625">
        <v>3</v>
      </c>
      <c r="I625">
        <v>3</v>
      </c>
      <c r="J625">
        <v>0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12</v>
      </c>
      <c r="T625">
        <v>0</v>
      </c>
      <c r="U625">
        <v>32</v>
      </c>
      <c r="V625" t="s">
        <v>2143</v>
      </c>
      <c r="W625" t="s">
        <v>638</v>
      </c>
      <c r="X625">
        <v>0</v>
      </c>
      <c r="Y625">
        <v>0</v>
      </c>
      <c r="AA625">
        <v>13</v>
      </c>
      <c r="AB625">
        <v>5</v>
      </c>
      <c r="AC625">
        <v>4</v>
      </c>
      <c r="AD625">
        <v>17</v>
      </c>
      <c r="AE625" t="s">
        <v>60</v>
      </c>
    </row>
    <row r="626" spans="1:31" x14ac:dyDescent="0.2">
      <c r="A626">
        <v>603</v>
      </c>
      <c r="B626" t="s">
        <v>1117</v>
      </c>
      <c r="C626">
        <v>26</v>
      </c>
      <c r="D626" t="s">
        <v>461</v>
      </c>
      <c r="E626" t="s">
        <v>322</v>
      </c>
      <c r="F626">
        <v>6</v>
      </c>
      <c r="G626">
        <v>3</v>
      </c>
      <c r="H626">
        <v>0</v>
      </c>
      <c r="I626">
        <v>3</v>
      </c>
      <c r="J626">
        <v>0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15</v>
      </c>
      <c r="T626">
        <v>20</v>
      </c>
      <c r="U626">
        <v>22</v>
      </c>
      <c r="V626" t="s">
        <v>1118</v>
      </c>
      <c r="W626" t="s">
        <v>1119</v>
      </c>
      <c r="X626">
        <v>36</v>
      </c>
      <c r="Y626">
        <v>40</v>
      </c>
      <c r="Z626">
        <v>47.4</v>
      </c>
      <c r="AA626">
        <v>4</v>
      </c>
      <c r="AB626">
        <v>3</v>
      </c>
      <c r="AC626">
        <v>2</v>
      </c>
      <c r="AD626">
        <v>3</v>
      </c>
      <c r="AE626" t="s">
        <v>60</v>
      </c>
    </row>
    <row r="627" spans="1:31" x14ac:dyDescent="0.2">
      <c r="A627">
        <v>604</v>
      </c>
      <c r="B627" t="s">
        <v>1121</v>
      </c>
      <c r="C627">
        <v>31</v>
      </c>
      <c r="D627" t="s">
        <v>412</v>
      </c>
      <c r="E627" t="s">
        <v>349</v>
      </c>
      <c r="F627">
        <v>14</v>
      </c>
      <c r="G627">
        <v>2</v>
      </c>
      <c r="H627">
        <v>1</v>
      </c>
      <c r="I627">
        <v>3</v>
      </c>
      <c r="J627">
        <v>2</v>
      </c>
      <c r="K627">
        <v>2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18</v>
      </c>
      <c r="T627">
        <v>11.1</v>
      </c>
      <c r="U627">
        <v>31</v>
      </c>
      <c r="V627" t="s">
        <v>2144</v>
      </c>
      <c r="W627" t="s">
        <v>1935</v>
      </c>
      <c r="X627">
        <v>0</v>
      </c>
      <c r="Y627">
        <v>0</v>
      </c>
      <c r="AA627">
        <v>11</v>
      </c>
      <c r="AB627">
        <v>5</v>
      </c>
      <c r="AC627">
        <v>1</v>
      </c>
      <c r="AD627">
        <v>13</v>
      </c>
      <c r="AE627" t="s">
        <v>60</v>
      </c>
    </row>
    <row r="628" spans="1:31" x14ac:dyDescent="0.2">
      <c r="A628">
        <v>605</v>
      </c>
      <c r="B628" t="s">
        <v>1192</v>
      </c>
      <c r="C628">
        <v>19</v>
      </c>
      <c r="D628" t="s">
        <v>324</v>
      </c>
      <c r="E628" t="s">
        <v>349</v>
      </c>
      <c r="F628">
        <v>29</v>
      </c>
      <c r="G628">
        <v>1</v>
      </c>
      <c r="H628">
        <v>2</v>
      </c>
      <c r="I628">
        <v>3</v>
      </c>
      <c r="J628">
        <v>-3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26</v>
      </c>
      <c r="T628">
        <v>3.8</v>
      </c>
      <c r="U628">
        <v>64</v>
      </c>
      <c r="V628" t="s">
        <v>2554</v>
      </c>
      <c r="W628" t="s">
        <v>1504</v>
      </c>
      <c r="X628">
        <v>0</v>
      </c>
      <c r="Y628">
        <v>0</v>
      </c>
      <c r="AA628">
        <v>22</v>
      </c>
      <c r="AB628">
        <v>24</v>
      </c>
      <c r="AC628">
        <v>6</v>
      </c>
      <c r="AD628">
        <v>25</v>
      </c>
      <c r="AE628" t="s">
        <v>60</v>
      </c>
    </row>
    <row r="629" spans="1:31" x14ac:dyDescent="0.2">
      <c r="A629">
        <v>606</v>
      </c>
      <c r="B629" t="s">
        <v>1122</v>
      </c>
      <c r="C629">
        <v>31</v>
      </c>
      <c r="D629" t="s">
        <v>378</v>
      </c>
      <c r="E629" t="s">
        <v>349</v>
      </c>
      <c r="F629">
        <v>11</v>
      </c>
      <c r="G629">
        <v>1</v>
      </c>
      <c r="H629">
        <v>2</v>
      </c>
      <c r="I629">
        <v>3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7</v>
      </c>
      <c r="T629">
        <v>14.3</v>
      </c>
      <c r="U629">
        <v>26</v>
      </c>
      <c r="V629" t="s">
        <v>1123</v>
      </c>
      <c r="W629" t="s">
        <v>1124</v>
      </c>
      <c r="X629">
        <v>0</v>
      </c>
      <c r="Y629">
        <v>0</v>
      </c>
      <c r="AA629">
        <v>12</v>
      </c>
      <c r="AB629">
        <v>16</v>
      </c>
      <c r="AC629">
        <v>6</v>
      </c>
      <c r="AD629">
        <v>8</v>
      </c>
      <c r="AE629" t="s">
        <v>60</v>
      </c>
    </row>
    <row r="630" spans="1:31" x14ac:dyDescent="0.2">
      <c r="A630">
        <v>607</v>
      </c>
      <c r="B630" t="s">
        <v>1198</v>
      </c>
      <c r="C630">
        <v>23</v>
      </c>
      <c r="D630" t="s">
        <v>353</v>
      </c>
      <c r="E630" t="s">
        <v>322</v>
      </c>
      <c r="F630">
        <v>13</v>
      </c>
      <c r="G630">
        <v>2</v>
      </c>
      <c r="H630">
        <v>1</v>
      </c>
      <c r="I630">
        <v>3</v>
      </c>
      <c r="J630">
        <v>3</v>
      </c>
      <c r="K630">
        <v>12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10</v>
      </c>
      <c r="T630">
        <v>20</v>
      </c>
      <c r="U630">
        <v>14</v>
      </c>
      <c r="V630" t="s">
        <v>2087</v>
      </c>
      <c r="W630" t="s">
        <v>1968</v>
      </c>
      <c r="X630">
        <v>59</v>
      </c>
      <c r="Y630">
        <v>62</v>
      </c>
      <c r="Z630">
        <v>48.8</v>
      </c>
      <c r="AA630">
        <v>1</v>
      </c>
      <c r="AB630">
        <v>19</v>
      </c>
      <c r="AC630">
        <v>0</v>
      </c>
      <c r="AD630">
        <v>4</v>
      </c>
      <c r="AE630" t="s">
        <v>60</v>
      </c>
    </row>
    <row r="631" spans="1:31" x14ac:dyDescent="0.2">
      <c r="A631">
        <v>608</v>
      </c>
      <c r="B631" t="s">
        <v>1127</v>
      </c>
      <c r="C631">
        <v>27</v>
      </c>
      <c r="D631" t="s">
        <v>328</v>
      </c>
      <c r="E631" t="s">
        <v>322</v>
      </c>
      <c r="F631">
        <v>38</v>
      </c>
      <c r="G631">
        <v>2</v>
      </c>
      <c r="H631">
        <v>1</v>
      </c>
      <c r="I631">
        <v>3</v>
      </c>
      <c r="J631">
        <v>-10</v>
      </c>
      <c r="K631">
        <v>32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38</v>
      </c>
      <c r="T631">
        <v>5.3</v>
      </c>
      <c r="U631">
        <v>70</v>
      </c>
      <c r="V631" t="s">
        <v>2555</v>
      </c>
      <c r="W631" t="s">
        <v>1960</v>
      </c>
      <c r="X631">
        <v>46</v>
      </c>
      <c r="Y631">
        <v>38</v>
      </c>
      <c r="Z631">
        <v>54.8</v>
      </c>
      <c r="AA631">
        <v>12</v>
      </c>
      <c r="AB631">
        <v>95</v>
      </c>
      <c r="AC631">
        <v>5</v>
      </c>
      <c r="AD631">
        <v>14</v>
      </c>
      <c r="AE631" t="s">
        <v>60</v>
      </c>
    </row>
    <row r="632" spans="1:31" x14ac:dyDescent="0.2">
      <c r="A632">
        <v>609</v>
      </c>
      <c r="B632" t="s">
        <v>1129</v>
      </c>
      <c r="C632">
        <v>27</v>
      </c>
      <c r="D632" t="s">
        <v>375</v>
      </c>
      <c r="E632" t="s">
        <v>340</v>
      </c>
      <c r="F632">
        <v>10</v>
      </c>
      <c r="G632">
        <v>0</v>
      </c>
      <c r="H632">
        <v>3</v>
      </c>
      <c r="I632">
        <v>3</v>
      </c>
      <c r="J632">
        <v>2</v>
      </c>
      <c r="K632">
        <v>7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8</v>
      </c>
      <c r="T632">
        <v>0</v>
      </c>
      <c r="U632">
        <v>12</v>
      </c>
      <c r="V632" t="s">
        <v>1130</v>
      </c>
      <c r="W632" t="s">
        <v>1131</v>
      </c>
      <c r="X632">
        <v>0</v>
      </c>
      <c r="Y632">
        <v>0</v>
      </c>
      <c r="AA632">
        <v>3</v>
      </c>
      <c r="AB632">
        <v>30</v>
      </c>
      <c r="AC632">
        <v>3</v>
      </c>
      <c r="AD632">
        <v>3</v>
      </c>
      <c r="AE632" t="s">
        <v>60</v>
      </c>
    </row>
    <row r="633" spans="1:31" x14ac:dyDescent="0.2">
      <c r="A633">
        <v>610</v>
      </c>
      <c r="B633" t="s">
        <v>1134</v>
      </c>
      <c r="C633">
        <v>36</v>
      </c>
      <c r="D633" t="s">
        <v>404</v>
      </c>
      <c r="E633" t="s">
        <v>322</v>
      </c>
      <c r="F633">
        <v>38</v>
      </c>
      <c r="G633">
        <v>0</v>
      </c>
      <c r="H633">
        <v>3</v>
      </c>
      <c r="I633">
        <v>3</v>
      </c>
      <c r="J633">
        <v>-5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1</v>
      </c>
      <c r="S633">
        <v>18</v>
      </c>
      <c r="T633">
        <v>0</v>
      </c>
      <c r="U633">
        <v>35</v>
      </c>
      <c r="V633" t="s">
        <v>2556</v>
      </c>
      <c r="W633" t="s">
        <v>2070</v>
      </c>
      <c r="X633">
        <v>208</v>
      </c>
      <c r="Y633">
        <v>194</v>
      </c>
      <c r="Z633">
        <v>51.7</v>
      </c>
      <c r="AA633">
        <v>32</v>
      </c>
      <c r="AB633">
        <v>53</v>
      </c>
      <c r="AC633">
        <v>3</v>
      </c>
      <c r="AD633">
        <v>8</v>
      </c>
      <c r="AE633" t="s">
        <v>60</v>
      </c>
    </row>
    <row r="634" spans="1:31" x14ac:dyDescent="0.2">
      <c r="A634">
        <v>611</v>
      </c>
      <c r="B634" t="s">
        <v>1301</v>
      </c>
      <c r="C634">
        <v>27</v>
      </c>
      <c r="D634" t="s">
        <v>375</v>
      </c>
      <c r="E634" t="s">
        <v>322</v>
      </c>
      <c r="F634">
        <v>22</v>
      </c>
      <c r="G634">
        <v>1</v>
      </c>
      <c r="H634">
        <v>2</v>
      </c>
      <c r="I634">
        <v>3</v>
      </c>
      <c r="J634">
        <v>-5</v>
      </c>
      <c r="K634">
        <v>11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19</v>
      </c>
      <c r="T634">
        <v>5.3</v>
      </c>
      <c r="U634">
        <v>39</v>
      </c>
      <c r="V634" t="s">
        <v>2145</v>
      </c>
      <c r="W634" t="s">
        <v>1115</v>
      </c>
      <c r="X634">
        <v>12</v>
      </c>
      <c r="Y634">
        <v>21</v>
      </c>
      <c r="Z634">
        <v>36.4</v>
      </c>
      <c r="AA634">
        <v>7</v>
      </c>
      <c r="AB634">
        <v>24</v>
      </c>
      <c r="AC634">
        <v>1</v>
      </c>
      <c r="AD634">
        <v>8</v>
      </c>
      <c r="AE634" t="s">
        <v>60</v>
      </c>
    </row>
    <row r="635" spans="1:31" x14ac:dyDescent="0.2">
      <c r="A635">
        <v>612</v>
      </c>
      <c r="B635" t="s">
        <v>1138</v>
      </c>
      <c r="C635">
        <v>21</v>
      </c>
      <c r="D635" t="s">
        <v>328</v>
      </c>
      <c r="E635" t="s">
        <v>340</v>
      </c>
      <c r="F635">
        <v>17</v>
      </c>
      <c r="G635">
        <v>2</v>
      </c>
      <c r="H635">
        <v>1</v>
      </c>
      <c r="I635">
        <v>3</v>
      </c>
      <c r="J635">
        <v>-2</v>
      </c>
      <c r="K635">
        <v>10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40</v>
      </c>
      <c r="V635" t="s">
        <v>1139</v>
      </c>
      <c r="W635" t="s">
        <v>1140</v>
      </c>
      <c r="X635">
        <v>0</v>
      </c>
      <c r="Y635">
        <v>0</v>
      </c>
      <c r="AA635">
        <v>1</v>
      </c>
      <c r="AB635">
        <v>3</v>
      </c>
      <c r="AC635">
        <v>1</v>
      </c>
      <c r="AD635">
        <v>9</v>
      </c>
      <c r="AE635" t="s">
        <v>60</v>
      </c>
    </row>
    <row r="636" spans="1:31" x14ac:dyDescent="0.2">
      <c r="A636">
        <v>613</v>
      </c>
      <c r="B636" t="s">
        <v>1213</v>
      </c>
      <c r="C636">
        <v>29</v>
      </c>
      <c r="D636" t="s">
        <v>321</v>
      </c>
      <c r="E636" t="s">
        <v>325</v>
      </c>
      <c r="F636">
        <v>20</v>
      </c>
      <c r="G636">
        <v>1</v>
      </c>
      <c r="H636">
        <v>2</v>
      </c>
      <c r="I636">
        <v>3</v>
      </c>
      <c r="J636">
        <v>-1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13</v>
      </c>
      <c r="T636">
        <v>7.7</v>
      </c>
      <c r="U636">
        <v>29</v>
      </c>
      <c r="V636" t="s">
        <v>2557</v>
      </c>
      <c r="W636" t="s">
        <v>1524</v>
      </c>
      <c r="X636">
        <v>3</v>
      </c>
      <c r="Y636">
        <v>3</v>
      </c>
      <c r="Z636">
        <v>50</v>
      </c>
      <c r="AA636">
        <v>5</v>
      </c>
      <c r="AB636">
        <v>30</v>
      </c>
      <c r="AC636">
        <v>1</v>
      </c>
      <c r="AD636">
        <v>8</v>
      </c>
      <c r="AE636" t="s">
        <v>60</v>
      </c>
    </row>
    <row r="637" spans="1:31" x14ac:dyDescent="0.2">
      <c r="A637">
        <v>614</v>
      </c>
      <c r="B637" t="s">
        <v>1146</v>
      </c>
      <c r="C637">
        <v>24</v>
      </c>
      <c r="D637" t="s">
        <v>1022</v>
      </c>
      <c r="E637" t="s">
        <v>349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t="s">
        <v>2558</v>
      </c>
      <c r="W637" t="s">
        <v>2051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t="s">
        <v>60</v>
      </c>
    </row>
    <row r="638" spans="1:31" x14ac:dyDescent="0.2">
      <c r="A638">
        <v>614</v>
      </c>
      <c r="B638" t="s">
        <v>1146</v>
      </c>
      <c r="C638">
        <v>24</v>
      </c>
      <c r="D638" t="s">
        <v>334</v>
      </c>
      <c r="E638" t="s">
        <v>349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t="s">
        <v>1738</v>
      </c>
      <c r="W638" t="s">
        <v>1049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t="s">
        <v>60</v>
      </c>
    </row>
    <row r="639" spans="1:31" x14ac:dyDescent="0.2">
      <c r="A639">
        <v>614</v>
      </c>
      <c r="B639" t="s">
        <v>1146</v>
      </c>
      <c r="C639">
        <v>24</v>
      </c>
      <c r="D639" t="s">
        <v>356</v>
      </c>
      <c r="E639" t="s">
        <v>349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t="s">
        <v>2012</v>
      </c>
      <c r="W639" t="s">
        <v>1446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t="s">
        <v>60</v>
      </c>
    </row>
    <row r="640" spans="1:31" x14ac:dyDescent="0.2">
      <c r="A640">
        <v>615</v>
      </c>
      <c r="B640" t="s">
        <v>1216</v>
      </c>
      <c r="C640">
        <v>28</v>
      </c>
      <c r="D640" t="s">
        <v>375</v>
      </c>
      <c r="E640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t="s">
        <v>2559</v>
      </c>
      <c r="W640" t="s">
        <v>2560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t="s">
        <v>60</v>
      </c>
    </row>
    <row r="641" spans="1:31" x14ac:dyDescent="0.2">
      <c r="A641">
        <v>616</v>
      </c>
      <c r="B641" t="s">
        <v>1150</v>
      </c>
      <c r="C641">
        <v>34</v>
      </c>
      <c r="D641" t="s">
        <v>324</v>
      </c>
      <c r="E641" t="s">
        <v>349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t="s">
        <v>2146</v>
      </c>
      <c r="W641" t="s">
        <v>390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t="s">
        <v>60</v>
      </c>
    </row>
    <row r="642" spans="1:31" x14ac:dyDescent="0.2">
      <c r="A642">
        <v>617</v>
      </c>
      <c r="B642" t="s">
        <v>1225</v>
      </c>
      <c r="C642">
        <v>26</v>
      </c>
      <c r="D642" t="s">
        <v>387</v>
      </c>
      <c r="E642" t="s">
        <v>325</v>
      </c>
      <c r="F642">
        <v>25</v>
      </c>
      <c r="G642">
        <v>1</v>
      </c>
      <c r="H642">
        <v>2</v>
      </c>
      <c r="I642">
        <v>3</v>
      </c>
      <c r="J642">
        <v>-7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5</v>
      </c>
      <c r="U642">
        <v>30</v>
      </c>
      <c r="V642" t="s">
        <v>2803</v>
      </c>
      <c r="W642" t="s">
        <v>2564</v>
      </c>
      <c r="X642">
        <v>23</v>
      </c>
      <c r="Y642">
        <v>11</v>
      </c>
      <c r="Z642">
        <v>67.599999999999994</v>
      </c>
      <c r="AA642">
        <v>8</v>
      </c>
      <c r="AB642">
        <v>53</v>
      </c>
      <c r="AC642">
        <v>2</v>
      </c>
      <c r="AD642">
        <v>6</v>
      </c>
      <c r="AE642" t="s">
        <v>60</v>
      </c>
    </row>
    <row r="643" spans="1:31" x14ac:dyDescent="0.2">
      <c r="A643">
        <v>618</v>
      </c>
      <c r="B643" t="s">
        <v>1226</v>
      </c>
      <c r="C643">
        <v>27</v>
      </c>
      <c r="D643" t="s">
        <v>555</v>
      </c>
      <c r="E643" t="s">
        <v>349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t="s">
        <v>2147</v>
      </c>
      <c r="W643" t="s">
        <v>695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t="s">
        <v>60</v>
      </c>
    </row>
    <row r="644" spans="1:31" x14ac:dyDescent="0.2">
      <c r="A644">
        <v>619</v>
      </c>
      <c r="B644" t="s">
        <v>1550</v>
      </c>
      <c r="C644">
        <v>21</v>
      </c>
      <c r="D644" t="s">
        <v>378</v>
      </c>
      <c r="E644" t="s">
        <v>335</v>
      </c>
      <c r="F644">
        <v>13</v>
      </c>
      <c r="G644">
        <v>2</v>
      </c>
      <c r="H644">
        <v>1</v>
      </c>
      <c r="I644">
        <v>3</v>
      </c>
      <c r="J644">
        <v>-4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39</v>
      </c>
      <c r="V644" t="s">
        <v>2804</v>
      </c>
      <c r="W644" t="s">
        <v>1325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t="s">
        <v>60</v>
      </c>
    </row>
    <row r="645" spans="1:31" x14ac:dyDescent="0.2">
      <c r="A645">
        <v>620</v>
      </c>
      <c r="B645" t="s">
        <v>1156</v>
      </c>
      <c r="C645">
        <v>18</v>
      </c>
      <c r="D645" t="s">
        <v>324</v>
      </c>
      <c r="E645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t="s">
        <v>1157</v>
      </c>
      <c r="W645" t="s">
        <v>1128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t="s">
        <v>60</v>
      </c>
    </row>
    <row r="646" spans="1:31" x14ac:dyDescent="0.2">
      <c r="A646">
        <v>621</v>
      </c>
      <c r="B646" t="s">
        <v>1348</v>
      </c>
      <c r="C646">
        <v>23</v>
      </c>
      <c r="D646" t="s">
        <v>363</v>
      </c>
      <c r="E646" t="s">
        <v>349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t="s">
        <v>2561</v>
      </c>
      <c r="W646" t="s">
        <v>1936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t="s">
        <v>60</v>
      </c>
    </row>
    <row r="647" spans="1:31" x14ac:dyDescent="0.2">
      <c r="A647">
        <v>622</v>
      </c>
      <c r="B647" t="s">
        <v>1229</v>
      </c>
      <c r="C647">
        <v>31</v>
      </c>
      <c r="D647" t="s">
        <v>412</v>
      </c>
      <c r="E647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t="s">
        <v>2148</v>
      </c>
      <c r="W647" t="s">
        <v>2149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t="s">
        <v>60</v>
      </c>
    </row>
    <row r="648" spans="1:31" x14ac:dyDescent="0.2">
      <c r="A648">
        <v>623</v>
      </c>
      <c r="B648" t="s">
        <v>1579</v>
      </c>
      <c r="C648">
        <v>22</v>
      </c>
      <c r="D648" t="s">
        <v>1022</v>
      </c>
      <c r="E648" t="s">
        <v>340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t="s">
        <v>2562</v>
      </c>
      <c r="W648" t="s">
        <v>1291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t="s">
        <v>60</v>
      </c>
    </row>
    <row r="649" spans="1:31" x14ac:dyDescent="0.2">
      <c r="A649">
        <v>623</v>
      </c>
      <c r="B649" t="s">
        <v>1579</v>
      </c>
      <c r="C649">
        <v>22</v>
      </c>
      <c r="D649" t="s">
        <v>359</v>
      </c>
      <c r="E649" t="s">
        <v>340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t="s">
        <v>1755</v>
      </c>
      <c r="W649" t="s">
        <v>1524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t="s">
        <v>60</v>
      </c>
    </row>
    <row r="650" spans="1:31" x14ac:dyDescent="0.2">
      <c r="A650">
        <v>623</v>
      </c>
      <c r="B650" t="s">
        <v>1579</v>
      </c>
      <c r="C650">
        <v>22</v>
      </c>
      <c r="D650" t="s">
        <v>461</v>
      </c>
      <c r="E650" t="s">
        <v>340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t="s">
        <v>2563</v>
      </c>
      <c r="W650" t="s">
        <v>2564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t="s">
        <v>60</v>
      </c>
    </row>
    <row r="651" spans="1:31" x14ac:dyDescent="0.2">
      <c r="A651">
        <v>624</v>
      </c>
      <c r="B651" t="s">
        <v>1161</v>
      </c>
      <c r="C651">
        <v>26</v>
      </c>
      <c r="D651" t="s">
        <v>448</v>
      </c>
      <c r="E651" t="s">
        <v>349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t="s">
        <v>1656</v>
      </c>
      <c r="W651" t="s">
        <v>1657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t="s">
        <v>60</v>
      </c>
    </row>
    <row r="652" spans="1:31" x14ac:dyDescent="0.2">
      <c r="A652">
        <v>625</v>
      </c>
      <c r="B652" t="s">
        <v>1162</v>
      </c>
      <c r="C652">
        <v>24</v>
      </c>
      <c r="D652" t="s">
        <v>363</v>
      </c>
      <c r="E652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t="s">
        <v>1163</v>
      </c>
      <c r="W652" t="s">
        <v>1164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t="s">
        <v>60</v>
      </c>
    </row>
    <row r="653" spans="1:31" x14ac:dyDescent="0.2">
      <c r="A653">
        <v>626</v>
      </c>
      <c r="B653" t="s">
        <v>1167</v>
      </c>
      <c r="C653">
        <v>27</v>
      </c>
      <c r="D653" t="s">
        <v>328</v>
      </c>
      <c r="E653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t="s">
        <v>1168</v>
      </c>
      <c r="W653" t="s">
        <v>1169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t="s">
        <v>60</v>
      </c>
    </row>
    <row r="654" spans="1:31" x14ac:dyDescent="0.2">
      <c r="A654">
        <v>627</v>
      </c>
      <c r="B654" t="s">
        <v>1230</v>
      </c>
      <c r="C654">
        <v>39</v>
      </c>
      <c r="D654" t="s">
        <v>324</v>
      </c>
      <c r="E654" t="s">
        <v>335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t="s">
        <v>2565</v>
      </c>
      <c r="W654" t="s">
        <v>2157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t="s">
        <v>60</v>
      </c>
    </row>
    <row r="655" spans="1:31" x14ac:dyDescent="0.2">
      <c r="A655">
        <v>628</v>
      </c>
      <c r="B655" t="s">
        <v>1604</v>
      </c>
      <c r="C655">
        <v>25</v>
      </c>
      <c r="D655" t="s">
        <v>328</v>
      </c>
      <c r="E655" t="s">
        <v>349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t="s">
        <v>2566</v>
      </c>
      <c r="W655" t="s">
        <v>1677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t="s">
        <v>60</v>
      </c>
    </row>
    <row r="656" spans="1:31" x14ac:dyDescent="0.2">
      <c r="A656">
        <v>629</v>
      </c>
      <c r="B656" t="s">
        <v>1235</v>
      </c>
      <c r="C656">
        <v>33</v>
      </c>
      <c r="D656" t="s">
        <v>353</v>
      </c>
      <c r="E656" t="s">
        <v>325</v>
      </c>
      <c r="F656">
        <v>9</v>
      </c>
      <c r="G656">
        <v>1</v>
      </c>
      <c r="H656">
        <v>2</v>
      </c>
      <c r="I656">
        <v>3</v>
      </c>
      <c r="J656">
        <v>0</v>
      </c>
      <c r="K656">
        <v>63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t="s">
        <v>2805</v>
      </c>
      <c r="W656" t="s">
        <v>1994</v>
      </c>
      <c r="X656">
        <v>0</v>
      </c>
      <c r="Y656">
        <v>2</v>
      </c>
      <c r="Z656">
        <v>0</v>
      </c>
      <c r="AA656">
        <v>4</v>
      </c>
      <c r="AB656">
        <v>15</v>
      </c>
      <c r="AC656">
        <v>0</v>
      </c>
      <c r="AD656">
        <v>4</v>
      </c>
      <c r="AE656" t="s">
        <v>60</v>
      </c>
    </row>
    <row r="657" spans="1:31" x14ac:dyDescent="0.2">
      <c r="A657">
        <v>630</v>
      </c>
      <c r="B657" t="s">
        <v>1369</v>
      </c>
      <c r="C657">
        <v>22</v>
      </c>
      <c r="D657" t="s">
        <v>476</v>
      </c>
      <c r="E657" t="s">
        <v>340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t="s">
        <v>2567</v>
      </c>
      <c r="W657" t="s">
        <v>2568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t="s">
        <v>60</v>
      </c>
    </row>
    <row r="658" spans="1:31" x14ac:dyDescent="0.2">
      <c r="A658">
        <v>631</v>
      </c>
      <c r="B658" t="s">
        <v>1374</v>
      </c>
      <c r="C658">
        <v>24</v>
      </c>
      <c r="D658" t="s">
        <v>373</v>
      </c>
      <c r="E658" t="s">
        <v>335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t="s">
        <v>2569</v>
      </c>
      <c r="W658" t="s">
        <v>2088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t="s">
        <v>60</v>
      </c>
    </row>
    <row r="659" spans="1:31" x14ac:dyDescent="0.2">
      <c r="A659">
        <v>632</v>
      </c>
      <c r="B659" t="s">
        <v>1838</v>
      </c>
      <c r="C659">
        <v>20</v>
      </c>
      <c r="D659" t="s">
        <v>536</v>
      </c>
      <c r="E65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t="s">
        <v>2570</v>
      </c>
      <c r="W659" t="s">
        <v>1176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t="s">
        <v>60</v>
      </c>
    </row>
    <row r="660" spans="1:31" x14ac:dyDescent="0.2">
      <c r="A660">
        <v>633</v>
      </c>
      <c r="B660" t="s">
        <v>1177</v>
      </c>
      <c r="C660">
        <v>27</v>
      </c>
      <c r="D660" t="s">
        <v>363</v>
      </c>
      <c r="E660" t="s">
        <v>349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t="s">
        <v>2047</v>
      </c>
      <c r="W660" t="s">
        <v>2048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t="s">
        <v>60</v>
      </c>
    </row>
    <row r="661" spans="1:31" x14ac:dyDescent="0.2">
      <c r="A661">
        <v>634</v>
      </c>
      <c r="B661" t="s">
        <v>1387</v>
      </c>
      <c r="C661">
        <v>26</v>
      </c>
      <c r="D661" t="s">
        <v>365</v>
      </c>
      <c r="E661" t="s">
        <v>322</v>
      </c>
      <c r="F661">
        <v>33</v>
      </c>
      <c r="G661">
        <v>2</v>
      </c>
      <c r="H661">
        <v>1</v>
      </c>
      <c r="I661">
        <v>3</v>
      </c>
      <c r="J661">
        <v>-8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57</v>
      </c>
      <c r="V661" t="s">
        <v>2806</v>
      </c>
      <c r="W661" t="s">
        <v>1957</v>
      </c>
      <c r="X661">
        <v>108</v>
      </c>
      <c r="Y661">
        <v>101</v>
      </c>
      <c r="Z661">
        <v>51.7</v>
      </c>
      <c r="AA661">
        <v>22</v>
      </c>
      <c r="AB661">
        <v>75</v>
      </c>
      <c r="AC661">
        <v>3</v>
      </c>
      <c r="AD661">
        <v>11</v>
      </c>
      <c r="AE661" t="s">
        <v>60</v>
      </c>
    </row>
    <row r="662" spans="1:31" x14ac:dyDescent="0.2">
      <c r="A662">
        <v>635</v>
      </c>
      <c r="B662" t="s">
        <v>1253</v>
      </c>
      <c r="C662">
        <v>24</v>
      </c>
      <c r="D662" t="s">
        <v>1022</v>
      </c>
      <c r="E662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t="s">
        <v>2150</v>
      </c>
      <c r="W662" t="s">
        <v>1971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t="s">
        <v>60</v>
      </c>
    </row>
    <row r="663" spans="1:31" x14ac:dyDescent="0.2">
      <c r="A663">
        <v>635</v>
      </c>
      <c r="B663" t="s">
        <v>1253</v>
      </c>
      <c r="C663">
        <v>24</v>
      </c>
      <c r="D663" t="s">
        <v>356</v>
      </c>
      <c r="E663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t="s">
        <v>1254</v>
      </c>
      <c r="W663" t="s">
        <v>1255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t="s">
        <v>60</v>
      </c>
    </row>
    <row r="664" spans="1:31" x14ac:dyDescent="0.2">
      <c r="A664">
        <v>635</v>
      </c>
      <c r="B664" t="s">
        <v>1253</v>
      </c>
      <c r="C664">
        <v>24</v>
      </c>
      <c r="D664" t="s">
        <v>448</v>
      </c>
      <c r="E664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t="s">
        <v>2151</v>
      </c>
      <c r="W664" t="s">
        <v>1026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t="s">
        <v>60</v>
      </c>
    </row>
    <row r="665" spans="1:31" x14ac:dyDescent="0.2">
      <c r="A665">
        <v>636</v>
      </c>
      <c r="B665" t="s">
        <v>1972</v>
      </c>
      <c r="C665">
        <v>20</v>
      </c>
      <c r="D665" t="s">
        <v>415</v>
      </c>
      <c r="E665" t="s">
        <v>322</v>
      </c>
      <c r="F665">
        <v>4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5</v>
      </c>
      <c r="T665">
        <v>0</v>
      </c>
      <c r="U665">
        <v>11</v>
      </c>
      <c r="V665" t="s">
        <v>2807</v>
      </c>
      <c r="W665" t="s">
        <v>1973</v>
      </c>
      <c r="X665">
        <v>1</v>
      </c>
      <c r="Y665">
        <v>4</v>
      </c>
      <c r="Z665">
        <v>20</v>
      </c>
      <c r="AA665">
        <v>5</v>
      </c>
      <c r="AB665">
        <v>4</v>
      </c>
      <c r="AC665">
        <v>0</v>
      </c>
      <c r="AD665">
        <v>1</v>
      </c>
      <c r="AE665" t="s">
        <v>60</v>
      </c>
    </row>
    <row r="666" spans="1:31" x14ac:dyDescent="0.2">
      <c r="A666">
        <v>637</v>
      </c>
      <c r="B666" t="s">
        <v>1183</v>
      </c>
      <c r="C666">
        <v>27</v>
      </c>
      <c r="D666" t="s">
        <v>448</v>
      </c>
      <c r="E666" t="s">
        <v>349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t="s">
        <v>1184</v>
      </c>
      <c r="W666" t="s">
        <v>1185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t="s">
        <v>60</v>
      </c>
    </row>
    <row r="667" spans="1:31" x14ac:dyDescent="0.2">
      <c r="A667">
        <v>638</v>
      </c>
      <c r="B667" t="s">
        <v>1265</v>
      </c>
      <c r="C667">
        <v>35</v>
      </c>
      <c r="D667" t="s">
        <v>359</v>
      </c>
      <c r="E667" t="s">
        <v>349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t="s">
        <v>2571</v>
      </c>
      <c r="W667" t="s">
        <v>1726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t="s">
        <v>60</v>
      </c>
    </row>
    <row r="668" spans="1:31" x14ac:dyDescent="0.2">
      <c r="A668">
        <v>639</v>
      </c>
      <c r="B668" t="s">
        <v>1186</v>
      </c>
      <c r="C668">
        <v>29</v>
      </c>
      <c r="D668" t="s">
        <v>361</v>
      </c>
      <c r="E668" t="s">
        <v>349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t="s">
        <v>1187</v>
      </c>
      <c r="W668" t="s">
        <v>421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t="s">
        <v>60</v>
      </c>
    </row>
    <row r="669" spans="1:31" x14ac:dyDescent="0.2">
      <c r="A669">
        <v>640</v>
      </c>
      <c r="B669" t="s">
        <v>1282</v>
      </c>
      <c r="C669">
        <v>29</v>
      </c>
      <c r="D669" t="s">
        <v>555</v>
      </c>
      <c r="E66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t="s">
        <v>2152</v>
      </c>
      <c r="W669" t="s">
        <v>2153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t="s">
        <v>60</v>
      </c>
    </row>
    <row r="670" spans="1:31" x14ac:dyDescent="0.2">
      <c r="A670">
        <v>641</v>
      </c>
      <c r="B670" t="s">
        <v>1190</v>
      </c>
      <c r="C670">
        <v>29</v>
      </c>
      <c r="D670" t="s">
        <v>324</v>
      </c>
      <c r="E670" t="s">
        <v>349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t="s">
        <v>1191</v>
      </c>
      <c r="W670" t="s">
        <v>660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t="s">
        <v>60</v>
      </c>
    </row>
    <row r="671" spans="1:31" x14ac:dyDescent="0.2">
      <c r="A671">
        <v>642</v>
      </c>
      <c r="B671" t="s">
        <v>1194</v>
      </c>
      <c r="C671">
        <v>25</v>
      </c>
      <c r="D671" t="s">
        <v>353</v>
      </c>
      <c r="E671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t="s">
        <v>2572</v>
      </c>
      <c r="W671" t="s">
        <v>2573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t="s">
        <v>60</v>
      </c>
    </row>
    <row r="672" spans="1:31" x14ac:dyDescent="0.2">
      <c r="A672">
        <v>643</v>
      </c>
      <c r="B672" t="s">
        <v>1745</v>
      </c>
      <c r="C672">
        <v>30</v>
      </c>
      <c r="D672" t="s">
        <v>536</v>
      </c>
      <c r="E672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t="s">
        <v>2089</v>
      </c>
      <c r="W672" t="s">
        <v>2038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t="s">
        <v>60</v>
      </c>
    </row>
    <row r="673" spans="1:31" x14ac:dyDescent="0.2">
      <c r="A673">
        <v>644</v>
      </c>
      <c r="B673" t="s">
        <v>1200</v>
      </c>
      <c r="C673">
        <v>34</v>
      </c>
      <c r="D673" t="s">
        <v>359</v>
      </c>
      <c r="E673" t="s">
        <v>340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t="s">
        <v>2574</v>
      </c>
      <c r="W673" t="s">
        <v>794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t="s">
        <v>60</v>
      </c>
    </row>
    <row r="674" spans="1:31" x14ac:dyDescent="0.2">
      <c r="A674">
        <v>645</v>
      </c>
      <c r="B674" t="s">
        <v>1292</v>
      </c>
      <c r="C674">
        <v>26</v>
      </c>
      <c r="D674" t="s">
        <v>387</v>
      </c>
      <c r="E674" t="s">
        <v>325</v>
      </c>
      <c r="F674">
        <v>13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17</v>
      </c>
      <c r="T674">
        <v>5.9</v>
      </c>
      <c r="U674">
        <v>24</v>
      </c>
      <c r="V674" t="s">
        <v>2808</v>
      </c>
      <c r="W674" t="s">
        <v>2070</v>
      </c>
      <c r="X674">
        <v>0</v>
      </c>
      <c r="Y674">
        <v>1</v>
      </c>
      <c r="Z674">
        <v>0</v>
      </c>
      <c r="AA674">
        <v>7</v>
      </c>
      <c r="AB674">
        <v>66</v>
      </c>
      <c r="AC674">
        <v>3</v>
      </c>
      <c r="AD674">
        <v>3</v>
      </c>
      <c r="AE674" t="s">
        <v>60</v>
      </c>
    </row>
    <row r="675" spans="1:31" x14ac:dyDescent="0.2">
      <c r="A675">
        <v>646</v>
      </c>
      <c r="B675" t="s">
        <v>1202</v>
      </c>
      <c r="C675">
        <v>24</v>
      </c>
      <c r="D675" t="s">
        <v>365</v>
      </c>
      <c r="E675" t="s">
        <v>349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t="s">
        <v>1203</v>
      </c>
      <c r="W675" t="s">
        <v>1204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t="s">
        <v>60</v>
      </c>
    </row>
    <row r="676" spans="1:31" x14ac:dyDescent="0.2">
      <c r="A676">
        <v>647</v>
      </c>
      <c r="B676" t="s">
        <v>1206</v>
      </c>
      <c r="C676">
        <v>28</v>
      </c>
      <c r="D676" t="s">
        <v>337</v>
      </c>
      <c r="E676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t="s">
        <v>2090</v>
      </c>
      <c r="W676" t="s">
        <v>1647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t="s">
        <v>60</v>
      </c>
    </row>
    <row r="677" spans="1:31" x14ac:dyDescent="0.2">
      <c r="A677">
        <v>648</v>
      </c>
      <c r="B677" t="s">
        <v>1207</v>
      </c>
      <c r="C677">
        <v>25</v>
      </c>
      <c r="D677" t="s">
        <v>356</v>
      </c>
      <c r="E677" t="s">
        <v>349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t="s">
        <v>1208</v>
      </c>
      <c r="W677" t="s">
        <v>1119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t="s">
        <v>60</v>
      </c>
    </row>
    <row r="678" spans="1:31" x14ac:dyDescent="0.2">
      <c r="A678">
        <v>649</v>
      </c>
      <c r="B678" t="s">
        <v>1309</v>
      </c>
      <c r="C678">
        <v>30</v>
      </c>
      <c r="D678" t="s">
        <v>378</v>
      </c>
      <c r="E678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t="s">
        <v>1853</v>
      </c>
      <c r="W678" t="s">
        <v>1384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t="s">
        <v>60</v>
      </c>
    </row>
    <row r="679" spans="1:31" x14ac:dyDescent="0.2">
      <c r="A679">
        <v>650</v>
      </c>
      <c r="B679" t="s">
        <v>1490</v>
      </c>
      <c r="C679">
        <v>24</v>
      </c>
      <c r="D679" t="s">
        <v>344</v>
      </c>
      <c r="E679" t="s">
        <v>335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t="s">
        <v>2575</v>
      </c>
      <c r="W679" t="s">
        <v>2035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t="s">
        <v>60</v>
      </c>
    </row>
    <row r="680" spans="1:31" x14ac:dyDescent="0.2">
      <c r="A680">
        <v>651</v>
      </c>
      <c r="B680" t="s">
        <v>1310</v>
      </c>
      <c r="C680">
        <v>23</v>
      </c>
      <c r="D680" t="s">
        <v>359</v>
      </c>
      <c r="E680" t="s">
        <v>349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t="s">
        <v>1821</v>
      </c>
      <c r="W680" t="s">
        <v>1730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t="s">
        <v>60</v>
      </c>
    </row>
    <row r="681" spans="1:31" x14ac:dyDescent="0.2">
      <c r="A681">
        <v>652</v>
      </c>
      <c r="B681" t="s">
        <v>1495</v>
      </c>
      <c r="C681">
        <v>23</v>
      </c>
      <c r="D681" t="s">
        <v>324</v>
      </c>
      <c r="E681" t="s">
        <v>349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t="s">
        <v>2576</v>
      </c>
      <c r="W681" t="s">
        <v>1675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t="s">
        <v>60</v>
      </c>
    </row>
    <row r="682" spans="1:31" x14ac:dyDescent="0.2">
      <c r="A682">
        <v>653</v>
      </c>
      <c r="B682" t="s">
        <v>1209</v>
      </c>
      <c r="C682">
        <v>29</v>
      </c>
      <c r="D682" t="s">
        <v>328</v>
      </c>
      <c r="E682" t="s">
        <v>335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t="s">
        <v>1210</v>
      </c>
      <c r="W682" t="s">
        <v>1211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t="s">
        <v>60</v>
      </c>
    </row>
    <row r="683" spans="1:31" x14ac:dyDescent="0.2">
      <c r="A683">
        <v>654</v>
      </c>
      <c r="B683" t="s">
        <v>1212</v>
      </c>
      <c r="C683">
        <v>25</v>
      </c>
      <c r="D683" t="s">
        <v>536</v>
      </c>
      <c r="E683" t="s">
        <v>349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t="s">
        <v>1822</v>
      </c>
      <c r="W683" t="s">
        <v>1384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t="s">
        <v>60</v>
      </c>
    </row>
    <row r="684" spans="1:31" x14ac:dyDescent="0.2">
      <c r="A684">
        <v>655</v>
      </c>
      <c r="B684" t="s">
        <v>1215</v>
      </c>
      <c r="C684">
        <v>32</v>
      </c>
      <c r="D684" t="s">
        <v>1022</v>
      </c>
      <c r="E684" t="s">
        <v>349</v>
      </c>
      <c r="F684">
        <v>37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99</v>
      </c>
      <c r="V684" t="s">
        <v>1729</v>
      </c>
      <c r="W684" t="s">
        <v>1907</v>
      </c>
      <c r="X684">
        <v>0</v>
      </c>
      <c r="Y684">
        <v>0</v>
      </c>
      <c r="AA684">
        <v>49</v>
      </c>
      <c r="AB684">
        <v>6</v>
      </c>
      <c r="AC684">
        <v>5</v>
      </c>
      <c r="AD684">
        <v>26</v>
      </c>
      <c r="AE684" t="s">
        <v>60</v>
      </c>
    </row>
    <row r="685" spans="1:31" x14ac:dyDescent="0.2">
      <c r="A685">
        <v>655</v>
      </c>
      <c r="B685" t="s">
        <v>1215</v>
      </c>
      <c r="C685">
        <v>32</v>
      </c>
      <c r="D685" t="s">
        <v>328</v>
      </c>
      <c r="E685" t="s">
        <v>349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t="s">
        <v>1740</v>
      </c>
      <c r="W685" t="s">
        <v>1741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t="s">
        <v>60</v>
      </c>
    </row>
    <row r="686" spans="1:31" x14ac:dyDescent="0.2">
      <c r="A686">
        <v>655</v>
      </c>
      <c r="B686" t="s">
        <v>1215</v>
      </c>
      <c r="C686">
        <v>32</v>
      </c>
      <c r="D686" t="s">
        <v>378</v>
      </c>
      <c r="E686" t="s">
        <v>349</v>
      </c>
      <c r="F686">
        <v>6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12</v>
      </c>
      <c r="V686" t="s">
        <v>2809</v>
      </c>
      <c r="W686" t="s">
        <v>1701</v>
      </c>
      <c r="X686">
        <v>0</v>
      </c>
      <c r="Y686">
        <v>0</v>
      </c>
      <c r="AA686">
        <v>11</v>
      </c>
      <c r="AB686">
        <v>2</v>
      </c>
      <c r="AC686">
        <v>0</v>
      </c>
      <c r="AD686">
        <v>8</v>
      </c>
      <c r="AE686" t="s">
        <v>60</v>
      </c>
    </row>
    <row r="687" spans="1:31" x14ac:dyDescent="0.2">
      <c r="A687">
        <v>656</v>
      </c>
      <c r="B687" t="s">
        <v>1326</v>
      </c>
      <c r="C687">
        <v>30</v>
      </c>
      <c r="D687" t="s">
        <v>330</v>
      </c>
      <c r="E687" t="s">
        <v>322</v>
      </c>
      <c r="F687">
        <v>17</v>
      </c>
      <c r="G687">
        <v>1</v>
      </c>
      <c r="H687">
        <v>1</v>
      </c>
      <c r="I687">
        <v>2</v>
      </c>
      <c r="J687">
        <v>2</v>
      </c>
      <c r="K687">
        <v>14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6</v>
      </c>
      <c r="T687">
        <v>16.7</v>
      </c>
      <c r="U687">
        <v>15</v>
      </c>
      <c r="V687" t="s">
        <v>2810</v>
      </c>
      <c r="W687" t="s">
        <v>2149</v>
      </c>
      <c r="X687">
        <v>10</v>
      </c>
      <c r="Y687">
        <v>10</v>
      </c>
      <c r="Z687">
        <v>50</v>
      </c>
      <c r="AA687">
        <v>1</v>
      </c>
      <c r="AB687">
        <v>20</v>
      </c>
      <c r="AC687">
        <v>1</v>
      </c>
      <c r="AD687">
        <v>9</v>
      </c>
      <c r="AE687" t="s">
        <v>60</v>
      </c>
    </row>
    <row r="688" spans="1:31" x14ac:dyDescent="0.2">
      <c r="A688">
        <v>657</v>
      </c>
      <c r="B688" t="s">
        <v>1527</v>
      </c>
      <c r="C688">
        <v>30</v>
      </c>
      <c r="D688" t="s">
        <v>404</v>
      </c>
      <c r="E688" t="s">
        <v>335</v>
      </c>
      <c r="F688">
        <v>19</v>
      </c>
      <c r="G688">
        <v>0</v>
      </c>
      <c r="H688">
        <v>2</v>
      </c>
      <c r="I688">
        <v>2</v>
      </c>
      <c r="J688">
        <v>-1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15</v>
      </c>
      <c r="T688">
        <v>0</v>
      </c>
      <c r="U688">
        <v>24</v>
      </c>
      <c r="V688" t="s">
        <v>1876</v>
      </c>
      <c r="W688" t="s">
        <v>1214</v>
      </c>
      <c r="X688">
        <v>52</v>
      </c>
      <c r="Y688">
        <v>55</v>
      </c>
      <c r="Z688">
        <v>48.6</v>
      </c>
      <c r="AA688">
        <v>13</v>
      </c>
      <c r="AB688">
        <v>28</v>
      </c>
      <c r="AC688">
        <v>2</v>
      </c>
      <c r="AD688">
        <v>4</v>
      </c>
      <c r="AE688" t="s">
        <v>60</v>
      </c>
    </row>
    <row r="689" spans="1:31" x14ac:dyDescent="0.2">
      <c r="A689">
        <v>658</v>
      </c>
      <c r="B689" t="s">
        <v>1218</v>
      </c>
      <c r="C689">
        <v>30</v>
      </c>
      <c r="D689" t="s">
        <v>328</v>
      </c>
      <c r="E689" t="s">
        <v>322</v>
      </c>
      <c r="F689">
        <v>19</v>
      </c>
      <c r="G689">
        <v>2</v>
      </c>
      <c r="H689">
        <v>0</v>
      </c>
      <c r="I689">
        <v>2</v>
      </c>
      <c r="J689">
        <v>-3</v>
      </c>
      <c r="K689">
        <v>2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7</v>
      </c>
      <c r="T689">
        <v>28.6</v>
      </c>
      <c r="U689">
        <v>24</v>
      </c>
      <c r="V689" t="s">
        <v>2049</v>
      </c>
      <c r="W689" t="s">
        <v>2050</v>
      </c>
      <c r="X689">
        <v>64</v>
      </c>
      <c r="Y689">
        <v>48</v>
      </c>
      <c r="Z689">
        <v>57.1</v>
      </c>
      <c r="AA689">
        <v>11</v>
      </c>
      <c r="AB689">
        <v>38</v>
      </c>
      <c r="AC689">
        <v>1</v>
      </c>
      <c r="AD689">
        <v>0</v>
      </c>
      <c r="AE689" t="s">
        <v>60</v>
      </c>
    </row>
    <row r="690" spans="1:31" x14ac:dyDescent="0.2">
      <c r="A690">
        <v>659</v>
      </c>
      <c r="B690" t="s">
        <v>1220</v>
      </c>
      <c r="C690">
        <v>22</v>
      </c>
      <c r="D690" t="s">
        <v>402</v>
      </c>
      <c r="E690" t="s">
        <v>349</v>
      </c>
      <c r="F690">
        <v>8</v>
      </c>
      <c r="G690">
        <v>1</v>
      </c>
      <c r="H690">
        <v>1</v>
      </c>
      <c r="I690">
        <v>2</v>
      </c>
      <c r="J690">
        <v>4</v>
      </c>
      <c r="K690">
        <v>10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10</v>
      </c>
      <c r="U690">
        <v>24</v>
      </c>
      <c r="V690" t="s">
        <v>1221</v>
      </c>
      <c r="W690" t="s">
        <v>782</v>
      </c>
      <c r="X690">
        <v>0</v>
      </c>
      <c r="Y690">
        <v>0</v>
      </c>
      <c r="AA690">
        <v>6</v>
      </c>
      <c r="AB690">
        <v>9</v>
      </c>
      <c r="AC690">
        <v>4</v>
      </c>
      <c r="AD690">
        <v>8</v>
      </c>
      <c r="AE690" t="s">
        <v>60</v>
      </c>
    </row>
    <row r="691" spans="1:31" x14ac:dyDescent="0.2">
      <c r="A691">
        <v>660</v>
      </c>
      <c r="B691" t="s">
        <v>1222</v>
      </c>
      <c r="C691">
        <v>21</v>
      </c>
      <c r="D691" t="s">
        <v>461</v>
      </c>
      <c r="E691" t="s">
        <v>335</v>
      </c>
      <c r="F691">
        <v>8</v>
      </c>
      <c r="G691">
        <v>1</v>
      </c>
      <c r="H691">
        <v>1</v>
      </c>
      <c r="I691">
        <v>2</v>
      </c>
      <c r="J691">
        <v>0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25</v>
      </c>
      <c r="U691">
        <v>13</v>
      </c>
      <c r="V691" t="s">
        <v>1223</v>
      </c>
      <c r="W691" t="s">
        <v>1224</v>
      </c>
      <c r="X691">
        <v>0</v>
      </c>
      <c r="Y691">
        <v>0</v>
      </c>
      <c r="AA691">
        <v>3</v>
      </c>
      <c r="AB691">
        <v>6</v>
      </c>
      <c r="AC691">
        <v>0</v>
      </c>
      <c r="AD691">
        <v>6</v>
      </c>
      <c r="AE691" t="s">
        <v>60</v>
      </c>
    </row>
    <row r="692" spans="1:31" x14ac:dyDescent="0.2">
      <c r="A692">
        <v>661</v>
      </c>
      <c r="B692" t="s">
        <v>1335</v>
      </c>
      <c r="C692">
        <v>26</v>
      </c>
      <c r="D692" t="s">
        <v>426</v>
      </c>
      <c r="E692" t="s">
        <v>335</v>
      </c>
      <c r="F692">
        <v>7</v>
      </c>
      <c r="G692">
        <v>1</v>
      </c>
      <c r="H692">
        <v>1</v>
      </c>
      <c r="I692">
        <v>2</v>
      </c>
      <c r="J692">
        <v>-2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10</v>
      </c>
      <c r="V692" t="s">
        <v>1974</v>
      </c>
      <c r="W692" t="s">
        <v>1528</v>
      </c>
      <c r="X692">
        <v>0</v>
      </c>
      <c r="Y692">
        <v>0</v>
      </c>
      <c r="AA692">
        <v>4</v>
      </c>
      <c r="AB692">
        <v>4</v>
      </c>
      <c r="AC692">
        <v>1</v>
      </c>
      <c r="AD692">
        <v>1</v>
      </c>
      <c r="AE692" t="s">
        <v>60</v>
      </c>
    </row>
    <row r="693" spans="1:31" x14ac:dyDescent="0.2">
      <c r="A693">
        <v>662</v>
      </c>
      <c r="B693" t="s">
        <v>1337</v>
      </c>
      <c r="C693">
        <v>22</v>
      </c>
      <c r="D693" t="s">
        <v>536</v>
      </c>
      <c r="E693" t="s">
        <v>349</v>
      </c>
      <c r="F693">
        <v>26</v>
      </c>
      <c r="G693">
        <v>1</v>
      </c>
      <c r="H693">
        <v>1</v>
      </c>
      <c r="I693">
        <v>2</v>
      </c>
      <c r="J693">
        <v>-17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61</v>
      </c>
      <c r="V693" t="s">
        <v>2577</v>
      </c>
      <c r="W693" t="s">
        <v>666</v>
      </c>
      <c r="X693">
        <v>0</v>
      </c>
      <c r="Y693">
        <v>0</v>
      </c>
      <c r="AA693">
        <v>18</v>
      </c>
      <c r="AB693">
        <v>32</v>
      </c>
      <c r="AC693">
        <v>3</v>
      </c>
      <c r="AD693">
        <v>20</v>
      </c>
      <c r="AE693" t="s">
        <v>60</v>
      </c>
    </row>
    <row r="694" spans="1:31" x14ac:dyDescent="0.2">
      <c r="A694">
        <v>663</v>
      </c>
      <c r="B694" t="s">
        <v>1227</v>
      </c>
      <c r="C694">
        <v>29</v>
      </c>
      <c r="D694" t="s">
        <v>429</v>
      </c>
      <c r="E694" t="s">
        <v>325</v>
      </c>
      <c r="F694">
        <v>22</v>
      </c>
      <c r="G694">
        <v>2</v>
      </c>
      <c r="H694">
        <v>0</v>
      </c>
      <c r="I694">
        <v>2</v>
      </c>
      <c r="J694">
        <v>-2</v>
      </c>
      <c r="K694">
        <v>23</v>
      </c>
      <c r="L694">
        <v>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18</v>
      </c>
      <c r="T694">
        <v>11.1</v>
      </c>
      <c r="U694">
        <v>44</v>
      </c>
      <c r="V694" t="s">
        <v>1806</v>
      </c>
      <c r="W694" t="s">
        <v>1807</v>
      </c>
      <c r="X694">
        <v>1</v>
      </c>
      <c r="Y694">
        <v>1</v>
      </c>
      <c r="Z694">
        <v>50</v>
      </c>
      <c r="AA694">
        <v>9</v>
      </c>
      <c r="AB694">
        <v>68</v>
      </c>
      <c r="AC694">
        <v>2</v>
      </c>
      <c r="AD694">
        <v>7</v>
      </c>
      <c r="AE694" t="s">
        <v>60</v>
      </c>
    </row>
    <row r="695" spans="1:31" x14ac:dyDescent="0.2">
      <c r="A695">
        <v>664</v>
      </c>
      <c r="B695" t="s">
        <v>1228</v>
      </c>
      <c r="C695">
        <v>36</v>
      </c>
      <c r="D695" t="s">
        <v>404</v>
      </c>
      <c r="E695" t="s">
        <v>3</v>
      </c>
      <c r="F695">
        <v>19</v>
      </c>
      <c r="G695">
        <v>0</v>
      </c>
      <c r="H695">
        <v>2</v>
      </c>
      <c r="I695">
        <v>2</v>
      </c>
      <c r="J695">
        <v>0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U695">
        <v>0</v>
      </c>
      <c r="V695" t="s">
        <v>2154</v>
      </c>
      <c r="W695" t="s">
        <v>2155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10</v>
      </c>
      <c r="AE695" t="s">
        <v>60</v>
      </c>
    </row>
    <row r="696" spans="1:31" x14ac:dyDescent="0.2">
      <c r="A696">
        <v>665</v>
      </c>
      <c r="B696" t="s">
        <v>1746</v>
      </c>
      <c r="C696">
        <v>27</v>
      </c>
      <c r="D696" t="s">
        <v>536</v>
      </c>
      <c r="E696" t="s">
        <v>340</v>
      </c>
      <c r="F696">
        <v>3</v>
      </c>
      <c r="G696">
        <v>1</v>
      </c>
      <c r="H696">
        <v>1</v>
      </c>
      <c r="I696">
        <v>2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25</v>
      </c>
      <c r="U696">
        <v>5</v>
      </c>
      <c r="V696" t="s">
        <v>1808</v>
      </c>
      <c r="W696" t="s">
        <v>902</v>
      </c>
      <c r="X696">
        <v>4</v>
      </c>
      <c r="Y696">
        <v>1</v>
      </c>
      <c r="Z696">
        <v>80</v>
      </c>
      <c r="AA696">
        <v>2</v>
      </c>
      <c r="AB696">
        <v>0</v>
      </c>
      <c r="AC696">
        <v>1</v>
      </c>
      <c r="AD696">
        <v>2</v>
      </c>
      <c r="AE696" t="s">
        <v>60</v>
      </c>
    </row>
    <row r="697" spans="1:31" x14ac:dyDescent="0.2">
      <c r="A697">
        <v>666</v>
      </c>
      <c r="B697" t="s">
        <v>1341</v>
      </c>
      <c r="C697">
        <v>35</v>
      </c>
      <c r="D697" t="s">
        <v>344</v>
      </c>
      <c r="E697" t="s">
        <v>349</v>
      </c>
      <c r="F697">
        <v>36</v>
      </c>
      <c r="G697">
        <v>1</v>
      </c>
      <c r="H697">
        <v>1</v>
      </c>
      <c r="I697">
        <v>2</v>
      </c>
      <c r="J697">
        <v>-6</v>
      </c>
      <c r="K697">
        <v>18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29</v>
      </c>
      <c r="T697">
        <v>3.4</v>
      </c>
      <c r="U697">
        <v>100</v>
      </c>
      <c r="V697" t="s">
        <v>2578</v>
      </c>
      <c r="W697" t="s">
        <v>807</v>
      </c>
      <c r="X697">
        <v>0</v>
      </c>
      <c r="Y697">
        <v>0</v>
      </c>
      <c r="AA697">
        <v>92</v>
      </c>
      <c r="AB697">
        <v>63</v>
      </c>
      <c r="AC697">
        <v>12</v>
      </c>
      <c r="AD697">
        <v>29</v>
      </c>
      <c r="AE697" t="s">
        <v>60</v>
      </c>
    </row>
    <row r="698" spans="1:31" x14ac:dyDescent="0.2">
      <c r="A698">
        <v>667</v>
      </c>
      <c r="B698" t="s">
        <v>1349</v>
      </c>
      <c r="C698">
        <v>29</v>
      </c>
      <c r="D698" t="s">
        <v>361</v>
      </c>
      <c r="E698" t="s">
        <v>349</v>
      </c>
      <c r="F698">
        <v>19</v>
      </c>
      <c r="G698">
        <v>0</v>
      </c>
      <c r="H698">
        <v>2</v>
      </c>
      <c r="I698">
        <v>2</v>
      </c>
      <c r="J698">
        <v>-7</v>
      </c>
      <c r="K698">
        <v>12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19</v>
      </c>
      <c r="T698">
        <v>0</v>
      </c>
      <c r="U698">
        <v>45</v>
      </c>
      <c r="V698" t="s">
        <v>2811</v>
      </c>
      <c r="W698" t="s">
        <v>933</v>
      </c>
      <c r="X698">
        <v>0</v>
      </c>
      <c r="Y698">
        <v>0</v>
      </c>
      <c r="AA698">
        <v>23</v>
      </c>
      <c r="AB698">
        <v>33</v>
      </c>
      <c r="AC698">
        <v>2</v>
      </c>
      <c r="AD698">
        <v>13</v>
      </c>
      <c r="AE698" t="s">
        <v>60</v>
      </c>
    </row>
    <row r="699" spans="1:31" x14ac:dyDescent="0.2">
      <c r="A699">
        <v>668</v>
      </c>
      <c r="B699" t="s">
        <v>1350</v>
      </c>
      <c r="C699">
        <v>20</v>
      </c>
      <c r="D699" t="s">
        <v>402</v>
      </c>
      <c r="E699" t="s">
        <v>340</v>
      </c>
      <c r="F699">
        <v>8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1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8</v>
      </c>
      <c r="T699">
        <v>25</v>
      </c>
      <c r="U699">
        <v>22</v>
      </c>
      <c r="V699" t="s">
        <v>2156</v>
      </c>
      <c r="W699" t="s">
        <v>2021</v>
      </c>
      <c r="X699">
        <v>0</v>
      </c>
      <c r="Y699">
        <v>1</v>
      </c>
      <c r="Z699">
        <v>0</v>
      </c>
      <c r="AA699">
        <v>4</v>
      </c>
      <c r="AB699">
        <v>12</v>
      </c>
      <c r="AC699">
        <v>0</v>
      </c>
      <c r="AD699">
        <v>7</v>
      </c>
      <c r="AE699" t="s">
        <v>60</v>
      </c>
    </row>
    <row r="700" spans="1:31" x14ac:dyDescent="0.2">
      <c r="A700">
        <v>669</v>
      </c>
      <c r="B700" t="s">
        <v>1232</v>
      </c>
      <c r="C700">
        <v>26</v>
      </c>
      <c r="D700" t="s">
        <v>324</v>
      </c>
      <c r="E700" t="s">
        <v>325</v>
      </c>
      <c r="F700">
        <v>2</v>
      </c>
      <c r="G700">
        <v>2</v>
      </c>
      <c r="H700">
        <v>0</v>
      </c>
      <c r="I700">
        <v>2</v>
      </c>
      <c r="J700">
        <v>-2</v>
      </c>
      <c r="K700">
        <v>0</v>
      </c>
      <c r="L700">
        <v>0</v>
      </c>
      <c r="M700">
        <v>2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4</v>
      </c>
      <c r="T700">
        <v>50</v>
      </c>
      <c r="U700">
        <v>6</v>
      </c>
      <c r="V700" t="s">
        <v>1233</v>
      </c>
      <c r="W700" t="s">
        <v>1234</v>
      </c>
      <c r="X700">
        <v>1</v>
      </c>
      <c r="Y700">
        <v>1</v>
      </c>
      <c r="Z700">
        <v>50</v>
      </c>
      <c r="AA700">
        <v>0</v>
      </c>
      <c r="AB700">
        <v>3</v>
      </c>
      <c r="AC700">
        <v>0</v>
      </c>
      <c r="AD700">
        <v>0</v>
      </c>
      <c r="AE700" t="s">
        <v>60</v>
      </c>
    </row>
    <row r="701" spans="1:31" x14ac:dyDescent="0.2">
      <c r="A701">
        <v>670</v>
      </c>
      <c r="B701" t="s">
        <v>1236</v>
      </c>
      <c r="C701">
        <v>24</v>
      </c>
      <c r="D701" t="s">
        <v>375</v>
      </c>
      <c r="E701" t="s">
        <v>335</v>
      </c>
      <c r="F701">
        <v>10</v>
      </c>
      <c r="G701">
        <v>2</v>
      </c>
      <c r="H701">
        <v>0</v>
      </c>
      <c r="I701">
        <v>2</v>
      </c>
      <c r="J701">
        <v>0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7</v>
      </c>
      <c r="T701">
        <v>28.6</v>
      </c>
      <c r="U701">
        <v>14</v>
      </c>
      <c r="V701" t="s">
        <v>1237</v>
      </c>
      <c r="W701" t="s">
        <v>1238</v>
      </c>
      <c r="X701">
        <v>27</v>
      </c>
      <c r="Y701">
        <v>38</v>
      </c>
      <c r="Z701">
        <v>41.5</v>
      </c>
      <c r="AA701">
        <v>6</v>
      </c>
      <c r="AB701">
        <v>9</v>
      </c>
      <c r="AC701">
        <v>2</v>
      </c>
      <c r="AD701">
        <v>3</v>
      </c>
      <c r="AE701" t="s">
        <v>60</v>
      </c>
    </row>
    <row r="702" spans="1:31" x14ac:dyDescent="0.2">
      <c r="A702">
        <v>671</v>
      </c>
      <c r="B702" t="s">
        <v>1239</v>
      </c>
      <c r="C702">
        <v>24</v>
      </c>
      <c r="D702" t="s">
        <v>1022</v>
      </c>
      <c r="E702" t="s">
        <v>349</v>
      </c>
      <c r="F702">
        <v>12</v>
      </c>
      <c r="G702">
        <v>0</v>
      </c>
      <c r="H702">
        <v>2</v>
      </c>
      <c r="I702">
        <v>2</v>
      </c>
      <c r="J702">
        <v>0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8</v>
      </c>
      <c r="T702">
        <v>0</v>
      </c>
      <c r="U702">
        <v>24</v>
      </c>
      <c r="V702" t="s">
        <v>1240</v>
      </c>
      <c r="W702" t="s">
        <v>609</v>
      </c>
      <c r="X702">
        <v>0</v>
      </c>
      <c r="Y702">
        <v>0</v>
      </c>
      <c r="AA702">
        <v>11</v>
      </c>
      <c r="AB702">
        <v>18</v>
      </c>
      <c r="AC702">
        <v>2</v>
      </c>
      <c r="AD702">
        <v>11</v>
      </c>
      <c r="AE702" t="s">
        <v>60</v>
      </c>
    </row>
    <row r="703" spans="1:31" x14ac:dyDescent="0.2">
      <c r="A703">
        <v>671</v>
      </c>
      <c r="B703" t="s">
        <v>1239</v>
      </c>
      <c r="C703">
        <v>24</v>
      </c>
      <c r="D703" t="s">
        <v>426</v>
      </c>
      <c r="E703" t="s">
        <v>349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5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0</v>
      </c>
      <c r="U703">
        <v>5</v>
      </c>
      <c r="V703" t="s">
        <v>1241</v>
      </c>
      <c r="W703" t="s">
        <v>1242</v>
      </c>
      <c r="X703">
        <v>0</v>
      </c>
      <c r="Y703">
        <v>0</v>
      </c>
      <c r="AA703">
        <v>0</v>
      </c>
      <c r="AB703">
        <v>1</v>
      </c>
      <c r="AC703">
        <v>0</v>
      </c>
      <c r="AD703">
        <v>1</v>
      </c>
      <c r="AE703" t="s">
        <v>60</v>
      </c>
    </row>
    <row r="704" spans="1:31" x14ac:dyDescent="0.2">
      <c r="A704">
        <v>671</v>
      </c>
      <c r="B704" t="s">
        <v>1239</v>
      </c>
      <c r="C704">
        <v>24</v>
      </c>
      <c r="D704" t="s">
        <v>375</v>
      </c>
      <c r="E704" t="s">
        <v>349</v>
      </c>
      <c r="F704">
        <v>10</v>
      </c>
      <c r="G704">
        <v>0</v>
      </c>
      <c r="H704">
        <v>2</v>
      </c>
      <c r="I704">
        <v>2</v>
      </c>
      <c r="J704">
        <v>1</v>
      </c>
      <c r="K704">
        <v>9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0</v>
      </c>
      <c r="U704">
        <v>19</v>
      </c>
      <c r="V704" t="s">
        <v>1243</v>
      </c>
      <c r="W704" t="s">
        <v>749</v>
      </c>
      <c r="X704">
        <v>0</v>
      </c>
      <c r="Y704">
        <v>0</v>
      </c>
      <c r="AA704">
        <v>11</v>
      </c>
      <c r="AB704">
        <v>17</v>
      </c>
      <c r="AC704">
        <v>2</v>
      </c>
      <c r="AD704">
        <v>10</v>
      </c>
      <c r="AE704" t="s">
        <v>60</v>
      </c>
    </row>
    <row r="705" spans="1:31" x14ac:dyDescent="0.2">
      <c r="A705">
        <v>672</v>
      </c>
      <c r="B705" t="s">
        <v>1244</v>
      </c>
      <c r="C705">
        <v>28</v>
      </c>
      <c r="D705" t="s">
        <v>404</v>
      </c>
      <c r="E705" t="s">
        <v>349</v>
      </c>
      <c r="F705">
        <v>38</v>
      </c>
      <c r="G705">
        <v>0</v>
      </c>
      <c r="H705">
        <v>2</v>
      </c>
      <c r="I705">
        <v>2</v>
      </c>
      <c r="J705">
        <v>-6</v>
      </c>
      <c r="K705">
        <v>29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34</v>
      </c>
      <c r="T705">
        <v>0</v>
      </c>
      <c r="U705">
        <v>79</v>
      </c>
      <c r="V705" t="s">
        <v>2579</v>
      </c>
      <c r="W705" t="s">
        <v>927</v>
      </c>
      <c r="X705">
        <v>0</v>
      </c>
      <c r="Y705">
        <v>0</v>
      </c>
      <c r="AA705">
        <v>67</v>
      </c>
      <c r="AB705">
        <v>54</v>
      </c>
      <c r="AC705">
        <v>14</v>
      </c>
      <c r="AD705">
        <v>51</v>
      </c>
      <c r="AE705" t="s">
        <v>60</v>
      </c>
    </row>
    <row r="706" spans="1:31" x14ac:dyDescent="0.2">
      <c r="A706">
        <v>673</v>
      </c>
      <c r="B706" t="s">
        <v>1370</v>
      </c>
      <c r="C706">
        <v>24</v>
      </c>
      <c r="D706" t="s">
        <v>378</v>
      </c>
      <c r="E706" t="s">
        <v>3</v>
      </c>
      <c r="F706">
        <v>17</v>
      </c>
      <c r="G706">
        <v>0</v>
      </c>
      <c r="H706">
        <v>2</v>
      </c>
      <c r="I706">
        <v>2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1</v>
      </c>
      <c r="R706">
        <v>0</v>
      </c>
      <c r="S706">
        <v>0</v>
      </c>
      <c r="U706">
        <v>0</v>
      </c>
      <c r="V706" t="s">
        <v>2812</v>
      </c>
      <c r="W706" t="s">
        <v>2168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8</v>
      </c>
      <c r="AE706" t="s">
        <v>60</v>
      </c>
    </row>
    <row r="707" spans="1:31" x14ac:dyDescent="0.2">
      <c r="A707">
        <v>674</v>
      </c>
      <c r="B707" t="s">
        <v>1373</v>
      </c>
      <c r="C707">
        <v>23</v>
      </c>
      <c r="D707" t="s">
        <v>330</v>
      </c>
      <c r="E707" t="s">
        <v>340</v>
      </c>
      <c r="F707">
        <v>12</v>
      </c>
      <c r="G707">
        <v>1</v>
      </c>
      <c r="H707">
        <v>1</v>
      </c>
      <c r="I707">
        <v>2</v>
      </c>
      <c r="J707">
        <v>3</v>
      </c>
      <c r="K707">
        <v>12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11</v>
      </c>
      <c r="T707">
        <v>9.1</v>
      </c>
      <c r="U707">
        <v>24</v>
      </c>
      <c r="V707" t="s">
        <v>2813</v>
      </c>
      <c r="W707" t="s">
        <v>2814</v>
      </c>
      <c r="X707">
        <v>0</v>
      </c>
      <c r="Y707">
        <v>0</v>
      </c>
      <c r="AA707">
        <v>4</v>
      </c>
      <c r="AB707">
        <v>22</v>
      </c>
      <c r="AC707">
        <v>1</v>
      </c>
      <c r="AD707">
        <v>5</v>
      </c>
      <c r="AE707" t="s">
        <v>60</v>
      </c>
    </row>
    <row r="708" spans="1:31" x14ac:dyDescent="0.2">
      <c r="A708">
        <v>675</v>
      </c>
      <c r="B708" t="s">
        <v>1246</v>
      </c>
      <c r="C708">
        <v>36</v>
      </c>
      <c r="D708" t="s">
        <v>384</v>
      </c>
      <c r="E708" t="s">
        <v>349</v>
      </c>
      <c r="F708">
        <v>14</v>
      </c>
      <c r="G708">
        <v>0</v>
      </c>
      <c r="H708">
        <v>2</v>
      </c>
      <c r="I708">
        <v>2</v>
      </c>
      <c r="J708">
        <v>-1</v>
      </c>
      <c r="K708">
        <v>11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10</v>
      </c>
      <c r="T708">
        <v>0</v>
      </c>
      <c r="U708">
        <v>21</v>
      </c>
      <c r="V708" t="s">
        <v>2815</v>
      </c>
      <c r="W708" t="s">
        <v>1707</v>
      </c>
      <c r="X708">
        <v>0</v>
      </c>
      <c r="Y708">
        <v>0</v>
      </c>
      <c r="AA708">
        <v>9</v>
      </c>
      <c r="AB708">
        <v>12</v>
      </c>
      <c r="AC708">
        <v>5</v>
      </c>
      <c r="AD708">
        <v>14</v>
      </c>
      <c r="AE708" t="s">
        <v>60</v>
      </c>
    </row>
    <row r="709" spans="1:31" x14ac:dyDescent="0.2">
      <c r="A709">
        <v>676</v>
      </c>
      <c r="B709" t="s">
        <v>1837</v>
      </c>
      <c r="C709">
        <v>26</v>
      </c>
      <c r="D709" t="s">
        <v>378</v>
      </c>
      <c r="E709" t="s">
        <v>349</v>
      </c>
      <c r="F709">
        <v>5</v>
      </c>
      <c r="G709">
        <v>0</v>
      </c>
      <c r="H709">
        <v>2</v>
      </c>
      <c r="I709">
        <v>2</v>
      </c>
      <c r="J709">
        <v>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9</v>
      </c>
      <c r="T709">
        <v>0</v>
      </c>
      <c r="U709">
        <v>15</v>
      </c>
      <c r="V709" t="s">
        <v>2816</v>
      </c>
      <c r="W709" t="s">
        <v>1013</v>
      </c>
      <c r="X709">
        <v>0</v>
      </c>
      <c r="Y709">
        <v>0</v>
      </c>
      <c r="AA709">
        <v>7</v>
      </c>
      <c r="AB709">
        <v>18</v>
      </c>
      <c r="AC709">
        <v>0</v>
      </c>
      <c r="AD709">
        <v>2</v>
      </c>
      <c r="AE709" t="s">
        <v>60</v>
      </c>
    </row>
    <row r="710" spans="1:31" x14ac:dyDescent="0.2">
      <c r="A710">
        <v>677</v>
      </c>
      <c r="B710" t="s">
        <v>1248</v>
      </c>
      <c r="C710">
        <v>36</v>
      </c>
      <c r="D710" t="s">
        <v>361</v>
      </c>
      <c r="E710" t="s">
        <v>349</v>
      </c>
      <c r="F710">
        <v>11</v>
      </c>
      <c r="G710">
        <v>0</v>
      </c>
      <c r="H710">
        <v>2</v>
      </c>
      <c r="I710">
        <v>2</v>
      </c>
      <c r="J710">
        <v>8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8</v>
      </c>
      <c r="T710">
        <v>0</v>
      </c>
      <c r="U710">
        <v>18</v>
      </c>
      <c r="V710" t="s">
        <v>2817</v>
      </c>
      <c r="W710" t="s">
        <v>2018</v>
      </c>
      <c r="X710">
        <v>0</v>
      </c>
      <c r="Y710">
        <v>0</v>
      </c>
      <c r="AA710">
        <v>15</v>
      </c>
      <c r="AB710">
        <v>2</v>
      </c>
      <c r="AC710">
        <v>5</v>
      </c>
      <c r="AD710">
        <v>8</v>
      </c>
      <c r="AE710" t="s">
        <v>60</v>
      </c>
    </row>
    <row r="711" spans="1:31" x14ac:dyDescent="0.2">
      <c r="A711">
        <v>678</v>
      </c>
      <c r="B711" t="s">
        <v>1249</v>
      </c>
      <c r="C711">
        <v>26</v>
      </c>
      <c r="D711" t="s">
        <v>536</v>
      </c>
      <c r="E711" t="s">
        <v>335</v>
      </c>
      <c r="F711">
        <v>23</v>
      </c>
      <c r="G711">
        <v>1</v>
      </c>
      <c r="H711">
        <v>1</v>
      </c>
      <c r="I711">
        <v>2</v>
      </c>
      <c r="J711">
        <v>-7</v>
      </c>
      <c r="K711">
        <v>17</v>
      </c>
      <c r="L711">
        <v>0</v>
      </c>
      <c r="M711">
        <v>0</v>
      </c>
      <c r="N711">
        <v>1</v>
      </c>
      <c r="O711">
        <v>0</v>
      </c>
      <c r="P711">
        <v>1</v>
      </c>
      <c r="Q711">
        <v>0</v>
      </c>
      <c r="R711">
        <v>0</v>
      </c>
      <c r="S711">
        <v>21</v>
      </c>
      <c r="T711">
        <v>4.8</v>
      </c>
      <c r="U711">
        <v>38</v>
      </c>
      <c r="V711" t="s">
        <v>2580</v>
      </c>
      <c r="W711" t="s">
        <v>1346</v>
      </c>
      <c r="X711">
        <v>1</v>
      </c>
      <c r="Y711">
        <v>1</v>
      </c>
      <c r="Z711">
        <v>50</v>
      </c>
      <c r="AA711">
        <v>22</v>
      </c>
      <c r="AB711">
        <v>47</v>
      </c>
      <c r="AC711">
        <v>2</v>
      </c>
      <c r="AD711">
        <v>14</v>
      </c>
      <c r="AE711" t="s">
        <v>60</v>
      </c>
    </row>
    <row r="712" spans="1:31" x14ac:dyDescent="0.2">
      <c r="A712">
        <v>679</v>
      </c>
      <c r="B712" t="s">
        <v>1251</v>
      </c>
      <c r="C712">
        <v>24</v>
      </c>
      <c r="D712" t="s">
        <v>387</v>
      </c>
      <c r="E712" t="s">
        <v>349</v>
      </c>
      <c r="F712">
        <v>6</v>
      </c>
      <c r="G712">
        <v>0</v>
      </c>
      <c r="H712">
        <v>2</v>
      </c>
      <c r="I712">
        <v>2</v>
      </c>
      <c r="J712">
        <v>1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7</v>
      </c>
      <c r="T712">
        <v>0</v>
      </c>
      <c r="U712">
        <v>15</v>
      </c>
      <c r="V712" t="s">
        <v>2818</v>
      </c>
      <c r="W712" t="s">
        <v>1174</v>
      </c>
      <c r="X712">
        <v>0</v>
      </c>
      <c r="Y712">
        <v>0</v>
      </c>
      <c r="AA712">
        <v>3</v>
      </c>
      <c r="AB712">
        <v>5</v>
      </c>
      <c r="AC712">
        <v>1</v>
      </c>
      <c r="AD712">
        <v>3</v>
      </c>
      <c r="AE712" t="s">
        <v>60</v>
      </c>
    </row>
    <row r="713" spans="1:31" x14ac:dyDescent="0.2">
      <c r="A713">
        <v>680</v>
      </c>
      <c r="B713" t="s">
        <v>1389</v>
      </c>
      <c r="C713">
        <v>25</v>
      </c>
      <c r="D713" t="s">
        <v>365</v>
      </c>
      <c r="E713" t="s">
        <v>349</v>
      </c>
      <c r="F713">
        <v>34</v>
      </c>
      <c r="G713">
        <v>1</v>
      </c>
      <c r="H713">
        <v>1</v>
      </c>
      <c r="I713">
        <v>2</v>
      </c>
      <c r="J713">
        <v>-7</v>
      </c>
      <c r="K713">
        <v>69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26</v>
      </c>
      <c r="T713">
        <v>3.8</v>
      </c>
      <c r="U713">
        <v>74</v>
      </c>
      <c r="V713" t="s">
        <v>2819</v>
      </c>
      <c r="W713" t="s">
        <v>2480</v>
      </c>
      <c r="X713">
        <v>0</v>
      </c>
      <c r="Y713">
        <v>0</v>
      </c>
      <c r="AA713">
        <v>26</v>
      </c>
      <c r="AB713">
        <v>76</v>
      </c>
      <c r="AC713">
        <v>2</v>
      </c>
      <c r="AD713">
        <v>21</v>
      </c>
      <c r="AE713" t="s">
        <v>60</v>
      </c>
    </row>
    <row r="714" spans="1:31" x14ac:dyDescent="0.2">
      <c r="A714">
        <v>681</v>
      </c>
      <c r="B714" t="s">
        <v>1257</v>
      </c>
      <c r="C714">
        <v>28</v>
      </c>
      <c r="D714" t="s">
        <v>321</v>
      </c>
      <c r="E714" t="s">
        <v>349</v>
      </c>
      <c r="F714">
        <v>6</v>
      </c>
      <c r="G714">
        <v>0</v>
      </c>
      <c r="H714">
        <v>1</v>
      </c>
      <c r="I714">
        <v>1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8</v>
      </c>
      <c r="V714" t="s">
        <v>1258</v>
      </c>
      <c r="W714" t="s">
        <v>898</v>
      </c>
      <c r="X714">
        <v>0</v>
      </c>
      <c r="Y714">
        <v>0</v>
      </c>
      <c r="AA714">
        <v>4</v>
      </c>
      <c r="AB714">
        <v>5</v>
      </c>
      <c r="AC714">
        <v>0</v>
      </c>
      <c r="AD714">
        <v>2</v>
      </c>
      <c r="AE714" t="s">
        <v>60</v>
      </c>
    </row>
    <row r="715" spans="1:31" x14ac:dyDescent="0.2">
      <c r="A715">
        <v>682</v>
      </c>
      <c r="B715" t="s">
        <v>1259</v>
      </c>
      <c r="C715">
        <v>26</v>
      </c>
      <c r="D715" t="s">
        <v>356</v>
      </c>
      <c r="E715" t="s">
        <v>349</v>
      </c>
      <c r="F715">
        <v>19</v>
      </c>
      <c r="G715">
        <v>1</v>
      </c>
      <c r="H715">
        <v>0</v>
      </c>
      <c r="I715">
        <v>1</v>
      </c>
      <c r="J715">
        <v>8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t="s">
        <v>1515</v>
      </c>
      <c r="W715" t="s">
        <v>1719</v>
      </c>
      <c r="X715">
        <v>0</v>
      </c>
      <c r="Y715">
        <v>0</v>
      </c>
      <c r="AA715">
        <v>28</v>
      </c>
      <c r="AB715">
        <v>32</v>
      </c>
      <c r="AC715">
        <v>3</v>
      </c>
      <c r="AD715">
        <v>20</v>
      </c>
      <c r="AE715" t="s">
        <v>60</v>
      </c>
    </row>
    <row r="716" spans="1:31" x14ac:dyDescent="0.2">
      <c r="A716">
        <v>683</v>
      </c>
      <c r="B716" t="s">
        <v>1787</v>
      </c>
      <c r="C716">
        <v>29</v>
      </c>
      <c r="D716" t="s">
        <v>359</v>
      </c>
      <c r="E716" t="s">
        <v>335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6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0</v>
      </c>
      <c r="U716">
        <v>10</v>
      </c>
      <c r="V716" t="s">
        <v>1854</v>
      </c>
      <c r="W716" t="s">
        <v>1252</v>
      </c>
      <c r="X716">
        <v>0</v>
      </c>
      <c r="Y716">
        <v>5</v>
      </c>
      <c r="Z716">
        <v>0</v>
      </c>
      <c r="AA716">
        <v>4</v>
      </c>
      <c r="AB716">
        <v>4</v>
      </c>
      <c r="AC716">
        <v>1</v>
      </c>
      <c r="AD716">
        <v>1</v>
      </c>
      <c r="AE716" t="s">
        <v>60</v>
      </c>
    </row>
    <row r="717" spans="1:31" x14ac:dyDescent="0.2">
      <c r="A717">
        <v>684</v>
      </c>
      <c r="B717" t="s">
        <v>1405</v>
      </c>
      <c r="C717">
        <v>21</v>
      </c>
      <c r="D717" t="s">
        <v>365</v>
      </c>
      <c r="E717" t="s">
        <v>322</v>
      </c>
      <c r="F717">
        <v>9</v>
      </c>
      <c r="G717">
        <v>1</v>
      </c>
      <c r="H717">
        <v>0</v>
      </c>
      <c r="I717">
        <v>1</v>
      </c>
      <c r="J717">
        <v>4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15</v>
      </c>
      <c r="V717" t="s">
        <v>2053</v>
      </c>
      <c r="W717" t="s">
        <v>1140</v>
      </c>
      <c r="X717">
        <v>34</v>
      </c>
      <c r="Y717">
        <v>21</v>
      </c>
      <c r="Z717">
        <v>61.8</v>
      </c>
      <c r="AA717">
        <v>6</v>
      </c>
      <c r="AB717">
        <v>18</v>
      </c>
      <c r="AC717">
        <v>0</v>
      </c>
      <c r="AD717">
        <v>5</v>
      </c>
      <c r="AE717" t="s">
        <v>60</v>
      </c>
    </row>
    <row r="718" spans="1:31" x14ac:dyDescent="0.2">
      <c r="A718">
        <v>685</v>
      </c>
      <c r="B718" t="s">
        <v>1260</v>
      </c>
      <c r="C718">
        <v>25</v>
      </c>
      <c r="D718" t="s">
        <v>373</v>
      </c>
      <c r="E718" t="s">
        <v>349</v>
      </c>
      <c r="F718">
        <v>24</v>
      </c>
      <c r="G718">
        <v>0</v>
      </c>
      <c r="H718">
        <v>1</v>
      </c>
      <c r="I718">
        <v>1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22</v>
      </c>
      <c r="T718">
        <v>0</v>
      </c>
      <c r="U718">
        <v>45</v>
      </c>
      <c r="V718" t="s">
        <v>2820</v>
      </c>
      <c r="W718" t="s">
        <v>1001</v>
      </c>
      <c r="X718">
        <v>0</v>
      </c>
      <c r="Y718">
        <v>0</v>
      </c>
      <c r="AA718">
        <v>35</v>
      </c>
      <c r="AB718">
        <v>31</v>
      </c>
      <c r="AC718">
        <v>6</v>
      </c>
      <c r="AD718">
        <v>22</v>
      </c>
      <c r="AE718" t="s">
        <v>60</v>
      </c>
    </row>
    <row r="719" spans="1:31" x14ac:dyDescent="0.2">
      <c r="A719">
        <v>686</v>
      </c>
      <c r="B719" t="s">
        <v>1261</v>
      </c>
      <c r="C719">
        <v>32</v>
      </c>
      <c r="D719" t="s">
        <v>536</v>
      </c>
      <c r="E719" t="s">
        <v>3</v>
      </c>
      <c r="F719">
        <v>23</v>
      </c>
      <c r="G719">
        <v>0</v>
      </c>
      <c r="H719">
        <v>1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t="s">
        <v>2092</v>
      </c>
      <c r="W719" t="s">
        <v>2093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t="s">
        <v>60</v>
      </c>
    </row>
    <row r="720" spans="1:31" x14ac:dyDescent="0.2">
      <c r="A720">
        <v>687</v>
      </c>
      <c r="B720" t="s">
        <v>1262</v>
      </c>
      <c r="C720">
        <v>31</v>
      </c>
      <c r="D720" t="s">
        <v>461</v>
      </c>
      <c r="E720" t="s">
        <v>322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2</v>
      </c>
      <c r="V720" t="s">
        <v>1263</v>
      </c>
      <c r="W720" t="s">
        <v>737</v>
      </c>
      <c r="X720">
        <v>9</v>
      </c>
      <c r="Y720">
        <v>17</v>
      </c>
      <c r="Z720">
        <v>34.6</v>
      </c>
      <c r="AA720">
        <v>3</v>
      </c>
      <c r="AB720">
        <v>3</v>
      </c>
      <c r="AC720">
        <v>0</v>
      </c>
      <c r="AD720">
        <v>1</v>
      </c>
      <c r="AE720" t="s">
        <v>60</v>
      </c>
    </row>
    <row r="721" spans="1:31" x14ac:dyDescent="0.2">
      <c r="A721">
        <v>688</v>
      </c>
      <c r="B721" t="s">
        <v>1264</v>
      </c>
      <c r="C721">
        <v>37</v>
      </c>
      <c r="D721" t="s">
        <v>375</v>
      </c>
      <c r="E721" t="s">
        <v>3</v>
      </c>
      <c r="F721">
        <v>26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t="s">
        <v>2581</v>
      </c>
      <c r="W721" t="s">
        <v>2002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t="s">
        <v>60</v>
      </c>
    </row>
    <row r="722" spans="1:31" x14ac:dyDescent="0.2">
      <c r="A722">
        <v>689</v>
      </c>
      <c r="B722" t="s">
        <v>1266</v>
      </c>
      <c r="C722">
        <v>25</v>
      </c>
      <c r="D722" t="s">
        <v>387</v>
      </c>
      <c r="E722" t="s">
        <v>349</v>
      </c>
      <c r="F722">
        <v>12</v>
      </c>
      <c r="G722">
        <v>0</v>
      </c>
      <c r="H722">
        <v>1</v>
      </c>
      <c r="I722">
        <v>1</v>
      </c>
      <c r="J722">
        <v>-1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0</v>
      </c>
      <c r="U722">
        <v>18</v>
      </c>
      <c r="V722" t="s">
        <v>1877</v>
      </c>
      <c r="W722" t="s">
        <v>1878</v>
      </c>
      <c r="X722">
        <v>0</v>
      </c>
      <c r="Y722">
        <v>0</v>
      </c>
      <c r="AA722">
        <v>12</v>
      </c>
      <c r="AB722">
        <v>4</v>
      </c>
      <c r="AC722">
        <v>1</v>
      </c>
      <c r="AD722">
        <v>7</v>
      </c>
      <c r="AE722" t="s">
        <v>60</v>
      </c>
    </row>
    <row r="723" spans="1:31" x14ac:dyDescent="0.2">
      <c r="A723">
        <v>690</v>
      </c>
      <c r="B723" t="s">
        <v>1267</v>
      </c>
      <c r="C723">
        <v>20</v>
      </c>
      <c r="D723" t="s">
        <v>373</v>
      </c>
      <c r="E723" t="s">
        <v>325</v>
      </c>
      <c r="F723">
        <v>9</v>
      </c>
      <c r="G723">
        <v>0</v>
      </c>
      <c r="H723">
        <v>1</v>
      </c>
      <c r="I723">
        <v>1</v>
      </c>
      <c r="J723">
        <v>-5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0</v>
      </c>
      <c r="U723">
        <v>35</v>
      </c>
      <c r="V723" t="s">
        <v>1268</v>
      </c>
      <c r="W723" t="s">
        <v>1037</v>
      </c>
      <c r="X723">
        <v>0</v>
      </c>
      <c r="Y723">
        <v>0</v>
      </c>
      <c r="AA723">
        <v>3</v>
      </c>
      <c r="AB723">
        <v>28</v>
      </c>
      <c r="AC723">
        <v>2</v>
      </c>
      <c r="AD723">
        <v>10</v>
      </c>
      <c r="AE723" t="s">
        <v>60</v>
      </c>
    </row>
    <row r="724" spans="1:31" x14ac:dyDescent="0.2">
      <c r="A724">
        <v>691</v>
      </c>
      <c r="B724" t="s">
        <v>1269</v>
      </c>
      <c r="C724">
        <v>19</v>
      </c>
      <c r="D724" t="s">
        <v>378</v>
      </c>
      <c r="E724" t="s">
        <v>349</v>
      </c>
      <c r="F724">
        <v>9</v>
      </c>
      <c r="G724">
        <v>1</v>
      </c>
      <c r="H724">
        <v>0</v>
      </c>
      <c r="I724">
        <v>1</v>
      </c>
      <c r="J724">
        <v>-4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12.5</v>
      </c>
      <c r="U724">
        <v>22</v>
      </c>
      <c r="V724" t="s">
        <v>1016</v>
      </c>
      <c r="W724" t="s">
        <v>1270</v>
      </c>
      <c r="X724">
        <v>0</v>
      </c>
      <c r="Y724">
        <v>0</v>
      </c>
      <c r="AA724">
        <v>13</v>
      </c>
      <c r="AB724">
        <v>4</v>
      </c>
      <c r="AC724">
        <v>1</v>
      </c>
      <c r="AD724">
        <v>14</v>
      </c>
      <c r="AE724" t="s">
        <v>60</v>
      </c>
    </row>
    <row r="725" spans="1:31" x14ac:dyDescent="0.2">
      <c r="A725">
        <v>692</v>
      </c>
      <c r="B725" t="s">
        <v>1271</v>
      </c>
      <c r="C725">
        <v>27</v>
      </c>
      <c r="D725" t="s">
        <v>402</v>
      </c>
      <c r="E725" t="s">
        <v>3</v>
      </c>
      <c r="F725">
        <v>14</v>
      </c>
      <c r="G725">
        <v>0</v>
      </c>
      <c r="H725">
        <v>1</v>
      </c>
      <c r="I725">
        <v>1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t="s">
        <v>2582</v>
      </c>
      <c r="W725" t="s">
        <v>2069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10</v>
      </c>
      <c r="AE725" t="s">
        <v>60</v>
      </c>
    </row>
    <row r="726" spans="1:31" x14ac:dyDescent="0.2">
      <c r="A726">
        <v>693</v>
      </c>
      <c r="B726" t="s">
        <v>1272</v>
      </c>
      <c r="C726">
        <v>23</v>
      </c>
      <c r="D726" t="s">
        <v>324</v>
      </c>
      <c r="E726" t="s">
        <v>335</v>
      </c>
      <c r="F726">
        <v>7</v>
      </c>
      <c r="G726">
        <v>1</v>
      </c>
      <c r="H726">
        <v>0</v>
      </c>
      <c r="I726">
        <v>1</v>
      </c>
      <c r="J726">
        <v>-3</v>
      </c>
      <c r="K726">
        <v>2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19</v>
      </c>
      <c r="V726" t="s">
        <v>2158</v>
      </c>
      <c r="W726" t="s">
        <v>2159</v>
      </c>
      <c r="X726">
        <v>0</v>
      </c>
      <c r="Y726">
        <v>0</v>
      </c>
      <c r="AA726">
        <v>1</v>
      </c>
      <c r="AB726">
        <v>9</v>
      </c>
      <c r="AC726">
        <v>3</v>
      </c>
      <c r="AD726">
        <v>5</v>
      </c>
      <c r="AE726" t="s">
        <v>60</v>
      </c>
    </row>
    <row r="727" spans="1:31" x14ac:dyDescent="0.2">
      <c r="A727">
        <v>694</v>
      </c>
      <c r="B727" t="s">
        <v>1275</v>
      </c>
      <c r="C727">
        <v>27</v>
      </c>
      <c r="D727" t="s">
        <v>404</v>
      </c>
      <c r="E727" t="s">
        <v>349</v>
      </c>
      <c r="F727">
        <v>15</v>
      </c>
      <c r="G727">
        <v>0</v>
      </c>
      <c r="H727">
        <v>1</v>
      </c>
      <c r="I727">
        <v>1</v>
      </c>
      <c r="J727">
        <v>-5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0</v>
      </c>
      <c r="U727">
        <v>22</v>
      </c>
      <c r="V727" t="s">
        <v>1800</v>
      </c>
      <c r="W727" t="s">
        <v>800</v>
      </c>
      <c r="X727">
        <v>0</v>
      </c>
      <c r="Y727">
        <v>0</v>
      </c>
      <c r="AA727">
        <v>15</v>
      </c>
      <c r="AB727">
        <v>3</v>
      </c>
      <c r="AC727">
        <v>4</v>
      </c>
      <c r="AD727">
        <v>15</v>
      </c>
      <c r="AE727" t="s">
        <v>60</v>
      </c>
    </row>
    <row r="728" spans="1:31" x14ac:dyDescent="0.2">
      <c r="A728">
        <v>695</v>
      </c>
      <c r="B728" t="s">
        <v>1276</v>
      </c>
      <c r="C728">
        <v>26</v>
      </c>
      <c r="D728" t="s">
        <v>384</v>
      </c>
      <c r="E728" t="s">
        <v>349</v>
      </c>
      <c r="F728">
        <v>21</v>
      </c>
      <c r="G728">
        <v>0</v>
      </c>
      <c r="H728">
        <v>1</v>
      </c>
      <c r="I728">
        <v>1</v>
      </c>
      <c r="J728">
        <v>-9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16</v>
      </c>
      <c r="T728">
        <v>0</v>
      </c>
      <c r="U728">
        <v>47</v>
      </c>
      <c r="V728" t="s">
        <v>2821</v>
      </c>
      <c r="W728" t="s">
        <v>1214</v>
      </c>
      <c r="X728">
        <v>0</v>
      </c>
      <c r="Y728">
        <v>0</v>
      </c>
      <c r="AA728">
        <v>7</v>
      </c>
      <c r="AB728">
        <v>16</v>
      </c>
      <c r="AC728">
        <v>0</v>
      </c>
      <c r="AD728">
        <v>7</v>
      </c>
      <c r="AE728" t="s">
        <v>60</v>
      </c>
    </row>
    <row r="729" spans="1:31" x14ac:dyDescent="0.2">
      <c r="A729">
        <v>696</v>
      </c>
      <c r="B729" t="s">
        <v>1277</v>
      </c>
      <c r="C729">
        <v>20</v>
      </c>
      <c r="D729" t="s">
        <v>328</v>
      </c>
      <c r="E729" t="s">
        <v>325</v>
      </c>
      <c r="F729">
        <v>5</v>
      </c>
      <c r="G729">
        <v>1</v>
      </c>
      <c r="H729">
        <v>0</v>
      </c>
      <c r="I729">
        <v>1</v>
      </c>
      <c r="J729">
        <v>1</v>
      </c>
      <c r="K729">
        <v>13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3</v>
      </c>
      <c r="T729">
        <v>33.299999999999997</v>
      </c>
      <c r="U729">
        <v>7</v>
      </c>
      <c r="V729" t="s">
        <v>1278</v>
      </c>
      <c r="W729" t="s">
        <v>1279</v>
      </c>
      <c r="X729">
        <v>0</v>
      </c>
      <c r="Y729">
        <v>0</v>
      </c>
      <c r="AA729">
        <v>3</v>
      </c>
      <c r="AB729">
        <v>17</v>
      </c>
      <c r="AC729">
        <v>0</v>
      </c>
      <c r="AD729">
        <v>4</v>
      </c>
      <c r="AE729" t="s">
        <v>60</v>
      </c>
    </row>
    <row r="730" spans="1:31" x14ac:dyDescent="0.2">
      <c r="A730">
        <v>697</v>
      </c>
      <c r="B730" t="s">
        <v>1280</v>
      </c>
      <c r="C730">
        <v>24</v>
      </c>
      <c r="D730" t="s">
        <v>337</v>
      </c>
      <c r="E730" t="s">
        <v>335</v>
      </c>
      <c r="F730">
        <v>7</v>
      </c>
      <c r="G730">
        <v>1</v>
      </c>
      <c r="H730">
        <v>0</v>
      </c>
      <c r="I730">
        <v>1</v>
      </c>
      <c r="J730">
        <v>-3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11</v>
      </c>
      <c r="V730" t="s">
        <v>1281</v>
      </c>
      <c r="W730" t="s">
        <v>868</v>
      </c>
      <c r="X730">
        <v>1</v>
      </c>
      <c r="Y730">
        <v>1</v>
      </c>
      <c r="Z730">
        <v>50</v>
      </c>
      <c r="AA730">
        <v>1</v>
      </c>
      <c r="AB730">
        <v>9</v>
      </c>
      <c r="AC730">
        <v>0</v>
      </c>
      <c r="AD730">
        <v>6</v>
      </c>
      <c r="AE730" t="s">
        <v>60</v>
      </c>
    </row>
    <row r="731" spans="1:31" x14ac:dyDescent="0.2">
      <c r="A731">
        <v>698</v>
      </c>
      <c r="B731" t="s">
        <v>1427</v>
      </c>
      <c r="C731">
        <v>26</v>
      </c>
      <c r="D731" t="s">
        <v>404</v>
      </c>
      <c r="E731" t="s">
        <v>340</v>
      </c>
      <c r="F731">
        <v>8</v>
      </c>
      <c r="G731">
        <v>1</v>
      </c>
      <c r="H731">
        <v>0</v>
      </c>
      <c r="I731">
        <v>1</v>
      </c>
      <c r="J731">
        <v>1</v>
      </c>
      <c r="K731">
        <v>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4</v>
      </c>
      <c r="T731">
        <v>25</v>
      </c>
      <c r="U731">
        <v>9</v>
      </c>
      <c r="V731" t="s">
        <v>1879</v>
      </c>
      <c r="W731" t="s">
        <v>1880</v>
      </c>
      <c r="X731">
        <v>1</v>
      </c>
      <c r="Y731">
        <v>2</v>
      </c>
      <c r="Z731">
        <v>33.299999999999997</v>
      </c>
      <c r="AA731">
        <v>7</v>
      </c>
      <c r="AB731">
        <v>5</v>
      </c>
      <c r="AC731">
        <v>0</v>
      </c>
      <c r="AD731">
        <v>2</v>
      </c>
      <c r="AE731" t="s">
        <v>60</v>
      </c>
    </row>
    <row r="732" spans="1:31" x14ac:dyDescent="0.2">
      <c r="A732">
        <v>699</v>
      </c>
      <c r="B732" t="s">
        <v>1284</v>
      </c>
      <c r="C732">
        <v>23</v>
      </c>
      <c r="D732" t="s">
        <v>365</v>
      </c>
      <c r="E732" t="s">
        <v>322</v>
      </c>
      <c r="F732">
        <v>10</v>
      </c>
      <c r="G732">
        <v>0</v>
      </c>
      <c r="H732">
        <v>1</v>
      </c>
      <c r="I732">
        <v>1</v>
      </c>
      <c r="J732">
        <v>-4</v>
      </c>
      <c r="K732">
        <v>10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19</v>
      </c>
      <c r="V732" t="s">
        <v>1742</v>
      </c>
      <c r="W732" t="s">
        <v>1658</v>
      </c>
      <c r="X732">
        <v>0</v>
      </c>
      <c r="Y732">
        <v>1</v>
      </c>
      <c r="Z732">
        <v>0</v>
      </c>
      <c r="AA732">
        <v>1</v>
      </c>
      <c r="AB732">
        <v>18</v>
      </c>
      <c r="AC732">
        <v>1</v>
      </c>
      <c r="AD732">
        <v>5</v>
      </c>
      <c r="AE732" t="s">
        <v>60</v>
      </c>
    </row>
    <row r="733" spans="1:31" x14ac:dyDescent="0.2">
      <c r="A733">
        <v>700</v>
      </c>
      <c r="B733" t="s">
        <v>1286</v>
      </c>
      <c r="C733">
        <v>22</v>
      </c>
      <c r="D733" t="s">
        <v>384</v>
      </c>
      <c r="E733" t="s">
        <v>322</v>
      </c>
      <c r="F733">
        <v>13</v>
      </c>
      <c r="G733">
        <v>0</v>
      </c>
      <c r="H733">
        <v>1</v>
      </c>
      <c r="I733">
        <v>1</v>
      </c>
      <c r="J733">
        <v>-2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16</v>
      </c>
      <c r="V733" t="s">
        <v>2094</v>
      </c>
      <c r="W733" t="s">
        <v>1457</v>
      </c>
      <c r="X733">
        <v>23</v>
      </c>
      <c r="Y733">
        <v>37</v>
      </c>
      <c r="Z733">
        <v>38.299999999999997</v>
      </c>
      <c r="AA733">
        <v>10</v>
      </c>
      <c r="AB733">
        <v>2</v>
      </c>
      <c r="AC733">
        <v>2</v>
      </c>
      <c r="AD733">
        <v>1</v>
      </c>
      <c r="AE733" t="s">
        <v>60</v>
      </c>
    </row>
    <row r="734" spans="1:31" x14ac:dyDescent="0.2">
      <c r="A734">
        <v>701</v>
      </c>
      <c r="B734" t="s">
        <v>1435</v>
      </c>
      <c r="C734">
        <v>30</v>
      </c>
      <c r="D734" t="s">
        <v>461</v>
      </c>
      <c r="E734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t="s">
        <v>2583</v>
      </c>
      <c r="W734" t="s">
        <v>2584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8</v>
      </c>
      <c r="AE734" t="s">
        <v>60</v>
      </c>
    </row>
    <row r="735" spans="1:31" x14ac:dyDescent="0.2">
      <c r="A735">
        <v>702</v>
      </c>
      <c r="B735" t="s">
        <v>1287</v>
      </c>
      <c r="C735">
        <v>25</v>
      </c>
      <c r="D735" t="s">
        <v>439</v>
      </c>
      <c r="E735" t="s">
        <v>3</v>
      </c>
      <c r="F735">
        <v>8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t="s">
        <v>1743</v>
      </c>
      <c r="W735" t="s">
        <v>1744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t="s">
        <v>60</v>
      </c>
    </row>
    <row r="736" spans="1:31" x14ac:dyDescent="0.2">
      <c r="A736">
        <v>703</v>
      </c>
      <c r="B736" t="s">
        <v>1288</v>
      </c>
      <c r="C736">
        <v>27</v>
      </c>
      <c r="D736" t="s">
        <v>555</v>
      </c>
      <c r="E736" t="s">
        <v>349</v>
      </c>
      <c r="F736">
        <v>6</v>
      </c>
      <c r="G736">
        <v>0</v>
      </c>
      <c r="H736">
        <v>1</v>
      </c>
      <c r="I736">
        <v>1</v>
      </c>
      <c r="J736">
        <v>2</v>
      </c>
      <c r="K736">
        <v>5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8</v>
      </c>
      <c r="T736">
        <v>0</v>
      </c>
      <c r="U736">
        <v>17</v>
      </c>
      <c r="V736" t="s">
        <v>2822</v>
      </c>
      <c r="W736" t="s">
        <v>1675</v>
      </c>
      <c r="X736">
        <v>0</v>
      </c>
      <c r="Y736">
        <v>0</v>
      </c>
      <c r="AA736">
        <v>4</v>
      </c>
      <c r="AB736">
        <v>8</v>
      </c>
      <c r="AC736">
        <v>1</v>
      </c>
      <c r="AD736">
        <v>3</v>
      </c>
      <c r="AE736" t="s">
        <v>60</v>
      </c>
    </row>
    <row r="737" spans="1:31" x14ac:dyDescent="0.2">
      <c r="A737">
        <v>704</v>
      </c>
      <c r="B737" t="s">
        <v>1289</v>
      </c>
      <c r="C737">
        <v>25</v>
      </c>
      <c r="D737" t="s">
        <v>346</v>
      </c>
      <c r="E737" t="s">
        <v>325</v>
      </c>
      <c r="F737">
        <v>11</v>
      </c>
      <c r="G737">
        <v>0</v>
      </c>
      <c r="H737">
        <v>1</v>
      </c>
      <c r="I737">
        <v>1</v>
      </c>
      <c r="J737">
        <v>-2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7</v>
      </c>
      <c r="T737">
        <v>0</v>
      </c>
      <c r="U737">
        <v>20</v>
      </c>
      <c r="V737" t="s">
        <v>1290</v>
      </c>
      <c r="W737" t="s">
        <v>1291</v>
      </c>
      <c r="X737">
        <v>29</v>
      </c>
      <c r="Y737">
        <v>36</v>
      </c>
      <c r="Z737">
        <v>44.6</v>
      </c>
      <c r="AA737">
        <v>11</v>
      </c>
      <c r="AB737">
        <v>20</v>
      </c>
      <c r="AC737">
        <v>2</v>
      </c>
      <c r="AD737">
        <v>1</v>
      </c>
      <c r="AE737" t="s">
        <v>60</v>
      </c>
    </row>
    <row r="738" spans="1:31" x14ac:dyDescent="0.2">
      <c r="A738">
        <v>705</v>
      </c>
      <c r="B738" t="s">
        <v>1294</v>
      </c>
      <c r="C738">
        <v>21</v>
      </c>
      <c r="D738" t="s">
        <v>353</v>
      </c>
      <c r="E738" t="s">
        <v>322</v>
      </c>
      <c r="F738">
        <v>6</v>
      </c>
      <c r="G738">
        <v>0</v>
      </c>
      <c r="H738">
        <v>1</v>
      </c>
      <c r="I738">
        <v>1</v>
      </c>
      <c r="J738">
        <v>0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12</v>
      </c>
      <c r="V738" t="s">
        <v>1295</v>
      </c>
      <c r="W738" t="s">
        <v>1169</v>
      </c>
      <c r="X738">
        <v>8</v>
      </c>
      <c r="Y738">
        <v>13</v>
      </c>
      <c r="Z738">
        <v>38.1</v>
      </c>
      <c r="AA738">
        <v>5</v>
      </c>
      <c r="AB738">
        <v>15</v>
      </c>
      <c r="AC738">
        <v>0</v>
      </c>
      <c r="AD738">
        <v>5</v>
      </c>
      <c r="AE738" t="s">
        <v>60</v>
      </c>
    </row>
    <row r="739" spans="1:31" x14ac:dyDescent="0.2">
      <c r="A739">
        <v>706</v>
      </c>
      <c r="B739" t="s">
        <v>1296</v>
      </c>
      <c r="C739">
        <v>32</v>
      </c>
      <c r="D739" t="s">
        <v>373</v>
      </c>
      <c r="E739" t="s">
        <v>3</v>
      </c>
      <c r="F739">
        <v>22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0</v>
      </c>
      <c r="U739">
        <v>0</v>
      </c>
      <c r="V739" t="s">
        <v>2585</v>
      </c>
      <c r="W739" t="s">
        <v>2586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6</v>
      </c>
      <c r="AE739" t="s">
        <v>60</v>
      </c>
    </row>
    <row r="740" spans="1:31" x14ac:dyDescent="0.2">
      <c r="A740">
        <v>707</v>
      </c>
      <c r="B740" t="s">
        <v>1297</v>
      </c>
      <c r="C740">
        <v>26</v>
      </c>
      <c r="D740" t="s">
        <v>324</v>
      </c>
      <c r="E740" t="s">
        <v>325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</v>
      </c>
      <c r="T740">
        <v>0</v>
      </c>
      <c r="U740">
        <v>5</v>
      </c>
      <c r="V740" t="s">
        <v>1298</v>
      </c>
      <c r="W740" t="s">
        <v>1299</v>
      </c>
      <c r="X740">
        <v>9</v>
      </c>
      <c r="Y740">
        <v>6</v>
      </c>
      <c r="Z740">
        <v>60</v>
      </c>
      <c r="AA740">
        <v>2</v>
      </c>
      <c r="AB740">
        <v>3</v>
      </c>
      <c r="AC740">
        <v>0</v>
      </c>
      <c r="AD740">
        <v>1</v>
      </c>
      <c r="AE740" t="s">
        <v>60</v>
      </c>
    </row>
    <row r="741" spans="1:31" x14ac:dyDescent="0.2">
      <c r="A741">
        <v>708</v>
      </c>
      <c r="B741" t="s">
        <v>1300</v>
      </c>
      <c r="C741">
        <v>30</v>
      </c>
      <c r="D741" t="s">
        <v>378</v>
      </c>
      <c r="E741" t="s">
        <v>349</v>
      </c>
      <c r="F741">
        <v>17</v>
      </c>
      <c r="G741">
        <v>1</v>
      </c>
      <c r="H741">
        <v>0</v>
      </c>
      <c r="I741">
        <v>1</v>
      </c>
      <c r="J741">
        <v>-4</v>
      </c>
      <c r="K741">
        <v>8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19</v>
      </c>
      <c r="T741">
        <v>5.3</v>
      </c>
      <c r="U741">
        <v>57</v>
      </c>
      <c r="V741" t="s">
        <v>1801</v>
      </c>
      <c r="W741" t="s">
        <v>709</v>
      </c>
      <c r="X741">
        <v>0</v>
      </c>
      <c r="Y741">
        <v>0</v>
      </c>
      <c r="AA741">
        <v>31</v>
      </c>
      <c r="AB741">
        <v>13</v>
      </c>
      <c r="AC741">
        <v>5</v>
      </c>
      <c r="AD741">
        <v>11</v>
      </c>
      <c r="AE741" t="s">
        <v>60</v>
      </c>
    </row>
    <row r="742" spans="1:31" x14ac:dyDescent="0.2">
      <c r="A742">
        <v>709</v>
      </c>
      <c r="B742" t="s">
        <v>1302</v>
      </c>
      <c r="C742">
        <v>19</v>
      </c>
      <c r="D742" t="s">
        <v>448</v>
      </c>
      <c r="E742" t="s">
        <v>325</v>
      </c>
      <c r="F742">
        <v>4</v>
      </c>
      <c r="G742">
        <v>1</v>
      </c>
      <c r="H742">
        <v>0</v>
      </c>
      <c r="I742">
        <v>1</v>
      </c>
      <c r="J742">
        <v>-3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9</v>
      </c>
      <c r="T742">
        <v>11.1</v>
      </c>
      <c r="U742">
        <v>15</v>
      </c>
      <c r="V742" t="s">
        <v>1303</v>
      </c>
      <c r="W742" t="s">
        <v>1304</v>
      </c>
      <c r="X742">
        <v>0</v>
      </c>
      <c r="Y742">
        <v>4</v>
      </c>
      <c r="Z742">
        <v>0</v>
      </c>
      <c r="AA742">
        <v>3</v>
      </c>
      <c r="AB742">
        <v>1</v>
      </c>
      <c r="AC742">
        <v>2</v>
      </c>
      <c r="AD742">
        <v>6</v>
      </c>
      <c r="AE742" t="s">
        <v>60</v>
      </c>
    </row>
    <row r="743" spans="1:31" x14ac:dyDescent="0.2">
      <c r="A743">
        <v>710</v>
      </c>
      <c r="B743" t="s">
        <v>2823</v>
      </c>
      <c r="C743">
        <v>24</v>
      </c>
      <c r="D743" t="s">
        <v>353</v>
      </c>
      <c r="E743" t="s">
        <v>335</v>
      </c>
      <c r="F743">
        <v>1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1</v>
      </c>
      <c r="V743" t="s">
        <v>1934</v>
      </c>
      <c r="W743" t="s">
        <v>1934</v>
      </c>
      <c r="X743">
        <v>0</v>
      </c>
      <c r="Y743">
        <v>0</v>
      </c>
      <c r="AA743">
        <v>1</v>
      </c>
      <c r="AB743">
        <v>0</v>
      </c>
      <c r="AC743">
        <v>0</v>
      </c>
      <c r="AD743">
        <v>1</v>
      </c>
      <c r="AE743" t="s">
        <v>60</v>
      </c>
    </row>
    <row r="744" spans="1:31" x14ac:dyDescent="0.2">
      <c r="A744">
        <v>711</v>
      </c>
      <c r="B744" t="s">
        <v>1305</v>
      </c>
      <c r="C744">
        <v>27</v>
      </c>
      <c r="D744" t="s">
        <v>404</v>
      </c>
      <c r="E744" t="s">
        <v>325</v>
      </c>
      <c r="F744">
        <v>9</v>
      </c>
      <c r="G744">
        <v>1</v>
      </c>
      <c r="H744">
        <v>0</v>
      </c>
      <c r="I744">
        <v>1</v>
      </c>
      <c r="J744">
        <v>-1</v>
      </c>
      <c r="K744">
        <v>5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11</v>
      </c>
      <c r="V744" t="s">
        <v>1306</v>
      </c>
      <c r="W744" t="s">
        <v>1307</v>
      </c>
      <c r="X744">
        <v>0</v>
      </c>
      <c r="Y744">
        <v>0</v>
      </c>
      <c r="AA744">
        <v>2</v>
      </c>
      <c r="AB744">
        <v>18</v>
      </c>
      <c r="AC744">
        <v>2</v>
      </c>
      <c r="AD744">
        <v>2</v>
      </c>
      <c r="AE744" t="s">
        <v>60</v>
      </c>
    </row>
    <row r="745" spans="1:31" x14ac:dyDescent="0.2">
      <c r="A745">
        <v>712</v>
      </c>
      <c r="B745" t="s">
        <v>1308</v>
      </c>
      <c r="C745">
        <v>35</v>
      </c>
      <c r="D745" t="s">
        <v>373</v>
      </c>
      <c r="E745" t="s">
        <v>349</v>
      </c>
      <c r="F745">
        <v>19</v>
      </c>
      <c r="G745">
        <v>0</v>
      </c>
      <c r="H745">
        <v>1</v>
      </c>
      <c r="I745">
        <v>1</v>
      </c>
      <c r="J745">
        <v>-11</v>
      </c>
      <c r="K745">
        <v>18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16</v>
      </c>
      <c r="T745">
        <v>0</v>
      </c>
      <c r="U745">
        <v>32</v>
      </c>
      <c r="V745" t="s">
        <v>2054</v>
      </c>
      <c r="W745" t="s">
        <v>1954</v>
      </c>
      <c r="X745">
        <v>0</v>
      </c>
      <c r="Y745">
        <v>0</v>
      </c>
      <c r="AA745">
        <v>26</v>
      </c>
      <c r="AB745">
        <v>19</v>
      </c>
      <c r="AC745">
        <v>4</v>
      </c>
      <c r="AD745">
        <v>17</v>
      </c>
      <c r="AE745" t="s">
        <v>60</v>
      </c>
    </row>
    <row r="746" spans="1:31" x14ac:dyDescent="0.2">
      <c r="A746">
        <v>713</v>
      </c>
      <c r="B746" t="s">
        <v>1834</v>
      </c>
      <c r="C746">
        <v>24</v>
      </c>
      <c r="D746" t="s">
        <v>328</v>
      </c>
      <c r="E746" t="s">
        <v>325</v>
      </c>
      <c r="F746">
        <v>3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t="s">
        <v>1943</v>
      </c>
      <c r="W746" t="s">
        <v>1231</v>
      </c>
      <c r="X746">
        <v>0</v>
      </c>
      <c r="Y746">
        <v>1</v>
      </c>
      <c r="Z746">
        <v>0</v>
      </c>
      <c r="AA746">
        <v>1</v>
      </c>
      <c r="AB746">
        <v>0</v>
      </c>
      <c r="AC746">
        <v>0</v>
      </c>
      <c r="AD746">
        <v>2</v>
      </c>
      <c r="AE746" t="s">
        <v>60</v>
      </c>
    </row>
    <row r="747" spans="1:31" x14ac:dyDescent="0.2">
      <c r="A747">
        <v>714</v>
      </c>
      <c r="B747" t="s">
        <v>1311</v>
      </c>
      <c r="C747">
        <v>23</v>
      </c>
      <c r="D747" t="s">
        <v>321</v>
      </c>
      <c r="E747" t="s">
        <v>325</v>
      </c>
      <c r="F747">
        <v>3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3</v>
      </c>
      <c r="V747" t="s">
        <v>1312</v>
      </c>
      <c r="W747" t="s">
        <v>1313</v>
      </c>
      <c r="X747">
        <v>0</v>
      </c>
      <c r="Y747">
        <v>0</v>
      </c>
      <c r="AA747">
        <v>1</v>
      </c>
      <c r="AB747">
        <v>1</v>
      </c>
      <c r="AC747">
        <v>0</v>
      </c>
      <c r="AD747">
        <v>1</v>
      </c>
      <c r="AE747" t="s">
        <v>60</v>
      </c>
    </row>
    <row r="748" spans="1:31" x14ac:dyDescent="0.2">
      <c r="A748">
        <v>715</v>
      </c>
      <c r="B748" t="s">
        <v>1314</v>
      </c>
      <c r="C748">
        <v>28</v>
      </c>
      <c r="D748" t="s">
        <v>378</v>
      </c>
      <c r="E748" t="s">
        <v>349</v>
      </c>
      <c r="F748">
        <v>7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0</v>
      </c>
      <c r="U748">
        <v>17</v>
      </c>
      <c r="V748" t="s">
        <v>1315</v>
      </c>
      <c r="W748" t="s">
        <v>1316</v>
      </c>
      <c r="X748">
        <v>0</v>
      </c>
      <c r="Y748">
        <v>0</v>
      </c>
      <c r="AA748">
        <v>15</v>
      </c>
      <c r="AB748">
        <v>10</v>
      </c>
      <c r="AC748">
        <v>1</v>
      </c>
      <c r="AD748">
        <v>4</v>
      </c>
      <c r="AE748" t="s">
        <v>60</v>
      </c>
    </row>
    <row r="749" spans="1:31" x14ac:dyDescent="0.2">
      <c r="A749">
        <v>716</v>
      </c>
      <c r="B749" t="s">
        <v>1802</v>
      </c>
      <c r="C749">
        <v>27</v>
      </c>
      <c r="D749" t="s">
        <v>328</v>
      </c>
      <c r="E749" t="s">
        <v>340</v>
      </c>
      <c r="F749">
        <v>6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10</v>
      </c>
      <c r="V749" t="s">
        <v>2587</v>
      </c>
      <c r="W749" t="s">
        <v>2588</v>
      </c>
      <c r="X749">
        <v>0</v>
      </c>
      <c r="Y749">
        <v>0</v>
      </c>
      <c r="AA749">
        <v>2</v>
      </c>
      <c r="AB749">
        <v>16</v>
      </c>
      <c r="AC749">
        <v>1</v>
      </c>
      <c r="AD749">
        <v>2</v>
      </c>
      <c r="AE749" t="s">
        <v>60</v>
      </c>
    </row>
    <row r="750" spans="1:31" x14ac:dyDescent="0.2">
      <c r="A750">
        <v>717</v>
      </c>
      <c r="B750" t="s">
        <v>1317</v>
      </c>
      <c r="C750">
        <v>26</v>
      </c>
      <c r="D750" t="s">
        <v>461</v>
      </c>
      <c r="E750" t="s">
        <v>349</v>
      </c>
      <c r="F750">
        <v>11</v>
      </c>
      <c r="G750">
        <v>0</v>
      </c>
      <c r="H750">
        <v>1</v>
      </c>
      <c r="I750">
        <v>1</v>
      </c>
      <c r="J750">
        <v>-4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10</v>
      </c>
      <c r="T750">
        <v>0</v>
      </c>
      <c r="U750">
        <v>22</v>
      </c>
      <c r="V750" t="s">
        <v>1318</v>
      </c>
      <c r="W750" t="s">
        <v>1319</v>
      </c>
      <c r="X750">
        <v>0</v>
      </c>
      <c r="Y750">
        <v>0</v>
      </c>
      <c r="AA750">
        <v>8</v>
      </c>
      <c r="AB750">
        <v>4</v>
      </c>
      <c r="AC750">
        <v>2</v>
      </c>
      <c r="AD750">
        <v>4</v>
      </c>
      <c r="AE750" t="s">
        <v>60</v>
      </c>
    </row>
    <row r="751" spans="1:31" x14ac:dyDescent="0.2">
      <c r="A751">
        <v>718</v>
      </c>
      <c r="B751" t="s">
        <v>1320</v>
      </c>
      <c r="C751">
        <v>24</v>
      </c>
      <c r="D751" t="s">
        <v>426</v>
      </c>
      <c r="E751" t="s">
        <v>335</v>
      </c>
      <c r="F751">
        <v>2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4</v>
      </c>
      <c r="T751">
        <v>0</v>
      </c>
      <c r="U751">
        <v>8</v>
      </c>
      <c r="V751" t="s">
        <v>915</v>
      </c>
      <c r="W751" t="s">
        <v>870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2</v>
      </c>
      <c r="AE751" t="s">
        <v>60</v>
      </c>
    </row>
    <row r="752" spans="1:31" x14ac:dyDescent="0.2">
      <c r="A752">
        <v>719</v>
      </c>
      <c r="B752" t="s">
        <v>1503</v>
      </c>
      <c r="C752">
        <v>31</v>
      </c>
      <c r="D752" t="s">
        <v>461</v>
      </c>
      <c r="E752" t="s">
        <v>322</v>
      </c>
      <c r="F752">
        <v>17</v>
      </c>
      <c r="G752">
        <v>1</v>
      </c>
      <c r="H752">
        <v>0</v>
      </c>
      <c r="I752">
        <v>1</v>
      </c>
      <c r="J752">
        <v>-4</v>
      </c>
      <c r="K752">
        <v>4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13</v>
      </c>
      <c r="T752">
        <v>7.7</v>
      </c>
      <c r="U752">
        <v>22</v>
      </c>
      <c r="V752" t="s">
        <v>2589</v>
      </c>
      <c r="W752" t="s">
        <v>709</v>
      </c>
      <c r="X752">
        <v>146</v>
      </c>
      <c r="Y752">
        <v>121</v>
      </c>
      <c r="Z752">
        <v>54.7</v>
      </c>
      <c r="AA752">
        <v>11</v>
      </c>
      <c r="AB752">
        <v>13</v>
      </c>
      <c r="AC752">
        <v>0</v>
      </c>
      <c r="AD752">
        <v>7</v>
      </c>
      <c r="AE752" t="s">
        <v>60</v>
      </c>
    </row>
    <row r="753" spans="1:31" x14ac:dyDescent="0.2">
      <c r="A753">
        <v>720</v>
      </c>
      <c r="B753" t="s">
        <v>1883</v>
      </c>
      <c r="C753">
        <v>31</v>
      </c>
      <c r="D753" t="s">
        <v>412</v>
      </c>
      <c r="E753" t="s">
        <v>322</v>
      </c>
      <c r="F753">
        <v>3</v>
      </c>
      <c r="G753">
        <v>1</v>
      </c>
      <c r="H753">
        <v>0</v>
      </c>
      <c r="I753">
        <v>1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4</v>
      </c>
      <c r="V753" t="s">
        <v>2160</v>
      </c>
      <c r="W753" t="s">
        <v>870</v>
      </c>
      <c r="X753">
        <v>6</v>
      </c>
      <c r="Y753">
        <v>5</v>
      </c>
      <c r="Z753">
        <v>54.5</v>
      </c>
      <c r="AA753">
        <v>5</v>
      </c>
      <c r="AB753">
        <v>2</v>
      </c>
      <c r="AC753">
        <v>0</v>
      </c>
      <c r="AD753">
        <v>1</v>
      </c>
      <c r="AE753" t="s">
        <v>60</v>
      </c>
    </row>
    <row r="754" spans="1:31" x14ac:dyDescent="0.2">
      <c r="A754">
        <v>721</v>
      </c>
      <c r="B754" t="s">
        <v>1790</v>
      </c>
      <c r="C754">
        <v>27</v>
      </c>
      <c r="D754" t="s">
        <v>359</v>
      </c>
      <c r="E754" t="s">
        <v>349</v>
      </c>
      <c r="F754">
        <v>3</v>
      </c>
      <c r="G754">
        <v>0</v>
      </c>
      <c r="H754">
        <v>1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4</v>
      </c>
      <c r="T754">
        <v>0</v>
      </c>
      <c r="U754">
        <v>5</v>
      </c>
      <c r="V754" t="s">
        <v>1856</v>
      </c>
      <c r="W754" t="s">
        <v>1775</v>
      </c>
      <c r="X754">
        <v>0</v>
      </c>
      <c r="Y754">
        <v>0</v>
      </c>
      <c r="AA754">
        <v>5</v>
      </c>
      <c r="AB754">
        <v>0</v>
      </c>
      <c r="AC754">
        <v>0</v>
      </c>
      <c r="AD754">
        <v>5</v>
      </c>
      <c r="AE754" t="s">
        <v>60</v>
      </c>
    </row>
    <row r="755" spans="1:31" x14ac:dyDescent="0.2">
      <c r="A755">
        <v>722</v>
      </c>
      <c r="B755" t="s">
        <v>1321</v>
      </c>
      <c r="C755">
        <v>29</v>
      </c>
      <c r="D755" t="s">
        <v>448</v>
      </c>
      <c r="E755" t="s">
        <v>340</v>
      </c>
      <c r="F755">
        <v>10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0</v>
      </c>
      <c r="U755">
        <v>16</v>
      </c>
      <c r="V755" t="s">
        <v>1982</v>
      </c>
      <c r="W755" t="s">
        <v>1140</v>
      </c>
      <c r="X755">
        <v>38</v>
      </c>
      <c r="Y755">
        <v>33</v>
      </c>
      <c r="Z755">
        <v>53.5</v>
      </c>
      <c r="AA755">
        <v>5</v>
      </c>
      <c r="AB755">
        <v>15</v>
      </c>
      <c r="AC755">
        <v>1</v>
      </c>
      <c r="AD755">
        <v>4</v>
      </c>
      <c r="AE755" t="s">
        <v>60</v>
      </c>
    </row>
    <row r="756" spans="1:31" x14ac:dyDescent="0.2">
      <c r="A756">
        <v>723</v>
      </c>
      <c r="B756" t="s">
        <v>1322</v>
      </c>
      <c r="C756">
        <v>24</v>
      </c>
      <c r="D756" t="s">
        <v>330</v>
      </c>
      <c r="E756" t="s">
        <v>3</v>
      </c>
      <c r="F756">
        <v>26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0</v>
      </c>
      <c r="U756">
        <v>0</v>
      </c>
      <c r="V756" t="s">
        <v>2824</v>
      </c>
      <c r="W756" t="s">
        <v>2825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19</v>
      </c>
      <c r="AE756" t="s">
        <v>60</v>
      </c>
    </row>
    <row r="757" spans="1:31" x14ac:dyDescent="0.2">
      <c r="A757">
        <v>724</v>
      </c>
      <c r="B757" t="s">
        <v>1323</v>
      </c>
      <c r="C757">
        <v>27</v>
      </c>
      <c r="D757" t="s">
        <v>378</v>
      </c>
      <c r="E757" t="s">
        <v>340</v>
      </c>
      <c r="F757">
        <v>10</v>
      </c>
      <c r="G757">
        <v>0</v>
      </c>
      <c r="H757">
        <v>1</v>
      </c>
      <c r="I757">
        <v>1</v>
      </c>
      <c r="J757">
        <v>-1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6</v>
      </c>
      <c r="T757">
        <v>0</v>
      </c>
      <c r="U757">
        <v>16</v>
      </c>
      <c r="V757" t="s">
        <v>1324</v>
      </c>
      <c r="W757" t="s">
        <v>1325</v>
      </c>
      <c r="X757">
        <v>12</v>
      </c>
      <c r="Y757">
        <v>13</v>
      </c>
      <c r="Z757">
        <v>48</v>
      </c>
      <c r="AA757">
        <v>4</v>
      </c>
      <c r="AB757">
        <v>9</v>
      </c>
      <c r="AC757">
        <v>2</v>
      </c>
      <c r="AD757">
        <v>4</v>
      </c>
      <c r="AE757" t="s">
        <v>60</v>
      </c>
    </row>
    <row r="758" spans="1:31" x14ac:dyDescent="0.2">
      <c r="A758">
        <v>725</v>
      </c>
      <c r="B758" t="s">
        <v>1327</v>
      </c>
      <c r="C758">
        <v>27</v>
      </c>
      <c r="D758" t="s">
        <v>365</v>
      </c>
      <c r="E758" t="s">
        <v>335</v>
      </c>
      <c r="F758">
        <v>5</v>
      </c>
      <c r="G758">
        <v>0</v>
      </c>
      <c r="H758">
        <v>1</v>
      </c>
      <c r="I758">
        <v>1</v>
      </c>
      <c r="J758">
        <v>-3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6</v>
      </c>
      <c r="T758">
        <v>0</v>
      </c>
      <c r="U758">
        <v>20</v>
      </c>
      <c r="V758" t="s">
        <v>1328</v>
      </c>
      <c r="W758" t="s">
        <v>937</v>
      </c>
      <c r="X758">
        <v>2</v>
      </c>
      <c r="Y758">
        <v>1</v>
      </c>
      <c r="Z758">
        <v>66.7</v>
      </c>
      <c r="AA758">
        <v>0</v>
      </c>
      <c r="AB758">
        <v>2</v>
      </c>
      <c r="AC758">
        <v>0</v>
      </c>
      <c r="AD758">
        <v>2</v>
      </c>
      <c r="AE758" t="s">
        <v>60</v>
      </c>
    </row>
    <row r="759" spans="1:31" x14ac:dyDescent="0.2">
      <c r="A759">
        <v>726</v>
      </c>
      <c r="B759" t="s">
        <v>1329</v>
      </c>
      <c r="C759">
        <v>22</v>
      </c>
      <c r="D759" t="s">
        <v>346</v>
      </c>
      <c r="E759" t="s">
        <v>322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2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t="s">
        <v>1330</v>
      </c>
      <c r="W759" t="s">
        <v>1199</v>
      </c>
      <c r="X759">
        <v>0</v>
      </c>
      <c r="Y759">
        <v>1</v>
      </c>
      <c r="Z759">
        <v>0</v>
      </c>
      <c r="AA759">
        <v>1</v>
      </c>
      <c r="AB759">
        <v>3</v>
      </c>
      <c r="AC759">
        <v>0</v>
      </c>
      <c r="AD759">
        <v>3</v>
      </c>
      <c r="AE759" t="s">
        <v>60</v>
      </c>
    </row>
    <row r="760" spans="1:31" x14ac:dyDescent="0.2">
      <c r="A760">
        <v>727</v>
      </c>
      <c r="B760" t="s">
        <v>1331</v>
      </c>
      <c r="C760">
        <v>22</v>
      </c>
      <c r="D760" t="s">
        <v>412</v>
      </c>
      <c r="E760" t="s">
        <v>349</v>
      </c>
      <c r="F760">
        <v>5</v>
      </c>
      <c r="G760">
        <v>0</v>
      </c>
      <c r="H760">
        <v>1</v>
      </c>
      <c r="I760">
        <v>1</v>
      </c>
      <c r="J760">
        <v>4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4</v>
      </c>
      <c r="T760">
        <v>0</v>
      </c>
      <c r="U760">
        <v>10</v>
      </c>
      <c r="V760" t="s">
        <v>1710</v>
      </c>
      <c r="W760" t="s">
        <v>1646</v>
      </c>
      <c r="X760">
        <v>0</v>
      </c>
      <c r="Y760">
        <v>0</v>
      </c>
      <c r="AA760">
        <v>9</v>
      </c>
      <c r="AB760">
        <v>11</v>
      </c>
      <c r="AC760">
        <v>2</v>
      </c>
      <c r="AD760">
        <v>4</v>
      </c>
      <c r="AE760" t="s">
        <v>60</v>
      </c>
    </row>
    <row r="761" spans="1:31" x14ac:dyDescent="0.2">
      <c r="A761">
        <v>728</v>
      </c>
      <c r="B761" t="s">
        <v>1332</v>
      </c>
      <c r="C761">
        <v>30</v>
      </c>
      <c r="D761" t="s">
        <v>461</v>
      </c>
      <c r="E761" t="s">
        <v>3</v>
      </c>
      <c r="F761">
        <v>18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t="s">
        <v>1978</v>
      </c>
      <c r="W761" t="s">
        <v>1979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t="s">
        <v>60</v>
      </c>
    </row>
    <row r="762" spans="1:31" x14ac:dyDescent="0.2">
      <c r="A762">
        <v>729</v>
      </c>
      <c r="B762" t="s">
        <v>1791</v>
      </c>
      <c r="C762">
        <v>20</v>
      </c>
      <c r="D762" t="s">
        <v>330</v>
      </c>
      <c r="E762" t="s">
        <v>340</v>
      </c>
      <c r="F762">
        <v>7</v>
      </c>
      <c r="G762">
        <v>1</v>
      </c>
      <c r="H762">
        <v>0</v>
      </c>
      <c r="I762">
        <v>1</v>
      </c>
      <c r="J762">
        <v>-2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9</v>
      </c>
      <c r="T762">
        <v>11.1</v>
      </c>
      <c r="U762">
        <v>23</v>
      </c>
      <c r="V762" t="s">
        <v>2826</v>
      </c>
      <c r="W762" t="s">
        <v>2462</v>
      </c>
      <c r="X762">
        <v>0</v>
      </c>
      <c r="Y762">
        <v>0</v>
      </c>
      <c r="AA762">
        <v>2</v>
      </c>
      <c r="AB762">
        <v>14</v>
      </c>
      <c r="AC762">
        <v>1</v>
      </c>
      <c r="AD762">
        <v>4</v>
      </c>
      <c r="AE762" t="s">
        <v>60</v>
      </c>
    </row>
    <row r="763" spans="1:31" x14ac:dyDescent="0.2">
      <c r="A763">
        <v>730</v>
      </c>
      <c r="B763" t="s">
        <v>1333</v>
      </c>
      <c r="C763">
        <v>32</v>
      </c>
      <c r="D763" t="s">
        <v>368</v>
      </c>
      <c r="E763" t="s">
        <v>3</v>
      </c>
      <c r="F763">
        <v>12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1</v>
      </c>
      <c r="V763" t="s">
        <v>2055</v>
      </c>
      <c r="W763" t="s">
        <v>1809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7</v>
      </c>
      <c r="AE763" t="s">
        <v>60</v>
      </c>
    </row>
    <row r="764" spans="1:31" x14ac:dyDescent="0.2">
      <c r="A764">
        <v>731</v>
      </c>
      <c r="B764" t="s">
        <v>1536</v>
      </c>
      <c r="C764">
        <v>28</v>
      </c>
      <c r="D764" t="s">
        <v>536</v>
      </c>
      <c r="E764" t="s">
        <v>335</v>
      </c>
      <c r="F764">
        <v>5</v>
      </c>
      <c r="G764">
        <v>1</v>
      </c>
      <c r="H764">
        <v>0</v>
      </c>
      <c r="I764">
        <v>1</v>
      </c>
      <c r="J764">
        <v>-2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5</v>
      </c>
      <c r="T764">
        <v>20</v>
      </c>
      <c r="U764">
        <v>7</v>
      </c>
      <c r="V764" t="s">
        <v>1857</v>
      </c>
      <c r="W764" t="s">
        <v>1647</v>
      </c>
      <c r="X764">
        <v>0</v>
      </c>
      <c r="Y764">
        <v>0</v>
      </c>
      <c r="AA764">
        <v>4</v>
      </c>
      <c r="AB764">
        <v>8</v>
      </c>
      <c r="AC764">
        <v>2</v>
      </c>
      <c r="AD764">
        <v>0</v>
      </c>
      <c r="AE764" t="s">
        <v>60</v>
      </c>
    </row>
    <row r="765" spans="1:31" x14ac:dyDescent="0.2">
      <c r="A765">
        <v>732</v>
      </c>
      <c r="B765" t="s">
        <v>1538</v>
      </c>
      <c r="C765">
        <v>33</v>
      </c>
      <c r="D765" t="s">
        <v>439</v>
      </c>
      <c r="E765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t="s">
        <v>2161</v>
      </c>
      <c r="W765" t="s">
        <v>2162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t="s">
        <v>60</v>
      </c>
    </row>
    <row r="766" spans="1:31" x14ac:dyDescent="0.2">
      <c r="A766">
        <v>733</v>
      </c>
      <c r="B766" t="s">
        <v>1336</v>
      </c>
      <c r="C766">
        <v>31</v>
      </c>
      <c r="D766" t="s">
        <v>412</v>
      </c>
      <c r="E766" t="s">
        <v>349</v>
      </c>
      <c r="F766">
        <v>19</v>
      </c>
      <c r="G766">
        <v>0</v>
      </c>
      <c r="H766">
        <v>1</v>
      </c>
      <c r="I766">
        <v>1</v>
      </c>
      <c r="J766">
        <v>-4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22</v>
      </c>
      <c r="V766" t="s">
        <v>1827</v>
      </c>
      <c r="W766" t="s">
        <v>1778</v>
      </c>
      <c r="X766">
        <v>0</v>
      </c>
      <c r="Y766">
        <v>0</v>
      </c>
      <c r="AA766">
        <v>16</v>
      </c>
      <c r="AB766">
        <v>1</v>
      </c>
      <c r="AC766">
        <v>2</v>
      </c>
      <c r="AD766">
        <v>14</v>
      </c>
      <c r="AE766" t="s">
        <v>60</v>
      </c>
    </row>
    <row r="767" spans="1:31" x14ac:dyDescent="0.2">
      <c r="A767">
        <v>734</v>
      </c>
      <c r="B767" t="s">
        <v>1539</v>
      </c>
      <c r="C767">
        <v>31</v>
      </c>
      <c r="D767" t="s">
        <v>426</v>
      </c>
      <c r="E767" t="s">
        <v>340</v>
      </c>
      <c r="F767">
        <v>15</v>
      </c>
      <c r="G767">
        <v>0</v>
      </c>
      <c r="H767">
        <v>1</v>
      </c>
      <c r="I767">
        <v>1</v>
      </c>
      <c r="J767">
        <v>-3</v>
      </c>
      <c r="K767">
        <v>28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t="s">
        <v>2163</v>
      </c>
      <c r="W767" t="s">
        <v>1859</v>
      </c>
      <c r="X767">
        <v>0</v>
      </c>
      <c r="Y767">
        <v>0</v>
      </c>
      <c r="AA767">
        <v>5</v>
      </c>
      <c r="AB767">
        <v>13</v>
      </c>
      <c r="AC767">
        <v>0</v>
      </c>
      <c r="AD767">
        <v>2</v>
      </c>
      <c r="AE767" t="s">
        <v>60</v>
      </c>
    </row>
    <row r="768" spans="1:31" x14ac:dyDescent="0.2">
      <c r="A768">
        <v>735</v>
      </c>
      <c r="B768" t="s">
        <v>1338</v>
      </c>
      <c r="C768">
        <v>18</v>
      </c>
      <c r="D768" t="s">
        <v>476</v>
      </c>
      <c r="E768" t="s">
        <v>322</v>
      </c>
      <c r="F768">
        <v>3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</v>
      </c>
      <c r="T768">
        <v>0</v>
      </c>
      <c r="U768">
        <v>3</v>
      </c>
      <c r="V768" t="s">
        <v>1339</v>
      </c>
      <c r="W768" t="s">
        <v>1340</v>
      </c>
      <c r="X768">
        <v>5</v>
      </c>
      <c r="Y768">
        <v>11</v>
      </c>
      <c r="Z768">
        <v>31.3</v>
      </c>
      <c r="AA768">
        <v>2</v>
      </c>
      <c r="AB768">
        <v>0</v>
      </c>
      <c r="AC768">
        <v>0</v>
      </c>
      <c r="AD768">
        <v>4</v>
      </c>
      <c r="AE768" t="s">
        <v>60</v>
      </c>
    </row>
    <row r="769" spans="1:31" x14ac:dyDescent="0.2">
      <c r="A769">
        <v>736</v>
      </c>
      <c r="B769" t="s">
        <v>1342</v>
      </c>
      <c r="C769">
        <v>32</v>
      </c>
      <c r="D769" t="s">
        <v>361</v>
      </c>
      <c r="E769" t="s">
        <v>349</v>
      </c>
      <c r="F769">
        <v>11</v>
      </c>
      <c r="G769">
        <v>1</v>
      </c>
      <c r="H769">
        <v>0</v>
      </c>
      <c r="I769">
        <v>1</v>
      </c>
      <c r="J769">
        <v>-3</v>
      </c>
      <c r="K769">
        <v>11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5</v>
      </c>
      <c r="T769">
        <v>20</v>
      </c>
      <c r="U769">
        <v>15</v>
      </c>
      <c r="V769" t="s">
        <v>1659</v>
      </c>
      <c r="W769" t="s">
        <v>1660</v>
      </c>
      <c r="X769">
        <v>0</v>
      </c>
      <c r="Y769">
        <v>0</v>
      </c>
      <c r="AA769">
        <v>9</v>
      </c>
      <c r="AB769">
        <v>8</v>
      </c>
      <c r="AC769">
        <v>2</v>
      </c>
      <c r="AD769">
        <v>8</v>
      </c>
      <c r="AE769" t="s">
        <v>60</v>
      </c>
    </row>
    <row r="770" spans="1:31" x14ac:dyDescent="0.2">
      <c r="A770">
        <v>737</v>
      </c>
      <c r="B770" t="s">
        <v>1343</v>
      </c>
      <c r="C770">
        <v>31</v>
      </c>
      <c r="D770" t="s">
        <v>384</v>
      </c>
      <c r="E770" t="s">
        <v>3</v>
      </c>
      <c r="F770">
        <v>14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0</v>
      </c>
      <c r="V770" t="s">
        <v>1980</v>
      </c>
      <c r="W770" t="s">
        <v>1981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t="s">
        <v>60</v>
      </c>
    </row>
    <row r="771" spans="1:31" x14ac:dyDescent="0.2">
      <c r="A771">
        <v>738</v>
      </c>
      <c r="B771" t="s">
        <v>1566</v>
      </c>
      <c r="C771">
        <v>26</v>
      </c>
      <c r="D771" t="s">
        <v>387</v>
      </c>
      <c r="E771" t="s">
        <v>349</v>
      </c>
      <c r="F771">
        <v>9</v>
      </c>
      <c r="G771">
        <v>1</v>
      </c>
      <c r="H771">
        <v>0</v>
      </c>
      <c r="I771">
        <v>1</v>
      </c>
      <c r="J771">
        <v>0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13</v>
      </c>
      <c r="V771" t="s">
        <v>1828</v>
      </c>
      <c r="W771" t="s">
        <v>999</v>
      </c>
      <c r="X771">
        <v>0</v>
      </c>
      <c r="Y771">
        <v>0</v>
      </c>
      <c r="AA771">
        <v>6</v>
      </c>
      <c r="AB771">
        <v>13</v>
      </c>
      <c r="AC771">
        <v>0</v>
      </c>
      <c r="AD771">
        <v>6</v>
      </c>
      <c r="AE771" t="s">
        <v>60</v>
      </c>
    </row>
    <row r="772" spans="1:31" x14ac:dyDescent="0.2">
      <c r="A772">
        <v>739</v>
      </c>
      <c r="B772" t="s">
        <v>1345</v>
      </c>
      <c r="C772">
        <v>20</v>
      </c>
      <c r="D772" t="s">
        <v>555</v>
      </c>
      <c r="E772" t="s">
        <v>322</v>
      </c>
      <c r="F772">
        <v>2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2</v>
      </c>
      <c r="V772" t="s">
        <v>1346</v>
      </c>
      <c r="W772" t="s">
        <v>1347</v>
      </c>
      <c r="X772">
        <v>5</v>
      </c>
      <c r="Y772">
        <v>2</v>
      </c>
      <c r="Z772">
        <v>71.400000000000006</v>
      </c>
      <c r="AA772">
        <v>0</v>
      </c>
      <c r="AB772">
        <v>1</v>
      </c>
      <c r="AC772">
        <v>1</v>
      </c>
      <c r="AD772">
        <v>1</v>
      </c>
      <c r="AE772" t="s">
        <v>60</v>
      </c>
    </row>
    <row r="773" spans="1:31" x14ac:dyDescent="0.2">
      <c r="A773">
        <v>740</v>
      </c>
      <c r="B773" t="s">
        <v>1351</v>
      </c>
      <c r="C773">
        <v>30</v>
      </c>
      <c r="D773" t="s">
        <v>324</v>
      </c>
      <c r="E773" t="s">
        <v>3</v>
      </c>
      <c r="F773">
        <v>17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t="s">
        <v>2164</v>
      </c>
      <c r="W773" t="s">
        <v>1999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10</v>
      </c>
      <c r="AE773" t="s">
        <v>60</v>
      </c>
    </row>
    <row r="774" spans="1:31" x14ac:dyDescent="0.2">
      <c r="A774">
        <v>741</v>
      </c>
      <c r="B774" t="s">
        <v>1352</v>
      </c>
      <c r="C774">
        <v>25</v>
      </c>
      <c r="D774" t="s">
        <v>321</v>
      </c>
      <c r="E774" t="s">
        <v>325</v>
      </c>
      <c r="F774">
        <v>4</v>
      </c>
      <c r="G774">
        <v>0</v>
      </c>
      <c r="H774">
        <v>1</v>
      </c>
      <c r="I774">
        <v>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3</v>
      </c>
      <c r="T774">
        <v>0</v>
      </c>
      <c r="U774">
        <v>6</v>
      </c>
      <c r="V774" t="s">
        <v>1353</v>
      </c>
      <c r="W774" t="s">
        <v>1354</v>
      </c>
      <c r="X774">
        <v>0</v>
      </c>
      <c r="Y774">
        <v>0</v>
      </c>
      <c r="AA774">
        <v>1</v>
      </c>
      <c r="AB774">
        <v>9</v>
      </c>
      <c r="AC774">
        <v>0</v>
      </c>
      <c r="AD774">
        <v>2</v>
      </c>
      <c r="AE774" t="s">
        <v>60</v>
      </c>
    </row>
    <row r="775" spans="1:31" x14ac:dyDescent="0.2">
      <c r="A775">
        <v>742</v>
      </c>
      <c r="B775" t="s">
        <v>1578</v>
      </c>
      <c r="C775">
        <v>27</v>
      </c>
      <c r="D775" t="s">
        <v>334</v>
      </c>
      <c r="E775" t="s">
        <v>3</v>
      </c>
      <c r="F775">
        <v>25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t="s">
        <v>2590</v>
      </c>
      <c r="W775" t="s">
        <v>2591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t="s">
        <v>60</v>
      </c>
    </row>
    <row r="776" spans="1:31" x14ac:dyDescent="0.2">
      <c r="A776">
        <v>743</v>
      </c>
      <c r="B776" t="s">
        <v>1580</v>
      </c>
      <c r="C776">
        <v>22</v>
      </c>
      <c r="D776" t="s">
        <v>324</v>
      </c>
      <c r="E776" t="s">
        <v>322</v>
      </c>
      <c r="F776">
        <v>16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16</v>
      </c>
      <c r="V776" t="s">
        <v>2592</v>
      </c>
      <c r="W776" t="s">
        <v>2593</v>
      </c>
      <c r="X776">
        <v>67</v>
      </c>
      <c r="Y776">
        <v>63</v>
      </c>
      <c r="Z776">
        <v>51.5</v>
      </c>
      <c r="AA776">
        <v>3</v>
      </c>
      <c r="AB776">
        <v>47</v>
      </c>
      <c r="AC776">
        <v>2</v>
      </c>
      <c r="AD776">
        <v>6</v>
      </c>
      <c r="AE776" t="s">
        <v>60</v>
      </c>
    </row>
    <row r="777" spans="1:31" x14ac:dyDescent="0.2">
      <c r="A777">
        <v>744</v>
      </c>
      <c r="B777" t="s">
        <v>1355</v>
      </c>
      <c r="C777">
        <v>19</v>
      </c>
      <c r="D777" t="s">
        <v>448</v>
      </c>
      <c r="E777" t="s">
        <v>349</v>
      </c>
      <c r="F777">
        <v>11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11</v>
      </c>
      <c r="T777">
        <v>0</v>
      </c>
      <c r="U777">
        <v>35</v>
      </c>
      <c r="V777" t="s">
        <v>1356</v>
      </c>
      <c r="W777" t="s">
        <v>1357</v>
      </c>
      <c r="X777">
        <v>0</v>
      </c>
      <c r="Y777">
        <v>0</v>
      </c>
      <c r="AA777">
        <v>5</v>
      </c>
      <c r="AB777">
        <v>5</v>
      </c>
      <c r="AC777">
        <v>3</v>
      </c>
      <c r="AD777">
        <v>17</v>
      </c>
      <c r="AE777" t="s">
        <v>60</v>
      </c>
    </row>
    <row r="778" spans="1:31" x14ac:dyDescent="0.2">
      <c r="A778">
        <v>745</v>
      </c>
      <c r="B778" t="s">
        <v>1591</v>
      </c>
      <c r="C778">
        <v>34</v>
      </c>
      <c r="D778" t="s">
        <v>359</v>
      </c>
      <c r="E778" t="s">
        <v>322</v>
      </c>
      <c r="F778">
        <v>23</v>
      </c>
      <c r="G778">
        <v>1</v>
      </c>
      <c r="H778">
        <v>0</v>
      </c>
      <c r="I778">
        <v>1</v>
      </c>
      <c r="J778">
        <v>-1</v>
      </c>
      <c r="K778">
        <v>24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34</v>
      </c>
      <c r="V778" t="s">
        <v>1860</v>
      </c>
      <c r="W778" t="s">
        <v>1861</v>
      </c>
      <c r="X778">
        <v>0</v>
      </c>
      <c r="Y778">
        <v>3</v>
      </c>
      <c r="Z778">
        <v>0</v>
      </c>
      <c r="AA778">
        <v>13</v>
      </c>
      <c r="AB778">
        <v>58</v>
      </c>
      <c r="AC778">
        <v>4</v>
      </c>
      <c r="AD778">
        <v>6</v>
      </c>
      <c r="AE778" t="s">
        <v>60</v>
      </c>
    </row>
    <row r="779" spans="1:31" x14ac:dyDescent="0.2">
      <c r="A779">
        <v>746</v>
      </c>
      <c r="B779" t="s">
        <v>1359</v>
      </c>
      <c r="C779">
        <v>23</v>
      </c>
      <c r="D779" t="s">
        <v>363</v>
      </c>
      <c r="E779" t="s">
        <v>322</v>
      </c>
      <c r="F779">
        <v>15</v>
      </c>
      <c r="G779">
        <v>1</v>
      </c>
      <c r="H779">
        <v>0</v>
      </c>
      <c r="I779">
        <v>1</v>
      </c>
      <c r="J779">
        <v>-2</v>
      </c>
      <c r="K779">
        <v>7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24</v>
      </c>
      <c r="V779" t="s">
        <v>2594</v>
      </c>
      <c r="W779" t="s">
        <v>1969</v>
      </c>
      <c r="X779">
        <v>3</v>
      </c>
      <c r="Y779">
        <v>3</v>
      </c>
      <c r="Z779">
        <v>50</v>
      </c>
      <c r="AA779">
        <v>2</v>
      </c>
      <c r="AB779">
        <v>50</v>
      </c>
      <c r="AC779">
        <v>2</v>
      </c>
      <c r="AD779">
        <v>3</v>
      </c>
      <c r="AE779" t="s">
        <v>60</v>
      </c>
    </row>
    <row r="780" spans="1:31" x14ac:dyDescent="0.2">
      <c r="A780">
        <v>747</v>
      </c>
      <c r="B780" t="s">
        <v>1835</v>
      </c>
      <c r="C780">
        <v>31</v>
      </c>
      <c r="D780" t="s">
        <v>415</v>
      </c>
      <c r="E780" t="s">
        <v>349</v>
      </c>
      <c r="F780">
        <v>6</v>
      </c>
      <c r="G780">
        <v>0</v>
      </c>
      <c r="H780">
        <v>1</v>
      </c>
      <c r="I780">
        <v>1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16</v>
      </c>
      <c r="V780" t="s">
        <v>2827</v>
      </c>
      <c r="W780" t="s">
        <v>2006</v>
      </c>
      <c r="X780">
        <v>0</v>
      </c>
      <c r="Y780">
        <v>0</v>
      </c>
      <c r="AA780">
        <v>10</v>
      </c>
      <c r="AB780">
        <v>9</v>
      </c>
      <c r="AC780">
        <v>2</v>
      </c>
      <c r="AD780">
        <v>2</v>
      </c>
      <c r="AE780" t="s">
        <v>60</v>
      </c>
    </row>
    <row r="781" spans="1:31" x14ac:dyDescent="0.2">
      <c r="A781">
        <v>748</v>
      </c>
      <c r="B781" t="s">
        <v>1360</v>
      </c>
      <c r="C781">
        <v>22</v>
      </c>
      <c r="D781" t="s">
        <v>402</v>
      </c>
      <c r="E781" t="s">
        <v>322</v>
      </c>
      <c r="F781">
        <v>2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t="s">
        <v>1361</v>
      </c>
      <c r="W781" t="s">
        <v>1362</v>
      </c>
      <c r="X781">
        <v>12</v>
      </c>
      <c r="Y781">
        <v>12</v>
      </c>
      <c r="Z781">
        <v>50</v>
      </c>
      <c r="AA781">
        <v>1</v>
      </c>
      <c r="AB781">
        <v>3</v>
      </c>
      <c r="AC781">
        <v>0</v>
      </c>
      <c r="AD781">
        <v>1</v>
      </c>
      <c r="AE781" t="s">
        <v>60</v>
      </c>
    </row>
    <row r="782" spans="1:31" x14ac:dyDescent="0.2">
      <c r="A782">
        <v>749</v>
      </c>
      <c r="B782" t="s">
        <v>1363</v>
      </c>
      <c r="C782">
        <v>26</v>
      </c>
      <c r="D782" t="s">
        <v>387</v>
      </c>
      <c r="E782" t="s">
        <v>349</v>
      </c>
      <c r="F782">
        <v>15</v>
      </c>
      <c r="G782">
        <v>0</v>
      </c>
      <c r="H782">
        <v>1</v>
      </c>
      <c r="I782">
        <v>1</v>
      </c>
      <c r="J782">
        <v>-7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17</v>
      </c>
      <c r="T782">
        <v>0</v>
      </c>
      <c r="U782">
        <v>38</v>
      </c>
      <c r="V782" t="s">
        <v>1364</v>
      </c>
      <c r="W782" t="s">
        <v>1365</v>
      </c>
      <c r="X782">
        <v>0</v>
      </c>
      <c r="Y782">
        <v>0</v>
      </c>
      <c r="AA782">
        <v>31</v>
      </c>
      <c r="AB782">
        <v>31</v>
      </c>
      <c r="AC782">
        <v>4</v>
      </c>
      <c r="AD782">
        <v>18</v>
      </c>
      <c r="AE782" t="s">
        <v>60</v>
      </c>
    </row>
    <row r="783" spans="1:31" x14ac:dyDescent="0.2">
      <c r="A783">
        <v>750</v>
      </c>
      <c r="B783" t="s">
        <v>1366</v>
      </c>
      <c r="C783">
        <v>32</v>
      </c>
      <c r="D783" t="s">
        <v>412</v>
      </c>
      <c r="E783" t="s">
        <v>322</v>
      </c>
      <c r="F783">
        <v>1</v>
      </c>
      <c r="G783">
        <v>1</v>
      </c>
      <c r="H783">
        <v>0</v>
      </c>
      <c r="I783">
        <v>1</v>
      </c>
      <c r="J783">
        <v>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100</v>
      </c>
      <c r="U783">
        <v>3</v>
      </c>
      <c r="V783" t="s">
        <v>1367</v>
      </c>
      <c r="W783" t="s">
        <v>1367</v>
      </c>
      <c r="X783">
        <v>2</v>
      </c>
      <c r="Y783">
        <v>6</v>
      </c>
      <c r="Z783">
        <v>25</v>
      </c>
      <c r="AA783">
        <v>0</v>
      </c>
      <c r="AB783">
        <v>0</v>
      </c>
      <c r="AC783">
        <v>0</v>
      </c>
      <c r="AD783">
        <v>1</v>
      </c>
      <c r="AE783" t="s">
        <v>60</v>
      </c>
    </row>
    <row r="784" spans="1:31" x14ac:dyDescent="0.2">
      <c r="A784">
        <v>751</v>
      </c>
      <c r="B784" t="s">
        <v>1368</v>
      </c>
      <c r="C784">
        <v>30</v>
      </c>
      <c r="D784" t="s">
        <v>353</v>
      </c>
      <c r="E784" t="s">
        <v>349</v>
      </c>
      <c r="F784">
        <v>9</v>
      </c>
      <c r="G784">
        <v>0</v>
      </c>
      <c r="H784">
        <v>1</v>
      </c>
      <c r="I784">
        <v>1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3</v>
      </c>
      <c r="T784">
        <v>0</v>
      </c>
      <c r="U784">
        <v>16</v>
      </c>
      <c r="V784" t="s">
        <v>2595</v>
      </c>
      <c r="W784" t="s">
        <v>1961</v>
      </c>
      <c r="X784">
        <v>0</v>
      </c>
      <c r="Y784">
        <v>0</v>
      </c>
      <c r="AA784">
        <v>6</v>
      </c>
      <c r="AB784">
        <v>7</v>
      </c>
      <c r="AC784">
        <v>0</v>
      </c>
      <c r="AD784">
        <v>4</v>
      </c>
      <c r="AE784" t="s">
        <v>60</v>
      </c>
    </row>
    <row r="785" spans="1:31" x14ac:dyDescent="0.2">
      <c r="A785">
        <v>752</v>
      </c>
      <c r="B785" t="s">
        <v>1371</v>
      </c>
      <c r="C785">
        <v>20</v>
      </c>
      <c r="D785" t="s">
        <v>412</v>
      </c>
      <c r="E785" t="s">
        <v>349</v>
      </c>
      <c r="F785">
        <v>24</v>
      </c>
      <c r="G785">
        <v>0</v>
      </c>
      <c r="H785">
        <v>1</v>
      </c>
      <c r="I785">
        <v>1</v>
      </c>
      <c r="J785">
        <v>-9</v>
      </c>
      <c r="K785">
        <v>18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23</v>
      </c>
      <c r="T785">
        <v>0</v>
      </c>
      <c r="U785">
        <v>42</v>
      </c>
      <c r="V785" t="s">
        <v>1372</v>
      </c>
      <c r="W785" t="s">
        <v>566</v>
      </c>
      <c r="X785">
        <v>0</v>
      </c>
      <c r="Y785">
        <v>0</v>
      </c>
      <c r="AA785">
        <v>26</v>
      </c>
      <c r="AB785">
        <v>8</v>
      </c>
      <c r="AC785">
        <v>1</v>
      </c>
      <c r="AD785">
        <v>26</v>
      </c>
      <c r="AE785" t="s">
        <v>60</v>
      </c>
    </row>
    <row r="786" spans="1:31" x14ac:dyDescent="0.2">
      <c r="A786">
        <v>753</v>
      </c>
      <c r="B786" t="s">
        <v>1619</v>
      </c>
      <c r="C786">
        <v>24</v>
      </c>
      <c r="D786" t="s">
        <v>356</v>
      </c>
      <c r="E786" t="s">
        <v>349</v>
      </c>
      <c r="F786">
        <v>8</v>
      </c>
      <c r="G786">
        <v>0</v>
      </c>
      <c r="H786">
        <v>1</v>
      </c>
      <c r="I786">
        <v>1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8</v>
      </c>
      <c r="T786">
        <v>0</v>
      </c>
      <c r="U786">
        <v>15</v>
      </c>
      <c r="V786" t="s">
        <v>2056</v>
      </c>
      <c r="W786" t="s">
        <v>2057</v>
      </c>
      <c r="X786">
        <v>0</v>
      </c>
      <c r="Y786">
        <v>0</v>
      </c>
      <c r="AA786">
        <v>10</v>
      </c>
      <c r="AB786">
        <v>1</v>
      </c>
      <c r="AC786">
        <v>2</v>
      </c>
      <c r="AD786">
        <v>11</v>
      </c>
      <c r="AE786" t="s">
        <v>60</v>
      </c>
    </row>
    <row r="787" spans="1:31" x14ac:dyDescent="0.2">
      <c r="A787">
        <v>754</v>
      </c>
      <c r="B787" t="s">
        <v>1375</v>
      </c>
      <c r="C787">
        <v>38</v>
      </c>
      <c r="D787" t="s">
        <v>373</v>
      </c>
      <c r="E787" t="s">
        <v>3</v>
      </c>
      <c r="F787">
        <v>20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t="s">
        <v>2828</v>
      </c>
      <c r="W787" t="s">
        <v>2584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14</v>
      </c>
      <c r="AE787" t="s">
        <v>60</v>
      </c>
    </row>
    <row r="788" spans="1:31" x14ac:dyDescent="0.2">
      <c r="A788">
        <v>755</v>
      </c>
      <c r="B788" t="s">
        <v>1376</v>
      </c>
      <c r="C788">
        <v>34</v>
      </c>
      <c r="D788" t="s">
        <v>412</v>
      </c>
      <c r="E788" t="s">
        <v>340</v>
      </c>
      <c r="F788">
        <v>29</v>
      </c>
      <c r="G788">
        <v>0</v>
      </c>
      <c r="H788">
        <v>1</v>
      </c>
      <c r="I788">
        <v>1</v>
      </c>
      <c r="J788">
        <v>-9</v>
      </c>
      <c r="K788">
        <v>10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18</v>
      </c>
      <c r="T788">
        <v>0</v>
      </c>
      <c r="U788">
        <v>36</v>
      </c>
      <c r="V788" t="s">
        <v>1711</v>
      </c>
      <c r="W788" t="s">
        <v>1291</v>
      </c>
      <c r="X788">
        <v>3</v>
      </c>
      <c r="Y788">
        <v>11</v>
      </c>
      <c r="Z788">
        <v>21.4</v>
      </c>
      <c r="AA788">
        <v>13</v>
      </c>
      <c r="AB788">
        <v>76</v>
      </c>
      <c r="AC788">
        <v>2</v>
      </c>
      <c r="AD788">
        <v>18</v>
      </c>
      <c r="AE788" t="s">
        <v>60</v>
      </c>
    </row>
    <row r="789" spans="1:31" x14ac:dyDescent="0.2">
      <c r="A789">
        <v>756</v>
      </c>
      <c r="B789" t="s">
        <v>1377</v>
      </c>
      <c r="C789">
        <v>28</v>
      </c>
      <c r="D789" t="s">
        <v>368</v>
      </c>
      <c r="E789" t="s">
        <v>3</v>
      </c>
      <c r="F789">
        <v>27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t="s">
        <v>2596</v>
      </c>
      <c r="W789" t="s">
        <v>2597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13</v>
      </c>
      <c r="AE789" t="s">
        <v>60</v>
      </c>
    </row>
    <row r="790" spans="1:31" x14ac:dyDescent="0.2">
      <c r="A790">
        <v>757</v>
      </c>
      <c r="B790" t="s">
        <v>1378</v>
      </c>
      <c r="C790">
        <v>24</v>
      </c>
      <c r="D790" t="s">
        <v>378</v>
      </c>
      <c r="E790" t="s">
        <v>322</v>
      </c>
      <c r="F790">
        <v>9</v>
      </c>
      <c r="G790">
        <v>0</v>
      </c>
      <c r="H790">
        <v>1</v>
      </c>
      <c r="I790">
        <v>1</v>
      </c>
      <c r="J790">
        <v>-2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21</v>
      </c>
      <c r="V790" t="s">
        <v>1379</v>
      </c>
      <c r="W790" t="s">
        <v>850</v>
      </c>
      <c r="X790">
        <v>2</v>
      </c>
      <c r="Y790">
        <v>2</v>
      </c>
      <c r="Z790">
        <v>50</v>
      </c>
      <c r="AA790">
        <v>7</v>
      </c>
      <c r="AB790">
        <v>11</v>
      </c>
      <c r="AC790">
        <v>0</v>
      </c>
      <c r="AD790">
        <v>3</v>
      </c>
      <c r="AE790" t="s">
        <v>60</v>
      </c>
    </row>
    <row r="791" spans="1:31" x14ac:dyDescent="0.2">
      <c r="A791">
        <v>758</v>
      </c>
      <c r="B791" t="s">
        <v>1794</v>
      </c>
      <c r="C791">
        <v>31</v>
      </c>
      <c r="D791" t="s">
        <v>330</v>
      </c>
      <c r="E791" t="s">
        <v>322</v>
      </c>
      <c r="F791">
        <v>5</v>
      </c>
      <c r="G791">
        <v>0</v>
      </c>
      <c r="H791">
        <v>1</v>
      </c>
      <c r="I791">
        <v>1</v>
      </c>
      <c r="J791">
        <v>1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6</v>
      </c>
      <c r="T791">
        <v>0</v>
      </c>
      <c r="U791">
        <v>11</v>
      </c>
      <c r="V791" t="s">
        <v>2598</v>
      </c>
      <c r="W791" t="s">
        <v>1420</v>
      </c>
      <c r="X791">
        <v>10</v>
      </c>
      <c r="Y791">
        <v>12</v>
      </c>
      <c r="Z791">
        <v>45.5</v>
      </c>
      <c r="AA791">
        <v>0</v>
      </c>
      <c r="AB791">
        <v>10</v>
      </c>
      <c r="AC791">
        <v>1</v>
      </c>
      <c r="AD791">
        <v>2</v>
      </c>
      <c r="AE791" t="s">
        <v>60</v>
      </c>
    </row>
    <row r="792" spans="1:31" x14ac:dyDescent="0.2">
      <c r="A792">
        <v>759</v>
      </c>
      <c r="B792" t="s">
        <v>1380</v>
      </c>
      <c r="C792">
        <v>27</v>
      </c>
      <c r="D792" t="s">
        <v>387</v>
      </c>
      <c r="E792" t="s">
        <v>325</v>
      </c>
      <c r="F792">
        <v>21</v>
      </c>
      <c r="G792">
        <v>1</v>
      </c>
      <c r="H792">
        <v>0</v>
      </c>
      <c r="I792">
        <v>1</v>
      </c>
      <c r="J792">
        <v>-6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16</v>
      </c>
      <c r="T792">
        <v>6.3</v>
      </c>
      <c r="U792">
        <v>38</v>
      </c>
      <c r="V792" t="s">
        <v>1983</v>
      </c>
      <c r="W792" t="s">
        <v>1970</v>
      </c>
      <c r="X792">
        <v>6</v>
      </c>
      <c r="Y792">
        <v>7</v>
      </c>
      <c r="Z792">
        <v>46.2</v>
      </c>
      <c r="AA792">
        <v>4</v>
      </c>
      <c r="AB792">
        <v>38</v>
      </c>
      <c r="AC792">
        <v>3</v>
      </c>
      <c r="AD792">
        <v>14</v>
      </c>
      <c r="AE792" t="s">
        <v>60</v>
      </c>
    </row>
    <row r="793" spans="1:31" x14ac:dyDescent="0.2">
      <c r="A793">
        <v>760</v>
      </c>
      <c r="B793" t="s">
        <v>1382</v>
      </c>
      <c r="C793">
        <v>27</v>
      </c>
      <c r="D793" t="s">
        <v>356</v>
      </c>
      <c r="E793" t="s">
        <v>340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0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8</v>
      </c>
      <c r="V793" t="s">
        <v>1383</v>
      </c>
      <c r="W793" t="s">
        <v>1384</v>
      </c>
      <c r="X793">
        <v>0</v>
      </c>
      <c r="Y793">
        <v>0</v>
      </c>
      <c r="AA793">
        <v>1</v>
      </c>
      <c r="AB793">
        <v>7</v>
      </c>
      <c r="AC793">
        <v>0</v>
      </c>
      <c r="AD793">
        <v>1</v>
      </c>
      <c r="AE793" t="s">
        <v>60</v>
      </c>
    </row>
    <row r="794" spans="1:31" x14ac:dyDescent="0.2">
      <c r="A794">
        <v>761</v>
      </c>
      <c r="B794" t="s">
        <v>1385</v>
      </c>
      <c r="C794">
        <v>30</v>
      </c>
      <c r="D794" t="s">
        <v>412</v>
      </c>
      <c r="E794" t="s">
        <v>3</v>
      </c>
      <c r="F794">
        <v>11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t="s">
        <v>2166</v>
      </c>
      <c r="W794" t="s">
        <v>2167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t="s">
        <v>60</v>
      </c>
    </row>
    <row r="795" spans="1:31" x14ac:dyDescent="0.2">
      <c r="A795">
        <v>762</v>
      </c>
      <c r="B795" t="s">
        <v>1386</v>
      </c>
      <c r="C795">
        <v>29</v>
      </c>
      <c r="D795" t="s">
        <v>412</v>
      </c>
      <c r="E795" t="s">
        <v>3</v>
      </c>
      <c r="F795">
        <v>29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t="s">
        <v>2059</v>
      </c>
      <c r="W795" t="s">
        <v>2060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t="s">
        <v>60</v>
      </c>
    </row>
    <row r="796" spans="1:31" x14ac:dyDescent="0.2">
      <c r="A796">
        <v>763</v>
      </c>
      <c r="B796" t="s">
        <v>1388</v>
      </c>
      <c r="C796">
        <v>33</v>
      </c>
      <c r="D796" t="s">
        <v>321</v>
      </c>
      <c r="E796" t="s">
        <v>3</v>
      </c>
      <c r="F796">
        <v>24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t="s">
        <v>2599</v>
      </c>
      <c r="W796" t="s">
        <v>1836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10</v>
      </c>
      <c r="AE796" t="s">
        <v>60</v>
      </c>
    </row>
    <row r="797" spans="1:31" x14ac:dyDescent="0.2">
      <c r="A797">
        <v>764</v>
      </c>
      <c r="B797" t="s">
        <v>1390</v>
      </c>
      <c r="C797">
        <v>21</v>
      </c>
      <c r="D797" t="s">
        <v>365</v>
      </c>
      <c r="E797" t="s">
        <v>340</v>
      </c>
      <c r="F797">
        <v>5</v>
      </c>
      <c r="G797">
        <v>0</v>
      </c>
      <c r="H797">
        <v>1</v>
      </c>
      <c r="I797">
        <v>1</v>
      </c>
      <c r="J797">
        <v>-1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4</v>
      </c>
      <c r="T797">
        <v>0</v>
      </c>
      <c r="U797">
        <v>8</v>
      </c>
      <c r="V797" t="s">
        <v>1391</v>
      </c>
      <c r="W797" t="s">
        <v>1392</v>
      </c>
      <c r="X797">
        <v>0</v>
      </c>
      <c r="Y797">
        <v>0</v>
      </c>
      <c r="AA797">
        <v>4</v>
      </c>
      <c r="AB797">
        <v>9</v>
      </c>
      <c r="AC797">
        <v>0</v>
      </c>
      <c r="AD797">
        <v>4</v>
      </c>
      <c r="AE797" t="s">
        <v>60</v>
      </c>
    </row>
    <row r="798" spans="1:31" x14ac:dyDescent="0.2">
      <c r="A798">
        <v>765</v>
      </c>
      <c r="B798" t="s">
        <v>1393</v>
      </c>
      <c r="C798">
        <v>25</v>
      </c>
      <c r="D798" t="s">
        <v>415</v>
      </c>
      <c r="E798" t="s">
        <v>349</v>
      </c>
      <c r="F798">
        <v>13</v>
      </c>
      <c r="G798">
        <v>0</v>
      </c>
      <c r="H798">
        <v>1</v>
      </c>
      <c r="I798">
        <v>1</v>
      </c>
      <c r="J798">
        <v>4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9</v>
      </c>
      <c r="T798">
        <v>0</v>
      </c>
      <c r="U798">
        <v>19</v>
      </c>
      <c r="V798" t="s">
        <v>1394</v>
      </c>
      <c r="W798" t="s">
        <v>1058</v>
      </c>
      <c r="X798">
        <v>0</v>
      </c>
      <c r="Y798">
        <v>0</v>
      </c>
      <c r="AA798">
        <v>15</v>
      </c>
      <c r="AB798">
        <v>2</v>
      </c>
      <c r="AC798">
        <v>1</v>
      </c>
      <c r="AD798">
        <v>10</v>
      </c>
      <c r="AE798" t="s">
        <v>60</v>
      </c>
    </row>
    <row r="799" spans="1:31" x14ac:dyDescent="0.2">
      <c r="A799">
        <v>766</v>
      </c>
      <c r="B799" t="s">
        <v>1395</v>
      </c>
      <c r="C799">
        <v>35</v>
      </c>
      <c r="D799" t="s">
        <v>412</v>
      </c>
      <c r="E799" t="s">
        <v>340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1</v>
      </c>
      <c r="V799" t="s">
        <v>923</v>
      </c>
      <c r="W799" t="s">
        <v>1396</v>
      </c>
      <c r="X799">
        <v>3</v>
      </c>
      <c r="Y799">
        <v>4</v>
      </c>
      <c r="Z799">
        <v>42.9</v>
      </c>
      <c r="AA799">
        <v>1</v>
      </c>
      <c r="AB799">
        <v>4</v>
      </c>
      <c r="AC799">
        <v>1</v>
      </c>
      <c r="AD799">
        <v>1</v>
      </c>
      <c r="AE799" t="s">
        <v>60</v>
      </c>
    </row>
    <row r="800" spans="1:31" x14ac:dyDescent="0.2">
      <c r="A800">
        <v>767</v>
      </c>
      <c r="B800" t="s">
        <v>1786</v>
      </c>
      <c r="C800">
        <v>24</v>
      </c>
      <c r="D800" t="s">
        <v>361</v>
      </c>
      <c r="E800" t="s">
        <v>3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t="s">
        <v>1547</v>
      </c>
      <c r="W800" t="s">
        <v>1547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0</v>
      </c>
      <c r="AE800" t="s">
        <v>60</v>
      </c>
    </row>
    <row r="801" spans="1:31" x14ac:dyDescent="0.2">
      <c r="A801">
        <v>768</v>
      </c>
      <c r="B801" t="s">
        <v>1397</v>
      </c>
      <c r="C801">
        <v>35</v>
      </c>
      <c r="D801" t="s">
        <v>404</v>
      </c>
      <c r="E801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t="s">
        <v>2600</v>
      </c>
      <c r="W801" t="s">
        <v>2601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t="s">
        <v>60</v>
      </c>
    </row>
    <row r="802" spans="1:31" x14ac:dyDescent="0.2">
      <c r="A802">
        <v>769</v>
      </c>
      <c r="B802" t="s">
        <v>1398</v>
      </c>
      <c r="C802">
        <v>25</v>
      </c>
      <c r="D802" t="s">
        <v>461</v>
      </c>
      <c r="E802" t="s">
        <v>322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3</v>
      </c>
      <c r="V802" t="s">
        <v>1399</v>
      </c>
      <c r="W802" t="s">
        <v>1400</v>
      </c>
      <c r="X802">
        <v>1</v>
      </c>
      <c r="Y802">
        <v>1</v>
      </c>
      <c r="Z802">
        <v>50</v>
      </c>
      <c r="AA802">
        <v>1</v>
      </c>
      <c r="AB802">
        <v>2</v>
      </c>
      <c r="AC802">
        <v>0</v>
      </c>
      <c r="AD802">
        <v>1</v>
      </c>
      <c r="AE802" t="s">
        <v>60</v>
      </c>
    </row>
    <row r="803" spans="1:31" x14ac:dyDescent="0.2">
      <c r="A803">
        <v>770</v>
      </c>
      <c r="B803" t="s">
        <v>1401</v>
      </c>
      <c r="C803">
        <v>36</v>
      </c>
      <c r="D803" t="s">
        <v>402</v>
      </c>
      <c r="E803" t="s">
        <v>3</v>
      </c>
      <c r="F803">
        <v>15</v>
      </c>
      <c r="G803">
        <v>0</v>
      </c>
      <c r="H803">
        <v>0</v>
      </c>
      <c r="I803">
        <v>0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t="s">
        <v>2169</v>
      </c>
      <c r="W803" t="s">
        <v>2066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11</v>
      </c>
      <c r="AE803" t="s">
        <v>60</v>
      </c>
    </row>
    <row r="804" spans="1:31" x14ac:dyDescent="0.2">
      <c r="A804">
        <v>771</v>
      </c>
      <c r="B804" t="s">
        <v>1403</v>
      </c>
      <c r="C804">
        <v>25</v>
      </c>
      <c r="D804" t="s">
        <v>476</v>
      </c>
      <c r="E804" t="s">
        <v>3</v>
      </c>
      <c r="F804">
        <v>11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t="s">
        <v>2061</v>
      </c>
      <c r="W804" t="s">
        <v>2062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t="s">
        <v>60</v>
      </c>
    </row>
    <row r="805" spans="1:31" x14ac:dyDescent="0.2">
      <c r="A805">
        <v>772</v>
      </c>
      <c r="B805" t="s">
        <v>1404</v>
      </c>
      <c r="C805">
        <v>23</v>
      </c>
      <c r="D805" t="s">
        <v>324</v>
      </c>
      <c r="E805" t="s">
        <v>3</v>
      </c>
      <c r="F805">
        <v>24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t="s">
        <v>2602</v>
      </c>
      <c r="W805" t="s">
        <v>2603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7</v>
      </c>
      <c r="AE805" t="s">
        <v>60</v>
      </c>
    </row>
    <row r="806" spans="1:31" x14ac:dyDescent="0.2">
      <c r="A806">
        <v>773</v>
      </c>
      <c r="B806" t="s">
        <v>1406</v>
      </c>
      <c r="C806">
        <v>23</v>
      </c>
      <c r="D806" t="s">
        <v>363</v>
      </c>
      <c r="E806" t="s">
        <v>340</v>
      </c>
      <c r="F806">
        <v>11</v>
      </c>
      <c r="G806">
        <v>0</v>
      </c>
      <c r="H806">
        <v>0</v>
      </c>
      <c r="I806">
        <v>0</v>
      </c>
      <c r="J806">
        <v>-1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10</v>
      </c>
      <c r="T806">
        <v>0</v>
      </c>
      <c r="U806">
        <v>33</v>
      </c>
      <c r="V806" t="s">
        <v>1810</v>
      </c>
      <c r="W806" t="s">
        <v>1692</v>
      </c>
      <c r="X806">
        <v>0</v>
      </c>
      <c r="Y806">
        <v>0</v>
      </c>
      <c r="AA806">
        <v>9</v>
      </c>
      <c r="AB806">
        <v>15</v>
      </c>
      <c r="AC806">
        <v>1</v>
      </c>
      <c r="AD806">
        <v>8</v>
      </c>
      <c r="AE806" t="s">
        <v>60</v>
      </c>
    </row>
    <row r="807" spans="1:31" x14ac:dyDescent="0.2">
      <c r="A807">
        <v>774</v>
      </c>
      <c r="B807" t="s">
        <v>1407</v>
      </c>
      <c r="C807">
        <v>29</v>
      </c>
      <c r="D807" t="s">
        <v>321</v>
      </c>
      <c r="E807" t="s">
        <v>3</v>
      </c>
      <c r="F807">
        <v>14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t="s">
        <v>2063</v>
      </c>
      <c r="W807" t="s">
        <v>2064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</v>
      </c>
      <c r="AE807" t="s">
        <v>60</v>
      </c>
    </row>
    <row r="808" spans="1:31" x14ac:dyDescent="0.2">
      <c r="A808">
        <v>775</v>
      </c>
      <c r="B808" t="s">
        <v>1408</v>
      </c>
      <c r="C808">
        <v>25</v>
      </c>
      <c r="D808" t="s">
        <v>356</v>
      </c>
      <c r="E808" t="s">
        <v>335</v>
      </c>
      <c r="F808">
        <v>4</v>
      </c>
      <c r="G808">
        <v>0</v>
      </c>
      <c r="H808">
        <v>0</v>
      </c>
      <c r="I808">
        <v>0</v>
      </c>
      <c r="J808">
        <v>-3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4</v>
      </c>
      <c r="T808">
        <v>0</v>
      </c>
      <c r="U808">
        <v>10</v>
      </c>
      <c r="V808" t="s">
        <v>1409</v>
      </c>
      <c r="W808" t="s">
        <v>902</v>
      </c>
      <c r="X808">
        <v>0</v>
      </c>
      <c r="Y808">
        <v>1</v>
      </c>
      <c r="Z808">
        <v>0</v>
      </c>
      <c r="AA808">
        <v>2</v>
      </c>
      <c r="AB808">
        <v>2</v>
      </c>
      <c r="AC808">
        <v>0</v>
      </c>
      <c r="AD808">
        <v>3</v>
      </c>
      <c r="AE808" t="s">
        <v>60</v>
      </c>
    </row>
    <row r="809" spans="1:31" x14ac:dyDescent="0.2">
      <c r="A809">
        <v>776</v>
      </c>
      <c r="B809" t="s">
        <v>2604</v>
      </c>
      <c r="C809">
        <v>23</v>
      </c>
      <c r="D809" t="s">
        <v>426</v>
      </c>
      <c r="E809" t="s">
        <v>322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5</v>
      </c>
      <c r="V809" t="s">
        <v>1855</v>
      </c>
      <c r="W809" t="s">
        <v>1855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0</v>
      </c>
      <c r="AE809" t="s">
        <v>60</v>
      </c>
    </row>
    <row r="810" spans="1:31" x14ac:dyDescent="0.2">
      <c r="A810">
        <v>777</v>
      </c>
      <c r="B810" t="s">
        <v>1410</v>
      </c>
      <c r="C810">
        <v>23</v>
      </c>
      <c r="D810" t="s">
        <v>378</v>
      </c>
      <c r="E810" t="s">
        <v>322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t="s">
        <v>1250</v>
      </c>
      <c r="W810" t="s">
        <v>1250</v>
      </c>
      <c r="X810">
        <v>3</v>
      </c>
      <c r="Y810">
        <v>3</v>
      </c>
      <c r="Z810">
        <v>50</v>
      </c>
      <c r="AA810">
        <v>0</v>
      </c>
      <c r="AB810">
        <v>0</v>
      </c>
      <c r="AC810">
        <v>0</v>
      </c>
      <c r="AD810">
        <v>1</v>
      </c>
      <c r="AE810" t="s">
        <v>60</v>
      </c>
    </row>
    <row r="811" spans="1:31" x14ac:dyDescent="0.2">
      <c r="A811">
        <v>778</v>
      </c>
      <c r="B811" t="s">
        <v>1712</v>
      </c>
      <c r="C811">
        <v>21</v>
      </c>
      <c r="D811" t="s">
        <v>448</v>
      </c>
      <c r="E811" t="s">
        <v>349</v>
      </c>
      <c r="F811">
        <v>7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7</v>
      </c>
      <c r="T811">
        <v>0</v>
      </c>
      <c r="U811">
        <v>18</v>
      </c>
      <c r="V811" t="s">
        <v>2605</v>
      </c>
      <c r="W811" t="s">
        <v>1925</v>
      </c>
      <c r="X811">
        <v>0</v>
      </c>
      <c r="Y811">
        <v>0</v>
      </c>
      <c r="AA811">
        <v>1</v>
      </c>
      <c r="AB811">
        <v>3</v>
      </c>
      <c r="AC811">
        <v>0</v>
      </c>
      <c r="AD811">
        <v>4</v>
      </c>
      <c r="AE811" t="s">
        <v>60</v>
      </c>
    </row>
    <row r="812" spans="1:31" x14ac:dyDescent="0.2">
      <c r="A812">
        <v>779</v>
      </c>
      <c r="B812" t="s">
        <v>1694</v>
      </c>
      <c r="C812">
        <v>23</v>
      </c>
      <c r="D812" t="s">
        <v>337</v>
      </c>
      <c r="E812" t="s">
        <v>3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t="s">
        <v>341</v>
      </c>
      <c r="W812" t="s">
        <v>341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0</v>
      </c>
      <c r="AE812" t="s">
        <v>60</v>
      </c>
    </row>
    <row r="813" spans="1:31" x14ac:dyDescent="0.2">
      <c r="A813">
        <v>780</v>
      </c>
      <c r="B813" t="s">
        <v>1412</v>
      </c>
      <c r="C813">
        <v>26</v>
      </c>
      <c r="D813" t="s">
        <v>356</v>
      </c>
      <c r="E813" t="s">
        <v>349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4</v>
      </c>
      <c r="V813" t="s">
        <v>1413</v>
      </c>
      <c r="W813" t="s">
        <v>908</v>
      </c>
      <c r="X813">
        <v>0</v>
      </c>
      <c r="Y813">
        <v>0</v>
      </c>
      <c r="AA813">
        <v>9</v>
      </c>
      <c r="AB813">
        <v>3</v>
      </c>
      <c r="AC813">
        <v>2</v>
      </c>
      <c r="AD813">
        <v>3</v>
      </c>
      <c r="AE813" t="s">
        <v>60</v>
      </c>
    </row>
    <row r="814" spans="1:31" x14ac:dyDescent="0.2">
      <c r="A814">
        <v>781</v>
      </c>
      <c r="B814" t="s">
        <v>1414</v>
      </c>
      <c r="C814">
        <v>22</v>
      </c>
      <c r="D814" t="s">
        <v>404</v>
      </c>
      <c r="E814" t="s">
        <v>349</v>
      </c>
      <c r="F814">
        <v>2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8</v>
      </c>
      <c r="V814" t="s">
        <v>1415</v>
      </c>
      <c r="W814" t="s">
        <v>581</v>
      </c>
      <c r="X814">
        <v>0</v>
      </c>
      <c r="Y814">
        <v>0</v>
      </c>
      <c r="AA814">
        <v>1</v>
      </c>
      <c r="AB814">
        <v>0</v>
      </c>
      <c r="AC814">
        <v>2</v>
      </c>
      <c r="AD814">
        <v>3</v>
      </c>
      <c r="AE814" t="s">
        <v>60</v>
      </c>
    </row>
    <row r="815" spans="1:31" x14ac:dyDescent="0.2">
      <c r="A815">
        <v>782</v>
      </c>
      <c r="B815" t="s">
        <v>1416</v>
      </c>
      <c r="C815">
        <v>28</v>
      </c>
      <c r="D815" t="s">
        <v>353</v>
      </c>
      <c r="E815" t="s">
        <v>325</v>
      </c>
      <c r="F815">
        <v>7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8</v>
      </c>
      <c r="T815">
        <v>0</v>
      </c>
      <c r="U815">
        <v>10</v>
      </c>
      <c r="V815" t="s">
        <v>1417</v>
      </c>
      <c r="W815" t="s">
        <v>1381</v>
      </c>
      <c r="X815">
        <v>1</v>
      </c>
      <c r="Y815">
        <v>2</v>
      </c>
      <c r="Z815">
        <v>33.299999999999997</v>
      </c>
      <c r="AA815">
        <v>2</v>
      </c>
      <c r="AB815">
        <v>19</v>
      </c>
      <c r="AC815">
        <v>0</v>
      </c>
      <c r="AD815">
        <v>5</v>
      </c>
      <c r="AE815" t="s">
        <v>60</v>
      </c>
    </row>
    <row r="816" spans="1:31" x14ac:dyDescent="0.2">
      <c r="A816">
        <v>783</v>
      </c>
      <c r="B816" t="s">
        <v>1418</v>
      </c>
      <c r="C816">
        <v>22</v>
      </c>
      <c r="D816" t="s">
        <v>346</v>
      </c>
      <c r="E816" t="s">
        <v>335</v>
      </c>
      <c r="F816">
        <v>8</v>
      </c>
      <c r="G816">
        <v>0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0</v>
      </c>
      <c r="U816">
        <v>16</v>
      </c>
      <c r="V816" t="s">
        <v>1419</v>
      </c>
      <c r="W816" t="s">
        <v>1420</v>
      </c>
      <c r="X816">
        <v>0</v>
      </c>
      <c r="Y816">
        <v>0</v>
      </c>
      <c r="AA816">
        <v>5</v>
      </c>
      <c r="AB816">
        <v>10</v>
      </c>
      <c r="AC816">
        <v>2</v>
      </c>
      <c r="AD816">
        <v>6</v>
      </c>
      <c r="AE816" t="s">
        <v>60</v>
      </c>
    </row>
    <row r="817" spans="1:31" x14ac:dyDescent="0.2">
      <c r="A817">
        <v>784</v>
      </c>
      <c r="B817" t="s">
        <v>1421</v>
      </c>
      <c r="C817">
        <v>22</v>
      </c>
      <c r="D817" t="s">
        <v>363</v>
      </c>
      <c r="E817" t="s">
        <v>335</v>
      </c>
      <c r="F817">
        <v>6</v>
      </c>
      <c r="G817">
        <v>0</v>
      </c>
      <c r="H817">
        <v>0</v>
      </c>
      <c r="I817">
        <v>0</v>
      </c>
      <c r="J817">
        <v>-2</v>
      </c>
      <c r="K817">
        <v>7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6</v>
      </c>
      <c r="V817" t="s">
        <v>1829</v>
      </c>
      <c r="W817" t="s">
        <v>1830</v>
      </c>
      <c r="X817">
        <v>0</v>
      </c>
      <c r="Y817">
        <v>0</v>
      </c>
      <c r="AA817">
        <v>3</v>
      </c>
      <c r="AB817">
        <v>13</v>
      </c>
      <c r="AC817">
        <v>0</v>
      </c>
      <c r="AD817">
        <v>1</v>
      </c>
      <c r="AE817" t="s">
        <v>60</v>
      </c>
    </row>
    <row r="818" spans="1:31" x14ac:dyDescent="0.2">
      <c r="A818">
        <v>785</v>
      </c>
      <c r="B818" t="s">
        <v>1422</v>
      </c>
      <c r="C818">
        <v>30</v>
      </c>
      <c r="D818" t="s">
        <v>378</v>
      </c>
      <c r="E818" t="s">
        <v>349</v>
      </c>
      <c r="F818">
        <v>15</v>
      </c>
      <c r="G818">
        <v>0</v>
      </c>
      <c r="H818">
        <v>0</v>
      </c>
      <c r="I818">
        <v>0</v>
      </c>
      <c r="J818">
        <v>-3</v>
      </c>
      <c r="K818">
        <v>10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39</v>
      </c>
      <c r="V818" t="s">
        <v>1984</v>
      </c>
      <c r="W818" t="s">
        <v>1985</v>
      </c>
      <c r="X818">
        <v>0</v>
      </c>
      <c r="Y818">
        <v>0</v>
      </c>
      <c r="AA818">
        <v>26</v>
      </c>
      <c r="AB818">
        <v>63</v>
      </c>
      <c r="AC818">
        <v>5</v>
      </c>
      <c r="AD818">
        <v>10</v>
      </c>
      <c r="AE818" t="s">
        <v>60</v>
      </c>
    </row>
    <row r="819" spans="1:31" x14ac:dyDescent="0.2">
      <c r="A819">
        <v>786</v>
      </c>
      <c r="B819" t="s">
        <v>1423</v>
      </c>
      <c r="C819">
        <v>30</v>
      </c>
      <c r="D819" t="s">
        <v>346</v>
      </c>
      <c r="E819" t="s">
        <v>3</v>
      </c>
      <c r="F819">
        <v>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t="s">
        <v>1747</v>
      </c>
      <c r="W819" t="s">
        <v>1748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t="s">
        <v>60</v>
      </c>
    </row>
    <row r="820" spans="1:31" x14ac:dyDescent="0.2">
      <c r="A820">
        <v>787</v>
      </c>
      <c r="B820" t="s">
        <v>1424</v>
      </c>
      <c r="C820">
        <v>28</v>
      </c>
      <c r="D820" t="s">
        <v>448</v>
      </c>
      <c r="E820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t="s">
        <v>1986</v>
      </c>
      <c r="W820" t="s">
        <v>1987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t="s">
        <v>60</v>
      </c>
    </row>
    <row r="821" spans="1:31" x14ac:dyDescent="0.2">
      <c r="A821">
        <v>788</v>
      </c>
      <c r="B821" t="s">
        <v>1425</v>
      </c>
      <c r="C821">
        <v>18</v>
      </c>
      <c r="D821" t="s">
        <v>461</v>
      </c>
      <c r="E821" t="s">
        <v>322</v>
      </c>
      <c r="F821">
        <v>3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t="s">
        <v>1426</v>
      </c>
      <c r="W821" t="s">
        <v>676</v>
      </c>
      <c r="X821">
        <v>5</v>
      </c>
      <c r="Y821">
        <v>8</v>
      </c>
      <c r="Z821">
        <v>38.5</v>
      </c>
      <c r="AA821">
        <v>1</v>
      </c>
      <c r="AB821">
        <v>3</v>
      </c>
      <c r="AC821">
        <v>0</v>
      </c>
      <c r="AD821">
        <v>4</v>
      </c>
      <c r="AE821" t="s">
        <v>60</v>
      </c>
    </row>
    <row r="822" spans="1:31" x14ac:dyDescent="0.2">
      <c r="A822">
        <v>789</v>
      </c>
      <c r="B822" t="s">
        <v>2170</v>
      </c>
      <c r="C822">
        <v>34</v>
      </c>
      <c r="D822" t="s">
        <v>429</v>
      </c>
      <c r="E822" t="s">
        <v>3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t="s">
        <v>2171</v>
      </c>
      <c r="W822" t="s">
        <v>2171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0</v>
      </c>
      <c r="AE822" t="s">
        <v>60</v>
      </c>
    </row>
    <row r="823" spans="1:31" x14ac:dyDescent="0.2">
      <c r="A823">
        <v>790</v>
      </c>
      <c r="B823" t="s">
        <v>1428</v>
      </c>
      <c r="C823">
        <v>36</v>
      </c>
      <c r="D823" t="s">
        <v>404</v>
      </c>
      <c r="E823" t="s">
        <v>335</v>
      </c>
      <c r="F823">
        <v>5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13</v>
      </c>
      <c r="V823" t="s">
        <v>1429</v>
      </c>
      <c r="W823" t="s">
        <v>1008</v>
      </c>
      <c r="X823">
        <v>0</v>
      </c>
      <c r="Y823">
        <v>0</v>
      </c>
      <c r="AA823">
        <v>4</v>
      </c>
      <c r="AB823">
        <v>2</v>
      </c>
      <c r="AC823">
        <v>2</v>
      </c>
      <c r="AD823">
        <v>5</v>
      </c>
      <c r="AE823" t="s">
        <v>60</v>
      </c>
    </row>
    <row r="824" spans="1:31" x14ac:dyDescent="0.2">
      <c r="A824">
        <v>791</v>
      </c>
      <c r="B824" t="s">
        <v>1430</v>
      </c>
      <c r="C824">
        <v>32</v>
      </c>
      <c r="D824" t="s">
        <v>439</v>
      </c>
      <c r="E824" t="s">
        <v>335</v>
      </c>
      <c r="F824">
        <v>4</v>
      </c>
      <c r="G824">
        <v>0</v>
      </c>
      <c r="H824">
        <v>0</v>
      </c>
      <c r="I824">
        <v>0</v>
      </c>
      <c r="J824">
        <v>-2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6</v>
      </c>
      <c r="V824" t="s">
        <v>1431</v>
      </c>
      <c r="W824" t="s">
        <v>912</v>
      </c>
      <c r="X824">
        <v>17</v>
      </c>
      <c r="Y824">
        <v>14</v>
      </c>
      <c r="Z824">
        <v>54.8</v>
      </c>
      <c r="AA824">
        <v>4</v>
      </c>
      <c r="AB824">
        <v>3</v>
      </c>
      <c r="AC824">
        <v>0</v>
      </c>
      <c r="AD824">
        <v>3</v>
      </c>
      <c r="AE824" t="s">
        <v>60</v>
      </c>
    </row>
    <row r="825" spans="1:31" x14ac:dyDescent="0.2">
      <c r="A825">
        <v>792</v>
      </c>
      <c r="B825" t="s">
        <v>1432</v>
      </c>
      <c r="C825">
        <v>25</v>
      </c>
      <c r="D825" t="s">
        <v>404</v>
      </c>
      <c r="E825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t="s">
        <v>1433</v>
      </c>
      <c r="W825" t="s">
        <v>1433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t="s">
        <v>60</v>
      </c>
    </row>
    <row r="826" spans="1:31" x14ac:dyDescent="0.2">
      <c r="A826">
        <v>793</v>
      </c>
      <c r="B826" t="s">
        <v>1434</v>
      </c>
      <c r="C826">
        <v>23</v>
      </c>
      <c r="D826" t="s">
        <v>330</v>
      </c>
      <c r="E826" t="s">
        <v>349</v>
      </c>
      <c r="F826">
        <v>2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5</v>
      </c>
      <c r="V826" t="s">
        <v>1831</v>
      </c>
      <c r="W826" t="s">
        <v>1798</v>
      </c>
      <c r="X826">
        <v>0</v>
      </c>
      <c r="Y826">
        <v>0</v>
      </c>
      <c r="AA826">
        <v>3</v>
      </c>
      <c r="AB826">
        <v>6</v>
      </c>
      <c r="AC826">
        <v>0</v>
      </c>
      <c r="AD826">
        <v>3</v>
      </c>
      <c r="AE826" t="s">
        <v>60</v>
      </c>
    </row>
    <row r="827" spans="1:31" x14ac:dyDescent="0.2">
      <c r="A827">
        <v>794</v>
      </c>
      <c r="B827" t="s">
        <v>1436</v>
      </c>
      <c r="C827">
        <v>34</v>
      </c>
      <c r="D827" t="s">
        <v>415</v>
      </c>
      <c r="E827" t="s">
        <v>340</v>
      </c>
      <c r="F827">
        <v>16</v>
      </c>
      <c r="G827">
        <v>0</v>
      </c>
      <c r="H827">
        <v>0</v>
      </c>
      <c r="I827">
        <v>0</v>
      </c>
      <c r="J827">
        <v>-3</v>
      </c>
      <c r="K827">
        <v>24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7</v>
      </c>
      <c r="T827">
        <v>0</v>
      </c>
      <c r="U827">
        <v>16</v>
      </c>
      <c r="V827" t="s">
        <v>1988</v>
      </c>
      <c r="W827" t="s">
        <v>1989</v>
      </c>
      <c r="X827">
        <v>1</v>
      </c>
      <c r="Y827">
        <v>0</v>
      </c>
      <c r="Z827">
        <v>100</v>
      </c>
      <c r="AA827">
        <v>4</v>
      </c>
      <c r="AB827">
        <v>56</v>
      </c>
      <c r="AC827">
        <v>2</v>
      </c>
      <c r="AD827">
        <v>7</v>
      </c>
      <c r="AE827" t="s">
        <v>60</v>
      </c>
    </row>
    <row r="828" spans="1:31" x14ac:dyDescent="0.2">
      <c r="A828">
        <v>795</v>
      </c>
      <c r="B828" t="s">
        <v>1437</v>
      </c>
      <c r="C828">
        <v>34</v>
      </c>
      <c r="D828" t="s">
        <v>334</v>
      </c>
      <c r="E828" t="s">
        <v>3</v>
      </c>
      <c r="F828">
        <v>14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t="s">
        <v>2172</v>
      </c>
      <c r="W828" t="s">
        <v>2173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5</v>
      </c>
      <c r="AE828" t="s">
        <v>60</v>
      </c>
    </row>
    <row r="829" spans="1:31" x14ac:dyDescent="0.2">
      <c r="A829">
        <v>796</v>
      </c>
      <c r="B829" t="s">
        <v>1438</v>
      </c>
      <c r="C829">
        <v>22</v>
      </c>
      <c r="D829" t="s">
        <v>375</v>
      </c>
      <c r="E829" t="s">
        <v>335</v>
      </c>
      <c r="F829">
        <v>6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14</v>
      </c>
      <c r="V829" t="s">
        <v>1439</v>
      </c>
      <c r="W829" t="s">
        <v>1440</v>
      </c>
      <c r="X829">
        <v>0</v>
      </c>
      <c r="Y829">
        <v>0</v>
      </c>
      <c r="AA829">
        <v>0</v>
      </c>
      <c r="AB829">
        <v>4</v>
      </c>
      <c r="AC829">
        <v>0</v>
      </c>
      <c r="AD829">
        <v>2</v>
      </c>
      <c r="AE829" t="s">
        <v>60</v>
      </c>
    </row>
    <row r="830" spans="1:31" x14ac:dyDescent="0.2">
      <c r="A830">
        <v>797</v>
      </c>
      <c r="B830" t="s">
        <v>1441</v>
      </c>
      <c r="C830">
        <v>24</v>
      </c>
      <c r="D830" t="s">
        <v>365</v>
      </c>
      <c r="E830" t="s">
        <v>3</v>
      </c>
      <c r="F830">
        <v>20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t="s">
        <v>2065</v>
      </c>
      <c r="W830" t="s">
        <v>2058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t="s">
        <v>60</v>
      </c>
    </row>
    <row r="831" spans="1:31" x14ac:dyDescent="0.2">
      <c r="A831">
        <v>798</v>
      </c>
      <c r="B831" t="s">
        <v>1442</v>
      </c>
      <c r="C831">
        <v>25</v>
      </c>
      <c r="D831" t="s">
        <v>337</v>
      </c>
      <c r="E831" t="s">
        <v>3</v>
      </c>
      <c r="F831">
        <v>23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t="s">
        <v>2606</v>
      </c>
      <c r="W831" t="s">
        <v>2607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t="s">
        <v>60</v>
      </c>
    </row>
    <row r="832" spans="1:31" x14ac:dyDescent="0.2">
      <c r="A832">
        <v>799</v>
      </c>
      <c r="B832" t="s">
        <v>1443</v>
      </c>
      <c r="C832">
        <v>27</v>
      </c>
      <c r="D832" t="s">
        <v>368</v>
      </c>
      <c r="E832" t="s">
        <v>322</v>
      </c>
      <c r="F832">
        <v>6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9</v>
      </c>
      <c r="T832">
        <v>0</v>
      </c>
      <c r="U832">
        <v>19</v>
      </c>
      <c r="V832" t="s">
        <v>1444</v>
      </c>
      <c r="W832" t="s">
        <v>500</v>
      </c>
      <c r="X832">
        <v>33</v>
      </c>
      <c r="Y832">
        <v>45</v>
      </c>
      <c r="Z832">
        <v>42.3</v>
      </c>
      <c r="AA832">
        <v>3</v>
      </c>
      <c r="AB832">
        <v>6</v>
      </c>
      <c r="AC832">
        <v>1</v>
      </c>
      <c r="AD832">
        <v>2</v>
      </c>
      <c r="AE832" t="s">
        <v>60</v>
      </c>
    </row>
    <row r="833" spans="1:31" x14ac:dyDescent="0.2">
      <c r="A833">
        <v>800</v>
      </c>
      <c r="B833" t="s">
        <v>1445</v>
      </c>
      <c r="C833">
        <v>22</v>
      </c>
      <c r="D833" t="s">
        <v>365</v>
      </c>
      <c r="E833" t="s">
        <v>349</v>
      </c>
      <c r="F833">
        <v>9</v>
      </c>
      <c r="G833">
        <v>0</v>
      </c>
      <c r="H833">
        <v>0</v>
      </c>
      <c r="I833">
        <v>0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6</v>
      </c>
      <c r="T833">
        <v>0</v>
      </c>
      <c r="U833">
        <v>18</v>
      </c>
      <c r="V833" t="s">
        <v>1902</v>
      </c>
      <c r="W833" t="s">
        <v>937</v>
      </c>
      <c r="X833">
        <v>0</v>
      </c>
      <c r="Y833">
        <v>0</v>
      </c>
      <c r="AA833">
        <v>3</v>
      </c>
      <c r="AB833">
        <v>4</v>
      </c>
      <c r="AC833">
        <v>2</v>
      </c>
      <c r="AD833">
        <v>5</v>
      </c>
      <c r="AE833" t="s">
        <v>60</v>
      </c>
    </row>
    <row r="834" spans="1:31" x14ac:dyDescent="0.2">
      <c r="A834">
        <v>801</v>
      </c>
      <c r="B834" t="s">
        <v>1447</v>
      </c>
      <c r="C834">
        <v>26</v>
      </c>
      <c r="D834" t="s">
        <v>415</v>
      </c>
      <c r="E834" t="s">
        <v>3</v>
      </c>
      <c r="F834">
        <v>14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t="s">
        <v>2174</v>
      </c>
      <c r="W834" t="s">
        <v>2175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t="s">
        <v>60</v>
      </c>
    </row>
    <row r="835" spans="1:31" x14ac:dyDescent="0.2">
      <c r="A835">
        <v>802</v>
      </c>
      <c r="B835" t="s">
        <v>1448</v>
      </c>
      <c r="C835">
        <v>24</v>
      </c>
      <c r="D835" t="s">
        <v>402</v>
      </c>
      <c r="E835" t="s">
        <v>349</v>
      </c>
      <c r="F835">
        <v>1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2</v>
      </c>
      <c r="T835">
        <v>0</v>
      </c>
      <c r="U835">
        <v>5</v>
      </c>
      <c r="V835" t="s">
        <v>939</v>
      </c>
      <c r="W835" t="s">
        <v>939</v>
      </c>
      <c r="X835">
        <v>0</v>
      </c>
      <c r="Y835">
        <v>0</v>
      </c>
      <c r="AA835">
        <v>3</v>
      </c>
      <c r="AB835">
        <v>1</v>
      </c>
      <c r="AC835">
        <v>0</v>
      </c>
      <c r="AD835">
        <v>0</v>
      </c>
      <c r="AE835" t="s">
        <v>60</v>
      </c>
    </row>
    <row r="836" spans="1:31" x14ac:dyDescent="0.2">
      <c r="A836">
        <v>803</v>
      </c>
      <c r="B836" t="s">
        <v>1449</v>
      </c>
      <c r="C836">
        <v>29</v>
      </c>
      <c r="D836" t="s">
        <v>346</v>
      </c>
      <c r="E836" t="s">
        <v>349</v>
      </c>
      <c r="F836">
        <v>16</v>
      </c>
      <c r="G836">
        <v>0</v>
      </c>
      <c r="H836">
        <v>0</v>
      </c>
      <c r="I836">
        <v>0</v>
      </c>
      <c r="J836">
        <v>-7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11</v>
      </c>
      <c r="T836">
        <v>0</v>
      </c>
      <c r="U836">
        <v>28</v>
      </c>
      <c r="V836" t="s">
        <v>1881</v>
      </c>
      <c r="W836" t="s">
        <v>691</v>
      </c>
      <c r="X836">
        <v>0</v>
      </c>
      <c r="Y836">
        <v>0</v>
      </c>
      <c r="AA836">
        <v>26</v>
      </c>
      <c r="AB836">
        <v>23</v>
      </c>
      <c r="AC836">
        <v>5</v>
      </c>
      <c r="AD836">
        <v>11</v>
      </c>
      <c r="AE836" t="s">
        <v>60</v>
      </c>
    </row>
    <row r="837" spans="1:31" x14ac:dyDescent="0.2">
      <c r="A837">
        <v>804</v>
      </c>
      <c r="B837" t="s">
        <v>1451</v>
      </c>
      <c r="C837">
        <v>33</v>
      </c>
      <c r="D837" t="s">
        <v>461</v>
      </c>
      <c r="E837" t="s">
        <v>349</v>
      </c>
      <c r="F837">
        <v>2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1</v>
      </c>
      <c r="V837" t="s">
        <v>1452</v>
      </c>
      <c r="W837" t="s">
        <v>1453</v>
      </c>
      <c r="X837">
        <v>0</v>
      </c>
      <c r="Y837">
        <v>0</v>
      </c>
      <c r="AA837">
        <v>4</v>
      </c>
      <c r="AB837">
        <v>2</v>
      </c>
      <c r="AC837">
        <v>0</v>
      </c>
      <c r="AD837">
        <v>5</v>
      </c>
      <c r="AE837" t="s">
        <v>60</v>
      </c>
    </row>
    <row r="838" spans="1:31" x14ac:dyDescent="0.2">
      <c r="A838">
        <v>805</v>
      </c>
      <c r="B838" t="s">
        <v>1454</v>
      </c>
      <c r="C838">
        <v>33</v>
      </c>
      <c r="D838" t="s">
        <v>429</v>
      </c>
      <c r="E838" t="s">
        <v>3</v>
      </c>
      <c r="F838">
        <v>14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t="s">
        <v>2608</v>
      </c>
      <c r="W838" t="s">
        <v>2609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3</v>
      </c>
      <c r="AE838" t="s">
        <v>60</v>
      </c>
    </row>
    <row r="839" spans="1:31" x14ac:dyDescent="0.2">
      <c r="A839">
        <v>806</v>
      </c>
      <c r="B839" t="s">
        <v>1749</v>
      </c>
      <c r="C839">
        <v>21</v>
      </c>
      <c r="D839" t="s">
        <v>365</v>
      </c>
      <c r="E839" t="s">
        <v>3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t="s">
        <v>2829</v>
      </c>
      <c r="W839" t="s">
        <v>1344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t="s">
        <v>60</v>
      </c>
    </row>
    <row r="840" spans="1:31" x14ac:dyDescent="0.2">
      <c r="A840">
        <v>807</v>
      </c>
      <c r="B840" t="s">
        <v>1455</v>
      </c>
      <c r="C840">
        <v>24</v>
      </c>
      <c r="D840" t="s">
        <v>415</v>
      </c>
      <c r="E840" t="s">
        <v>325</v>
      </c>
      <c r="F840">
        <v>3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3</v>
      </c>
      <c r="T840">
        <v>0</v>
      </c>
      <c r="U840">
        <v>4</v>
      </c>
      <c r="V840" t="s">
        <v>1456</v>
      </c>
      <c r="W840" t="s">
        <v>1457</v>
      </c>
      <c r="X840">
        <v>9</v>
      </c>
      <c r="Y840">
        <v>10</v>
      </c>
      <c r="Z840">
        <v>47.4</v>
      </c>
      <c r="AA840">
        <v>1</v>
      </c>
      <c r="AB840">
        <v>2</v>
      </c>
      <c r="AC840">
        <v>0</v>
      </c>
      <c r="AD840">
        <v>2</v>
      </c>
      <c r="AE840" t="s">
        <v>60</v>
      </c>
    </row>
    <row r="841" spans="1:31" x14ac:dyDescent="0.2">
      <c r="A841">
        <v>808</v>
      </c>
      <c r="B841" t="s">
        <v>1458</v>
      </c>
      <c r="C841">
        <v>30</v>
      </c>
      <c r="D841" t="s">
        <v>439</v>
      </c>
      <c r="E841" t="s">
        <v>349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12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t="s">
        <v>366</v>
      </c>
      <c r="W841" t="s">
        <v>1459</v>
      </c>
      <c r="X841">
        <v>0</v>
      </c>
      <c r="Y841">
        <v>0</v>
      </c>
      <c r="AA841">
        <v>0</v>
      </c>
      <c r="AB841">
        <v>8</v>
      </c>
      <c r="AC841">
        <v>0</v>
      </c>
      <c r="AD841">
        <v>0</v>
      </c>
      <c r="AE841" t="s">
        <v>60</v>
      </c>
    </row>
    <row r="842" spans="1:31" x14ac:dyDescent="0.2">
      <c r="A842">
        <v>809</v>
      </c>
      <c r="B842" t="s">
        <v>1460</v>
      </c>
      <c r="C842">
        <v>29</v>
      </c>
      <c r="D842" t="s">
        <v>426</v>
      </c>
      <c r="E842" t="s">
        <v>349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t="s">
        <v>1461</v>
      </c>
      <c r="W842" t="s">
        <v>1461</v>
      </c>
      <c r="X842">
        <v>0</v>
      </c>
      <c r="Y842">
        <v>0</v>
      </c>
      <c r="AA842">
        <v>1</v>
      </c>
      <c r="AB842">
        <v>0</v>
      </c>
      <c r="AC842">
        <v>0</v>
      </c>
      <c r="AD842">
        <v>3</v>
      </c>
      <c r="AE842" t="s">
        <v>60</v>
      </c>
    </row>
    <row r="843" spans="1:31" x14ac:dyDescent="0.2">
      <c r="A843">
        <v>810</v>
      </c>
      <c r="B843" t="s">
        <v>1462</v>
      </c>
      <c r="C843">
        <v>26</v>
      </c>
      <c r="D843" t="s">
        <v>415</v>
      </c>
      <c r="E843" t="s">
        <v>349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9</v>
      </c>
      <c r="V843" t="s">
        <v>1463</v>
      </c>
      <c r="W843" t="s">
        <v>1464</v>
      </c>
      <c r="X843">
        <v>0</v>
      </c>
      <c r="Y843">
        <v>0</v>
      </c>
      <c r="AA843">
        <v>5</v>
      </c>
      <c r="AB843">
        <v>4</v>
      </c>
      <c r="AC843">
        <v>0</v>
      </c>
      <c r="AD843">
        <v>5</v>
      </c>
      <c r="AE843" t="s">
        <v>60</v>
      </c>
    </row>
    <row r="844" spans="1:31" x14ac:dyDescent="0.2">
      <c r="A844">
        <v>811</v>
      </c>
      <c r="B844" t="s">
        <v>1465</v>
      </c>
      <c r="C844">
        <v>24</v>
      </c>
      <c r="D844" t="s">
        <v>384</v>
      </c>
      <c r="E844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t="s">
        <v>2830</v>
      </c>
      <c r="W844" t="s">
        <v>1613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t="s">
        <v>60</v>
      </c>
    </row>
    <row r="845" spans="1:31" x14ac:dyDescent="0.2">
      <c r="A845">
        <v>812</v>
      </c>
      <c r="B845" t="s">
        <v>1466</v>
      </c>
      <c r="C845">
        <v>34</v>
      </c>
      <c r="D845" t="s">
        <v>555</v>
      </c>
      <c r="E845" t="s">
        <v>3</v>
      </c>
      <c r="F845">
        <v>12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t="s">
        <v>2831</v>
      </c>
      <c r="W845" t="s">
        <v>1858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5</v>
      </c>
      <c r="AE845" t="s">
        <v>60</v>
      </c>
    </row>
    <row r="846" spans="1:31" x14ac:dyDescent="0.2">
      <c r="A846">
        <v>813</v>
      </c>
      <c r="B846" t="s">
        <v>1468</v>
      </c>
      <c r="C846">
        <v>34</v>
      </c>
      <c r="D846" t="s">
        <v>384</v>
      </c>
      <c r="E846" t="s">
        <v>349</v>
      </c>
      <c r="F846">
        <v>4</v>
      </c>
      <c r="G846">
        <v>0</v>
      </c>
      <c r="H846">
        <v>0</v>
      </c>
      <c r="I846">
        <v>0</v>
      </c>
      <c r="J846">
        <v>-2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t="s">
        <v>1469</v>
      </c>
      <c r="W846" t="s">
        <v>790</v>
      </c>
      <c r="X846">
        <v>0</v>
      </c>
      <c r="Y846">
        <v>0</v>
      </c>
      <c r="AA846">
        <v>1</v>
      </c>
      <c r="AB846">
        <v>5</v>
      </c>
      <c r="AC846">
        <v>1</v>
      </c>
      <c r="AD846">
        <v>3</v>
      </c>
      <c r="AE846" t="s">
        <v>60</v>
      </c>
    </row>
    <row r="847" spans="1:31" x14ac:dyDescent="0.2">
      <c r="A847">
        <v>814</v>
      </c>
      <c r="B847" t="s">
        <v>1470</v>
      </c>
      <c r="C847">
        <v>33</v>
      </c>
      <c r="D847" t="s">
        <v>373</v>
      </c>
      <c r="E847" t="s">
        <v>349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2</v>
      </c>
      <c r="V847" t="s">
        <v>944</v>
      </c>
      <c r="W847" t="s">
        <v>944</v>
      </c>
      <c r="X847">
        <v>0</v>
      </c>
      <c r="Y847">
        <v>0</v>
      </c>
      <c r="AA847">
        <v>1</v>
      </c>
      <c r="AB847">
        <v>1</v>
      </c>
      <c r="AC847">
        <v>1</v>
      </c>
      <c r="AD847">
        <v>1</v>
      </c>
      <c r="AE847" t="s">
        <v>60</v>
      </c>
    </row>
    <row r="848" spans="1:31" x14ac:dyDescent="0.2">
      <c r="A848">
        <v>815</v>
      </c>
      <c r="B848" t="s">
        <v>1471</v>
      </c>
      <c r="C848">
        <v>27</v>
      </c>
      <c r="D848" t="s">
        <v>359</v>
      </c>
      <c r="E848" t="s">
        <v>3</v>
      </c>
      <c r="F848">
        <v>24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t="s">
        <v>2176</v>
      </c>
      <c r="W848" t="s">
        <v>1990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14</v>
      </c>
      <c r="AE848" t="s">
        <v>60</v>
      </c>
    </row>
    <row r="849" spans="1:31" x14ac:dyDescent="0.2">
      <c r="A849">
        <v>816</v>
      </c>
      <c r="B849" t="s">
        <v>1472</v>
      </c>
      <c r="C849">
        <v>21</v>
      </c>
      <c r="D849" t="s">
        <v>359</v>
      </c>
      <c r="E849" t="s">
        <v>322</v>
      </c>
      <c r="F849">
        <v>2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t="s">
        <v>424</v>
      </c>
      <c r="W849" t="s">
        <v>1473</v>
      </c>
      <c r="X849">
        <v>7</v>
      </c>
      <c r="Y849">
        <v>9</v>
      </c>
      <c r="Z849">
        <v>43.8</v>
      </c>
      <c r="AA849">
        <v>0</v>
      </c>
      <c r="AB849">
        <v>2</v>
      </c>
      <c r="AC849">
        <v>0</v>
      </c>
      <c r="AD849">
        <v>0</v>
      </c>
      <c r="AE849" t="s">
        <v>60</v>
      </c>
    </row>
    <row r="850" spans="1:31" x14ac:dyDescent="0.2">
      <c r="A850">
        <v>817</v>
      </c>
      <c r="B850" t="s">
        <v>1788</v>
      </c>
      <c r="C850">
        <v>29</v>
      </c>
      <c r="D850" t="s">
        <v>353</v>
      </c>
      <c r="E850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t="s">
        <v>1789</v>
      </c>
      <c r="W850" t="s">
        <v>1789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t="s">
        <v>60</v>
      </c>
    </row>
    <row r="851" spans="1:31" x14ac:dyDescent="0.2">
      <c r="A851">
        <v>818</v>
      </c>
      <c r="B851" t="s">
        <v>1474</v>
      </c>
      <c r="C851">
        <v>27</v>
      </c>
      <c r="D851" t="s">
        <v>344</v>
      </c>
      <c r="E851" t="s">
        <v>3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t="s">
        <v>1840</v>
      </c>
      <c r="W851" t="s">
        <v>2610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t="s">
        <v>60</v>
      </c>
    </row>
    <row r="852" spans="1:31" x14ac:dyDescent="0.2">
      <c r="A852">
        <v>819</v>
      </c>
      <c r="B852" t="s">
        <v>1475</v>
      </c>
      <c r="C852">
        <v>34</v>
      </c>
      <c r="D852" t="s">
        <v>415</v>
      </c>
      <c r="E852" t="s">
        <v>335</v>
      </c>
      <c r="F852">
        <v>33</v>
      </c>
      <c r="G852">
        <v>0</v>
      </c>
      <c r="H852">
        <v>0</v>
      </c>
      <c r="I852">
        <v>0</v>
      </c>
      <c r="J852">
        <v>-8</v>
      </c>
      <c r="K852">
        <v>25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15</v>
      </c>
      <c r="T852">
        <v>0</v>
      </c>
      <c r="U852">
        <v>32</v>
      </c>
      <c r="V852" t="s">
        <v>1862</v>
      </c>
      <c r="W852" t="s">
        <v>1476</v>
      </c>
      <c r="X852">
        <v>5</v>
      </c>
      <c r="Y852">
        <v>1</v>
      </c>
      <c r="Z852">
        <v>83.3</v>
      </c>
      <c r="AA852">
        <v>20</v>
      </c>
      <c r="AB852">
        <v>117</v>
      </c>
      <c r="AC852">
        <v>4</v>
      </c>
      <c r="AD852">
        <v>15</v>
      </c>
      <c r="AE852" t="s">
        <v>60</v>
      </c>
    </row>
    <row r="853" spans="1:31" x14ac:dyDescent="0.2">
      <c r="A853">
        <v>820</v>
      </c>
      <c r="B853" t="s">
        <v>1477</v>
      </c>
      <c r="C853">
        <v>30</v>
      </c>
      <c r="D853" t="s">
        <v>555</v>
      </c>
      <c r="E853" t="s">
        <v>322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5</v>
      </c>
      <c r="V853" t="s">
        <v>1478</v>
      </c>
      <c r="W853" t="s">
        <v>1479</v>
      </c>
      <c r="X853">
        <v>6</v>
      </c>
      <c r="Y853">
        <v>9</v>
      </c>
      <c r="Z853">
        <v>40</v>
      </c>
      <c r="AA853">
        <v>2</v>
      </c>
      <c r="AB853">
        <v>7</v>
      </c>
      <c r="AC853">
        <v>1</v>
      </c>
      <c r="AD853">
        <v>2</v>
      </c>
      <c r="AE853" t="s">
        <v>60</v>
      </c>
    </row>
    <row r="854" spans="1:31" x14ac:dyDescent="0.2">
      <c r="A854">
        <v>821</v>
      </c>
      <c r="B854" t="s">
        <v>1480</v>
      </c>
      <c r="C854">
        <v>23</v>
      </c>
      <c r="D854" t="s">
        <v>429</v>
      </c>
      <c r="E854" t="s">
        <v>322</v>
      </c>
      <c r="F854">
        <v>10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t="s">
        <v>2611</v>
      </c>
      <c r="W854" t="s">
        <v>2612</v>
      </c>
      <c r="X854">
        <v>16</v>
      </c>
      <c r="Y854">
        <v>23</v>
      </c>
      <c r="Z854">
        <v>41</v>
      </c>
      <c r="AA854">
        <v>1</v>
      </c>
      <c r="AB854">
        <v>21</v>
      </c>
      <c r="AC854">
        <v>0</v>
      </c>
      <c r="AD854">
        <v>5</v>
      </c>
      <c r="AE854" t="s">
        <v>60</v>
      </c>
    </row>
    <row r="855" spans="1:31" x14ac:dyDescent="0.2">
      <c r="A855">
        <v>822</v>
      </c>
      <c r="B855" t="s">
        <v>1481</v>
      </c>
      <c r="C855">
        <v>32</v>
      </c>
      <c r="D855" t="s">
        <v>346</v>
      </c>
      <c r="E855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t="s">
        <v>2613</v>
      </c>
      <c r="W855" t="s">
        <v>2614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t="s">
        <v>60</v>
      </c>
    </row>
    <row r="856" spans="1:31" x14ac:dyDescent="0.2">
      <c r="A856">
        <v>823</v>
      </c>
      <c r="B856" t="s">
        <v>1482</v>
      </c>
      <c r="C856">
        <v>24</v>
      </c>
      <c r="D856" t="s">
        <v>361</v>
      </c>
      <c r="E856" t="s">
        <v>3</v>
      </c>
      <c r="F856">
        <v>14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t="s">
        <v>2832</v>
      </c>
      <c r="W856" t="s">
        <v>2833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t="s">
        <v>60</v>
      </c>
    </row>
    <row r="857" spans="1:31" x14ac:dyDescent="0.2">
      <c r="A857">
        <v>824</v>
      </c>
      <c r="B857" t="s">
        <v>1483</v>
      </c>
      <c r="C857">
        <v>29</v>
      </c>
      <c r="D857" t="s">
        <v>344</v>
      </c>
      <c r="E857" t="s">
        <v>3</v>
      </c>
      <c r="F857">
        <v>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t="s">
        <v>1484</v>
      </c>
      <c r="W857" t="s">
        <v>1485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t="s">
        <v>60</v>
      </c>
    </row>
    <row r="858" spans="1:31" x14ac:dyDescent="0.2">
      <c r="A858">
        <v>825</v>
      </c>
      <c r="B858" t="s">
        <v>1486</v>
      </c>
      <c r="C858">
        <v>29</v>
      </c>
      <c r="D858" t="s">
        <v>426</v>
      </c>
      <c r="E858" t="s">
        <v>335</v>
      </c>
      <c r="F858">
        <v>9</v>
      </c>
      <c r="G858">
        <v>0</v>
      </c>
      <c r="H858">
        <v>0</v>
      </c>
      <c r="I858">
        <v>0</v>
      </c>
      <c r="J858">
        <v>-1</v>
      </c>
      <c r="K858">
        <v>11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10</v>
      </c>
      <c r="V858" t="s">
        <v>1487</v>
      </c>
      <c r="W858" t="s">
        <v>1488</v>
      </c>
      <c r="X858">
        <v>0</v>
      </c>
      <c r="Y858">
        <v>0</v>
      </c>
      <c r="AA858">
        <v>0</v>
      </c>
      <c r="AB858">
        <v>23</v>
      </c>
      <c r="AC858">
        <v>0</v>
      </c>
      <c r="AD858">
        <v>3</v>
      </c>
      <c r="AE858" t="s">
        <v>60</v>
      </c>
    </row>
    <row r="859" spans="1:31" x14ac:dyDescent="0.2">
      <c r="A859">
        <v>826</v>
      </c>
      <c r="B859" t="s">
        <v>1489</v>
      </c>
      <c r="C859">
        <v>25</v>
      </c>
      <c r="D859" t="s">
        <v>536</v>
      </c>
      <c r="E859" t="s">
        <v>3</v>
      </c>
      <c r="F859">
        <v>21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t="s">
        <v>2615</v>
      </c>
      <c r="W859" t="s">
        <v>2616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15</v>
      </c>
      <c r="AE859" t="s">
        <v>60</v>
      </c>
    </row>
    <row r="860" spans="1:31" x14ac:dyDescent="0.2">
      <c r="A860">
        <v>827</v>
      </c>
      <c r="B860" t="s">
        <v>1661</v>
      </c>
      <c r="C860">
        <v>25</v>
      </c>
      <c r="D860" t="s">
        <v>461</v>
      </c>
      <c r="E860" t="s">
        <v>340</v>
      </c>
      <c r="F860">
        <v>5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11</v>
      </c>
      <c r="V860" t="s">
        <v>1882</v>
      </c>
      <c r="W860" t="s">
        <v>1101</v>
      </c>
      <c r="X860">
        <v>0</v>
      </c>
      <c r="Y860">
        <v>0</v>
      </c>
      <c r="AA860">
        <v>1</v>
      </c>
      <c r="AB860">
        <v>7</v>
      </c>
      <c r="AC860">
        <v>0</v>
      </c>
      <c r="AD860">
        <v>1</v>
      </c>
      <c r="AE860" t="s">
        <v>60</v>
      </c>
    </row>
    <row r="861" spans="1:31" x14ac:dyDescent="0.2">
      <c r="A861">
        <v>828</v>
      </c>
      <c r="B861" t="s">
        <v>1491</v>
      </c>
      <c r="C861">
        <v>30</v>
      </c>
      <c r="D861" t="s">
        <v>448</v>
      </c>
      <c r="E861" t="s">
        <v>340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3</v>
      </c>
      <c r="V861" t="s">
        <v>915</v>
      </c>
      <c r="W861" t="s">
        <v>870</v>
      </c>
      <c r="X861">
        <v>0</v>
      </c>
      <c r="Y861">
        <v>0</v>
      </c>
      <c r="AA861">
        <v>4</v>
      </c>
      <c r="AB861">
        <v>4</v>
      </c>
      <c r="AC861">
        <v>0</v>
      </c>
      <c r="AD861">
        <v>1</v>
      </c>
      <c r="AE861" t="s">
        <v>60</v>
      </c>
    </row>
    <row r="862" spans="1:31" x14ac:dyDescent="0.2">
      <c r="A862">
        <v>829</v>
      </c>
      <c r="B862" t="s">
        <v>1492</v>
      </c>
      <c r="C862">
        <v>30</v>
      </c>
      <c r="D862" t="s">
        <v>337</v>
      </c>
      <c r="E862" t="s">
        <v>3</v>
      </c>
      <c r="F862">
        <v>9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t="s">
        <v>1832</v>
      </c>
      <c r="W862" t="s">
        <v>1833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t="s">
        <v>60</v>
      </c>
    </row>
    <row r="863" spans="1:31" x14ac:dyDescent="0.2">
      <c r="A863">
        <v>830</v>
      </c>
      <c r="B863" t="s">
        <v>1493</v>
      </c>
      <c r="C863">
        <v>29</v>
      </c>
      <c r="D863" t="s">
        <v>378</v>
      </c>
      <c r="E863" t="s">
        <v>340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4</v>
      </c>
      <c r="V863" t="s">
        <v>697</v>
      </c>
      <c r="W863" t="s">
        <v>1494</v>
      </c>
      <c r="X863">
        <v>0</v>
      </c>
      <c r="Y863">
        <v>0</v>
      </c>
      <c r="AA863">
        <v>0</v>
      </c>
      <c r="AB863">
        <v>3</v>
      </c>
      <c r="AC863">
        <v>0</v>
      </c>
      <c r="AD863">
        <v>2</v>
      </c>
      <c r="AE863" t="s">
        <v>60</v>
      </c>
    </row>
    <row r="864" spans="1:31" x14ac:dyDescent="0.2">
      <c r="A864">
        <v>831</v>
      </c>
      <c r="B864" t="s">
        <v>2067</v>
      </c>
      <c r="C864">
        <v>28</v>
      </c>
      <c r="D864" t="s">
        <v>328</v>
      </c>
      <c r="E864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t="s">
        <v>2617</v>
      </c>
      <c r="W864" t="s">
        <v>2618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2</v>
      </c>
      <c r="AE864" t="s">
        <v>60</v>
      </c>
    </row>
    <row r="865" spans="1:31" x14ac:dyDescent="0.2">
      <c r="A865">
        <v>832</v>
      </c>
      <c r="B865" t="s">
        <v>1496</v>
      </c>
      <c r="C865">
        <v>30</v>
      </c>
      <c r="D865" t="s">
        <v>1022</v>
      </c>
      <c r="E865" t="s">
        <v>3</v>
      </c>
      <c r="F865">
        <v>17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t="s">
        <v>1863</v>
      </c>
      <c r="W865" t="s">
        <v>1283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4</v>
      </c>
      <c r="AE865" t="s">
        <v>60</v>
      </c>
    </row>
    <row r="866" spans="1:31" x14ac:dyDescent="0.2">
      <c r="A866">
        <v>832</v>
      </c>
      <c r="B866" t="s">
        <v>1496</v>
      </c>
      <c r="C866">
        <v>30</v>
      </c>
      <c r="D866" t="s">
        <v>378</v>
      </c>
      <c r="E866" t="s">
        <v>3</v>
      </c>
      <c r="F866">
        <v>14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t="s">
        <v>1750</v>
      </c>
      <c r="W866" t="s">
        <v>1751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4</v>
      </c>
      <c r="AE866" t="s">
        <v>60</v>
      </c>
    </row>
    <row r="867" spans="1:31" x14ac:dyDescent="0.2">
      <c r="A867">
        <v>832</v>
      </c>
      <c r="B867" t="s">
        <v>1496</v>
      </c>
      <c r="C867">
        <v>30</v>
      </c>
      <c r="D867" t="s">
        <v>328</v>
      </c>
      <c r="E867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t="s">
        <v>1864</v>
      </c>
      <c r="W867" t="s">
        <v>1865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t="s">
        <v>60</v>
      </c>
    </row>
    <row r="868" spans="1:31" x14ac:dyDescent="0.2">
      <c r="A868">
        <v>833</v>
      </c>
      <c r="B868" t="s">
        <v>1497</v>
      </c>
      <c r="C868">
        <v>22</v>
      </c>
      <c r="D868" t="s">
        <v>359</v>
      </c>
      <c r="E868" t="s">
        <v>349</v>
      </c>
      <c r="F868">
        <v>18</v>
      </c>
      <c r="G868">
        <v>0</v>
      </c>
      <c r="H868">
        <v>0</v>
      </c>
      <c r="I868">
        <v>0</v>
      </c>
      <c r="J868">
        <v>1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11</v>
      </c>
      <c r="T868">
        <v>0</v>
      </c>
      <c r="U868">
        <v>32</v>
      </c>
      <c r="V868" t="s">
        <v>2068</v>
      </c>
      <c r="W868" t="s">
        <v>1252</v>
      </c>
      <c r="X868">
        <v>0</v>
      </c>
      <c r="Y868">
        <v>0</v>
      </c>
      <c r="AA868">
        <v>14</v>
      </c>
      <c r="AB868">
        <v>5</v>
      </c>
      <c r="AC868">
        <v>3</v>
      </c>
      <c r="AD868">
        <v>17</v>
      </c>
      <c r="AE868" t="s">
        <v>60</v>
      </c>
    </row>
    <row r="869" spans="1:31" x14ac:dyDescent="0.2">
      <c r="A869">
        <v>834</v>
      </c>
      <c r="B869" t="s">
        <v>1498</v>
      </c>
      <c r="C869">
        <v>30</v>
      </c>
      <c r="D869" t="s">
        <v>353</v>
      </c>
      <c r="E869" t="s">
        <v>3</v>
      </c>
      <c r="F869">
        <v>16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t="s">
        <v>2834</v>
      </c>
      <c r="W869" t="s">
        <v>2835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2</v>
      </c>
      <c r="AE869" t="s">
        <v>60</v>
      </c>
    </row>
    <row r="870" spans="1:31" x14ac:dyDescent="0.2">
      <c r="A870">
        <v>835</v>
      </c>
      <c r="B870" t="s">
        <v>1499</v>
      </c>
      <c r="C870">
        <v>24</v>
      </c>
      <c r="D870" t="s">
        <v>439</v>
      </c>
      <c r="E870" t="s">
        <v>349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4</v>
      </c>
      <c r="V870" t="s">
        <v>1500</v>
      </c>
      <c r="W870" t="s">
        <v>1501</v>
      </c>
      <c r="X870">
        <v>0</v>
      </c>
      <c r="Y870">
        <v>0</v>
      </c>
      <c r="AA870">
        <v>3</v>
      </c>
      <c r="AB870">
        <v>2</v>
      </c>
      <c r="AC870">
        <v>2</v>
      </c>
      <c r="AD870">
        <v>2</v>
      </c>
      <c r="AE870" t="s">
        <v>60</v>
      </c>
    </row>
    <row r="871" spans="1:31" x14ac:dyDescent="0.2">
      <c r="A871">
        <v>836</v>
      </c>
      <c r="B871" t="s">
        <v>1502</v>
      </c>
      <c r="C871">
        <v>26</v>
      </c>
      <c r="D871" t="s">
        <v>359</v>
      </c>
      <c r="E871" t="s">
        <v>325</v>
      </c>
      <c r="F871">
        <v>20</v>
      </c>
      <c r="G871">
        <v>0</v>
      </c>
      <c r="H871">
        <v>0</v>
      </c>
      <c r="I871">
        <v>0</v>
      </c>
      <c r="J871">
        <v>-6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17</v>
      </c>
      <c r="T871">
        <v>0</v>
      </c>
      <c r="U871">
        <v>32</v>
      </c>
      <c r="V871" t="s">
        <v>1866</v>
      </c>
      <c r="W871" t="s">
        <v>1867</v>
      </c>
      <c r="X871">
        <v>60</v>
      </c>
      <c r="Y871">
        <v>46</v>
      </c>
      <c r="Z871">
        <v>56.6</v>
      </c>
      <c r="AA871">
        <v>7</v>
      </c>
      <c r="AB871">
        <v>47</v>
      </c>
      <c r="AC871">
        <v>1</v>
      </c>
      <c r="AD871">
        <v>8</v>
      </c>
      <c r="AE871" t="s">
        <v>60</v>
      </c>
    </row>
    <row r="872" spans="1:31" x14ac:dyDescent="0.2">
      <c r="A872">
        <v>837</v>
      </c>
      <c r="B872" t="s">
        <v>1505</v>
      </c>
      <c r="C872">
        <v>21</v>
      </c>
      <c r="D872" t="s">
        <v>536</v>
      </c>
      <c r="E872" t="s">
        <v>322</v>
      </c>
      <c r="F872">
        <v>5</v>
      </c>
      <c r="G872">
        <v>0</v>
      </c>
      <c r="H872">
        <v>0</v>
      </c>
      <c r="I872">
        <v>0</v>
      </c>
      <c r="J872">
        <v>-6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8</v>
      </c>
      <c r="V872" t="s">
        <v>1752</v>
      </c>
      <c r="W872" t="s">
        <v>1255</v>
      </c>
      <c r="X872">
        <v>1</v>
      </c>
      <c r="Y872">
        <v>1</v>
      </c>
      <c r="Z872">
        <v>50</v>
      </c>
      <c r="AA872">
        <v>3</v>
      </c>
      <c r="AB872">
        <v>2</v>
      </c>
      <c r="AC872">
        <v>0</v>
      </c>
      <c r="AD872">
        <v>2</v>
      </c>
      <c r="AE872" t="s">
        <v>60</v>
      </c>
    </row>
    <row r="873" spans="1:31" x14ac:dyDescent="0.2">
      <c r="A873">
        <v>838</v>
      </c>
      <c r="B873" t="s">
        <v>1506</v>
      </c>
      <c r="C873">
        <v>27</v>
      </c>
      <c r="D873" t="s">
        <v>353</v>
      </c>
      <c r="E873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t="s">
        <v>1507</v>
      </c>
      <c r="W873" t="s">
        <v>1508</v>
      </c>
      <c r="X873">
        <v>7</v>
      </c>
      <c r="Y873">
        <v>12</v>
      </c>
      <c r="Z873">
        <v>36.799999999999997</v>
      </c>
      <c r="AA873">
        <v>2</v>
      </c>
      <c r="AB873">
        <v>5</v>
      </c>
      <c r="AC873">
        <v>0</v>
      </c>
      <c r="AD873">
        <v>0</v>
      </c>
      <c r="AE873" t="s">
        <v>60</v>
      </c>
    </row>
    <row r="874" spans="1:31" x14ac:dyDescent="0.2">
      <c r="A874">
        <v>839</v>
      </c>
      <c r="B874" t="s">
        <v>1509</v>
      </c>
      <c r="C874">
        <v>21</v>
      </c>
      <c r="D874" t="s">
        <v>476</v>
      </c>
      <c r="E874" t="s">
        <v>335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5</v>
      </c>
      <c r="V874" t="s">
        <v>761</v>
      </c>
      <c r="W874" t="s">
        <v>1008</v>
      </c>
      <c r="X874">
        <v>0</v>
      </c>
      <c r="Y874">
        <v>1</v>
      </c>
      <c r="Z874">
        <v>0</v>
      </c>
      <c r="AA874">
        <v>1</v>
      </c>
      <c r="AB874">
        <v>4</v>
      </c>
      <c r="AC874">
        <v>0</v>
      </c>
      <c r="AD874">
        <v>0</v>
      </c>
      <c r="AE874" t="s">
        <v>60</v>
      </c>
    </row>
    <row r="875" spans="1:31" x14ac:dyDescent="0.2">
      <c r="A875">
        <v>840</v>
      </c>
      <c r="B875" t="s">
        <v>1510</v>
      </c>
      <c r="C875">
        <v>23</v>
      </c>
      <c r="D875" t="s">
        <v>448</v>
      </c>
      <c r="E875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6</v>
      </c>
      <c r="V875" t="s">
        <v>1511</v>
      </c>
      <c r="W875" t="s">
        <v>1512</v>
      </c>
      <c r="X875">
        <v>0</v>
      </c>
      <c r="Y875">
        <v>3</v>
      </c>
      <c r="Z875">
        <v>0</v>
      </c>
      <c r="AA875">
        <v>3</v>
      </c>
      <c r="AB875">
        <v>1</v>
      </c>
      <c r="AC875">
        <v>0</v>
      </c>
      <c r="AD875">
        <v>1</v>
      </c>
      <c r="AE875" t="s">
        <v>60</v>
      </c>
    </row>
    <row r="876" spans="1:31" x14ac:dyDescent="0.2">
      <c r="A876">
        <v>841</v>
      </c>
      <c r="B876" t="s">
        <v>1513</v>
      </c>
      <c r="C876">
        <v>26</v>
      </c>
      <c r="D876" t="s">
        <v>439</v>
      </c>
      <c r="E876" t="s">
        <v>349</v>
      </c>
      <c r="F876">
        <v>14</v>
      </c>
      <c r="G876">
        <v>0</v>
      </c>
      <c r="H876">
        <v>0</v>
      </c>
      <c r="I876">
        <v>0</v>
      </c>
      <c r="J876">
        <v>-5</v>
      </c>
      <c r="K876">
        <v>10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22</v>
      </c>
      <c r="T876">
        <v>0</v>
      </c>
      <c r="U876">
        <v>48</v>
      </c>
      <c r="V876" t="s">
        <v>2619</v>
      </c>
      <c r="W876" t="s">
        <v>1775</v>
      </c>
      <c r="X876">
        <v>0</v>
      </c>
      <c r="Y876">
        <v>0</v>
      </c>
      <c r="AA876">
        <v>21</v>
      </c>
      <c r="AB876">
        <v>10</v>
      </c>
      <c r="AC876">
        <v>4</v>
      </c>
      <c r="AD876">
        <v>20</v>
      </c>
      <c r="AE876" t="s">
        <v>60</v>
      </c>
    </row>
    <row r="877" spans="1:31" x14ac:dyDescent="0.2">
      <c r="A877">
        <v>842</v>
      </c>
      <c r="B877" t="s">
        <v>1514</v>
      </c>
      <c r="C877">
        <v>26</v>
      </c>
      <c r="D877" t="s">
        <v>402</v>
      </c>
      <c r="E877" t="s">
        <v>3</v>
      </c>
      <c r="F877">
        <v>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t="s">
        <v>1991</v>
      </c>
      <c r="W877" t="s">
        <v>1992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t="s">
        <v>60</v>
      </c>
    </row>
    <row r="878" spans="1:31" x14ac:dyDescent="0.2">
      <c r="A878">
        <v>843</v>
      </c>
      <c r="B878" t="s">
        <v>1516</v>
      </c>
      <c r="C878">
        <v>24</v>
      </c>
      <c r="D878" t="s">
        <v>415</v>
      </c>
      <c r="E878" t="s">
        <v>3</v>
      </c>
      <c r="F878">
        <v>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t="s">
        <v>1517</v>
      </c>
      <c r="W878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t="s">
        <v>60</v>
      </c>
    </row>
    <row r="879" spans="1:31" x14ac:dyDescent="0.2">
      <c r="A879">
        <v>844</v>
      </c>
      <c r="B879" t="s">
        <v>1519</v>
      </c>
      <c r="C879">
        <v>31</v>
      </c>
      <c r="D879" t="s">
        <v>356</v>
      </c>
      <c r="E879" t="s">
        <v>3</v>
      </c>
      <c r="F879">
        <v>15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t="s">
        <v>2620</v>
      </c>
      <c r="W879" t="s">
        <v>1748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8</v>
      </c>
      <c r="AE879" t="s">
        <v>60</v>
      </c>
    </row>
    <row r="880" spans="1:31" x14ac:dyDescent="0.2">
      <c r="A880">
        <v>845</v>
      </c>
      <c r="B880" t="s">
        <v>1520</v>
      </c>
      <c r="C880">
        <v>35</v>
      </c>
      <c r="D880" t="s">
        <v>429</v>
      </c>
      <c r="E880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t="s">
        <v>1811</v>
      </c>
      <c r="W880" t="s">
        <v>1812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t="s">
        <v>60</v>
      </c>
    </row>
    <row r="881" spans="1:31" x14ac:dyDescent="0.2">
      <c r="A881">
        <v>846</v>
      </c>
      <c r="B881" t="s">
        <v>1521</v>
      </c>
      <c r="C881">
        <v>35</v>
      </c>
      <c r="D881" t="s">
        <v>375</v>
      </c>
      <c r="E881" t="s">
        <v>349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t="s">
        <v>1522</v>
      </c>
      <c r="W881" t="s">
        <v>676</v>
      </c>
      <c r="X881">
        <v>0</v>
      </c>
      <c r="Y881">
        <v>0</v>
      </c>
      <c r="AA881">
        <v>0</v>
      </c>
      <c r="AB881">
        <v>1</v>
      </c>
      <c r="AC881">
        <v>0</v>
      </c>
      <c r="AD881">
        <v>2</v>
      </c>
      <c r="AE881" t="s">
        <v>60</v>
      </c>
    </row>
    <row r="882" spans="1:31" x14ac:dyDescent="0.2">
      <c r="A882">
        <v>847</v>
      </c>
      <c r="B882" t="s">
        <v>1753</v>
      </c>
      <c r="C882">
        <v>24</v>
      </c>
      <c r="D882" t="s">
        <v>439</v>
      </c>
      <c r="E882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t="s">
        <v>1754</v>
      </c>
      <c r="W882" t="s">
        <v>1754</v>
      </c>
      <c r="X882">
        <v>0</v>
      </c>
      <c r="Y882">
        <v>0</v>
      </c>
      <c r="AA882">
        <v>0</v>
      </c>
      <c r="AB882">
        <v>1</v>
      </c>
      <c r="AC882">
        <v>0</v>
      </c>
      <c r="AD882">
        <v>0</v>
      </c>
      <c r="AE882" t="s">
        <v>60</v>
      </c>
    </row>
    <row r="883" spans="1:31" x14ac:dyDescent="0.2">
      <c r="A883">
        <v>848</v>
      </c>
      <c r="B883" t="s">
        <v>1523</v>
      </c>
      <c r="C883">
        <v>32</v>
      </c>
      <c r="D883" t="s">
        <v>461</v>
      </c>
      <c r="E883" t="s">
        <v>322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3</v>
      </c>
      <c r="V883" t="s">
        <v>1524</v>
      </c>
      <c r="W883" t="s">
        <v>1524</v>
      </c>
      <c r="X883">
        <v>1</v>
      </c>
      <c r="Y883">
        <v>1</v>
      </c>
      <c r="Z883">
        <v>50</v>
      </c>
      <c r="AA883">
        <v>2</v>
      </c>
      <c r="AB883">
        <v>6</v>
      </c>
      <c r="AC883">
        <v>0</v>
      </c>
      <c r="AD883">
        <v>0</v>
      </c>
      <c r="AE883" t="s">
        <v>60</v>
      </c>
    </row>
    <row r="884" spans="1:31" x14ac:dyDescent="0.2">
      <c r="A884">
        <v>849</v>
      </c>
      <c r="B884" t="s">
        <v>1525</v>
      </c>
      <c r="C884">
        <v>22</v>
      </c>
      <c r="D884" t="s">
        <v>404</v>
      </c>
      <c r="E884" t="s">
        <v>340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t="s">
        <v>1526</v>
      </c>
      <c r="W884" t="s">
        <v>1526</v>
      </c>
      <c r="X884">
        <v>1</v>
      </c>
      <c r="Y884">
        <v>0</v>
      </c>
      <c r="Z884">
        <v>100</v>
      </c>
      <c r="AA884">
        <v>0</v>
      </c>
      <c r="AB884">
        <v>1</v>
      </c>
      <c r="AC884">
        <v>0</v>
      </c>
      <c r="AD884">
        <v>0</v>
      </c>
      <c r="AE884" t="s">
        <v>60</v>
      </c>
    </row>
    <row r="885" spans="1:31" x14ac:dyDescent="0.2">
      <c r="A885">
        <v>850</v>
      </c>
      <c r="B885" t="s">
        <v>1868</v>
      </c>
      <c r="C885">
        <v>23</v>
      </c>
      <c r="D885" t="s">
        <v>359</v>
      </c>
      <c r="E885" t="s">
        <v>349</v>
      </c>
      <c r="F885">
        <v>1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t="s">
        <v>1051</v>
      </c>
      <c r="W885" t="s">
        <v>1051</v>
      </c>
      <c r="X885">
        <v>0</v>
      </c>
      <c r="Y885">
        <v>0</v>
      </c>
      <c r="AA885">
        <v>1</v>
      </c>
      <c r="AB885">
        <v>0</v>
      </c>
      <c r="AC885">
        <v>0</v>
      </c>
      <c r="AD885">
        <v>2</v>
      </c>
      <c r="AE885" t="s">
        <v>60</v>
      </c>
    </row>
    <row r="886" spans="1:31" x14ac:dyDescent="0.2">
      <c r="A886">
        <v>851</v>
      </c>
      <c r="B886" t="s">
        <v>1529</v>
      </c>
      <c r="C886">
        <v>25</v>
      </c>
      <c r="D886" t="s">
        <v>404</v>
      </c>
      <c r="E886" t="s">
        <v>335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t="s">
        <v>1108</v>
      </c>
      <c r="W886" t="s">
        <v>1108</v>
      </c>
      <c r="X886">
        <v>0</v>
      </c>
      <c r="Y886">
        <v>1</v>
      </c>
      <c r="Z886">
        <v>0</v>
      </c>
      <c r="AA886">
        <v>1</v>
      </c>
      <c r="AB886">
        <v>2</v>
      </c>
      <c r="AC886">
        <v>0</v>
      </c>
      <c r="AD886">
        <v>0</v>
      </c>
      <c r="AE886" t="s">
        <v>60</v>
      </c>
    </row>
    <row r="887" spans="1:31" x14ac:dyDescent="0.2">
      <c r="A887">
        <v>852</v>
      </c>
      <c r="B887" t="s">
        <v>1530</v>
      </c>
      <c r="C887">
        <v>22</v>
      </c>
      <c r="D887" t="s">
        <v>344</v>
      </c>
      <c r="E887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t="s">
        <v>1531</v>
      </c>
      <c r="W887" t="s">
        <v>1532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t="s">
        <v>60</v>
      </c>
    </row>
    <row r="888" spans="1:31" x14ac:dyDescent="0.2">
      <c r="A888">
        <v>853</v>
      </c>
      <c r="B888" t="s">
        <v>1533</v>
      </c>
      <c r="C888">
        <v>19</v>
      </c>
      <c r="D888" t="s">
        <v>415</v>
      </c>
      <c r="E888" t="s">
        <v>325</v>
      </c>
      <c r="F888">
        <v>4</v>
      </c>
      <c r="G888">
        <v>0</v>
      </c>
      <c r="H888">
        <v>0</v>
      </c>
      <c r="I888">
        <v>0</v>
      </c>
      <c r="J888">
        <v>-3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t="s">
        <v>1534</v>
      </c>
      <c r="W888" t="s">
        <v>1535</v>
      </c>
      <c r="X888">
        <v>11</v>
      </c>
      <c r="Y888">
        <v>10</v>
      </c>
      <c r="Z888">
        <v>52.4</v>
      </c>
      <c r="AA888">
        <v>3</v>
      </c>
      <c r="AB888">
        <v>2</v>
      </c>
      <c r="AC888">
        <v>0</v>
      </c>
      <c r="AD888">
        <v>1</v>
      </c>
      <c r="AE888" t="s">
        <v>60</v>
      </c>
    </row>
    <row r="889" spans="1:31" x14ac:dyDescent="0.2">
      <c r="A889">
        <v>854</v>
      </c>
      <c r="B889" t="s">
        <v>1537</v>
      </c>
      <c r="C889">
        <v>26</v>
      </c>
      <c r="D889" t="s">
        <v>439</v>
      </c>
      <c r="E889" t="s">
        <v>3</v>
      </c>
      <c r="F889">
        <v>12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t="s">
        <v>2621</v>
      </c>
      <c r="W889" t="s">
        <v>2177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t="s">
        <v>60</v>
      </c>
    </row>
    <row r="890" spans="1:31" x14ac:dyDescent="0.2">
      <c r="A890">
        <v>855</v>
      </c>
      <c r="B890" t="s">
        <v>1540</v>
      </c>
      <c r="C890">
        <v>29</v>
      </c>
      <c r="D890" t="s">
        <v>404</v>
      </c>
      <c r="E890" t="s">
        <v>322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4</v>
      </c>
      <c r="T890">
        <v>0</v>
      </c>
      <c r="U890">
        <v>7</v>
      </c>
      <c r="V890" t="s">
        <v>1541</v>
      </c>
      <c r="W890" t="s">
        <v>1542</v>
      </c>
      <c r="X890">
        <v>0</v>
      </c>
      <c r="Y890">
        <v>2</v>
      </c>
      <c r="Z890">
        <v>0</v>
      </c>
      <c r="AA890">
        <v>1</v>
      </c>
      <c r="AB890">
        <v>6</v>
      </c>
      <c r="AC890">
        <v>1</v>
      </c>
      <c r="AD890">
        <v>2</v>
      </c>
      <c r="AE890" t="s">
        <v>60</v>
      </c>
    </row>
    <row r="891" spans="1:31" x14ac:dyDescent="0.2">
      <c r="A891">
        <v>856</v>
      </c>
      <c r="B891" t="s">
        <v>1543</v>
      </c>
      <c r="C891">
        <v>24</v>
      </c>
      <c r="D891" t="s">
        <v>321</v>
      </c>
      <c r="E891" t="s">
        <v>340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t="s">
        <v>623</v>
      </c>
      <c r="W891" t="s">
        <v>1544</v>
      </c>
      <c r="X891">
        <v>0</v>
      </c>
      <c r="Y891">
        <v>0</v>
      </c>
      <c r="AA891">
        <v>0</v>
      </c>
      <c r="AB891">
        <v>6</v>
      </c>
      <c r="AC891">
        <v>0</v>
      </c>
      <c r="AD891">
        <v>0</v>
      </c>
      <c r="AE891" t="s">
        <v>60</v>
      </c>
    </row>
    <row r="892" spans="1:31" x14ac:dyDescent="0.2">
      <c r="A892">
        <v>857</v>
      </c>
      <c r="B892" t="s">
        <v>1545</v>
      </c>
      <c r="C892">
        <v>23</v>
      </c>
      <c r="D892" t="s">
        <v>461</v>
      </c>
      <c r="E892" t="s">
        <v>349</v>
      </c>
      <c r="F892">
        <v>5</v>
      </c>
      <c r="G892">
        <v>0</v>
      </c>
      <c r="H892">
        <v>0</v>
      </c>
      <c r="I892">
        <v>0</v>
      </c>
      <c r="J892">
        <v>-2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t="s">
        <v>1546</v>
      </c>
      <c r="W892" t="s">
        <v>1547</v>
      </c>
      <c r="X892">
        <v>0</v>
      </c>
      <c r="Y892">
        <v>0</v>
      </c>
      <c r="AA892">
        <v>5</v>
      </c>
      <c r="AB892">
        <v>6</v>
      </c>
      <c r="AC892">
        <v>0</v>
      </c>
      <c r="AD892">
        <v>2</v>
      </c>
      <c r="AE892" t="s">
        <v>60</v>
      </c>
    </row>
    <row r="893" spans="1:31" x14ac:dyDescent="0.2">
      <c r="A893">
        <v>858</v>
      </c>
      <c r="B893" t="s">
        <v>1548</v>
      </c>
      <c r="C893">
        <v>29</v>
      </c>
      <c r="D893" t="s">
        <v>384</v>
      </c>
      <c r="E893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t="s">
        <v>1549</v>
      </c>
      <c r="W893" t="s">
        <v>1549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t="s">
        <v>60</v>
      </c>
    </row>
    <row r="894" spans="1:31" x14ac:dyDescent="0.2">
      <c r="A894">
        <v>859</v>
      </c>
      <c r="B894" t="s">
        <v>1551</v>
      </c>
      <c r="C894">
        <v>33</v>
      </c>
      <c r="D894" t="s">
        <v>368</v>
      </c>
      <c r="E894" t="s">
        <v>349</v>
      </c>
      <c r="F894">
        <v>4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7</v>
      </c>
      <c r="V894" t="s">
        <v>1552</v>
      </c>
      <c r="W894" t="s">
        <v>1553</v>
      </c>
      <c r="X894">
        <v>0</v>
      </c>
      <c r="Y894">
        <v>0</v>
      </c>
      <c r="AA894">
        <v>2</v>
      </c>
      <c r="AB894">
        <v>9</v>
      </c>
      <c r="AC894">
        <v>0</v>
      </c>
      <c r="AD894">
        <v>3</v>
      </c>
      <c r="AE894" t="s">
        <v>60</v>
      </c>
    </row>
    <row r="895" spans="1:31" x14ac:dyDescent="0.2">
      <c r="A895">
        <v>860</v>
      </c>
      <c r="B895" t="s">
        <v>1803</v>
      </c>
      <c r="C895">
        <v>22</v>
      </c>
      <c r="D895" t="s">
        <v>555</v>
      </c>
      <c r="E895" t="s">
        <v>335</v>
      </c>
      <c r="F895">
        <v>7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5</v>
      </c>
      <c r="T895">
        <v>0</v>
      </c>
      <c r="U895">
        <v>13</v>
      </c>
      <c r="V895" t="s">
        <v>2836</v>
      </c>
      <c r="W895" t="s">
        <v>1807</v>
      </c>
      <c r="X895">
        <v>1</v>
      </c>
      <c r="Y895">
        <v>0</v>
      </c>
      <c r="Z895">
        <v>100</v>
      </c>
      <c r="AA895">
        <v>3</v>
      </c>
      <c r="AB895">
        <v>30</v>
      </c>
      <c r="AC895">
        <v>1</v>
      </c>
      <c r="AD895">
        <v>4</v>
      </c>
      <c r="AE895" t="s">
        <v>60</v>
      </c>
    </row>
    <row r="896" spans="1:31" x14ac:dyDescent="0.2">
      <c r="A896">
        <v>861</v>
      </c>
      <c r="B896" t="s">
        <v>1554</v>
      </c>
      <c r="C896">
        <v>23</v>
      </c>
      <c r="D896" t="s">
        <v>426</v>
      </c>
      <c r="E896" t="s">
        <v>3</v>
      </c>
      <c r="F896">
        <v>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t="s">
        <v>2622</v>
      </c>
      <c r="W896" t="s">
        <v>2623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4</v>
      </c>
      <c r="AE896" t="s">
        <v>60</v>
      </c>
    </row>
    <row r="897" spans="1:31" x14ac:dyDescent="0.2">
      <c r="A897">
        <v>862</v>
      </c>
      <c r="B897" t="s">
        <v>1555</v>
      </c>
      <c r="C897">
        <v>25</v>
      </c>
      <c r="D897" t="s">
        <v>356</v>
      </c>
      <c r="E897" t="s">
        <v>325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1</v>
      </c>
      <c r="V897" t="s">
        <v>1556</v>
      </c>
      <c r="W897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t="s">
        <v>60</v>
      </c>
    </row>
    <row r="898" spans="1:31" x14ac:dyDescent="0.2">
      <c r="A898">
        <v>863</v>
      </c>
      <c r="B898" t="s">
        <v>1557</v>
      </c>
      <c r="C898">
        <v>27</v>
      </c>
      <c r="D898" t="s">
        <v>439</v>
      </c>
      <c r="E898" t="s">
        <v>349</v>
      </c>
      <c r="F898">
        <v>8</v>
      </c>
      <c r="G898">
        <v>0</v>
      </c>
      <c r="H898">
        <v>0</v>
      </c>
      <c r="I898">
        <v>0</v>
      </c>
      <c r="J898">
        <v>5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9</v>
      </c>
      <c r="V898" t="s">
        <v>2624</v>
      </c>
      <c r="W898" t="s">
        <v>1953</v>
      </c>
      <c r="X898">
        <v>0</v>
      </c>
      <c r="Y898">
        <v>0</v>
      </c>
      <c r="AA898">
        <v>4</v>
      </c>
      <c r="AB898">
        <v>3</v>
      </c>
      <c r="AC898">
        <v>1</v>
      </c>
      <c r="AD898">
        <v>8</v>
      </c>
      <c r="AE898" t="s">
        <v>60</v>
      </c>
    </row>
    <row r="899" spans="1:31" x14ac:dyDescent="0.2">
      <c r="A899">
        <v>864</v>
      </c>
      <c r="B899" t="s">
        <v>1558</v>
      </c>
      <c r="C899">
        <v>22</v>
      </c>
      <c r="D899" t="s">
        <v>346</v>
      </c>
      <c r="E899" t="s">
        <v>3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t="s">
        <v>1559</v>
      </c>
      <c r="W899" t="s">
        <v>1560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t="s">
        <v>60</v>
      </c>
    </row>
    <row r="900" spans="1:31" x14ac:dyDescent="0.2">
      <c r="A900">
        <v>865</v>
      </c>
      <c r="B900" t="s">
        <v>1561</v>
      </c>
      <c r="C900">
        <v>33</v>
      </c>
      <c r="D900" t="s">
        <v>346</v>
      </c>
      <c r="E900" t="s">
        <v>349</v>
      </c>
      <c r="F900">
        <v>11</v>
      </c>
      <c r="G900">
        <v>0</v>
      </c>
      <c r="H900">
        <v>0</v>
      </c>
      <c r="I900">
        <v>0</v>
      </c>
      <c r="J900">
        <v>-8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12</v>
      </c>
      <c r="T900">
        <v>0</v>
      </c>
      <c r="U900">
        <v>36</v>
      </c>
      <c r="V900" t="s">
        <v>1240</v>
      </c>
      <c r="W900" t="s">
        <v>1193</v>
      </c>
      <c r="X900">
        <v>0</v>
      </c>
      <c r="Y900">
        <v>0</v>
      </c>
      <c r="AA900">
        <v>8</v>
      </c>
      <c r="AB900">
        <v>19</v>
      </c>
      <c r="AC900">
        <v>1</v>
      </c>
      <c r="AD900">
        <v>10</v>
      </c>
      <c r="AE900" t="s">
        <v>60</v>
      </c>
    </row>
    <row r="901" spans="1:31" x14ac:dyDescent="0.2">
      <c r="A901">
        <v>866</v>
      </c>
      <c r="B901" t="s">
        <v>1562</v>
      </c>
      <c r="C901">
        <v>24</v>
      </c>
      <c r="D901" t="s">
        <v>321</v>
      </c>
      <c r="E901" t="s">
        <v>3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t="s">
        <v>1563</v>
      </c>
      <c r="W901" t="s">
        <v>1564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t="s">
        <v>60</v>
      </c>
    </row>
    <row r="902" spans="1:31" x14ac:dyDescent="0.2">
      <c r="A902">
        <v>867</v>
      </c>
      <c r="B902" t="s">
        <v>1565</v>
      </c>
      <c r="C902">
        <v>28</v>
      </c>
      <c r="D902" t="s">
        <v>448</v>
      </c>
      <c r="E902" t="s">
        <v>349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t="s">
        <v>446</v>
      </c>
      <c r="W902" t="s">
        <v>446</v>
      </c>
      <c r="X902">
        <v>0</v>
      </c>
      <c r="Y902">
        <v>0</v>
      </c>
      <c r="AA902">
        <v>2</v>
      </c>
      <c r="AB902">
        <v>0</v>
      </c>
      <c r="AC902">
        <v>0</v>
      </c>
      <c r="AD902">
        <v>1</v>
      </c>
      <c r="AE902" t="s">
        <v>60</v>
      </c>
    </row>
    <row r="903" spans="1:31" x14ac:dyDescent="0.2">
      <c r="A903">
        <v>868</v>
      </c>
      <c r="B903" t="s">
        <v>1993</v>
      </c>
      <c r="C903">
        <v>21</v>
      </c>
      <c r="D903" t="s">
        <v>368</v>
      </c>
      <c r="E903" t="s">
        <v>340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8</v>
      </c>
      <c r="V903" t="s">
        <v>1761</v>
      </c>
      <c r="W903" t="s">
        <v>2071</v>
      </c>
      <c r="X903">
        <v>0</v>
      </c>
      <c r="Y903">
        <v>0</v>
      </c>
      <c r="AA903">
        <v>1</v>
      </c>
      <c r="AB903">
        <v>4</v>
      </c>
      <c r="AC903">
        <v>0</v>
      </c>
      <c r="AD903">
        <v>0</v>
      </c>
      <c r="AE903" t="s">
        <v>60</v>
      </c>
    </row>
    <row r="904" spans="1:31" x14ac:dyDescent="0.2">
      <c r="A904">
        <v>869</v>
      </c>
      <c r="B904" t="s">
        <v>1567</v>
      </c>
      <c r="C904">
        <v>29</v>
      </c>
      <c r="D904" t="s">
        <v>365</v>
      </c>
      <c r="E904" t="s">
        <v>3</v>
      </c>
      <c r="F904">
        <v>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t="s">
        <v>1695</v>
      </c>
      <c r="W904" t="s">
        <v>1696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t="s">
        <v>60</v>
      </c>
    </row>
    <row r="905" spans="1:31" x14ac:dyDescent="0.2">
      <c r="A905">
        <v>870</v>
      </c>
      <c r="B905" t="s">
        <v>1568</v>
      </c>
      <c r="C905">
        <v>26</v>
      </c>
      <c r="D905" t="s">
        <v>448</v>
      </c>
      <c r="E905" t="s">
        <v>325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10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7</v>
      </c>
      <c r="V905" t="s">
        <v>1569</v>
      </c>
      <c r="W905" t="s">
        <v>1217</v>
      </c>
      <c r="X905">
        <v>16</v>
      </c>
      <c r="Y905">
        <v>8</v>
      </c>
      <c r="Z905">
        <v>66.7</v>
      </c>
      <c r="AA905">
        <v>1</v>
      </c>
      <c r="AB905">
        <v>9</v>
      </c>
      <c r="AC905">
        <v>1</v>
      </c>
      <c r="AD905">
        <v>2</v>
      </c>
      <c r="AE905" t="s">
        <v>60</v>
      </c>
    </row>
    <row r="906" spans="1:31" x14ac:dyDescent="0.2">
      <c r="A906">
        <v>871</v>
      </c>
      <c r="B906" t="s">
        <v>1570</v>
      </c>
      <c r="C906">
        <v>27</v>
      </c>
      <c r="D906" t="s">
        <v>429</v>
      </c>
      <c r="E906" t="s">
        <v>349</v>
      </c>
      <c r="F906">
        <v>8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14</v>
      </c>
      <c r="V906" t="s">
        <v>1571</v>
      </c>
      <c r="W906" t="s">
        <v>1572</v>
      </c>
      <c r="X906">
        <v>0</v>
      </c>
      <c r="Y906">
        <v>0</v>
      </c>
      <c r="AA906">
        <v>5</v>
      </c>
      <c r="AB906">
        <v>3</v>
      </c>
      <c r="AC906">
        <v>1</v>
      </c>
      <c r="AD906">
        <v>1</v>
      </c>
      <c r="AE906" t="s">
        <v>60</v>
      </c>
    </row>
    <row r="907" spans="1:31" x14ac:dyDescent="0.2">
      <c r="A907">
        <v>872</v>
      </c>
      <c r="B907" t="s">
        <v>1573</v>
      </c>
      <c r="C907">
        <v>33</v>
      </c>
      <c r="D907" t="s">
        <v>337</v>
      </c>
      <c r="E907" t="s">
        <v>3</v>
      </c>
      <c r="F907">
        <v>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t="s">
        <v>1884</v>
      </c>
      <c r="W907" t="s">
        <v>1825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t="s">
        <v>60</v>
      </c>
    </row>
    <row r="908" spans="1:31" x14ac:dyDescent="0.2">
      <c r="A908">
        <v>873</v>
      </c>
      <c r="B908" t="s">
        <v>1574</v>
      </c>
      <c r="C908">
        <v>21</v>
      </c>
      <c r="D908" t="s">
        <v>378</v>
      </c>
      <c r="E908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t="s">
        <v>1804</v>
      </c>
      <c r="W908" t="s">
        <v>1805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t="s">
        <v>60</v>
      </c>
    </row>
    <row r="909" spans="1:31" x14ac:dyDescent="0.2">
      <c r="A909">
        <v>874</v>
      </c>
      <c r="B909" t="s">
        <v>1697</v>
      </c>
      <c r="C909">
        <v>22</v>
      </c>
      <c r="D909" t="s">
        <v>415</v>
      </c>
      <c r="E909" t="s">
        <v>349</v>
      </c>
      <c r="F909">
        <v>3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2</v>
      </c>
      <c r="V909" t="s">
        <v>1792</v>
      </c>
      <c r="W909" t="s">
        <v>1793</v>
      </c>
      <c r="X909">
        <v>0</v>
      </c>
      <c r="Y909">
        <v>0</v>
      </c>
      <c r="AA909">
        <v>2</v>
      </c>
      <c r="AB909">
        <v>5</v>
      </c>
      <c r="AC909">
        <v>0</v>
      </c>
      <c r="AD909">
        <v>3</v>
      </c>
      <c r="AE909" t="s">
        <v>60</v>
      </c>
    </row>
    <row r="910" spans="1:31" x14ac:dyDescent="0.2">
      <c r="A910">
        <v>875</v>
      </c>
      <c r="B910" t="s">
        <v>1575</v>
      </c>
      <c r="C910">
        <v>31</v>
      </c>
      <c r="D910" t="s">
        <v>555</v>
      </c>
      <c r="E910" t="s">
        <v>3</v>
      </c>
      <c r="F910">
        <v>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t="s">
        <v>1576</v>
      </c>
      <c r="W910" t="s">
        <v>1577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t="s">
        <v>60</v>
      </c>
    </row>
    <row r="911" spans="1:31" x14ac:dyDescent="0.2">
      <c r="A911">
        <v>876</v>
      </c>
      <c r="B911" t="s">
        <v>1581</v>
      </c>
      <c r="C911">
        <v>23</v>
      </c>
      <c r="D911" t="s">
        <v>363</v>
      </c>
      <c r="E911" t="s">
        <v>340</v>
      </c>
      <c r="F911">
        <v>6</v>
      </c>
      <c r="G911">
        <v>0</v>
      </c>
      <c r="H911">
        <v>0</v>
      </c>
      <c r="I911">
        <v>0</v>
      </c>
      <c r="J911">
        <v>-3</v>
      </c>
      <c r="K911">
        <v>7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5</v>
      </c>
      <c r="T911">
        <v>0</v>
      </c>
      <c r="U911">
        <v>11</v>
      </c>
      <c r="V911" t="s">
        <v>2625</v>
      </c>
      <c r="W911" t="s">
        <v>1989</v>
      </c>
      <c r="X911">
        <v>0</v>
      </c>
      <c r="Y911">
        <v>0</v>
      </c>
      <c r="AA911">
        <v>3</v>
      </c>
      <c r="AB911">
        <v>6</v>
      </c>
      <c r="AC911">
        <v>0</v>
      </c>
      <c r="AD911">
        <v>0</v>
      </c>
      <c r="AE911" t="s">
        <v>60</v>
      </c>
    </row>
    <row r="912" spans="1:31" x14ac:dyDescent="0.2">
      <c r="A912">
        <v>877</v>
      </c>
      <c r="B912" t="s">
        <v>1756</v>
      </c>
      <c r="C912">
        <v>24</v>
      </c>
      <c r="D912" t="s">
        <v>404</v>
      </c>
      <c r="E912" t="s">
        <v>325</v>
      </c>
      <c r="F912">
        <v>5</v>
      </c>
      <c r="G912">
        <v>0</v>
      </c>
      <c r="H912">
        <v>0</v>
      </c>
      <c r="I912">
        <v>0</v>
      </c>
      <c r="J912">
        <v>-1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6</v>
      </c>
      <c r="V912" t="s">
        <v>1885</v>
      </c>
      <c r="W912" t="s">
        <v>1886</v>
      </c>
      <c r="X912">
        <v>0</v>
      </c>
      <c r="Y912">
        <v>0</v>
      </c>
      <c r="AA912">
        <v>1</v>
      </c>
      <c r="AB912">
        <v>7</v>
      </c>
      <c r="AC912">
        <v>1</v>
      </c>
      <c r="AD912">
        <v>1</v>
      </c>
      <c r="AE912" t="s">
        <v>60</v>
      </c>
    </row>
    <row r="913" spans="1:31" x14ac:dyDescent="0.2">
      <c r="A913">
        <v>878</v>
      </c>
      <c r="B913" t="s">
        <v>1582</v>
      </c>
      <c r="C913">
        <v>26</v>
      </c>
      <c r="D913" t="s">
        <v>461</v>
      </c>
      <c r="E913" t="s">
        <v>3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t="s">
        <v>1583</v>
      </c>
      <c r="W913" t="s">
        <v>1583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t="s">
        <v>60</v>
      </c>
    </row>
    <row r="914" spans="1:31" x14ac:dyDescent="0.2">
      <c r="A914">
        <v>879</v>
      </c>
      <c r="B914" t="s">
        <v>1584</v>
      </c>
      <c r="C914">
        <v>24</v>
      </c>
      <c r="D914" t="s">
        <v>353</v>
      </c>
      <c r="E914" t="s">
        <v>340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3</v>
      </c>
      <c r="V914" t="s">
        <v>1585</v>
      </c>
      <c r="W914" t="s">
        <v>1585</v>
      </c>
      <c r="X914">
        <v>1</v>
      </c>
      <c r="Y914">
        <v>0</v>
      </c>
      <c r="Z914">
        <v>100</v>
      </c>
      <c r="AA914">
        <v>1</v>
      </c>
      <c r="AB914">
        <v>1</v>
      </c>
      <c r="AC914">
        <v>0</v>
      </c>
      <c r="AD914">
        <v>0</v>
      </c>
      <c r="AE914" t="s">
        <v>60</v>
      </c>
    </row>
    <row r="915" spans="1:31" x14ac:dyDescent="0.2">
      <c r="A915">
        <v>880</v>
      </c>
      <c r="B915" t="s">
        <v>1586</v>
      </c>
      <c r="C915">
        <v>33</v>
      </c>
      <c r="D915" t="s">
        <v>328</v>
      </c>
      <c r="E915" t="s">
        <v>3</v>
      </c>
      <c r="F915">
        <v>13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t="s">
        <v>1995</v>
      </c>
      <c r="W915" t="s">
        <v>1996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12</v>
      </c>
      <c r="AE915" t="s">
        <v>60</v>
      </c>
    </row>
    <row r="916" spans="1:31" x14ac:dyDescent="0.2">
      <c r="A916">
        <v>881</v>
      </c>
      <c r="B916" t="s">
        <v>1587</v>
      </c>
      <c r="C916">
        <v>22</v>
      </c>
      <c r="D916" t="s">
        <v>378</v>
      </c>
      <c r="E916" t="s">
        <v>349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t="s">
        <v>1588</v>
      </c>
      <c r="W916" t="s">
        <v>1446</v>
      </c>
      <c r="X916">
        <v>0</v>
      </c>
      <c r="Y916">
        <v>0</v>
      </c>
      <c r="AA916">
        <v>2</v>
      </c>
      <c r="AB916">
        <v>1</v>
      </c>
      <c r="AC916">
        <v>1</v>
      </c>
      <c r="AD916">
        <v>4</v>
      </c>
      <c r="AE916" t="s">
        <v>60</v>
      </c>
    </row>
    <row r="917" spans="1:31" x14ac:dyDescent="0.2">
      <c r="A917">
        <v>882</v>
      </c>
      <c r="B917" t="s">
        <v>1589</v>
      </c>
      <c r="C917">
        <v>20</v>
      </c>
      <c r="D917" t="s">
        <v>384</v>
      </c>
      <c r="E917" t="s">
        <v>322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6</v>
      </c>
      <c r="T917">
        <v>0</v>
      </c>
      <c r="U917">
        <v>10</v>
      </c>
      <c r="V917" t="s">
        <v>1590</v>
      </c>
      <c r="W917" t="s">
        <v>679</v>
      </c>
      <c r="X917">
        <v>0</v>
      </c>
      <c r="Y917">
        <v>0</v>
      </c>
      <c r="AA917">
        <v>1</v>
      </c>
      <c r="AB917">
        <v>2</v>
      </c>
      <c r="AC917">
        <v>0</v>
      </c>
      <c r="AD917">
        <v>3</v>
      </c>
      <c r="AE917" t="s">
        <v>60</v>
      </c>
    </row>
    <row r="918" spans="1:31" x14ac:dyDescent="0.2">
      <c r="A918">
        <v>883</v>
      </c>
      <c r="B918" t="s">
        <v>1592</v>
      </c>
      <c r="C918">
        <v>26</v>
      </c>
      <c r="D918" t="s">
        <v>321</v>
      </c>
      <c r="E918" t="s">
        <v>325</v>
      </c>
      <c r="F918">
        <v>2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t="s">
        <v>1593</v>
      </c>
      <c r="W918" t="s">
        <v>1594</v>
      </c>
      <c r="X918">
        <v>0</v>
      </c>
      <c r="Y918">
        <v>0</v>
      </c>
      <c r="AA918">
        <v>2</v>
      </c>
      <c r="AB918">
        <v>7</v>
      </c>
      <c r="AC918">
        <v>0</v>
      </c>
      <c r="AD918">
        <v>0</v>
      </c>
      <c r="AE918" t="s">
        <v>60</v>
      </c>
    </row>
    <row r="919" spans="1:31" x14ac:dyDescent="0.2">
      <c r="A919">
        <v>884</v>
      </c>
      <c r="B919" t="s">
        <v>1595</v>
      </c>
      <c r="C919">
        <v>24</v>
      </c>
      <c r="D919" t="s">
        <v>378</v>
      </c>
      <c r="E919" t="s">
        <v>335</v>
      </c>
      <c r="F919">
        <v>2</v>
      </c>
      <c r="G919">
        <v>0</v>
      </c>
      <c r="H919">
        <v>0</v>
      </c>
      <c r="I919">
        <v>0</v>
      </c>
      <c r="J919">
        <v>-2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t="s">
        <v>1596</v>
      </c>
      <c r="W919" t="s">
        <v>1597</v>
      </c>
      <c r="X919">
        <v>0</v>
      </c>
      <c r="Y919">
        <v>0</v>
      </c>
      <c r="AA919">
        <v>2</v>
      </c>
      <c r="AB919">
        <v>2</v>
      </c>
      <c r="AC919">
        <v>1</v>
      </c>
      <c r="AD919">
        <v>1</v>
      </c>
      <c r="AE919" t="s">
        <v>60</v>
      </c>
    </row>
    <row r="920" spans="1:31" x14ac:dyDescent="0.2">
      <c r="A920">
        <v>885</v>
      </c>
      <c r="B920" t="s">
        <v>1598</v>
      </c>
      <c r="C920">
        <v>26</v>
      </c>
      <c r="D920" t="s">
        <v>361</v>
      </c>
      <c r="E920" t="s">
        <v>3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t="s">
        <v>1599</v>
      </c>
      <c r="W920" t="s">
        <v>1600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</v>
      </c>
      <c r="AE920" t="s">
        <v>60</v>
      </c>
    </row>
    <row r="921" spans="1:31" x14ac:dyDescent="0.2">
      <c r="A921">
        <v>886</v>
      </c>
      <c r="B921" t="s">
        <v>1601</v>
      </c>
      <c r="C921">
        <v>40</v>
      </c>
      <c r="D921" t="s">
        <v>363</v>
      </c>
      <c r="E921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12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t="s">
        <v>2072</v>
      </c>
      <c r="W921" t="s">
        <v>2073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t="s">
        <v>60</v>
      </c>
    </row>
    <row r="922" spans="1:31" x14ac:dyDescent="0.2">
      <c r="A922">
        <v>887</v>
      </c>
      <c r="B922" t="s">
        <v>1602</v>
      </c>
      <c r="C922">
        <v>23</v>
      </c>
      <c r="D922" t="s">
        <v>361</v>
      </c>
      <c r="E922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t="s">
        <v>1603</v>
      </c>
      <c r="W922" t="s">
        <v>1285</v>
      </c>
      <c r="X922">
        <v>3</v>
      </c>
      <c r="Y922">
        <v>5</v>
      </c>
      <c r="Z922">
        <v>37.5</v>
      </c>
      <c r="AA922">
        <v>0</v>
      </c>
      <c r="AB922">
        <v>6</v>
      </c>
      <c r="AC922">
        <v>0</v>
      </c>
      <c r="AD922">
        <v>2</v>
      </c>
      <c r="AE922" t="s">
        <v>60</v>
      </c>
    </row>
    <row r="923" spans="1:31" x14ac:dyDescent="0.2">
      <c r="A923">
        <v>888</v>
      </c>
      <c r="B923" t="s">
        <v>1605</v>
      </c>
      <c r="C923">
        <v>33</v>
      </c>
      <c r="D923" t="s">
        <v>387</v>
      </c>
      <c r="E923" t="s">
        <v>3</v>
      </c>
      <c r="F923">
        <v>15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t="s">
        <v>2837</v>
      </c>
      <c r="W923" t="s">
        <v>1632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15</v>
      </c>
      <c r="AE923" t="s">
        <v>60</v>
      </c>
    </row>
    <row r="924" spans="1:31" x14ac:dyDescent="0.2">
      <c r="A924">
        <v>889</v>
      </c>
      <c r="B924" t="s">
        <v>1606</v>
      </c>
      <c r="C924">
        <v>22</v>
      </c>
      <c r="D924" t="s">
        <v>365</v>
      </c>
      <c r="E924" t="s">
        <v>335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t="s">
        <v>1607</v>
      </c>
      <c r="W924" t="s">
        <v>1219</v>
      </c>
      <c r="X924">
        <v>0</v>
      </c>
      <c r="Y924">
        <v>0</v>
      </c>
      <c r="AA924">
        <v>0</v>
      </c>
      <c r="AB924">
        <v>6</v>
      </c>
      <c r="AC924">
        <v>0</v>
      </c>
      <c r="AD924">
        <v>3</v>
      </c>
      <c r="AE924" t="s">
        <v>60</v>
      </c>
    </row>
    <row r="925" spans="1:31" x14ac:dyDescent="0.2">
      <c r="A925">
        <v>890</v>
      </c>
      <c r="B925" t="s">
        <v>1608</v>
      </c>
      <c r="C925">
        <v>21</v>
      </c>
      <c r="D925" t="s">
        <v>346</v>
      </c>
      <c r="E925" t="s">
        <v>349</v>
      </c>
      <c r="F925">
        <v>4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7</v>
      </c>
      <c r="V925" t="s">
        <v>1609</v>
      </c>
      <c r="W925" t="s">
        <v>1196</v>
      </c>
      <c r="X925">
        <v>0</v>
      </c>
      <c r="Y925">
        <v>0</v>
      </c>
      <c r="AA925">
        <v>5</v>
      </c>
      <c r="AB925">
        <v>5</v>
      </c>
      <c r="AC925">
        <v>0</v>
      </c>
      <c r="AD925">
        <v>3</v>
      </c>
      <c r="AE925" t="s">
        <v>60</v>
      </c>
    </row>
    <row r="926" spans="1:31" x14ac:dyDescent="0.2">
      <c r="A926">
        <v>891</v>
      </c>
      <c r="B926" t="s">
        <v>1610</v>
      </c>
      <c r="C926">
        <v>30</v>
      </c>
      <c r="D926" t="s">
        <v>476</v>
      </c>
      <c r="E926" t="s">
        <v>3</v>
      </c>
      <c r="F926">
        <v>29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t="s">
        <v>2626</v>
      </c>
      <c r="W926" t="s">
        <v>2627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12</v>
      </c>
      <c r="AE926" t="s">
        <v>60</v>
      </c>
    </row>
    <row r="927" spans="1:31" x14ac:dyDescent="0.2">
      <c r="A927">
        <v>892</v>
      </c>
      <c r="B927" t="s">
        <v>1611</v>
      </c>
      <c r="C927">
        <v>25</v>
      </c>
      <c r="D927" t="s">
        <v>344</v>
      </c>
      <c r="E927" t="s">
        <v>3</v>
      </c>
      <c r="F927">
        <v>18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t="s">
        <v>1997</v>
      </c>
      <c r="W927" t="s">
        <v>1998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t="s">
        <v>60</v>
      </c>
    </row>
    <row r="928" spans="1:31" x14ac:dyDescent="0.2">
      <c r="A928">
        <v>893</v>
      </c>
      <c r="B928" t="s">
        <v>1612</v>
      </c>
      <c r="C928">
        <v>30</v>
      </c>
      <c r="D928" t="s">
        <v>363</v>
      </c>
      <c r="E928" t="s">
        <v>3</v>
      </c>
      <c r="F928">
        <v>31</v>
      </c>
      <c r="G928">
        <v>0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2</v>
      </c>
      <c r="V928" t="s">
        <v>2628</v>
      </c>
      <c r="W928" t="s">
        <v>1990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16</v>
      </c>
      <c r="AE928" t="s">
        <v>60</v>
      </c>
    </row>
    <row r="929" spans="1:31" x14ac:dyDescent="0.2">
      <c r="A929">
        <v>894</v>
      </c>
      <c r="B929" t="s">
        <v>1614</v>
      </c>
      <c r="C929">
        <v>24</v>
      </c>
      <c r="D929" t="s">
        <v>536</v>
      </c>
      <c r="E92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t="s">
        <v>1067</v>
      </c>
      <c r="W929" t="s">
        <v>1067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t="s">
        <v>60</v>
      </c>
    </row>
    <row r="930" spans="1:31" x14ac:dyDescent="0.2">
      <c r="A930">
        <v>895</v>
      </c>
      <c r="B930" t="s">
        <v>1615</v>
      </c>
      <c r="C930">
        <v>27</v>
      </c>
      <c r="D930" t="s">
        <v>1022</v>
      </c>
      <c r="E930" t="s">
        <v>3</v>
      </c>
      <c r="F930">
        <v>26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t="s">
        <v>2178</v>
      </c>
      <c r="W930" t="s">
        <v>2001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15</v>
      </c>
      <c r="AE930" t="s">
        <v>60</v>
      </c>
    </row>
    <row r="931" spans="1:31" x14ac:dyDescent="0.2">
      <c r="A931">
        <v>895</v>
      </c>
      <c r="B931" t="s">
        <v>1615</v>
      </c>
      <c r="C931">
        <v>27</v>
      </c>
      <c r="D931" t="s">
        <v>328</v>
      </c>
      <c r="E931" t="s">
        <v>3</v>
      </c>
      <c r="F931">
        <v>23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t="s">
        <v>1757</v>
      </c>
      <c r="W931" t="s">
        <v>1487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t="s">
        <v>60</v>
      </c>
    </row>
    <row r="932" spans="1:31" x14ac:dyDescent="0.2">
      <c r="A932">
        <v>895</v>
      </c>
      <c r="B932" t="s">
        <v>1615</v>
      </c>
      <c r="C932">
        <v>27</v>
      </c>
      <c r="D932" t="s">
        <v>378</v>
      </c>
      <c r="E932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t="s">
        <v>2179</v>
      </c>
      <c r="W932" t="s">
        <v>2180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t="s">
        <v>60</v>
      </c>
    </row>
    <row r="933" spans="1:31" x14ac:dyDescent="0.2">
      <c r="A933">
        <v>896</v>
      </c>
      <c r="B933" t="s">
        <v>1616</v>
      </c>
      <c r="C933">
        <v>31</v>
      </c>
      <c r="D933" t="s">
        <v>402</v>
      </c>
      <c r="E933" t="s">
        <v>349</v>
      </c>
      <c r="F933">
        <v>5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14</v>
      </c>
      <c r="V933" t="s">
        <v>1887</v>
      </c>
      <c r="W933" t="s">
        <v>507</v>
      </c>
      <c r="X933">
        <v>0</v>
      </c>
      <c r="Y933">
        <v>0</v>
      </c>
      <c r="AA933">
        <v>8</v>
      </c>
      <c r="AB933">
        <v>0</v>
      </c>
      <c r="AC933">
        <v>5</v>
      </c>
      <c r="AD933">
        <v>6</v>
      </c>
      <c r="AE933" t="s">
        <v>60</v>
      </c>
    </row>
    <row r="934" spans="1:31" x14ac:dyDescent="0.2">
      <c r="A934">
        <v>897</v>
      </c>
      <c r="B934" t="s">
        <v>1618</v>
      </c>
      <c r="C934">
        <v>26</v>
      </c>
      <c r="D934" t="s">
        <v>330</v>
      </c>
      <c r="E934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t="s">
        <v>2838</v>
      </c>
      <c r="W934" t="s">
        <v>2839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4</v>
      </c>
      <c r="AE934" t="s">
        <v>60</v>
      </c>
    </row>
    <row r="935" spans="1:31" x14ac:dyDescent="0.2">
      <c r="A935">
        <v>898</v>
      </c>
      <c r="B935" t="s">
        <v>1620</v>
      </c>
      <c r="C935">
        <v>25</v>
      </c>
      <c r="D935" t="s">
        <v>321</v>
      </c>
      <c r="E935" t="s">
        <v>349</v>
      </c>
      <c r="F935">
        <v>9</v>
      </c>
      <c r="G935">
        <v>0</v>
      </c>
      <c r="H935">
        <v>0</v>
      </c>
      <c r="I935">
        <v>0</v>
      </c>
      <c r="J935">
        <v>-4</v>
      </c>
      <c r="K935">
        <v>4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9</v>
      </c>
      <c r="T935">
        <v>0</v>
      </c>
      <c r="U935">
        <v>28</v>
      </c>
      <c r="V935" t="s">
        <v>1621</v>
      </c>
      <c r="W935" t="s">
        <v>1622</v>
      </c>
      <c r="X935">
        <v>0</v>
      </c>
      <c r="Y935">
        <v>0</v>
      </c>
      <c r="AA935">
        <v>15</v>
      </c>
      <c r="AB935">
        <v>11</v>
      </c>
      <c r="AC935">
        <v>2</v>
      </c>
      <c r="AD935">
        <v>3</v>
      </c>
      <c r="AE935" t="s">
        <v>60</v>
      </c>
    </row>
    <row r="936" spans="1:31" x14ac:dyDescent="0.2">
      <c r="A936">
        <v>899</v>
      </c>
      <c r="B936" t="s">
        <v>1623</v>
      </c>
      <c r="C936">
        <v>30</v>
      </c>
      <c r="D936" t="s">
        <v>387</v>
      </c>
      <c r="E936" t="s">
        <v>3</v>
      </c>
      <c r="F936">
        <v>24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t="s">
        <v>1888</v>
      </c>
      <c r="W936" t="s">
        <v>1402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t="s">
        <v>60</v>
      </c>
    </row>
    <row r="937" spans="1:31" x14ac:dyDescent="0.2">
      <c r="A937">
        <v>900</v>
      </c>
      <c r="B937" t="s">
        <v>1869</v>
      </c>
      <c r="C937">
        <v>27</v>
      </c>
      <c r="D937" t="s">
        <v>328</v>
      </c>
      <c r="E937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t="s">
        <v>1765</v>
      </c>
      <c r="W937" t="s">
        <v>1384</v>
      </c>
      <c r="X937">
        <v>0</v>
      </c>
      <c r="Y937">
        <v>0</v>
      </c>
      <c r="AA937">
        <v>1</v>
      </c>
      <c r="AB937">
        <v>2</v>
      </c>
      <c r="AC937">
        <v>0</v>
      </c>
      <c r="AD937">
        <v>1</v>
      </c>
      <c r="AE937" t="s">
        <v>60</v>
      </c>
    </row>
    <row r="938" spans="1:31" x14ac:dyDescent="0.2">
      <c r="A938">
        <v>901</v>
      </c>
      <c r="B938" t="s">
        <v>1624</v>
      </c>
      <c r="C938">
        <v>32</v>
      </c>
      <c r="D938" t="s">
        <v>361</v>
      </c>
      <c r="E938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t="s">
        <v>1625</v>
      </c>
      <c r="W938" t="s">
        <v>1626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</v>
      </c>
      <c r="AE938" t="s">
        <v>60</v>
      </c>
    </row>
    <row r="939" spans="1:31" x14ac:dyDescent="0.2">
      <c r="A939">
        <v>902</v>
      </c>
      <c r="B939" t="s">
        <v>1627</v>
      </c>
      <c r="C939">
        <v>26</v>
      </c>
      <c r="D939" t="s">
        <v>375</v>
      </c>
      <c r="E939" t="s">
        <v>322</v>
      </c>
      <c r="F939">
        <v>11</v>
      </c>
      <c r="G939">
        <v>0</v>
      </c>
      <c r="H939">
        <v>0</v>
      </c>
      <c r="I939">
        <v>0</v>
      </c>
      <c r="J939">
        <v>-3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13</v>
      </c>
      <c r="T939">
        <v>0</v>
      </c>
      <c r="U939">
        <v>22</v>
      </c>
      <c r="V939" t="s">
        <v>2629</v>
      </c>
      <c r="W939" t="s">
        <v>2630</v>
      </c>
      <c r="X939">
        <v>21</v>
      </c>
      <c r="Y939">
        <v>36</v>
      </c>
      <c r="Z939">
        <v>36.799999999999997</v>
      </c>
      <c r="AA939">
        <v>3</v>
      </c>
      <c r="AB939">
        <v>15</v>
      </c>
      <c r="AC939">
        <v>1</v>
      </c>
      <c r="AD939">
        <v>1</v>
      </c>
      <c r="AE939" t="s">
        <v>60</v>
      </c>
    </row>
    <row r="940" spans="1:31" x14ac:dyDescent="0.2">
      <c r="A940">
        <v>903</v>
      </c>
      <c r="B940" t="s">
        <v>1628</v>
      </c>
      <c r="C940">
        <v>27</v>
      </c>
      <c r="D940" t="s">
        <v>356</v>
      </c>
      <c r="E940" t="s">
        <v>3</v>
      </c>
      <c r="F940">
        <v>26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t="s">
        <v>2181</v>
      </c>
      <c r="W940" t="s">
        <v>2002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11</v>
      </c>
      <c r="AE940" t="s">
        <v>60</v>
      </c>
    </row>
    <row r="941" spans="1:31" x14ac:dyDescent="0.2">
      <c r="A941">
        <v>904</v>
      </c>
      <c r="B941" t="s">
        <v>1629</v>
      </c>
      <c r="C941">
        <v>26</v>
      </c>
      <c r="D941" t="s">
        <v>375</v>
      </c>
      <c r="E941" t="s">
        <v>3</v>
      </c>
      <c r="F941">
        <v>12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t="s">
        <v>2000</v>
      </c>
      <c r="W941" t="s">
        <v>2001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t="s">
        <v>60</v>
      </c>
    </row>
    <row r="942" spans="1:31" x14ac:dyDescent="0.2">
      <c r="A942">
        <v>905</v>
      </c>
      <c r="B942" t="s">
        <v>1758</v>
      </c>
      <c r="C942">
        <v>24</v>
      </c>
      <c r="D942" t="s">
        <v>361</v>
      </c>
      <c r="E942" t="s">
        <v>349</v>
      </c>
      <c r="F942">
        <v>4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4</v>
      </c>
      <c r="T942">
        <v>0</v>
      </c>
      <c r="U942">
        <v>5</v>
      </c>
      <c r="V942" t="s">
        <v>1870</v>
      </c>
      <c r="W942" t="s">
        <v>1450</v>
      </c>
      <c r="X942">
        <v>0</v>
      </c>
      <c r="Y942">
        <v>0</v>
      </c>
      <c r="AA942">
        <v>4</v>
      </c>
      <c r="AB942">
        <v>3</v>
      </c>
      <c r="AC942">
        <v>0</v>
      </c>
      <c r="AD942">
        <v>1</v>
      </c>
      <c r="AE942" t="s">
        <v>60</v>
      </c>
    </row>
    <row r="943" spans="1:31" x14ac:dyDescent="0.2">
      <c r="A943">
        <v>906</v>
      </c>
      <c r="B943" t="s">
        <v>1630</v>
      </c>
      <c r="C943">
        <v>25</v>
      </c>
      <c r="D943" t="s">
        <v>461</v>
      </c>
      <c r="E943" t="s">
        <v>3</v>
      </c>
      <c r="F943">
        <v>4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t="s">
        <v>1662</v>
      </c>
      <c r="W943" t="s">
        <v>1663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2</v>
      </c>
      <c r="AE943" t="s">
        <v>60</v>
      </c>
    </row>
    <row r="944" spans="1:31" x14ac:dyDescent="0.2">
      <c r="A944">
        <v>907</v>
      </c>
      <c r="B944" t="s">
        <v>1795</v>
      </c>
      <c r="C944">
        <v>23</v>
      </c>
      <c r="D944" t="s">
        <v>368</v>
      </c>
      <c r="E944" t="s">
        <v>335</v>
      </c>
      <c r="F944">
        <v>2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3</v>
      </c>
      <c r="V944" t="s">
        <v>1682</v>
      </c>
      <c r="W944" t="s">
        <v>1547</v>
      </c>
      <c r="X944">
        <v>0</v>
      </c>
      <c r="Y944">
        <v>0</v>
      </c>
      <c r="AA944">
        <v>2</v>
      </c>
      <c r="AB944">
        <v>1</v>
      </c>
      <c r="AC944">
        <v>1</v>
      </c>
      <c r="AD944">
        <v>1</v>
      </c>
      <c r="AE944" t="s">
        <v>60</v>
      </c>
    </row>
    <row r="945" spans="1:31" x14ac:dyDescent="0.2">
      <c r="A945">
        <v>908</v>
      </c>
      <c r="B945" t="s">
        <v>1631</v>
      </c>
      <c r="C945">
        <v>32</v>
      </c>
      <c r="D945" t="s">
        <v>426</v>
      </c>
      <c r="E945" t="s">
        <v>3</v>
      </c>
      <c r="F945">
        <v>28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t="s">
        <v>2631</v>
      </c>
      <c r="W945" t="s">
        <v>2632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6</v>
      </c>
      <c r="AE945" t="s">
        <v>60</v>
      </c>
    </row>
    <row r="946" spans="1:31" x14ac:dyDescent="0.2">
      <c r="A946">
        <v>909</v>
      </c>
      <c r="B946" t="s">
        <v>1633</v>
      </c>
      <c r="C946">
        <v>31</v>
      </c>
      <c r="D946" t="s">
        <v>353</v>
      </c>
      <c r="E946" t="s">
        <v>3</v>
      </c>
      <c r="F946">
        <v>23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t="s">
        <v>2633</v>
      </c>
      <c r="W946" t="s">
        <v>2634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8</v>
      </c>
      <c r="AE946" t="s">
        <v>60</v>
      </c>
    </row>
    <row r="947" spans="1:31" x14ac:dyDescent="0.2">
      <c r="A947">
        <v>910</v>
      </c>
      <c r="B947" t="s">
        <v>1634</v>
      </c>
      <c r="C947">
        <v>29</v>
      </c>
      <c r="D947" t="s">
        <v>356</v>
      </c>
      <c r="E947" t="s">
        <v>325</v>
      </c>
      <c r="F947">
        <v>10</v>
      </c>
      <c r="G947">
        <v>0</v>
      </c>
      <c r="H947">
        <v>0</v>
      </c>
      <c r="I947">
        <v>0</v>
      </c>
      <c r="J947">
        <v>-1</v>
      </c>
      <c r="K947">
        <v>30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11</v>
      </c>
      <c r="T947">
        <v>0</v>
      </c>
      <c r="U947">
        <v>21</v>
      </c>
      <c r="V947" t="s">
        <v>2003</v>
      </c>
      <c r="W947" t="s">
        <v>1140</v>
      </c>
      <c r="X947">
        <v>1</v>
      </c>
      <c r="Y947">
        <v>1</v>
      </c>
      <c r="Z947">
        <v>50</v>
      </c>
      <c r="AA947">
        <v>4</v>
      </c>
      <c r="AB947">
        <v>27</v>
      </c>
      <c r="AC947">
        <v>1</v>
      </c>
      <c r="AD947">
        <v>2</v>
      </c>
      <c r="AE947" t="s">
        <v>60</v>
      </c>
    </row>
    <row r="948" spans="1:31" x14ac:dyDescent="0.2">
      <c r="A948">
        <v>911</v>
      </c>
      <c r="B948" t="s">
        <v>1635</v>
      </c>
      <c r="C948">
        <v>28</v>
      </c>
      <c r="D948" t="s">
        <v>415</v>
      </c>
      <c r="E948" t="s">
        <v>3</v>
      </c>
      <c r="F948">
        <v>22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t="s">
        <v>2840</v>
      </c>
      <c r="W948" t="s">
        <v>2841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t="s">
        <v>60</v>
      </c>
    </row>
    <row r="949" spans="1:31" x14ac:dyDescent="0.2">
      <c r="A949">
        <v>912</v>
      </c>
      <c r="B949" t="s">
        <v>1636</v>
      </c>
      <c r="C949">
        <v>23</v>
      </c>
      <c r="D949" t="s">
        <v>359</v>
      </c>
      <c r="E949" t="s">
        <v>3</v>
      </c>
      <c r="F949">
        <v>15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t="s">
        <v>2635</v>
      </c>
      <c r="W949" t="s">
        <v>2636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8</v>
      </c>
      <c r="AE949" t="s">
        <v>60</v>
      </c>
    </row>
    <row r="950" spans="1:31" x14ac:dyDescent="0.2">
      <c r="A950">
        <v>913</v>
      </c>
      <c r="B950" t="s">
        <v>1638</v>
      </c>
      <c r="C950">
        <v>24</v>
      </c>
      <c r="D950" t="s">
        <v>448</v>
      </c>
      <c r="E950" t="s">
        <v>3</v>
      </c>
      <c r="F950">
        <v>29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t="s">
        <v>2637</v>
      </c>
      <c r="W950" t="s">
        <v>2638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12</v>
      </c>
      <c r="AE950" t="s">
        <v>60</v>
      </c>
    </row>
    <row r="951" spans="1:31" x14ac:dyDescent="0.2">
      <c r="A951">
        <v>914</v>
      </c>
      <c r="B951" t="s">
        <v>1639</v>
      </c>
      <c r="C951">
        <v>27</v>
      </c>
      <c r="D951" t="s">
        <v>361</v>
      </c>
      <c r="E951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t="s">
        <v>2639</v>
      </c>
      <c r="W951" t="s">
        <v>2640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t="s">
        <v>60</v>
      </c>
    </row>
    <row r="952" spans="1:31" x14ac:dyDescent="0.2">
      <c r="B952" t="s">
        <v>1640</v>
      </c>
      <c r="D952" t="s">
        <v>60</v>
      </c>
      <c r="E952" t="s">
        <v>60</v>
      </c>
      <c r="T952">
        <v>10.8</v>
      </c>
      <c r="V952" t="s">
        <v>60</v>
      </c>
      <c r="W952" t="s">
        <v>405</v>
      </c>
      <c r="Z952">
        <v>50</v>
      </c>
      <c r="AE952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2025-12-31T16:43:43Z</dcterms:modified>
</cp:coreProperties>
</file>