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164" documentId="14_{BC0C37BD-5950-BD49-823D-87212FE79B51}" xr6:coauthVersionLast="47" xr6:coauthVersionMax="47" xr10:uidLastSave="{47231CB7-C818-6549-A755-7E0B63F591B9}"/>
  <bookViews>
    <workbookView xWindow="0" yWindow="680" windowWidth="29400" windowHeight="1736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Model'!$A$1:$AA$1313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7"/>
    <pivotCache cacheId="2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6" i="1" l="1"/>
  <c r="G426" i="1"/>
  <c r="H426" i="1" s="1"/>
  <c r="I426" i="1"/>
  <c r="G425" i="1"/>
  <c r="H425" i="1" s="1"/>
  <c r="I425" i="1"/>
  <c r="E425" i="1"/>
  <c r="G417" i="1"/>
  <c r="H417" i="1" s="1"/>
  <c r="I417" i="1"/>
  <c r="G418" i="1"/>
  <c r="H418" i="1" s="1"/>
  <c r="I418" i="1"/>
  <c r="G419" i="1"/>
  <c r="H419" i="1"/>
  <c r="I419" i="1"/>
  <c r="J419" i="1" s="1"/>
  <c r="G420" i="1"/>
  <c r="H420" i="1" s="1"/>
  <c r="I420" i="1"/>
  <c r="G421" i="1"/>
  <c r="H421" i="1"/>
  <c r="I421" i="1"/>
  <c r="J421" i="1" s="1"/>
  <c r="G422" i="1"/>
  <c r="H422" i="1" s="1"/>
  <c r="I422" i="1"/>
  <c r="G423" i="1"/>
  <c r="H423" i="1"/>
  <c r="I423" i="1"/>
  <c r="J423" i="1" s="1"/>
  <c r="G424" i="1"/>
  <c r="H424" i="1" s="1"/>
  <c r="I424" i="1"/>
  <c r="E417" i="1"/>
  <c r="E418" i="1"/>
  <c r="E419" i="1"/>
  <c r="E420" i="1"/>
  <c r="E421" i="1"/>
  <c r="E422" i="1"/>
  <c r="E423" i="1"/>
  <c r="E424" i="1"/>
  <c r="V6" i="4"/>
  <c r="V3" i="4"/>
  <c r="V5" i="4" s="1"/>
  <c r="V4" i="4"/>
  <c r="G412" i="1"/>
  <c r="I412" i="1"/>
  <c r="G413" i="1"/>
  <c r="I413" i="1"/>
  <c r="G414" i="1"/>
  <c r="H414" i="1" s="1"/>
  <c r="I414" i="1"/>
  <c r="G415" i="1"/>
  <c r="I415" i="1"/>
  <c r="G416" i="1"/>
  <c r="H416" i="1" s="1"/>
  <c r="I416" i="1"/>
  <c r="E412" i="1"/>
  <c r="E413" i="1"/>
  <c r="E414" i="1"/>
  <c r="E415" i="1"/>
  <c r="E416" i="1"/>
  <c r="G408" i="1"/>
  <c r="I408" i="1"/>
  <c r="G409" i="1"/>
  <c r="I409" i="1"/>
  <c r="G410" i="1"/>
  <c r="H410" i="1" s="1"/>
  <c r="I410" i="1"/>
  <c r="G411" i="1"/>
  <c r="I411" i="1"/>
  <c r="E408" i="1"/>
  <c r="E409" i="1"/>
  <c r="E410" i="1"/>
  <c r="E411" i="1"/>
  <c r="G397" i="1"/>
  <c r="H397" i="1" s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424" i="1" l="1"/>
  <c r="J417" i="1"/>
  <c r="J420" i="1"/>
  <c r="J425" i="1"/>
  <c r="J422" i="1"/>
  <c r="J426" i="1"/>
  <c r="J418" i="1"/>
  <c r="H412" i="1"/>
  <c r="H413" i="1"/>
  <c r="H377" i="1"/>
  <c r="H409" i="1"/>
  <c r="J409" i="1" s="1"/>
  <c r="H415" i="1"/>
  <c r="J415" i="1"/>
  <c r="J414" i="1"/>
  <c r="J413" i="1"/>
  <c r="J416" i="1"/>
  <c r="J412" i="1"/>
  <c r="H406" i="1"/>
  <c r="H402" i="1"/>
  <c r="H398" i="1"/>
  <c r="J398" i="1" s="1"/>
  <c r="H411" i="1"/>
  <c r="J411" i="1" s="1"/>
  <c r="H408" i="1"/>
  <c r="J408" i="1" s="1"/>
  <c r="J410" i="1"/>
  <c r="H401" i="1"/>
  <c r="H405" i="1"/>
  <c r="J405" i="1" s="1"/>
  <c r="H404" i="1"/>
  <c r="J404" i="1" s="1"/>
  <c r="H407" i="1"/>
  <c r="J407" i="1" s="1"/>
  <c r="H370" i="1"/>
  <c r="J370" i="1" s="1"/>
  <c r="J406" i="1"/>
  <c r="H403" i="1"/>
  <c r="J403" i="1" s="1"/>
  <c r="H399" i="1"/>
  <c r="J399" i="1" s="1"/>
  <c r="H400" i="1"/>
  <c r="J400" i="1" s="1"/>
  <c r="J401" i="1"/>
  <c r="H378" i="1"/>
  <c r="J378" i="1" s="1"/>
  <c r="J402" i="1"/>
  <c r="H376" i="1"/>
  <c r="J376" i="1" s="1"/>
  <c r="H392" i="1"/>
  <c r="J392" i="1" s="1"/>
  <c r="H388" i="1"/>
  <c r="J388" i="1" s="1"/>
  <c r="H384" i="1"/>
  <c r="J384" i="1" s="1"/>
  <c r="J397" i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7" i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H307" i="1"/>
  <c r="H314" i="1"/>
  <c r="H334" i="1"/>
  <c r="H340" i="1"/>
  <c r="J340" i="1" s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5" i="1"/>
  <c r="H111" i="1"/>
  <c r="H101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116" i="1" l="1"/>
  <c r="H83" i="1"/>
  <c r="F4" i="5"/>
  <c r="H223" i="1"/>
  <c r="J223" i="1" s="1"/>
  <c r="H85" i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85" i="1"/>
  <c r="J123" i="1"/>
  <c r="J125" i="1"/>
  <c r="J126" i="1"/>
  <c r="J109" i="1"/>
  <c r="J166" i="1"/>
  <c r="J87" i="1"/>
  <c r="J96" i="1"/>
  <c r="J111" i="1"/>
  <c r="J95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L341" i="4" l="1"/>
  <c r="J3" i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128" i="4" l="1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<sst xmlns="http://schemas.openxmlformats.org/spreadsheetml/2006/main" count="33383" uniqueCount="1527">
  <si>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</si>
  <si>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</si>
  <si>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</si>
  <si>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</si>
  <si>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</si>
  <si>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</si>
  <si>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</si>
  <si>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</si>
  <si>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</si>
  <si>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</si>
  <si>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</si>
  <si>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</si>
  <si>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</si>
  <si>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</si>
  <si>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</si>
  <si>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</si>
  <si>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</si>
  <si>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</si>
  <si>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</si>
  <si>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</si>
  <si>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</si>
  <si>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</si>
  <si>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</si>
  <si>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</si>
  <si>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</si>
  <si>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</si>
  <si>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</si>
  <si>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</si>
  <si>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</si>
  <si>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</si>
  <si>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</si>
  <si>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</si>
  <si>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</si>
  <si>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</si>
  <si>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</si>
  <si>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</si>
  <si>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</si>
  <si>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</si>
  <si>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</si>
  <si>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</si>
  <si>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</si>
  <si>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</si>
  <si>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</si>
  <si>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</si>
  <si>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</si>
  <si>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</si>
  <si>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</si>
  <si>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</si>
  <si>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</si>
  <si>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</si>
  <si>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</si>
  <si>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</si>
  <si>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</si>
  <si>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</si>
  <si>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</si>
  <si>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</si>
  <si>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</si>
  <si>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</si>
  <si>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</si>
  <si>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</si>
  <si>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</si>
  <si>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</si>
  <si>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</si>
  <si>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</si>
  <si>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</si>
  <si>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</si>
  <si>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</si>
  <si>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</si>
  <si>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</si>
  <si>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</si>
  <si>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</si>
  <si>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</si>
  <si>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</si>
  <si>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</si>
  <si>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</si>
  <si>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</si>
  <si>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</si>
  <si>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</si>
  <si>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</si>
  <si>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</si>
  <si>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</si>
  <si>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</si>
  <si>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</si>
  <si>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</si>
  <si>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</si>
  <si>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</si>
  <si>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</si>
  <si>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</si>
  <si>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</si>
  <si>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</si>
  <si>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</si>
  <si>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</si>
  <si>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</si>
  <si>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</si>
  <si>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</si>
  <si>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</si>
  <si>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</si>
  <si>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</si>
  <si>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</si>
  <si>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</si>
  <si>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</si>
  <si>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</si>
  <si>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</si>
  <si>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</si>
  <si>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</si>
  <si>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</si>
  <si>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</si>
  <si>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</si>
  <si>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</si>
  <si>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</si>
  <si>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</si>
  <si>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</si>
  <si>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</si>
  <si>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</si>
  <si>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</si>
  <si>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</si>
  <si>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</si>
  <si>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</si>
  <si>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</si>
  <si>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</si>
  <si>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</si>
  <si>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</si>
  <si>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</si>
  <si>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</si>
  <si>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</si>
  <si>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</si>
  <si>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</si>
  <si>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</si>
  <si>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</si>
  <si>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</si>
  <si>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</si>
  <si>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</si>
  <si>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</si>
  <si>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</si>
  <si>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</si>
  <si>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</si>
  <si>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</si>
  <si>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</si>
  <si>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</si>
  <si>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</si>
  <si>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</si>
  <si>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</si>
  <si>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</si>
  <si>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</si>
  <si>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</si>
  <si>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</si>
  <si>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</si>
  <si>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</si>
  <si>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</si>
  <si>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</si>
  <si>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</si>
  <si>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</si>
  <si>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</si>
  <si>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</si>
  <si>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</si>
  <si>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</si>
  <si>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</si>
  <si>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</si>
  <si>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</si>
  <si>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</si>
  <si>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</si>
  <si>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</si>
  <si>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</si>
  <si>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</si>
  <si>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</si>
  <si>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</si>
  <si>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</si>
  <si>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</si>
  <si>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</si>
  <si>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</si>
  <si>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</si>
  <si>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</si>
  <si>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</si>
  <si>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</si>
  <si>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</si>
  <si>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</si>
  <si>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</si>
  <si>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</si>
  <si>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</si>
  <si>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</si>
  <si>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</si>
  <si>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</si>
  <si>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</si>
  <si>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</si>
  <si>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</si>
  <si>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</si>
  <si>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</si>
  <si>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</si>
  <si>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</si>
  <si>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</si>
  <si>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</si>
  <si>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</si>
  <si>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</si>
  <si>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</si>
  <si>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</si>
  <si>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</si>
  <si>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</si>
  <si>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</si>
  <si>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</si>
  <si>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</si>
  <si>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</si>
  <si>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</si>
  <si>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</si>
  <si>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</si>
  <si>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</si>
  <si>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</si>
  <si>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</si>
  <si>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</si>
  <si>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</si>
  <si>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</si>
  <si>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</si>
  <si>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</si>
  <si>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</si>
  <si>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</si>
  <si>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</si>
  <si>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</si>
  <si>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</si>
  <si>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</si>
  <si>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</si>
  <si>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</si>
  <si>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</si>
  <si>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</si>
  <si>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</si>
  <si>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</si>
  <si>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</si>
  <si>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</si>
  <si>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</si>
  <si>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</si>
  <si>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</si>
  <si>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</si>
  <si>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</si>
  <si>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</si>
  <si>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</si>
  <si>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</si>
  <si>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</si>
  <si>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</si>
  <si>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</si>
  <si>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</si>
  <si>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</si>
  <si>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</si>
  <si>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</si>
  <si>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</si>
  <si>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</si>
  <si>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</si>
  <si>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</si>
  <si>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</si>
  <si>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</si>
  <si>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</si>
  <si>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</si>
  <si>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</si>
  <si>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</si>
  <si>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</si>
  <si>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</si>
  <si>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</si>
  <si>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</si>
  <si>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</si>
  <si>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</si>
  <si>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</si>
  <si>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</si>
  <si>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</si>
  <si>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</si>
  <si>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</si>
  <si>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</si>
  <si>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</si>
  <si>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</si>
  <si>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</si>
  <si>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</si>
  <si>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</si>
  <si>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</si>
  <si>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</si>
  <si>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</si>
  <si>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</si>
  <si>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</si>
  <si>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</si>
  <si>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</si>
  <si>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</si>
  <si>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</si>
  <si>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</si>
  <si>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</si>
  <si>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</si>
  <si>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</si>
  <si>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</si>
  <si>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</si>
  <si>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</si>
  <si>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</si>
  <si>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</si>
  <si>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</si>
  <si>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</si>
  <si>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</si>
  <si>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</si>
  <si>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</si>
  <si>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✓ Won by Anaheim Ducks</t>
  </si>
  <si>
    <t>COMPLETED</t>
  </si>
  <si>
    <t>7:00:00 PM</t>
  </si>
  <si>
    <t>Carolina Hurricanes @ Boston Bruins</t>
  </si>
  <si>
    <t>Edmonton Oilers @ Buffalo Sabres</t>
  </si>
  <si>
    <t>✓ Won by Buffalo Sabres</t>
  </si>
  <si>
    <t>7:30:00 PM</t>
  </si>
  <si>
    <t>Montreal Canadiens @ Columbus Blue Jackets</t>
  </si>
  <si>
    <t>Vancouver Canucks @ Florida Panthers</t>
  </si>
  <si>
    <t>Los Angeles Kings @ Washington Capitals</t>
  </si>
  <si>
    <t>8:30:00 PM</t>
  </si>
  <si>
    <t>Calgary Flames @ Chicago Blackhawks</t>
  </si>
  <si>
    <t>✓ Won by Chicago Blackhawks</t>
  </si>
  <si>
    <t>8:00:00 PM</t>
  </si>
  <si>
    <t>New York Islanders @ Dallas Stars</t>
  </si>
  <si>
    <t>Seattle Kraken @ Detroit Red Wings</t>
  </si>
  <si>
    <t>✓ Won by Detroit Red Wings</t>
  </si>
  <si>
    <t>Utah Mammoth @ San Jose Sharks</t>
  </si>
  <si>
    <t>✓ Won by San Jose Sharks</t>
  </si>
  <si>
    <t>New Jersey Devils @ Tampa Bay Lightning</t>
  </si>
  <si>
    <t>St. Louis Blues @ Toronto Maple Leafs</t>
  </si>
  <si>
    <t>✓ Won by Toronto Maple Leafs</t>
  </si>
  <si>
    <t>New York Rangers @ Vegas Golden Knights</t>
  </si>
  <si>
    <t>Columbus Blue Jackets @ Winnipeg Jets</t>
  </si>
  <si>
    <t>✓ Won by Winnipeg Jets</t>
  </si>
  <si>
    <t>Boston Bruins @ Anaheim Ducks</t>
  </si>
  <si>
    <t>Calgary Flames @ Buffalo Sabres</t>
  </si>
  <si>
    <t>9:30:00 PM</t>
  </si>
  <si>
    <t>Carolina Hurricanes @ Minnesota Wild</t>
  </si>
  <si>
    <t>Edmonton Oilers @ Washington Capitals</t>
  </si>
  <si>
    <t>✓ Won by Washington Capitals</t>
  </si>
  <si>
    <t>22:00:00</t>
  </si>
  <si>
    <t>Ottawa Senators @ Anaheim Ducks</t>
  </si>
  <si>
    <t>20:00:00</t>
  </si>
  <si>
    <t>Seattle Kraken @ Chicago Blackhawks</t>
  </si>
  <si>
    <t>21:00:00</t>
  </si>
  <si>
    <t>New York Rangers @ Colorado Avalanche</t>
  </si>
  <si>
    <t>19:00:00</t>
  </si>
  <si>
    <t>New York Islanders @ Detroit Red Wings</t>
  </si>
  <si>
    <t>New Jersey Devils @ Florida Panthers</t>
  </si>
  <si>
    <t>Washington Capitals @ Montreal Canadiens</t>
  </si>
  <si>
    <t>St. Louis Blues @ Philadelphia Flyers</t>
  </si>
  <si>
    <t>Los Angeles Kings @ San Jose Sharks</t>
  </si>
  <si>
    <t>19:30:00</t>
  </si>
  <si>
    <t>Edmonton Oilers @ Tampa Bay Lightning</t>
  </si>
  <si>
    <t>Columbus Blue Jackets @ Toronto Maple Leafs</t>
  </si>
  <si>
    <t>Vegas Golden Knights @ Utah Mammoth</t>
  </si>
  <si>
    <t>Dallas Stars @ Vancouver Canucks</t>
  </si>
  <si>
    <t>Chicago Blackhawks @ Buffalo Sabres</t>
  </si>
  <si>
    <t>22:30:00</t>
  </si>
  <si>
    <t>Boston Bruins @ Los Angeles Kings</t>
  </si>
  <si>
    <t>Minnesota Wild @ Pittsburgh Penguins</t>
  </si>
  <si>
    <t>✓ Won by Minnesota Wild</t>
  </si>
  <si>
    <t>Carolina Hurricanes @ Winnipeg Jets</t>
  </si>
  <si>
    <t>Vegas Golden Knights @ Anaheim Ducks</t>
  </si>
  <si>
    <t>Dallas Stars @ Calgary Flames</t>
  </si>
  <si>
    <t>13:00:00</t>
  </si>
  <si>
    <t>Columbus Blue Jackets @ Detroit Red Wings</t>
  </si>
  <si>
    <t>Edmonton Oilers @ Florida Panthers</t>
  </si>
  <si>
    <t>Toronto Maple Leafs @ Montreal Canadiens</t>
  </si>
  <si>
    <t>Colorado Avalanche @ Nashville Predators</t>
  </si>
  <si>
    <t>15:30:00</t>
  </si>
  <si>
    <t>St. Louis Blues @ New York Islanders</t>
  </si>
  <si>
    <t>New Jersey Devils @ Philadelphia Flyers</t>
  </si>
  <si>
    <t>Seattle Kraken @ Pittsburgh Penguins</t>
  </si>
  <si>
    <t>Ottawa Senators @ San Jose Sharks</t>
  </si>
  <si>
    <t>New York Rangers @ Utah Mammoth</t>
  </si>
  <si>
    <t>Tampa Bay Lightning @ Washington Capitals</t>
  </si>
  <si>
    <t>2025-11-23 11:29:50</t>
  </si>
  <si>
    <t>✓ Won by Montreal Canadiens</t>
  </si>
  <si>
    <t>✓ Won by Colorado Avalanche</t>
  </si>
  <si>
    <t>✓ Won by Utah Mammoth</t>
  </si>
  <si>
    <t>Carolina Hurricanes @ Buffalo Sabres</t>
  </si>
  <si>
    <t>Colorado Avalanche @ Chicago Blackhawks</t>
  </si>
  <si>
    <t>17:00:00</t>
  </si>
  <si>
    <t>Seattle Kraken @ New York Islanders</t>
  </si>
  <si>
    <t>Boston Bruins @ San Jose Sharks</t>
  </si>
  <si>
    <t>Calgary Flames @ Vancouver Canucks</t>
  </si>
  <si>
    <t>16:00:00</t>
  </si>
  <si>
    <t>Minnesota Wild @ Winnipeg Jets</t>
  </si>
  <si>
    <t>2025-11-24 11:01:13</t>
  </si>
  <si>
    <t>✓ Won by Calgary Flames</t>
  </si>
  <si>
    <t>Ottawa Senators @ Los Angeles Kings</t>
  </si>
  <si>
    <t>Detroit Red Wings @ New Jersey Devils</t>
  </si>
  <si>
    <t>Florida Panthers @ Nashville Predators</t>
  </si>
  <si>
    <t>St. Louis Blues @ New York Rangers</t>
  </si>
  <si>
    <t>Philadelphia Flyers @ Tampa Bay Lightning</t>
  </si>
  <si>
    <t>Columbus Blue Jackets @ Washington Capitals</t>
  </si>
  <si>
    <t>✗ Lost (predicted Boston Bruins, actual Carolina Hurricanes)</t>
  </si>
  <si>
    <t>✗ Lost (predicted Montreal Canadiens, actual Columbus Blue Jackets)</t>
  </si>
  <si>
    <t>✗ Lost (predicted Vancouver Canucks, actual Florida Panthers)</t>
  </si>
  <si>
    <t>✗ Lost (predicted Los Angeles Kings, actual Washington Capitals)</t>
  </si>
  <si>
    <t>✗ Lost (predicted Dallas Stars, actual New York Islanders)</t>
  </si>
  <si>
    <t>✗ Lost (predicted New Jersey Devils, actual Tampa Bay Lightning)</t>
  </si>
  <si>
    <t>✗ Lost (predicted New York Rangers, actual Vegas Golden Knights)</t>
  </si>
  <si>
    <t>✗ Lost (predicted Buffalo Sabres, actual Calgary Flames)</t>
  </si>
  <si>
    <t>✗ Lost (predicted Carolina Hurricanes, actual Minnesota Wild)</t>
  </si>
  <si>
    <t>✗ Lost (predicted Anaheim Ducks, actual Ottawa Senators)</t>
  </si>
  <si>
    <t>✗ Lost (predicted Chicago Blackhawks, actual Seattle Kraken)</t>
  </si>
  <si>
    <t>✗ Lost (predicted Detroit Red Wings, actual New York Islanders)</t>
  </si>
  <si>
    <t>✓ Won by Florida Panthers</t>
  </si>
  <si>
    <t>✗ Lost (predicted Montreal Canadiens, actual Washington Capitals)</t>
  </si>
  <si>
    <t>✓ Won by Philadelphia Flyers</t>
  </si>
  <si>
    <t>✗ Lost (predicted Los Angeles Kings, actual San Jose Sharks)</t>
  </si>
  <si>
    <t>✓ Won by Tampa Bay Lightning</t>
  </si>
  <si>
    <t>✗ Lost (predicted Toronto Maple Leafs, actual Columbus Blue Jackets)</t>
  </si>
  <si>
    <t>✗ Lost (predicted Utah Mammoth, actual Vegas Golden Knights)</t>
  </si>
  <si>
    <t>✓ Won by Dallas Stars</t>
  </si>
  <si>
    <t>✗ Lost (predicted Chicago Blackhawks, actual Buffalo Sabres)</t>
  </si>
  <si>
    <t>✗ Lost (predicted Los Angeles Kings, actual Boston Bruins)</t>
  </si>
  <si>
    <t>✗ Lost (predicted Winnipeg Jets, actual Carolina Hurricanes)</t>
  </si>
  <si>
    <t>✗ Lost (predicted Dallas Stars, actual Calgary Flames)</t>
  </si>
  <si>
    <t>✗ Lost (predicted Florida Panthers, actual Edmonton Oilers)</t>
  </si>
  <si>
    <t>✗ Lost (predicted New York Islanders, actual St. Louis Blues)</t>
  </si>
  <si>
    <t>✗ Lost (predicted New Jersey Devils, actual Philadelphia Flyers)</t>
  </si>
  <si>
    <t>✗ Lost (predicted Pittsburgh Penguins, actual Seattle Kraken)</t>
  </si>
  <si>
    <t>✗ Lost (predicted San Jose Sharks, actual Ottawa Senators)</t>
  </si>
  <si>
    <t>✗ Lost (predicted Washington Capitals, actual Tampa Bay Lightning)</t>
  </si>
  <si>
    <t>✗ Lost (predicted Carolina Hurricanes, actual Buffalo Sabres)</t>
  </si>
  <si>
    <t>✗ Lost (predicted Seattle Kraken, actual New York Islanders)</t>
  </si>
  <si>
    <t>✗ Lost (predicted Winnipeg Jets, actual Minnesota Wild)</t>
  </si>
  <si>
    <t>PENDING</t>
  </si>
  <si>
    <t>Vancouver Canucks @ Anaheim Ducks</t>
  </si>
  <si>
    <t>New York Rangers @ Carolina Hurricanes</t>
  </si>
  <si>
    <t>Toronto Maple Leafs @ Columbus Blue Jackets</t>
  </si>
  <si>
    <t>20:30:00</t>
  </si>
  <si>
    <t>Minnesota Wild @ Chicago Blackhawks</t>
  </si>
  <si>
    <t>San Jose Sharks @ Colorado Avalanche</t>
  </si>
  <si>
    <t>Nashville Predators @ Detroit Red Wings</t>
  </si>
  <si>
    <t>Philadelphia Flyers @ Florida Panthers</t>
  </si>
  <si>
    <t>St. Louis Blues @ New Jersey Devils</t>
  </si>
  <si>
    <t>Boston Bruins @ New York Islanders</t>
  </si>
  <si>
    <t>Buffalo Sabres @ Pittsburgh Penguins</t>
  </si>
  <si>
    <t>Dallas Stars @ Seattle Kraken</t>
  </si>
  <si>
    <t>Calgary Flames @ Tampa Bay Lightning</t>
  </si>
  <si>
    <t>21:30:00</t>
  </si>
  <si>
    <t>Montreal Canadiens @ Utah Mammoth</t>
  </si>
  <si>
    <t>Ottawa Senators @ Vegas Golden Knights</t>
  </si>
  <si>
    <t>Winnipeg Jets @ Washington Capitals</t>
  </si>
  <si>
    <t>2025-11-26 15:57:41</t>
  </si>
  <si>
    <t>Los Angeles Kings @ Anaheim Ducks</t>
  </si>
  <si>
    <t>2025-11-28 12:06:59</t>
  </si>
  <si>
    <t>New York Rangers @ Boston Bruins</t>
  </si>
  <si>
    <t>New Jersey Devils @ Buffalo Sabres</t>
  </si>
  <si>
    <t>Winnipeg Jets @ Carolina Hurricanes</t>
  </si>
  <si>
    <t>Pittsburgh Penguins @ Columbus Blue Jackets</t>
  </si>
  <si>
    <t>Nashville Predators @ Chicago Blackhawks</t>
  </si>
  <si>
    <t>Utah Mammoth @ Dallas Stars</t>
  </si>
  <si>
    <t>12:00:00</t>
  </si>
  <si>
    <t>Tampa Bay Lightning @ Detroit Red Wings</t>
  </si>
  <si>
    <t>Calgary Flames @ Florida Panthers</t>
  </si>
  <si>
    <t>Colorado Avalanche @ Minnesota Wild</t>
  </si>
  <si>
    <t>Philadelphia Flyers @ New York Islanders</t>
  </si>
  <si>
    <t>Vancouver Canucks @ San Jose Sharks</t>
  </si>
  <si>
    <t>Ottawa Senators @ St. Louis Blues</t>
  </si>
  <si>
    <t>Montreal Canadiens @ Vegas Golden Knights</t>
  </si>
  <si>
    <t>Toronto Maple Leafs @ Washington Capitals</t>
  </si>
  <si>
    <t>2025-11-29 12:05:06</t>
  </si>
  <si>
    <t>✓ Won by New Jersey Devils</t>
  </si>
  <si>
    <t>✓ Won by Carolina Hurricanes</t>
  </si>
  <si>
    <t>✓ Won by Pittsburgh Penguins</t>
  </si>
  <si>
    <t>Detroit Red Wings @ Boston Bruins</t>
  </si>
  <si>
    <t>15:00:00</t>
  </si>
  <si>
    <t>Montreal Canadiens @ Colorado Avalanche</t>
  </si>
  <si>
    <t>Vancouver Canucks @ Los Angeles Kings</t>
  </si>
  <si>
    <t>Buffalo Sabres @ Minnesota Wild</t>
  </si>
  <si>
    <t>Philadelphia Flyers @ New Jersey Devils</t>
  </si>
  <si>
    <t>Winnipeg Jets @ Nashville Predators</t>
  </si>
  <si>
    <t>14:00:00</t>
  </si>
  <si>
    <t>Tampa Bay Lightning @ New York Rangers</t>
  </si>
  <si>
    <t>Toronto Maple Leafs @ Pittsburgh Penguins</t>
  </si>
  <si>
    <t>Edmonton Oilers @ Seattle Kraken</t>
  </si>
  <si>
    <t>Utah Mammoth @ St. Louis Blues</t>
  </si>
  <si>
    <t>San Jose Sharks @ Vegas Golden Knights</t>
  </si>
  <si>
    <t>✓ Won by Boston Bruins</t>
  </si>
  <si>
    <t>2025-11-30 13:20:48</t>
  </si>
  <si>
    <t>Calgary Flames @ Carolina Hurricanes</t>
  </si>
  <si>
    <t>Anaheim Ducks @ Chicago Blackhawks</t>
  </si>
  <si>
    <t>18:00:00</t>
  </si>
  <si>
    <t>Ottawa Senators @ Dallas Stars</t>
  </si>
  <si>
    <t>Washington Capitals @ New York Islanders</t>
  </si>
  <si>
    <t>Winnipeg Jets @ Buffalo Sabres</t>
  </si>
  <si>
    <t>2025-12-01 18:51:40</t>
  </si>
  <si>
    <t>Columbus Blue Jackets @ New Jersey Devils</t>
  </si>
  <si>
    <t>Pittsburgh Penguins @ Philadelphia Flyers</t>
  </si>
  <si>
    <t>Anaheim Ducks @ St. Louis Blues</t>
  </si>
  <si>
    <t>2025-12-02 17:56:17</t>
  </si>
  <si>
    <t>Vancouver Canucks @ Colorado Avalanche</t>
  </si>
  <si>
    <t>Boston Bruins @ Detroit Red Wings</t>
  </si>
  <si>
    <t>Minnesota Wild @ Edmonton Oilers</t>
  </si>
  <si>
    <t>Toronto Maple Leafs @ Florida Panthers</t>
  </si>
  <si>
    <t>Washington Capitals @ Los Angeles Kings</t>
  </si>
  <si>
    <t>Ottawa Senators @ Montreal Canadiens</t>
  </si>
  <si>
    <t>Calgary Flames @ Nashville Predators</t>
  </si>
  <si>
    <t>Tampa Bay Lightning @ New York Islanders</t>
  </si>
  <si>
    <t>Dallas Stars @ New York Rangers</t>
  </si>
  <si>
    <t>Chicago Blackhawks @ Vegas Golden Knights</t>
  </si>
  <si>
    <t>Chicago Blackhawks @ Florida Panthers</t>
  </si>
  <si>
    <t>✗ Lost (predicted Chicago Blackhawks, actual Florida Panthers)</t>
  </si>
  <si>
    <t>0.0</t>
  </si>
  <si>
    <t>2025-12-02 19:36:51</t>
  </si>
  <si>
    <t>Colorado Avalanche @ Los Angeles Kings</t>
  </si>
  <si>
    <t>Pittsburgh Penguins @ New York Rangers</t>
  </si>
  <si>
    <t>Calgary Flames @ Edmonton Oilers</t>
  </si>
  <si>
    <t>✗ Lost (predicted Edmonton Oilers, actual Calgary Flames)</t>
  </si>
  <si>
    <t>1.0</t>
  </si>
  <si>
    <t>Montreal Canadiens @ Toronto Maple Leafs</t>
  </si>
  <si>
    <t>Los Angeles Kings @ Vegas Golden Knights</t>
  </si>
  <si>
    <t>✗ Lost (predicted Vegas Golden Knights, actual Los Angeles Kings)</t>
  </si>
  <si>
    <t>Boston Bruins @ Washington Capitals</t>
  </si>
  <si>
    <t>✗ Lost (predicted Washington Capitals, actual Boston Bruins)</t>
  </si>
  <si>
    <t>Columbus Blue Jackets @ Nashville Predators</t>
  </si>
  <si>
    <t>✗ Lost (predicted Columbus Blue Jackets, actual Nashville Predators)</t>
  </si>
  <si>
    <t>Dallas Stars @ Winnipeg Jets</t>
  </si>
  <si>
    <t>✓ Won by Vancouver Canucks</t>
  </si>
  <si>
    <t>Ottawa Senators @ Tampa Bay Lightning</t>
  </si>
  <si>
    <t>✗ Lost (predicted Tampa Bay Lightning, actual Ottawa Senators)</t>
  </si>
  <si>
    <t>Minnesota Wild @ St. Louis Blues</t>
  </si>
  <si>
    <t>Vegas Golden Knights @ San Jose Sharks</t>
  </si>
  <si>
    <t>✓ Won by Vegas Golden Knights</t>
  </si>
  <si>
    <t>Anaheim Ducks @ Seattle Kraken</t>
  </si>
  <si>
    <t>✗ Lost (predicted Anaheim Ducks, actual Seattle Kraken)</t>
  </si>
  <si>
    <t>New York Islanders @ Pittsburgh Penguins</t>
  </si>
  <si>
    <t>Utah Mammoth @ Colorado Avalanche</t>
  </si>
  <si>
    <t>Montreal Canadiens @ Detroit Red Wings</t>
  </si>
  <si>
    <t>New Jersey Devils @ Carolina Hurricanes</t>
  </si>
  <si>
    <t>New York Rangers @ Buffalo Sabres</t>
  </si>
  <si>
    <t>✓ Won by New York Rangers</t>
  </si>
  <si>
    <t>Chicago Blackhawks @ Boston Bruins</t>
  </si>
  <si>
    <t>Dallas Stars @ Colorado Avalanche</t>
  </si>
  <si>
    <t>✗ Lost (predicted Colorado Avalanche, actual Dallas Stars)</t>
  </si>
  <si>
    <t>Toronto Maple Leafs @ Detroit Red Wings</t>
  </si>
  <si>
    <t>✗ Lost (predicted Toronto Maple Leafs, actual Detroit Red Wings)</t>
  </si>
  <si>
    <t>St. Louis Blues @ Calgary Flames</t>
  </si>
  <si>
    <t>✗ Lost (predicted Calgary Flames, actual St. Louis Blues)</t>
  </si>
  <si>
    <t>Utah Mammoth @ Nashville Predators</t>
  </si>
  <si>
    <t>Buffalo Sabres @ Boston Bruins</t>
  </si>
  <si>
    <t>Vancouver Canucks @ Edmonton Oilers</t>
  </si>
  <si>
    <t>✓ Won by Edmonton Oilers</t>
  </si>
  <si>
    <t>Philadelphia Flyers @ Carolina Hurricanes</t>
  </si>
  <si>
    <t>Ottawa Senators @ Florida Panthers</t>
  </si>
  <si>
    <t>Montreal Canadiens @ Chicago Blackhawks</t>
  </si>
  <si>
    <t>✗ Lost (predicted Chicago Blackhawks, actual Montreal Canadiens)</t>
  </si>
  <si>
    <t>New York Rangers @ Pittsburgh Penguins</t>
  </si>
  <si>
    <t>✗ Lost (predicted Pittsburgh Penguins, actual New York Rangers)</t>
  </si>
  <si>
    <t>Vegas Golden Knights @ Seattle Kraken</t>
  </si>
  <si>
    <t>✗ Lost (predicted Vegas Golden Knights, actual Seattle Kraken)</t>
  </si>
  <si>
    <t>Anaheim Ducks @ San Jose Sharks</t>
  </si>
  <si>
    <t>Columbus Blue Jackets @ Minnesota Wild</t>
  </si>
  <si>
    <t>✗ Lost (predicted Minnesota Wild, actual Columbus Blue Jackets)</t>
  </si>
  <si>
    <t>✗ Lost (predicted Tampa Bay Lightning, actual New Jersey Devils)</t>
  </si>
  <si>
    <t>13:30:00</t>
  </si>
  <si>
    <t>Los Angeles Kings @ Winnipeg Jets</t>
  </si>
  <si>
    <t>Washington Capitals @ New York Rangers</t>
  </si>
  <si>
    <t>St. Louis Blues @ Vancouver Canucks</t>
  </si>
  <si>
    <t>✗ Lost (predicted Vancouver Canucks, actual St. Louis Blues)</t>
  </si>
  <si>
    <t>Detroit Red Wings @ Toronto Maple Leafs</t>
  </si>
  <si>
    <t>Florida Panthers @ Philadelphia Flyers</t>
  </si>
  <si>
    <t>Nashville Predators @ Ottawa Senators</t>
  </si>
  <si>
    <t>✗ Lost (predicted Ottawa Senators, actual Nashville Predators)</t>
  </si>
  <si>
    <t>Winnipeg Jets @ New York Islanders</t>
  </si>
  <si>
    <t>✗ Lost (predicted New York Islanders, actual Winnipeg Jets)</t>
  </si>
  <si>
    <t>New Jersey Devils @ Columbus Blue Jackets</t>
  </si>
  <si>
    <t>Utah Mammoth @ Chicago Blackhawks</t>
  </si>
  <si>
    <t>12:30:00</t>
  </si>
  <si>
    <t>Colorado Avalanche @ Buffalo Sabres</t>
  </si>
  <si>
    <t>Tampa Bay Lightning @ Boston Bruins</t>
  </si>
  <si>
    <t>Los Angeles Kings @ Minnesota Wild</t>
  </si>
  <si>
    <t>Carolina Hurricanes @ San Jose Sharks</t>
  </si>
  <si>
    <t>Nashville Predators @ Toronto Maple Leafs</t>
  </si>
  <si>
    <t>✗ Lost (predicted Tampa Bay Lightning, actual Washington Capitals)</t>
  </si>
  <si>
    <t>Edmonton Oilers @ New York Rangers</t>
  </si>
  <si>
    <t>✗ Lost (predicted New York Rangers, actual Edmonton Oilers)</t>
  </si>
  <si>
    <t>Vegas Golden Knights @ Calgary Flames</t>
  </si>
  <si>
    <t>Minnesota Wild @ Dallas Stars</t>
  </si>
  <si>
    <t>Pittsburgh Penguins @ Anaheim Ducks</t>
  </si>
  <si>
    <t>Seattle Kraken @ Montreal Canadiens</t>
  </si>
  <si>
    <t>Chicago Blackhawks @ St. Louis Blues</t>
  </si>
  <si>
    <t>Calgary Flames @ Utah Mammoth</t>
  </si>
  <si>
    <t>Ottawa Senators @ Buffalo Sabres</t>
  </si>
  <si>
    <t>Florida Panthers @ Detroit Red Wings</t>
  </si>
  <si>
    <t>✗ Lost (predicted Florida Panthers, actual Detroit Red Wings)</t>
  </si>
  <si>
    <t>Colorado Avalanche @ Columbus Blue Jackets</t>
  </si>
  <si>
    <t>Vancouver Canucks @ Dallas Stars</t>
  </si>
  <si>
    <t>✗ Lost (predicted Dallas Stars, actual Vancouver Canucks)</t>
  </si>
  <si>
    <t>Boston Bruins @ Vegas Golden Knights</t>
  </si>
  <si>
    <t>Nashville Predators @ Montreal Canadiens</t>
  </si>
  <si>
    <t>Florida Panthers @ New Jersey Devils</t>
  </si>
  <si>
    <t>Edmonton Oilers @ New York Islanders</t>
  </si>
  <si>
    <t>✓ Won by New York Islanders</t>
  </si>
  <si>
    <t>Seattle Kraken @ Ottawa Senators</t>
  </si>
  <si>
    <t>✓ Won by Ottawa Senators</t>
  </si>
  <si>
    <t>Winnipeg Jets @ Philadelphia Flyers</t>
  </si>
  <si>
    <t>New York Rangers @ Toronto Maple Leafs</t>
  </si>
  <si>
    <t>✗ Lost (predicted New York Rangers, actual Toronto Maple Leafs)</t>
  </si>
  <si>
    <t>Pittsburgh Penguins @ Los Angeles Kings</t>
  </si>
  <si>
    <t>Carolina Hurricanes @ Anaheim Ducks</t>
  </si>
  <si>
    <t>Vancouver Canucks @ Chicago Blackhawks</t>
  </si>
  <si>
    <t>✗ Lost (predicted Chicago Blackhawks, actual Vancouver Canucks)</t>
  </si>
  <si>
    <t>Minnesota Wild @ Washington Capitals</t>
  </si>
  <si>
    <t>San Jose Sharks @ Utah Mammoth</t>
  </si>
  <si>
    <t>✗ Lost (predicted Tampa Bay Lightning, actual Detroit Red Wings)</t>
  </si>
  <si>
    <t>Florida Panthers @ Buffalo Sabres</t>
  </si>
  <si>
    <t>✗ Lost (predicted Florida Panthers, actual Buffalo Sabres)</t>
  </si>
  <si>
    <t>Tampa Bay Lightning @ Columbus Blue Jackets</t>
  </si>
  <si>
    <t>✗ Lost (predicted Tampa Bay Lightning, actual Columbus Blue Jackets)</t>
  </si>
  <si>
    <t>Boston Bruins @ Colorado Avalanche</t>
  </si>
  <si>
    <t>Carolina Hurricanes @ Los Angeles Kings</t>
  </si>
  <si>
    <t>New York Rangers @ Montreal Canadiens</t>
  </si>
  <si>
    <t>Edmonton Oilers @ New Jersey Devils</t>
  </si>
  <si>
    <t>New York Islanders @ Ottawa Senators</t>
  </si>
  <si>
    <t>Minnesota Wild @ Philadelphia Flyers</t>
  </si>
  <si>
    <t>✗ Lost (predicted Minnesota Wild, actual Philadelphia Flyers)</t>
  </si>
  <si>
    <t>Pittsburgh Penguins @ San Jose Sharks</t>
  </si>
  <si>
    <t>Dallas Stars @ St. Louis Blues</t>
  </si>
  <si>
    <t>✗ Lost (predicted Dallas Stars, actual St. Louis Blues)</t>
  </si>
  <si>
    <t>Seattle Kraken @ Toronto Maple Leafs</t>
  </si>
  <si>
    <t>✗ Lost (predicted Toronto Maple Leafs, actual Seattle Kraken)</t>
  </si>
  <si>
    <t>Calgary Flames @ Vegas Golden Knights</t>
  </si>
  <si>
    <t>Nashville Predators @ Winnipeg Jets</t>
  </si>
  <si>
    <t>✗ Lost (predicted Anaheim Ducks, actual Chicago Blackhawks)</t>
  </si>
  <si>
    <t>Edmonton Oilers @ Detroit Red Wings</t>
  </si>
  <si>
    <t>✗ Lost (predicted Edmonton Oilers, actual Detroit Red Wings)</t>
  </si>
  <si>
    <t>Boston Bruins @ Utah Mammoth</t>
  </si>
  <si>
    <t>✗ Lost (predicted Boston Bruins, actual Utah Mammoth)</t>
  </si>
  <si>
    <t>Vancouver Canucks @ Washington Capitals</t>
  </si>
  <si>
    <t>✗ Lost (predicted Washington Capitals, actual Vancouver Canucks)</t>
  </si>
  <si>
    <t>Winnipeg Jets @ Calgary Flames</t>
  </si>
  <si>
    <t>Buffalo Sabres @ Montreal Canadiens</t>
  </si>
  <si>
    <t>✗ Lost (predicted Buffalo Sabres, actual Montreal Canadiens)</t>
  </si>
  <si>
    <t>Minnesota Wild @ New York Rangers</t>
  </si>
  <si>
    <t>Seattle Kraken @ Philadelphia Flyers</t>
  </si>
  <si>
    <t>Carolina Hurricanes @ Vegas Golden Knights</t>
  </si>
  <si>
    <t>✗ Lost (predicted Carolina Hurricanes, actual Vegas Golden Knights)</t>
  </si>
  <si>
    <t>Colorado Avalanche @ Utah Mammoth</t>
  </si>
  <si>
    <t>✗ Lost (predicted Colorado Avalanche, actual Utah Mammoth)</t>
  </si>
  <si>
    <t>Los Angeles Kings @ St. Louis Blues</t>
  </si>
  <si>
    <t>✓ Won by Los Angeles Kings</t>
  </si>
  <si>
    <t>Vancouver Canucks @ Pittsburgh Penguins</t>
  </si>
  <si>
    <t>Edmonton Oilers @ Ottawa Senators</t>
  </si>
  <si>
    <t>✗ Lost (predicted Ottawa Senators, actual Edmonton Oilers)</t>
  </si>
  <si>
    <t>Columbus Blue Jackets @ Dallas Stars</t>
  </si>
  <si>
    <t>✗ Lost (predicted Dallas Stars, actual Columbus Blue Jackets)</t>
  </si>
  <si>
    <t>Anaheim Ducks @ Nashville Predators</t>
  </si>
  <si>
    <t>Seattle Kraken @ Washington Capitals</t>
  </si>
  <si>
    <t>Florida Panthers @ Boston Bruins</t>
  </si>
  <si>
    <t>✗ Lost (predicted Boston Bruins, actual Florida Panthers)</t>
  </si>
  <si>
    <t>San Jose Sharks @ New York Islanders</t>
  </si>
  <si>
    <t>New Jersey Devils @ Toronto Maple Leafs</t>
  </si>
  <si>
    <t>Minnesota Wild @ New Jersey Devils</t>
  </si>
  <si>
    <t>Montreal Canadiens @ Calgary Flames</t>
  </si>
  <si>
    <t>Detroit Red Wings @ Buffalo Sabres</t>
  </si>
  <si>
    <t>Carolina Hurricanes @ Colorado Avalanche</t>
  </si>
  <si>
    <t>✗ Lost (predicted Colorado Avalanche, actual Carolina Hurricanes)</t>
  </si>
  <si>
    <t>Anaheim Ducks @ Boston Bruins</t>
  </si>
  <si>
    <t>18:45:00</t>
  </si>
  <si>
    <t>Chicago Blackhawks @ Tampa Bay Lightning</t>
  </si>
  <si>
    <t>✗ Lost (predicted Tampa Bay Lightning, actual Chicago Blackhawks)</t>
  </si>
  <si>
    <t>Philadelphia Flyers @ Ottawa Senators</t>
  </si>
  <si>
    <t>✗ Lost (predicted Philadelphia Flyers, actual Ottawa Senators)</t>
  </si>
  <si>
    <t>Seattle Kraken @ Winnipeg Jets</t>
  </si>
  <si>
    <t>✗ Lost (predicted Winnipeg Jets, actual Seattle Kraken)</t>
  </si>
  <si>
    <t>Detroit Red Wings @ New York Islanders</t>
  </si>
  <si>
    <t>Vancouver Canucks @ Nashville Predators</t>
  </si>
  <si>
    <t>✗ Lost (predicted Vancouver Canucks, actual Nashville Predators)</t>
  </si>
  <si>
    <t>Pittsburgh Penguins @ Florida Panthers</t>
  </si>
  <si>
    <t>Montreal Canadiens @ Edmonton Oilers</t>
  </si>
  <si>
    <t>✗ Lost (predicted Montreal Canadiens, actual Edmonton Oilers)</t>
  </si>
  <si>
    <t>Los Angeles Kings @ Dallas Stars</t>
  </si>
  <si>
    <t>✗ Lost (predicted Dallas Stars, actual Los Angeles Kings)</t>
  </si>
  <si>
    <t>San Jose Sharks @ New York Rangers</t>
  </si>
  <si>
    <t>✗ Lost (predicted New York Rangers, actual San Jose Sharks)</t>
  </si>
  <si>
    <t>Toronto Maple Leafs @ Buffalo Sabres</t>
  </si>
  <si>
    <t>Washington Capitals @ Columbus Blue Jackets</t>
  </si>
  <si>
    <t>San Jose Sharks @ New Jersey Devils</t>
  </si>
  <si>
    <t>Calgary Flames @ Winnipeg Jets</t>
  </si>
  <si>
    <t>Anaheim Ducks @ Tampa Bay Lightning</t>
  </si>
  <si>
    <t>Ottawa Senators @ Washington Capitals</t>
  </si>
  <si>
    <t>✗ Lost (predicted Washington Capitals, actual Ottawa Senators)</t>
  </si>
  <si>
    <t>Montreal Canadiens @ Vancouver Canucks</t>
  </si>
  <si>
    <t>Buffalo Sabres @ Toronto Maple Leafs</t>
  </si>
  <si>
    <t>✗ Lost (predicted Buffalo Sabres, actual Toronto Maple Leafs)</t>
  </si>
  <si>
    <t>✓ Won by Seattle Kraken</t>
  </si>
  <si>
    <t>Carolina Hurricanes @ Dallas Stars</t>
  </si>
  <si>
    <t>New York Islanders @ Philadelphia Flyers</t>
  </si>
  <si>
    <t>✗ Lost (predicted New York Islanders, actual Philadelphia Flyers)</t>
  </si>
  <si>
    <t>Los Angeles Kings @ Nashville Predators</t>
  </si>
  <si>
    <t>✗ Lost (predicted Los Angeles Kings, actual Nashville Predators)</t>
  </si>
  <si>
    <t>Utah Mammoth @ Minnesota Wild</t>
  </si>
  <si>
    <t>✗ Lost (predicted Minnesota Wild, actual Utah Mammoth)</t>
  </si>
  <si>
    <t>Vegas Golden Knights @ Florida Panthers</t>
  </si>
  <si>
    <t>✗ Lost (predicted Vegas Golden Knights, actual Florida Panthers)</t>
  </si>
  <si>
    <t>St. Louis Blues @ Detroit Red Wings</t>
  </si>
  <si>
    <t>Columbus Blue Jackets @ Pittsburgh Penguins</t>
  </si>
  <si>
    <t>✗ Lost (predicted Pittsburgh Penguins, actual Columbus Blue Jackets)</t>
  </si>
  <si>
    <t>Colorado Avalanche @ Boston Bruins</t>
  </si>
  <si>
    <t>✗ Lost (predicted Colorado Avalanche, actual Boston Bruins)</t>
  </si>
  <si>
    <t>Edmonton Oilers @ Vancouver Canucks</t>
  </si>
  <si>
    <t>✗ Lost (predicted Edmonton Oilers, actual Vancouver Canucks)</t>
  </si>
  <si>
    <t>Vegas Golden Knights @ Tampa Bay Lightning</t>
  </si>
  <si>
    <t>Utah Mammoth @ Winnipeg Jets</t>
  </si>
  <si>
    <t>✗ Lost (predicted Winnipeg Jets, actual Utah Mammoth)</t>
  </si>
  <si>
    <t>Colorado Avalanche @ New Jersey Devils</t>
  </si>
  <si>
    <t>✗ Lost (predicted Colorado Avalanche, actual New Jersey Devils)</t>
  </si>
  <si>
    <t>San Jose Sharks @ Minnesota Wild</t>
  </si>
  <si>
    <t>✗ Lost (predicted Minnesota Wild, actual San Jose Sharks)</t>
  </si>
  <si>
    <t>Los Angeles Kings @ Chicago Blackhawks</t>
  </si>
  <si>
    <t>✗ Lost (predicted Chicago Blackhawks, actual Los Angeles Kings)</t>
  </si>
  <si>
    <t>Dallas Stars @ Nashville Predators</t>
  </si>
  <si>
    <t>New York Rangers @ Calgary Flames</t>
  </si>
  <si>
    <t>✗ Lost (predicted New York Rangers, actual Calgary Flames)</t>
  </si>
  <si>
    <t>Boston Bruins @ Ottawa Senators</t>
  </si>
  <si>
    <t>✗ Lost (predicted Boston Bruins, actual Ottawa Senators)</t>
  </si>
  <si>
    <t>St. Louis Blues @ Pittsburgh Penguins</t>
  </si>
  <si>
    <t>New York Rangers @ Vancouver Canucks</t>
  </si>
  <si>
    <t>18:15:00</t>
  </si>
  <si>
    <t>Calgary Flames @ Toronto Maple Leafs</t>
  </si>
  <si>
    <t>20:15:00</t>
  </si>
  <si>
    <t>Detroit Red Wings @ St. Louis Blues</t>
  </si>
  <si>
    <t>Montreal Canadiens @ Seattle Kraken</t>
  </si>
  <si>
    <t>✗ Lost (predicted Pittsburgh Penguins, actual Philadelphia Flyers)</t>
  </si>
  <si>
    <t>19:45:00</t>
  </si>
  <si>
    <t>Tampa Bay Lightning @ Nashville Predators</t>
  </si>
  <si>
    <t>Winnipeg Jets @ Minnesota Wild</t>
  </si>
  <si>
    <t>✗ Lost (predicted Minnesota Wild, actual Winnipeg Jets)</t>
  </si>
  <si>
    <t>23:00:00</t>
  </si>
  <si>
    <t>Washington Capitals @ Dallas Stars</t>
  </si>
  <si>
    <t>Utah Mammoth @ Edmonton Oilers</t>
  </si>
  <si>
    <t>✗ Lost (predicted Utah Mammoth, actual Edmonton Oilers)</t>
  </si>
  <si>
    <t>19:15:00</t>
  </si>
  <si>
    <t>New York Islanders @ Boston Bruins</t>
  </si>
  <si>
    <t>Columbus Blue Jackets @ Buffalo Sabres</t>
  </si>
  <si>
    <t>✗ Lost (predicted Buffalo Sabres, actual Columbus Blue Jackets)</t>
  </si>
  <si>
    <t>Anaheim Ducks @ Florida Panthers</t>
  </si>
  <si>
    <t>18:30:00</t>
  </si>
  <si>
    <t>Vegas Golden Knights @ Carolina Hurricanes</t>
  </si>
  <si>
    <t>20:45:00</t>
  </si>
  <si>
    <t>Ottawa Senators @ Chicago Blackhawks</t>
  </si>
  <si>
    <t>New Jersey Devils @ Colorado Avalanche</t>
  </si>
  <si>
    <t>✓ Won by Columbus Blue Jackets</t>
  </si>
  <si>
    <t>Chicago Blackhawks @ Winnipeg Jets</t>
  </si>
  <si>
    <t>✗ Lost (predicted Chicago Blackhawks, actual Winnipeg Jets)</t>
  </si>
  <si>
    <t>Dallas Stars @ Tampa Bay Lightning</t>
  </si>
  <si>
    <t>Vancouver Canucks @ St. Louis Blues</t>
  </si>
  <si>
    <t>New Jersey Devils @ San Jose Sharks</t>
  </si>
  <si>
    <t>✗ Lost (predicted New Jersey Devils, actual San Jose Sharks)</t>
  </si>
  <si>
    <t>Nashville Predators @ Philadelphia Flyers</t>
  </si>
  <si>
    <t>Calgary Flames @ Ottawa Senators</t>
  </si>
  <si>
    <t>Pittsburgh Penguins @ Minnesota Wild</t>
  </si>
  <si>
    <t>✗ Lost (predicted Minnesota Wild, actual Pittsburgh Penguins)</t>
  </si>
  <si>
    <t>New York Rangers @ Edmonton Oilers</t>
  </si>
  <si>
    <t>New York Islanders @ Carolina Hurricanes</t>
  </si>
  <si>
    <t>Detroit Red Wings @ Los Angeles Kings</t>
  </si>
  <si>
    <t>✗ Lost (predicted Los Angeles Kings, actual Detroit Red Wings)</t>
  </si>
  <si>
    <t>Detroit Red Wings @ Anaheim Ducks</t>
  </si>
  <si>
    <t>Colorado Avalanche @ Vegas Golden Knights</t>
  </si>
  <si>
    <t>New York Islanders @ Washington Capitals</t>
  </si>
  <si>
    <t>✗ Lost (predicted Washington Capitals, actual New York Islanders)</t>
  </si>
  <si>
    <t>✗ Lost (predicted Carolina Hurricanes, actual Boston Bruins)</t>
  </si>
  <si>
    <t>St. Louis Blues @ Columbus Blue Jackets</t>
  </si>
  <si>
    <t>Chicago Blackhawks @ Edmonton Oilers</t>
  </si>
  <si>
    <t>✗ Lost (predicted Chicago Blackhawks, actual Edmonton Oilers)</t>
  </si>
  <si>
    <t>Dallas Stars @ Florida Panthers</t>
  </si>
  <si>
    <t>✗ Lost (predicted Dallas Stars, actual Florida Panthers)</t>
  </si>
  <si>
    <t>New Jersey Devils @ Los Angeles Kings</t>
  </si>
  <si>
    <t>Vancouver Canucks @ Minnesota Wild</t>
  </si>
  <si>
    <t>✗ Lost (predicted Ottawa Senators, actual Montreal Canadiens)</t>
  </si>
  <si>
    <t>✗ Lost (predicted Calgary Flames, actual Nashville Predators)</t>
  </si>
  <si>
    <t>Toronto Maple Leafs @ Philadelphia Flyers</t>
  </si>
  <si>
    <t>✗ Lost (predicted Philadelphia Flyers, actual Toronto Maple Leafs)</t>
  </si>
  <si>
    <t>New York Rangers @ Seattle Kraken</t>
  </si>
  <si>
    <t>Colorado Avalanche @ San Jose Sharks</t>
  </si>
  <si>
    <t>✗ Lost (predicted Colorado Avalanche, actual San Jose Sharks)</t>
  </si>
  <si>
    <t>Pittsburgh Penguins @ Winnipeg Jets</t>
  </si>
  <si>
    <t>✗ Lost (predicted Pittsburgh Penguins, actual Winnipeg Jets)</t>
  </si>
  <si>
    <t>Washington Capitals @ Buffalo Sabres</t>
  </si>
  <si>
    <t>✗ Lost (predicted Washington Capitals, actual Buffalo Sabres)</t>
  </si>
  <si>
    <t>Tampa Bay Lightning @ Utah Mammoth</t>
  </si>
  <si>
    <t>Detroit Red Wings @ San Jose Sharks</t>
  </si>
  <si>
    <t>✗ Lost (predicted San Jose Sharks, actual Detroit Red Wings)</t>
  </si>
  <si>
    <t>Columbus Blue Jackets @ New York Islanders</t>
  </si>
  <si>
    <t>New Jersey Devils @ Anaheim Ducks</t>
  </si>
  <si>
    <t>Calgary Flames @ Philadelphia Flyers</t>
  </si>
  <si>
    <t>✗ Lost (predicted Philadelphia Flyers, actual Calgary Flames)</t>
  </si>
  <si>
    <t>Chicago Blackhawks @ Seattle Kraken</t>
  </si>
  <si>
    <t>Edmonton Oilers @ St. Louis Blues</t>
  </si>
  <si>
    <t>✗ Lost (predicted Edmonton Oilers, actual St. Louis Blues)</t>
  </si>
  <si>
    <t>Pittsburgh Penguins @ Toronto Maple Leafs</t>
  </si>
  <si>
    <t>✗ Lost (predicted Pittsburgh Penguins, actual Toronto Maple Leafs)</t>
  </si>
  <si>
    <t>✗ Lost (predicted New York Islanders, actual Boston Bruins)</t>
  </si>
  <si>
    <t>Detroit Red Wings @ Vegas Golden Knights</t>
  </si>
  <si>
    <t>Carolina Hurricanes @ New York Rangers</t>
  </si>
  <si>
    <t>Philadelphia Flyers @ Montreal Canadiens</t>
  </si>
  <si>
    <t>Edmonton Oilers @ Dallas Stars</t>
  </si>
  <si>
    <t>Winnipeg Jets @ Los Angeles Kings</t>
  </si>
  <si>
    <t>Tampa Bay Lightning @ Colorado Avalanche</t>
  </si>
  <si>
    <t>Utah Mammoth @ Buffalo Sabres</t>
  </si>
  <si>
    <t>Florida Panthers @ Anaheim Ducks</t>
  </si>
  <si>
    <t>Nashville Predators @ Minnesota Wild</t>
  </si>
  <si>
    <t>Columbus Blue Jackets @ Calgary Flames</t>
  </si>
  <si>
    <t>✗ Lost (predicted Columbus Blue Jackets, actual Calgary Flames)</t>
  </si>
  <si>
    <t>San Jose Sharks @ Seattle Kraken</t>
  </si>
  <si>
    <t>Utah Mammoth @ Toronto Maple Leafs</t>
  </si>
  <si>
    <t>✗ Lost (predicted Utah Mammoth, actual Toronto Maple Leafs)</t>
  </si>
  <si>
    <t>Chicago Blackhawks @ Vancouver Canucks</t>
  </si>
  <si>
    <t>St. Louis Blues @ Washington Capitals</t>
  </si>
  <si>
    <t>Tampa Bay Lightning @ Vegas Golden Knights</t>
  </si>
  <si>
    <t>Washington Capitals @ Pittsburgh Penguins</t>
  </si>
  <si>
    <t>✗ Lost (predicted Washington Capitals, actual Pittsburgh Penguins)</t>
  </si>
  <si>
    <t>Philadelphia Flyers @ Nashville Predators</t>
  </si>
  <si>
    <t>Montreal Canadiens @ New Jersey Devils</t>
  </si>
  <si>
    <t>Florida Panthers @ Los Angeles Kings</t>
  </si>
  <si>
    <t>✗ Lost (predicted Los Angeles Kings, actual Florida Panthers)</t>
  </si>
  <si>
    <t>Anaheim Ducks @ Dallas Stars</t>
  </si>
  <si>
    <t>✗ Lost (predicted Dallas Stars, actual Anaheim Ducks)</t>
  </si>
  <si>
    <t>Minnesota Wild @ Carolina Hurricanes</t>
  </si>
  <si>
    <t>St. Louis Blues @ Buffalo Sabres</t>
  </si>
  <si>
    <t>✗ Lost (predicted Buffalo Sabres, actual St. Louis Blues)</t>
  </si>
  <si>
    <t>Ottawa Senators @ Boston Bruins</t>
  </si>
  <si>
    <t>Chicago Blackhawks @ Calgary Flames</t>
  </si>
  <si>
    <t>New York Rangers @ Detroit Red Wings</t>
  </si>
  <si>
    <t>Minnesota Wild @ New York Islanders</t>
  </si>
  <si>
    <t>Winnipeg Jets @ San Jose Sharks</t>
  </si>
  <si>
    <t>✗ Lost (predicted Winnipeg Jets, actual San Jose Sharks)</t>
  </si>
  <si>
    <t>Columbus Blue Jackets @ Vancouver Canucks</t>
  </si>
  <si>
    <t>✗ Lost (predicted Columbus Blue Jackets, actual Vancouver Canucks)</t>
  </si>
  <si>
    <t>Boston Bruins @ Toronto Maple Leafs</t>
  </si>
  <si>
    <t>Washington Capitals @ Tampa Bay Lightning</t>
  </si>
  <si>
    <t>Seattle Kraken @ St. Louis Blues</t>
  </si>
  <si>
    <t>Florida Panthers @ San Jose Sharks</t>
  </si>
  <si>
    <t>✗ Lost (predicted Florida Panthers, actual San Jose Sharks)</t>
  </si>
  <si>
    <t>Anaheim Ducks @ Vegas Golden Knights</t>
  </si>
  <si>
    <t>New York Islanders @ New York Rangers</t>
  </si>
  <si>
    <t>✗ Lost (predicted New York Rangers, actual New York Islanders)</t>
  </si>
  <si>
    <t>Pittsburgh Penguins @ New Jersey Devils</t>
  </si>
  <si>
    <t>Utah Mammoth @ Montreal Canadiens</t>
  </si>
  <si>
    <t>✗ Lost (predicted Utah Mammoth, actual Montreal Canadiens)</t>
  </si>
  <si>
    <t>Colorado Avalanche @ Edmonton Oilers</t>
  </si>
  <si>
    <t>Ottawa Senators @ Philadelphia Flyers</t>
  </si>
  <si>
    <t>Buffalo Sabres @ Carolina Hurricanes</t>
  </si>
  <si>
    <t>Colorado Avalanche @ Vancouver Canucks</t>
  </si>
  <si>
    <t>Carolina Hurricanes @ Toronto Maple Leafs</t>
  </si>
  <si>
    <t>Los Angeles Kings @ Pittsburgh Penguins</t>
  </si>
  <si>
    <t>✗ Lost (predicted Pittsburgh Penguins, actual Los Angeles Kings)</t>
  </si>
  <si>
    <t>Calgary Flames @ Minnesota Wild</t>
  </si>
  <si>
    <t>Chicago Blackhawks @ Detroit Red Wings</t>
  </si>
  <si>
    <t>Seattle Kraken @ Dallas Stars</t>
  </si>
  <si>
    <t>Winnipeg Jets @ Anaheim Ducks</t>
  </si>
  <si>
    <t>Utah Mammoth @ Ottawa Senators</t>
  </si>
  <si>
    <t>✗ Lost (predicted Utah Mammoth, actual Ottawa Senators)</t>
  </si>
  <si>
    <t>Columbus Blue Jackets @ Edmonton Oilers</t>
  </si>
  <si>
    <t>✗ Lost (predicted Columbus Blue Jackets, actual Edmonton Oilers)</t>
  </si>
  <si>
    <t>New York Islanders @ New Jersey Devils</t>
  </si>
  <si>
    <t>✗ Lost (predicted New Jersey Devils, actual New York Islanders)</t>
  </si>
  <si>
    <t>Nashville Predators @ New York Rangers</t>
  </si>
  <si>
    <t>Florida Panthers @ Vegas Golden Knights</t>
  </si>
  <si>
    <t>Calgary Flames @ St. Louis Blues</t>
  </si>
  <si>
    <t>Winnipeg Jets @ Vancouver Canucks</t>
  </si>
  <si>
    <t>Columbus Blue Jackets @ Seattle Kraken</t>
  </si>
  <si>
    <t>Toronto Maple Leafs @ Boston Bruins</t>
  </si>
  <si>
    <t>Los Angeles Kings @ Montreal Canadiens</t>
  </si>
  <si>
    <t>Anaheim Ducks @ Colorado Avalanche</t>
  </si>
  <si>
    <t>Dallas Stars @ Ottawa Senators</t>
  </si>
  <si>
    <t>Washington Capitals @ Carolina Hurricanes</t>
  </si>
  <si>
    <t>✗ Lost (predicted Carolina Hurricanes, actual Washington Capitals)</t>
  </si>
  <si>
    <t>New Jersey Devils @ Chicago Blackhawks</t>
  </si>
  <si>
    <t>Edmonton Oilers @ Philadelphia Flyers</t>
  </si>
  <si>
    <t>✗ Lost (predicted Philadelphia Flyers, actual Edmonton Oilers)</t>
  </si>
  <si>
    <t>New York Rangers @ Tampa Bay Lightning</t>
  </si>
  <si>
    <t>✗ Lost (predicted Tampa Bay Lightning, actual New York Rangers)</t>
  </si>
  <si>
    <t>Buffalo Sabres @ Utah Mammoth</t>
  </si>
  <si>
    <t>New York Islanders @ Vegas Golden Knights</t>
  </si>
  <si>
    <t>✗ Lost (predicted Vegas Golden Knights, actual New York Islanders)</t>
  </si>
  <si>
    <t>Los Angeles Kings @ Toronto Maple Leafs</t>
  </si>
  <si>
    <t>Winnipeg Jets @ Seattle Kraken</t>
  </si>
  <si>
    <t>San Jose Sharks @ Calgary Flames</t>
  </si>
  <si>
    <t>✗ Lost (predicted San Jose Sharks, actual Calgary Flames)</t>
  </si>
  <si>
    <t>Washington Capitals @ Florida Panthers</t>
  </si>
  <si>
    <t>✗ Lost (predicted Washington Capitals, actual Florida Panthers)</t>
  </si>
  <si>
    <t>Anaheim Ducks @ Detroit Red Wings</t>
  </si>
  <si>
    <t>✗ Lost (predicted Anaheim Ducks, actual Detroit Red Wings)</t>
  </si>
  <si>
    <t>Buffalo Sabres @ Colorado Avalanche</t>
  </si>
  <si>
    <t>Dallas Stars @ Montreal Canadiens</t>
  </si>
  <si>
    <t>Edmonton Oilers @ Columbus Blue Jackets</t>
  </si>
  <si>
    <t>New York Islanders @ Utah Mammoth</t>
  </si>
  <si>
    <t>Pittsburgh Penguins @ Nashville Predators</t>
  </si>
  <si>
    <t>✗ Lost (predicted Pittsburgh Penguins, actual Nashville Predators)</t>
  </si>
  <si>
    <t>Philadelphia Flyers @ St. Louis Blues</t>
  </si>
  <si>
    <t>Vancouver Canucks @ Carolina Hurricanes</t>
  </si>
  <si>
    <t>New Jersey Devils @ Washington Capitals</t>
  </si>
  <si>
    <t>✗ Lost (predicted Washington Capitals, actual New Jersey Devils)</t>
  </si>
  <si>
    <t>Vegas Golden Knights @ St. Louis Blues</t>
  </si>
  <si>
    <t>✗ Lost (predicted San Jose Sharks, actual Seattle Kraken)</t>
  </si>
  <si>
    <t>Boston Bruins @ Montreal Canadiens</t>
  </si>
  <si>
    <t>Anaheim Ducks @ Minnesota Wild</t>
  </si>
  <si>
    <t>✗ Lost (predicted Anaheim Ducks, actual Minnesota Wild)</t>
  </si>
  <si>
    <t>Los Angeles Kings @ Ottawa Senators</t>
  </si>
  <si>
    <t>Philadelphia Flyers @ Dallas Stars</t>
  </si>
  <si>
    <t>Toronto Maple Leafs @ Chicago Blackhawks</t>
  </si>
  <si>
    <t>New York Rangers @ Columbus Blue Jackets</t>
  </si>
  <si>
    <t>Edmonton Oilers @ Carolina Hurricanes</t>
  </si>
  <si>
    <t>✗ Lost (predicted Carolina Hurricanes, actual Edmonton Oilers)</t>
  </si>
  <si>
    <t>Buffalo Sabres @ Detroit Red Wings</t>
  </si>
  <si>
    <t>Tampa Bay Lightning @ Florida Panthers</t>
  </si>
  <si>
    <t>New York Islanders @ Colorado Avalanche</t>
  </si>
  <si>
    <t>Vegas Golden Knights @ Minnesota Wild</t>
  </si>
  <si>
    <t>Detroit Red Wings @ New York Rangers</t>
  </si>
  <si>
    <t>✗ Lost (predicted New York Rangers, actual Detroit Red Wings)</t>
  </si>
  <si>
    <t>09:00:00</t>
  </si>
  <si>
    <t>Nashville Predators @ Pittsburgh Penguins</t>
  </si>
  <si>
    <t>Vancouver Canucks @ Tampa Bay Lightning</t>
  </si>
  <si>
    <t>✗ Lost (predicted Tampa Bay Lightning, actual Vancouver Canucks)</t>
  </si>
  <si>
    <t>✗ Lost (predicted Ottawa Senators, actual Los Angeles Kings)</t>
  </si>
  <si>
    <t>Dallas Stars @ Edmonton Oilers</t>
  </si>
  <si>
    <t>✗ Lost (predicted Detroit Red Wings, actual Nashville Predators)</t>
  </si>
  <si>
    <t>✗ Lost (predicted Anaheim Ducks, actual Vancouver Canucks)</t>
  </si>
  <si>
    <t>✗ Lost (predicted Seattle Kraken, actual Dallas Stars)</t>
  </si>
  <si>
    <t>✗ Lost (predicted Florida Panthers, actual Philadelphia Flyers)</t>
  </si>
  <si>
    <t>✗ Lost (predicted Columbus Blue Jackets, actual Toronto Maple Leafs)</t>
  </si>
  <si>
    <t>✗ Lost (predicted Ottawa Senators, actual St. Louis Blues)</t>
  </si>
  <si>
    <t>✗ Lost (predicted Colorado Avalanche, actual Minnesota Wild)</t>
  </si>
  <si>
    <t>✗ Lost (predicted Boston Bruins, actual New York Rangers)</t>
  </si>
  <si>
    <t>✗ Lost (predicted Florida Panthers, actual Calgary Flames)</t>
  </si>
  <si>
    <t>✗ Lost (predicted Chicago Blackhawks, actual Nashville Predators)</t>
  </si>
  <si>
    <t>✗ Lost (predicted Utah Mammoth, actual St. Louis Blues)</t>
  </si>
  <si>
    <t>✗ Lost (predicted San Jose Sharks, actual Vegas Golden Knights)</t>
  </si>
  <si>
    <t>✗ Lost (predicted Minnesota Wild, actual Buffalo Sabres)</t>
  </si>
  <si>
    <t>✗ Lost (predicted Vancouver Canucks, actual Los Angeles Kings)</t>
  </si>
  <si>
    <t>✗ Lost (predicted Seattle Kraken, actual Edmonton Oilers)</t>
  </si>
  <si>
    <t>✗ Lost (predicted New Jersey Devils, actual Columbus Blue Jackets)</t>
  </si>
  <si>
    <t>✗ Lost (predicted Philadelphia Flyers, actual Pittsburgh Penguins)</t>
  </si>
  <si>
    <t>Washington Capitals @ San Jose Sharks</t>
  </si>
  <si>
    <t>Dallas Stars @ New Jersey Devils</t>
  </si>
  <si>
    <t>Buffalo Sabres @ Philadelphia Flyers</t>
  </si>
  <si>
    <t>Winnipeg Jets @ Montreal Canadiens</t>
  </si>
  <si>
    <t>St. Louis Blues @ Boston Bruins</t>
  </si>
  <si>
    <t>Toronto Maple Leafs @ Carolina Hurricanes</t>
  </si>
  <si>
    <t>Detroit Red Wings @ Columbus Blue Jackets</t>
  </si>
  <si>
    <t>Minnesota Wild @ Calgary Flames</t>
  </si>
  <si>
    <t>Seattle Kraken @ Edmonton Oilers</t>
  </si>
  <si>
    <t>Nashville Predators @ Florida Panthers</t>
  </si>
  <si>
    <t>Chicago Blackhawks @ Los Angeles Kings</t>
  </si>
  <si>
    <t>Colorado Avalanche @ New York Islanders</t>
  </si>
  <si>
    <t>New York Rangers @ Ottawa Senators</t>
  </si>
  <si>
    <t>Pittsburgh Penguins @ Tampa Bay Lightning</t>
  </si>
  <si>
    <t>Utah Mammoth @ Vancouver Canucks</t>
  </si>
  <si>
    <t>Vegas Golden Knights @ New Jersey Devils</t>
  </si>
  <si>
    <t>Buffalo Sabres @ Winnipeg Jets</t>
  </si>
  <si>
    <t>Washington Capitals @ Anaheim Ducks</t>
  </si>
  <si>
    <t>San Jose Sharks @ Dallas Stars</t>
  </si>
  <si>
    <t>Minnesota Wild @ Vancouver Canucks</t>
  </si>
  <si>
    <t>New York Islanders @ Tampa Bay Lightning</t>
  </si>
  <si>
    <t>Detroit Red Wings @ Seattle Kraken</t>
  </si>
  <si>
    <t>St. Louis Blues @ Ottawa Senators</t>
  </si>
  <si>
    <t>Colorado Avalanche @ New York Rangers</t>
  </si>
  <si>
    <t>Columbus Blue Jackets @ Florida Panthers</t>
  </si>
  <si>
    <t>Winnipeg Jets @ Edmonton Oilers</t>
  </si>
  <si>
    <t>Utah Mammoth @ Calgary Flames</t>
  </si>
  <si>
    <t>Nashville Predators @ Carolina Hurricanes</t>
  </si>
  <si>
    <t>New Jersey Devils @ Boston Bruins</t>
  </si>
  <si>
    <t>Vegas Golden Knights @ New York Rangers</t>
  </si>
  <si>
    <t>Colorado Avalanche @ Philadelphia Flyers</t>
  </si>
  <si>
    <t>St. Louis Blues @ Montreal Canadiens</t>
  </si>
  <si>
    <t>San Jose Sharks @ Carolina Hurricanes</t>
  </si>
  <si>
    <t>Pittsburgh Penguins @ Dallas Stars</t>
  </si>
  <si>
    <t>Chicago Blackhawks @ Anaheim Ducks</t>
  </si>
  <si>
    <t>New York Islanders @ Florida Panthers</t>
  </si>
  <si>
    <t>Buffalo Sabres @ Calgary Flames</t>
  </si>
  <si>
    <t>Minnesota Wild @ Seattle Kraken</t>
  </si>
  <si>
    <t>Tampa Bay Lightning @ Toronto Maple Leafs</t>
  </si>
  <si>
    <t>Los Angeles Kings @ Utah Mammoth</t>
  </si>
  <si>
    <t>Detroit Red Wings @ Vancouver Canucks</t>
  </si>
  <si>
    <t>San Jose Sharks @ Philadelphia Flyers</t>
  </si>
  <si>
    <t>Boston Bruins @ St. Louis Blues</t>
  </si>
  <si>
    <t>Anaheim Ducks @ Pittsburgh Penguins</t>
  </si>
  <si>
    <t>New Jersey Devils @ Ottawa Senators</t>
  </si>
  <si>
    <t>Tampa Bay Lightning @ Montreal Canadiens</t>
  </si>
  <si>
    <t>Buffalo Sabres @ Edmonton Oilers</t>
  </si>
  <si>
    <t>Columbus Blue Jackets @ Carolina Hurricanes</t>
  </si>
  <si>
    <t>Vegas Golden Knights @ New York Islanders</t>
  </si>
  <si>
    <t>Detroit Red Wings @ Calgary Flames</t>
  </si>
  <si>
    <t>New York Rangers @ Chicago Blackhawks</t>
  </si>
  <si>
    <t>Los Angeles Kings @ Seattle Kraken</t>
  </si>
  <si>
    <t>Florida Panthers @ Utah Mammoth</t>
  </si>
  <si>
    <t>Carolina Hurricanes @ Washington Capitals</t>
  </si>
  <si>
    <t>Boston Bruins @ Winnipeg Jets</t>
  </si>
  <si>
    <t>San Jose Sharks @ Toronto Maple Leafs</t>
  </si>
  <si>
    <t>Montreal Canadiens @ Pittsburgh Penguins</t>
  </si>
  <si>
    <t>Vegas Golden Knights @ Philadelphia Flyers</t>
  </si>
  <si>
    <t>Anaheim Ducks @ New York Islanders</t>
  </si>
  <si>
    <t>Buffalo Sabres @ Vancouver Canucks</t>
  </si>
  <si>
    <t>Tampa Bay Lightning @ New Jersey Devils</t>
  </si>
  <si>
    <t>Dallas Stars @ Minnesota Wild</t>
  </si>
  <si>
    <t>Detroit Red Wings @ Edmonton Oilers</t>
  </si>
  <si>
    <t>Florida Panthers @ Colorado Avalanche</t>
  </si>
  <si>
    <t>Ottawa Senators @ Columbus Blue Jackets</t>
  </si>
  <si>
    <t>St. Louis Blues @ Nashville Predators</t>
  </si>
  <si>
    <t>Seattle Kraken @ Utah Mammoth</t>
  </si>
  <si>
    <t>Washington Capitals @ Winnipeg Jets</t>
  </si>
  <si>
    <t>Edmonton Oilers @ Toronto Maple Leafs</t>
  </si>
  <si>
    <t>San Jose Sharks @ Pittsburgh Penguins</t>
  </si>
  <si>
    <t>Carolina Hurricanes @ Philadelphia Flyers</t>
  </si>
  <si>
    <t>Montreal Canadiens @ New York Rangers</t>
  </si>
  <si>
    <t>Florida Panthers @ Dallas Stars</t>
  </si>
  <si>
    <t>Ottawa Senators @ Minnesota Wild</t>
  </si>
  <si>
    <t>Calgary Flames @ Los Angeles Kings</t>
  </si>
  <si>
    <t>Nashville Predators @ Colorado Avalanche</t>
  </si>
  <si>
    <t>Detroit Red Wings @ Chicago Blackhawks</t>
  </si>
  <si>
    <t>Vegas Golden Knights @ Columbus Blue Jackets</t>
  </si>
  <si>
    <t>Anaheim Ducks @ New Jersey Devils</t>
  </si>
  <si>
    <t>Buffalo Sabres @ Seattle Kraken</t>
  </si>
  <si>
    <t>Vancouver Canucks @ New Jersey Devils</t>
  </si>
  <si>
    <t>Utah Mammoth @ Pittsburgh Penguins</t>
  </si>
  <si>
    <t>Boston Bruins @ Minnesota Wild</t>
  </si>
  <si>
    <t>Edmonton Oilers @ Montreal Canadiens</t>
  </si>
  <si>
    <t>Anaheim Ducks @ New York Rangers</t>
  </si>
  <si>
    <t>Nashville Predators @ St. Louis Blues</t>
  </si>
  <si>
    <t>Florida Panthers @ Tampa Bay Lightning</t>
  </si>
  <si>
    <t>Ottawa Senators @ Winnipeg Jets</t>
  </si>
  <si>
    <t>Chicago Blackhawks @ Toronto Maple Leafs</t>
  </si>
  <si>
    <t>Calgary Flames @ San Jose Sharks</t>
  </si>
  <si>
    <t>Colorado Avalanche @ Seattle Kraken</t>
  </si>
  <si>
    <t>Edmonton Oilers @ Pittsburgh Penguins</t>
  </si>
  <si>
    <t>Vancouver Canucks @ New York Rangers</t>
  </si>
  <si>
    <t>Anaheim Ducks @ Columbus Blue Jackets</t>
  </si>
  <si>
    <t>Washington Capitals @ Minnesota Wild</t>
  </si>
  <si>
    <t>Utah Mammoth @ Boston Bruins</t>
  </si>
  <si>
    <t>New Jersey Devils @ Vegas Golden Knights</t>
  </si>
  <si>
    <t>Carolina Hurricanes @ Nashville Predators</t>
  </si>
  <si>
    <t>Winnipeg Jets @ St. Louis Blues</t>
  </si>
  <si>
    <t>Utah Mammoth @ Detroit Red Wings</t>
  </si>
  <si>
    <t>Los Angeles Kings @ Florida Panthers</t>
  </si>
  <si>
    <t>Los Angeles Kings @ Tampa Bay Lightning</t>
  </si>
  <si>
    <t>New York Rangers @ St. Louis Blues</t>
  </si>
  <si>
    <t>Dallas Stars @ San Jose Sharks</t>
  </si>
  <si>
    <t>Pittsburgh Penguins @ Ottawa Senators</t>
  </si>
  <si>
    <t>Seattle Kraken @ Calgary Flames</t>
  </si>
  <si>
    <t>Minnesota Wild @ Columbus Blue Jackets</t>
  </si>
  <si>
    <t>Philadelphia Flyers @ Buffalo Sabres</t>
  </si>
  <si>
    <t>Edmonton Oilers @ Boston Bruins</t>
  </si>
  <si>
    <t>Chicago Blackhawks @ Montreal Canadiens</t>
  </si>
  <si>
    <t>Dallas Stars @ Anaheim Ducks</t>
  </si>
  <si>
    <t>Winnipeg Jets @ Colorado Avalanche</t>
  </si>
  <si>
    <t>Carolina Hurricanes @ Florida Panthers</t>
  </si>
  <si>
    <t>Vancouver Canucks @ New York Islanders</t>
  </si>
  <si>
    <t>New Jersey Devils @ Utah Mammoth</t>
  </si>
  <si>
    <t>Toronto Maple Leafs @ Nashville Predators</t>
  </si>
  <si>
    <t>Detroit Red Wings @ Washington Capitals</t>
  </si>
  <si>
    <t>Seattle Kraken @ San Jose Sharks</t>
  </si>
  <si>
    <t>Chicago Blackhawks @ Ottawa Senators</t>
  </si>
  <si>
    <t>Philadelphia Flyers @ New York Rangers</t>
  </si>
  <si>
    <t>Pittsburgh Penguins @ Montreal Canadiens</t>
  </si>
  <si>
    <t>Carolina Hurricanes @ Tampa Bay Lightning</t>
  </si>
  <si>
    <t>St. Louis Blues @ Florida Panthers</t>
  </si>
  <si>
    <t>Columbus Blue Jackets @ Anaheim Ducks</t>
  </si>
  <si>
    <t>Vancouver Canucks @ Boston Bruins</t>
  </si>
  <si>
    <t>Edmonton Oilers @ Minnesota Wild</t>
  </si>
  <si>
    <t>New York Islanders @ Buffalo Sabres</t>
  </si>
  <si>
    <t>New York Rangers @ Nashville Predators</t>
  </si>
  <si>
    <t>Buffalo Sabres @ New Jersey Devils</t>
  </si>
  <si>
    <t>Winnipeg Jets @ Utah Mammoth</t>
  </si>
  <si>
    <t>Vegas Golden Knights @ Edmonton Oilers</t>
  </si>
  <si>
    <t>Washington Capitals @ Detroit Red Wings</t>
  </si>
  <si>
    <t>Toronto Maple Leafs @ Dallas Stars</t>
  </si>
  <si>
    <t>Columbus Blue Jackets @ Los Angeles Kings</t>
  </si>
  <si>
    <t>Vancouver Canucks @ Philadelphia Flyers</t>
  </si>
  <si>
    <t>St. Louis Blues @ Tampa Bay Lightning</t>
  </si>
  <si>
    <t>Seattle Kraken @ Anaheim Ducks</t>
  </si>
  <si>
    <t>New York Rangers @ Washington Capitals</t>
  </si>
  <si>
    <t>Buffalo Sabres @ Ottawa Senators</t>
  </si>
  <si>
    <t>New Jersey Devils @ New York Islanders</t>
  </si>
  <si>
    <t>Seattle Kraken @ Los Angeles Kings</t>
  </si>
  <si>
    <t>Dallas Stars @ Detroit Red Wings</t>
  </si>
  <si>
    <t>Philadelphia Flyers @ Chicago Blackhawks</t>
  </si>
  <si>
    <t>Florida Panthers @ Carolina Hurricanes</t>
  </si>
  <si>
    <t>Montreal Canadiens @ Boston Bruins</t>
  </si>
  <si>
    <t>San Jose Sharks @ Vancouver Canucks</t>
  </si>
  <si>
    <t>Ottawa Senators @ Toronto Maple Leafs</t>
  </si>
  <si>
    <t>New York Rangers @ New York Islanders</t>
  </si>
  <si>
    <t>Anaheim Ducks @ Los Angeles Kings</t>
  </si>
  <si>
    <t>Chicago Blackhawks @ Dallas Stars</t>
  </si>
  <si>
    <t>Edmonton Oilers @ Calgary Flames</t>
  </si>
  <si>
    <t>Detroit Red Wings @ Carolina Hurricanes</t>
  </si>
  <si>
    <t>Boston Bruins @ Buffalo Sabres</t>
  </si>
  <si>
    <t>Washington Capitals @ New Jersey Devils</t>
  </si>
  <si>
    <t>Montreal Canadiens @ Tampa Bay Lightning</t>
  </si>
  <si>
    <t>Philadelphia Flyers @ Seattle Kraken</t>
  </si>
  <si>
    <t>Pittsburgh Penguins @ Chicago Blackhawks</t>
  </si>
  <si>
    <t>New York Islanders @ Columbus Blue Jackets</t>
  </si>
  <si>
    <t>San Jose Sharks @ Anaheim Ducks</t>
  </si>
  <si>
    <t>Nashville Predators @ Utah Mammoth</t>
  </si>
  <si>
    <t>Buffalo Sabres @ St. Louis Blues</t>
  </si>
  <si>
    <t>Vancouver Canucks @ Seattle Kraken</t>
  </si>
  <si>
    <t>Columbus Blue Jackets @ Ottawa Senators</t>
  </si>
  <si>
    <t>Edmonton Oilers @ Winnipeg Jets</t>
  </si>
  <si>
    <t>Los Angeles Kings @ Colorado Avalanche</t>
  </si>
  <si>
    <t>Boston Bruins @ Calgary Flames</t>
  </si>
  <si>
    <t>Minnesota Wild @ Vegas Golden Knights</t>
  </si>
  <si>
    <t>New York Islanders @ Chicago Blackhawks</t>
  </si>
  <si>
    <t>Montreal Canadiens @ Florida Panthers</t>
  </si>
  <si>
    <t>Carolina Hurricanes @ Pittsburgh Penguins</t>
  </si>
  <si>
    <t>Philadelphia Flyers @ Vancouver Canucks</t>
  </si>
  <si>
    <t>Winnipeg Jets @ Detroit Red Wings</t>
  </si>
  <si>
    <t>Nashville Predators @ Vegas Golden Knights</t>
  </si>
  <si>
    <t>Minnesota Wild @ San Jose Sharks</t>
  </si>
  <si>
    <t>Boston Bruins @ Edmonton Oilers</t>
  </si>
  <si>
    <t>Buffalo Sabres @ Dallas Stars</t>
  </si>
  <si>
    <t>Philadelphia Flyers @ Calgary Flames</t>
  </si>
  <si>
    <t>Tampa Bay Lightning @ Anaheim Ducks</t>
  </si>
  <si>
    <t>St. Louis Blues @ Colorado Avalanche</t>
  </si>
  <si>
    <t>Winnipeg Jets @ Toronto Maple Leafs</t>
  </si>
  <si>
    <t>Detroit Red Wings @ Pittsburgh Penguins</t>
  </si>
  <si>
    <t>Washington Capitals @ Ottawa Senators</t>
  </si>
  <si>
    <t>Nashville Predators @ Seattle Kraken</t>
  </si>
  <si>
    <t>Tampa Bay Lightning @ Los Angeles Kings</t>
  </si>
  <si>
    <t>Dallas Stars @ Chicago Blackhawks</t>
  </si>
  <si>
    <t>Montreal Canadiens @ Carolina Hurricanes</t>
  </si>
  <si>
    <t>Utah Mammoth @ New York Islanders</t>
  </si>
  <si>
    <t>Minnesota Wild @ Anaheim Ducks</t>
  </si>
  <si>
    <t>New York Rangers @ Florida Panthers</t>
  </si>
  <si>
    <t>Seattle Kraken @ Vancouver Canucks</t>
  </si>
  <si>
    <t>Toronto Maple Leafs @ New York Islanders</t>
  </si>
  <si>
    <t>Boston Bruins @ Vancouver Canucks</t>
  </si>
  <si>
    <t>Montreal Canadiens @ St. Louis Blues</t>
  </si>
  <si>
    <t>Tampa Bay Lightning @ San Jose Sharks</t>
  </si>
  <si>
    <t>Winnipeg Jets @ Ottawa Senators</t>
  </si>
  <si>
    <t>Utah Mammoth @ New Jersey Devils</t>
  </si>
  <si>
    <t>Chicago Blackhawks @ Washington Capitals</t>
  </si>
  <si>
    <t>Philadelphia Flyers @ Edmonton Oilers</t>
  </si>
  <si>
    <t>Pittsburgh Penguins @ Detroit Red Wings</t>
  </si>
  <si>
    <t>Nashville Predators @ Calgary Flames</t>
  </si>
  <si>
    <t>Buffalo Sabres @ Columbus Blue Jackets</t>
  </si>
  <si>
    <t>Colorado Avalanche @ Carolina Hurricanes</t>
  </si>
  <si>
    <t>Minnesota Wild @ Los Angeles Kings</t>
  </si>
  <si>
    <t>Colorado Avalanche @ Florida Panthers</t>
  </si>
  <si>
    <t>Montreal Canadiens @ Dallas Stars</t>
  </si>
  <si>
    <t>Carolina Hurricanes @ New Jersey Devils</t>
  </si>
  <si>
    <t>Vegas Golden Knights @ Chicago Blackhawks</t>
  </si>
  <si>
    <t>Utah Mammoth @ New York Rangers</t>
  </si>
  <si>
    <t>Detroit Red Wings @ Ottawa Senators</t>
  </si>
  <si>
    <t>Anaheim Ducks @ Washington Capitals</t>
  </si>
  <si>
    <t>Columbus Blue Jackets @ San Jose Sharks</t>
  </si>
  <si>
    <t>Vegas Golden Knights @ Winnipeg Jets</t>
  </si>
  <si>
    <t>Florida Panthers @ Toronto Maple Leafs</t>
  </si>
  <si>
    <t>Colorado Avalanche @ Tampa Bay Lightning</t>
  </si>
  <si>
    <t>Boston Bruins @ Seattle Kraken</t>
  </si>
  <si>
    <t>Dallas Stars @ Carolina Hurricanes</t>
  </si>
  <si>
    <t>Nashville Predators @ Edmonton Oilers</t>
  </si>
  <si>
    <t>Vancouver Canucks @ Buffalo Sabres</t>
  </si>
  <si>
    <t>Anaheim Ducks @ Philadelphia Flyers</t>
  </si>
  <si>
    <t>St. Louis Blues @ Chicago Blackhawks</t>
  </si>
  <si>
    <t>San Jose Sharks @ Los Angeles Kings</t>
  </si>
  <si>
    <t>Calgary Flames @ Montreal Canadiens</t>
  </si>
  <si>
    <t>Ottawa Senators @ Utah Mammoth</t>
  </si>
  <si>
    <t>Dallas Stars @ Washington Capitals</t>
  </si>
  <si>
    <t>New Jersey Devils @ Pittsburgh Penguins</t>
  </si>
  <si>
    <t>Columbus Blue Jackets @ Vegas Golden Knights</t>
  </si>
  <si>
    <t>Buffalo Sabres @ New York Rangers</t>
  </si>
  <si>
    <t>Florida Panthers @ Montreal Canadiens</t>
  </si>
  <si>
    <t>Vancouver Canucks @ Detroit Red Wings</t>
  </si>
  <si>
    <t>Ottawa Senators @ Colorado Avalanche</t>
  </si>
  <si>
    <t>Anaheim Ducks @ Carolina Hurricanes</t>
  </si>
  <si>
    <t>Calgary Flames @ Boston Bruins</t>
  </si>
  <si>
    <t>New York Islanders @ Nashville Predators</t>
  </si>
  <si>
    <t>Washington Capitals @ Chicago Blackhawks</t>
  </si>
  <si>
    <t>St. Louis Blues @ Utah Mammoth</t>
  </si>
  <si>
    <t>St. Louis Blues @ Vegas Golden Knights</t>
  </si>
  <si>
    <t>Vancouver Canucks @ Toronto Maple Leafs</t>
  </si>
  <si>
    <t>Calgary Flames @ Pittsburgh Penguins</t>
  </si>
  <si>
    <t>Tampa Bay Lightning @ Philadelphia Flyers</t>
  </si>
  <si>
    <t>Florida Panthers @ Ottawa Senators</t>
  </si>
  <si>
    <t>Chicago Blackhawks @ Nashville Predators</t>
  </si>
  <si>
    <t>New York Islanders @ Minnesota Wild</t>
  </si>
  <si>
    <t>Los Angeles Kings @ Edmonton Oilers</t>
  </si>
  <si>
    <t>Columbus Blue Jackets @ Colorado Avalanche</t>
  </si>
  <si>
    <t>Seattle Kraken @ Carolina Hurricanes</t>
  </si>
  <si>
    <t>Anaheim Ducks @ Buffalo Sabres</t>
  </si>
  <si>
    <t>Detroit Red Wings @ Montreal Canadiens</t>
  </si>
  <si>
    <t>Pittsburgh Penguins @ Boston Bruins</t>
  </si>
  <si>
    <t>Washington Capitals @ Nashville Predators</t>
  </si>
  <si>
    <t>Columbus Blue Jackets @ Utah Mammoth</t>
  </si>
  <si>
    <t>New Jersey Devils @ Winnipeg Jets</t>
  </si>
  <si>
    <t>Seattle Kraken @ New York Rangers</t>
  </si>
  <si>
    <t>Vancouver Canucks @ Montreal Canadiens</t>
  </si>
  <si>
    <t>New Jersey Devils @ Minnesota Wild</t>
  </si>
  <si>
    <t>Carolina Hurricanes @ Detroit Red Wings</t>
  </si>
  <si>
    <t>Toronto Maple Leafs @ Colorado Avalanche</t>
  </si>
  <si>
    <t>Edmonton Oilers @ Chicago Blackhawks</t>
  </si>
  <si>
    <t>Dallas Stars @ Los Angeles Kings</t>
  </si>
  <si>
    <t>Carolina Hurricanes @ St. Louis Blues</t>
  </si>
  <si>
    <t>Montreal Canadiens @ Washington Capitals</t>
  </si>
  <si>
    <t>New York Islanders @ Winnipeg Jets</t>
  </si>
  <si>
    <t>Tampa Bay Lightning @ Pittsburgh Penguins</t>
  </si>
  <si>
    <t>Toronto Maple Leafs @ Utah Mammoth</t>
  </si>
  <si>
    <t>Edmonton Oilers @ Nashville Predators</t>
  </si>
  <si>
    <t>Calgary Flames @ Columbus Blue Jackets</t>
  </si>
  <si>
    <t>Vancouver Canucks @ Ottawa Senators</t>
  </si>
  <si>
    <t>Vegas Golden Knights @ Los Angeles Kings</t>
  </si>
  <si>
    <t>Seattle Kraken @ New Jersey Devils</t>
  </si>
  <si>
    <t>Ottawa Senators @ New York Rangers</t>
  </si>
  <si>
    <t>San Jose Sharks @ Washington Capitals</t>
  </si>
  <si>
    <t>Toronto Maple Leafs @ Vegas Golden Knights</t>
  </si>
  <si>
    <t>Dallas Stars @ Utah Mammoth</t>
  </si>
  <si>
    <t>Philadelphia Flyers @ Pittsburgh Penguins</t>
  </si>
  <si>
    <t>Montreal Canadiens @ Buffalo Sabres</t>
  </si>
  <si>
    <t>Vancouver Canucks @ Columbus Blue Jackets</t>
  </si>
  <si>
    <t>Seattle Kraken @ Boston Bruins</t>
  </si>
  <si>
    <t>New York Islanders @ Edmonton Oilers</t>
  </si>
  <si>
    <t>Tampa Bay Lightning @ St. Louis Blues</t>
  </si>
  <si>
    <t>San Jose Sharks @ Detroit Red Wings</t>
  </si>
  <si>
    <t>Florida Panthers @ Washington Capitals</t>
  </si>
  <si>
    <t>Toronto Maple Leafs @ Winnipeg Jets</t>
  </si>
  <si>
    <t>New York Rangers @ Philadelphia Flyers</t>
  </si>
  <si>
    <t>Boston Bruins @ Chicago Blackhawks</t>
  </si>
  <si>
    <t>New York Islanders @ Calgary Flames</t>
  </si>
  <si>
    <t>Minnesota Wild @ Buffalo Sabres</t>
  </si>
  <si>
    <t>Montreal Canadiens @ Ottawa Senators</t>
  </si>
  <si>
    <t>St. Louis Blues @ Edmonton Oilers</t>
  </si>
  <si>
    <t>Tampa Bay Lightning @ Dallas Stars</t>
  </si>
  <si>
    <t>Ottawa Senators @ Detroit Red Wings</t>
  </si>
  <si>
    <t>Minnesota Wild @ Toronto Maple Leafs</t>
  </si>
  <si>
    <t>Pittsburgh Penguins @ Seattle Kraken</t>
  </si>
  <si>
    <t>New York Islanders @ Vancouver Canucks</t>
  </si>
  <si>
    <t>Philadelphia Flyers @ Vegas Golden Knights</t>
  </si>
  <si>
    <t>San Jose Sharks @ Florida Panthers</t>
  </si>
  <si>
    <t>Winnipeg Jets @ Chicago Blackhawks</t>
  </si>
  <si>
    <t>New Jersey Devils @ Calgary Flames</t>
  </si>
  <si>
    <t>New York Rangers @ Anaheim Ducks</t>
  </si>
  <si>
    <t>Washington Capitals @ Colorado Avalanche</t>
  </si>
  <si>
    <t>St. Louis Blues @ Winnipeg Jets</t>
  </si>
  <si>
    <t>Buffalo Sabres @ Nashville Predators</t>
  </si>
  <si>
    <t>Minnesota Wild @ Montreal Canadiens</t>
  </si>
  <si>
    <t>San Jose Sharks @ Tampa Bay Lightning</t>
  </si>
  <si>
    <t>New Jersey Devils @ Edmonton Oilers</t>
  </si>
  <si>
    <t>Boston Bruins @ Dallas Stars</t>
  </si>
  <si>
    <t>New York Rangers @ Los Angeles Kings</t>
  </si>
  <si>
    <t>Pittsburgh Penguins @ Calgary Flames</t>
  </si>
  <si>
    <t>New York Islanders @ Seattle Kraken</t>
  </si>
  <si>
    <t>Philadelphia Flyers @ Utah Mammoth</t>
  </si>
  <si>
    <t>Washington Capitals @ Vancouver Canucks</t>
  </si>
  <si>
    <t>Florida Panthers @ Winnipeg Jets</t>
  </si>
  <si>
    <t>Ottawa Senators @ Nashville Predators</t>
  </si>
  <si>
    <t>Detroit Red Wings @ Minnesota Wild</t>
  </si>
  <si>
    <t>Vegas Golden Knights @ Boston Bruins</t>
  </si>
  <si>
    <t>Dallas Stars @ Columbus Blue Jackets</t>
  </si>
  <si>
    <t>Chicago Blackhawks @ Carolina Hurricanes</t>
  </si>
  <si>
    <t>Pittsburgh Penguins @ Edmonton Oilers</t>
  </si>
  <si>
    <t>Washington Capitals @ Calgary Flames</t>
  </si>
  <si>
    <t>Tampa Bay Lightning @ Chicago Blackhawks</t>
  </si>
  <si>
    <t>Philadelphia Flyers @ Colorado Avalanche</t>
  </si>
  <si>
    <t>St. Louis Blues @ Dallas Stars</t>
  </si>
  <si>
    <t>New York Rangers @ San Jose Sharks</t>
  </si>
  <si>
    <t>Vegas Golden Knights @ Toronto Maple Leafs</t>
  </si>
  <si>
    <t>New Jersey Devils @ Vancouver Canucks</t>
  </si>
  <si>
    <t>Carolina Hurricanes @ Ottawa Senators</t>
  </si>
  <si>
    <t>Detroit Red Wings @ Winnipeg Jets</t>
  </si>
  <si>
    <t>Buffalo Sabres @ New York Islanders</t>
  </si>
  <si>
    <t>Florida Panthers @ Minnesota Wild</t>
  </si>
  <si>
    <t>Washington Capitals @ Edmonton Oilers</t>
  </si>
  <si>
    <t>Colorado Avalanche @ Toronto Maple Leafs</t>
  </si>
  <si>
    <t>New Jersey Devils @ Seattle Kraken</t>
  </si>
  <si>
    <t>Pittsburgh Penguins @ Vancouver Canucks</t>
  </si>
  <si>
    <t>Florida Panthers @ Chicago Blackhawks</t>
  </si>
  <si>
    <t>Anaheim Ducks @ Calgary Flames</t>
  </si>
  <si>
    <t>Vegas Golden Knights @ Ottawa Senators</t>
  </si>
  <si>
    <t>Los Angeles Kings @ Columbus Blue Jackets</t>
  </si>
  <si>
    <t>Anaheim Ducks @ Edmonton Oilers</t>
  </si>
  <si>
    <t>Boston Bruins @ New York Rangers</t>
  </si>
  <si>
    <t>Utah Mammoth @ Tampa Bay Lightning</t>
  </si>
  <si>
    <t>Washington Capitals @ Seattle Kraken</t>
  </si>
  <si>
    <t>Winnipeg Jets @ New Jersey Devils</t>
  </si>
  <si>
    <t>Utah Mammoth @ Florida Panthers</t>
  </si>
  <si>
    <t>Chicago Blackhawks @ Minnesota Wild</t>
  </si>
  <si>
    <t>Los Angeles Kings @ Detroit Red Wings</t>
  </si>
  <si>
    <t>Nashville Predators @ Boston Bruins</t>
  </si>
  <si>
    <t>Vegas Golden Knights @ Montreal Canadiens</t>
  </si>
  <si>
    <t>Philadelphia Flyers @ Columbus Blue Jackets</t>
  </si>
  <si>
    <t>Colorado Avalanche @ Ottawa Senators</t>
  </si>
  <si>
    <t>Dallas Stars @ Vegas Golden Knights</t>
  </si>
  <si>
    <t>Winnipeg Jets @ Tampa Bay Lightning</t>
  </si>
  <si>
    <t>Florida Panthers @ St. Louis Blues</t>
  </si>
  <si>
    <t>Toronto Maple Leafs @ Seattle Kraken</t>
  </si>
  <si>
    <t>Chicago Blackhawks @ Pittsburgh Penguins</t>
  </si>
  <si>
    <t>Nashville Predators @ New Jersey Devils</t>
  </si>
  <si>
    <t>Anaheim Ducks @ Vancouver Canucks</t>
  </si>
  <si>
    <t>Philadelphia Flyers @ Boston Bruins</t>
  </si>
  <si>
    <t>Los Angeles Kings @ Buffalo Sabres</t>
  </si>
  <si>
    <t>Colorado Avalanche @ Montreal Canadiens</t>
  </si>
  <si>
    <t>San Jose Sharks @ Edmonton Oilers</t>
  </si>
  <si>
    <t>Utah Mammoth @ Carolina Hurricanes</t>
  </si>
  <si>
    <t>Columbus Blue Jackets @ Chicago Blackhawks</t>
  </si>
  <si>
    <t>Seattle Kraken @ Vegas Golden Knights</t>
  </si>
  <si>
    <t>Toronto Maple Leafs @ Vancouver Canucks</t>
  </si>
  <si>
    <t>Columbus Blue Jackets @ St. Louis Blues</t>
  </si>
  <si>
    <t>Los Angeles Kings @ Philadelphia Flyers</t>
  </si>
  <si>
    <t>Nashville Predators @ New York Islanders</t>
  </si>
  <si>
    <t>Winnipeg Jets @ Florida Panthers</t>
  </si>
  <si>
    <t>Colorado Avalanche @ Detroit Red Wings</t>
  </si>
  <si>
    <t>Boston Bruins @ Tampa Bay Lightning</t>
  </si>
  <si>
    <t>Los Angeles Kings @ Carolina Hurricanes</t>
  </si>
  <si>
    <t>Vancouver Canucks @ Utah Mammoth</t>
  </si>
  <si>
    <t>Toronto Maple Leafs @ Calgary Flames</t>
  </si>
  <si>
    <t>San Jose Sharks @ Chicago Blackhawks</t>
  </si>
  <si>
    <t>Detroit Red Wings @ Colorado Avalanche</t>
  </si>
  <si>
    <t>Winnipeg Jets @ Dallas Stars</t>
  </si>
  <si>
    <t>Buffalo Sabres @ Florida Panthers</t>
  </si>
  <si>
    <t>Montreal Canadiens @ Minnesota Wild</t>
  </si>
  <si>
    <t>Ottawa Senators @ Pittsburgh Penguins</t>
  </si>
  <si>
    <t>Washington Capitals @ Philadelphia Flyers</t>
  </si>
  <si>
    <t>Pittsburgh Penguins @ New York Islanders</t>
  </si>
  <si>
    <t>Ottawa Senators @ Carolina Hurricanes</t>
  </si>
  <si>
    <t>Buffalo Sabres @ Tampa Bay Lightning</t>
  </si>
  <si>
    <t>Toronto Maple Leafs @ Edmonton Oilers</t>
  </si>
  <si>
    <t>Detroit Red Wings @ Utah Mammoth</t>
  </si>
  <si>
    <t>Minnesota Wild @ Nashville Predators</t>
  </si>
  <si>
    <t>Montreal Canadiens @ Winnipeg Jets</t>
  </si>
  <si>
    <t>Vancouver Canucks @ Vegas Golden Knights</t>
  </si>
  <si>
    <t>Chicago Blackhawks @ Columbus Blue Jackets</t>
  </si>
  <si>
    <t>Boston Bruins @ Florida Panthers</t>
  </si>
  <si>
    <t>Pittsburgh Penguins @ Buffalo Sabres</t>
  </si>
  <si>
    <t>Nashville Predators @ Washington Capitals</t>
  </si>
  <si>
    <t>Philadelphia Flyers @ Washington Capitals</t>
  </si>
  <si>
    <t>Toronto Maple Leafs @ Tampa Bay Lightning</t>
  </si>
  <si>
    <t>Edmonton Oilers @ Anaheim Ducks</t>
  </si>
  <si>
    <t>Tampa Bay Lightning @ Carolina Hurricanes</t>
  </si>
  <si>
    <t>Edmonton Oilers @ Los Angeles Kings</t>
  </si>
  <si>
    <t>Minnesota Wild @ Colorado Avalanche</t>
  </si>
  <si>
    <t>Columbus Blue Jackets @ Boston Bruins</t>
  </si>
  <si>
    <t>New York Islanders @ Montreal Canadiens</t>
  </si>
  <si>
    <t>Minnesota Wild @ Utah Mammoth</t>
  </si>
  <si>
    <t>Vegas Golden Knights @ Washington Capitals</t>
  </si>
  <si>
    <t>Edmonton Oilers @ San Jose Sharks</t>
  </si>
  <si>
    <t>New Jersey Devils @ St. Louis Blues</t>
  </si>
  <si>
    <t>Boston Bruins @ Philadelphia Flyers</t>
  </si>
  <si>
    <t>Chicago Blackhawks @ Colorado Avalanche</t>
  </si>
  <si>
    <t>Nashville Predators @ Dallas Stars</t>
  </si>
  <si>
    <t>Calgary Flames @ Anaheim Ducks</t>
  </si>
  <si>
    <t>St. Louis Blues @ Minnesota Wild</t>
  </si>
  <si>
    <t>Florida Panthers @ New York Islanders</t>
  </si>
  <si>
    <t>Vegas Golden Knights @ Pittsburgh Penguins</t>
  </si>
  <si>
    <t>Chicago Blackhawks @ Utah Mammoth</t>
  </si>
  <si>
    <t>Philadelphia Flyers @ Toronto Maple Leafs</t>
  </si>
  <si>
    <t>Carolina Hurricanes @ Seattle Kraken</t>
  </si>
  <si>
    <t>Detroit Red Wings @ Nashville Predators</t>
  </si>
  <si>
    <t>Columbus Blue Jackets @ New York Rangers</t>
  </si>
  <si>
    <t>Utah Mammoth @ Washington Capitals</t>
  </si>
  <si>
    <t>Montreal Canadiens @ San Jose Sharks</t>
  </si>
  <si>
    <t>Ottawa Senators @ Edmonton Oilers</t>
  </si>
  <si>
    <t>Tampa Bay Lightning @ Minnesota Wild</t>
  </si>
  <si>
    <t>Nashville Predators @ Columbus Blue Jackets</t>
  </si>
  <si>
    <t>Vegas Golden Knights @ Buffalo Sabres</t>
  </si>
  <si>
    <t>Colorado Avalanche @ Anaheim Ducks</t>
  </si>
  <si>
    <t>St. Louis Blues @ Seattle Kraken</t>
  </si>
  <si>
    <t>New York Islanders @ Anaheim Ducks</t>
  </si>
  <si>
    <t>Vegas Golden Knights @ Detroit Red Wings</t>
  </si>
  <si>
    <t>Toronto Maple Leafs @ New Jersey Devils</t>
  </si>
  <si>
    <t>Carolina Hurricanes @ Vancouver Canucks</t>
  </si>
  <si>
    <t>Utah Mammoth @ Philadelphia Flyers</t>
  </si>
  <si>
    <t>Tampa Bay Lightning @ Winnipeg Jets</t>
  </si>
  <si>
    <t>Toronto Maple Leafs @ New York Rangers</t>
  </si>
  <si>
    <t>New York Islanders @ Los Angeles Kings</t>
  </si>
  <si>
    <t>Ottawa Senators @ Calgary Flames</t>
  </si>
  <si>
    <t>Florida Panthers @ Columbus Blue Jackets</t>
  </si>
  <si>
    <t>Boston Bruins @ Nashville Predators</t>
  </si>
  <si>
    <t>Montreal Canadiens @ Anaheim Ducks</t>
  </si>
  <si>
    <t>Colorado Avalanche @ Dallas Stars</t>
  </si>
  <si>
    <t>Carolina Hurricanes @ Edmonton Oilers</t>
  </si>
  <si>
    <t>St. Louis Blues @ San Jose Sharks</t>
  </si>
  <si>
    <t>Vancouver Canucks @ Winnipeg Jets</t>
  </si>
  <si>
    <t>Ottawa Senators @ Seattle Kraken</t>
  </si>
  <si>
    <t>17:30:00</t>
  </si>
  <si>
    <t>New York Rangers @ New Jersey Devils</t>
  </si>
  <si>
    <t>New York Islanders @ San Jose Sharks</t>
  </si>
  <si>
    <t>Carolina Hurricanes @ Calgary Flames</t>
  </si>
  <si>
    <t>Utah Mammoth @ Columbus Blue Jackets</t>
  </si>
  <si>
    <t>Nashville Predators @ Buffalo Sabres</t>
  </si>
  <si>
    <t>Washington Capitals @ Boston Bruins</t>
  </si>
  <si>
    <t>Montreal Canadiens @ Los Angeles Kings</t>
  </si>
  <si>
    <t>Edmonton Oilers @ Vegas Golden Knights</t>
  </si>
  <si>
    <t>16:30:00</t>
  </si>
  <si>
    <t>Boston Bruins @ Pittsburgh Penguins</t>
  </si>
  <si>
    <t>Tampa Bay Lightning @ Buffalo Sabres</t>
  </si>
  <si>
    <t>St. Louis Blues @ Anaheim Ducks</t>
  </si>
  <si>
    <t>Ottawa Senators @ Vancouver Canucks</t>
  </si>
  <si>
    <t>Calgary Flames @ Washington Capitals</t>
  </si>
  <si>
    <t>Calgary Flames @ New York Rangers</t>
  </si>
  <si>
    <t>Anaheim Ducks @ Winnipeg Jets</t>
  </si>
  <si>
    <t>Columbus Blue Jackets @ Tampa Bay Lightning</t>
  </si>
  <si>
    <t>New York Islanders @ St. Louis Blues</t>
  </si>
  <si>
    <t>Detroit Red Wings @ Florida Panthers</t>
  </si>
  <si>
    <t>Vegas Golden Knights @ Dallas Stars</t>
  </si>
  <si>
    <t>Edmonton Oilers @ Colorado Avalanche</t>
  </si>
  <si>
    <t>Pittsburgh Penguins @ Carolina Hurricanes</t>
  </si>
  <si>
    <t>San Jose Sharks @ Buffalo Sabres</t>
  </si>
  <si>
    <t>Los Angeles Kings @ Boston Bruins</t>
  </si>
  <si>
    <t>New York Rangers @ Winnipeg Jets</t>
  </si>
  <si>
    <t>Pittsburgh Penguins @ Vegas Golden Knights</t>
  </si>
  <si>
    <t>Anaheim Ducks @ Toronto Maple Leafs</t>
  </si>
  <si>
    <t>Detroit Red Wings @ Tampa Bay Lightning</t>
  </si>
  <si>
    <t>Nashville Predators @ Vancouver Canucks</t>
  </si>
  <si>
    <t>Philadelphia Flyers @ Minnesota Wild</t>
  </si>
  <si>
    <t>St. Louis Blues @ Carolina Hurricanes</t>
  </si>
  <si>
    <t>San Jose Sharks @ Boston Bruins</t>
  </si>
  <si>
    <t>Calgary Flames @ New Jersey Devils</t>
  </si>
  <si>
    <t>Los Angeles Kings @ New York Islanders</t>
  </si>
  <si>
    <t>Colorado Avalanche @ Winnipeg Jets</t>
  </si>
  <si>
    <t>Pittsburgh Penguins @ Utah Mammoth</t>
  </si>
  <si>
    <t>Columbus Blue Jackets @ Philadelphia Flyers</t>
  </si>
  <si>
    <t>San Jose Sharks @ Montreal Canadiens</t>
  </si>
  <si>
    <t>Calgary Flames @ New York Islanders</t>
  </si>
  <si>
    <t>Los Angeles Kings @ New Jersey Devils</t>
  </si>
  <si>
    <t>New York Rangers @ Minnesota Wild</t>
  </si>
  <si>
    <t>Detroit Red Wings @ Dallas Stars</t>
  </si>
  <si>
    <t>Anaheim Ducks @ Ottawa Senators</t>
  </si>
  <si>
    <t>Florida Panthers @ Seattle Kraken</t>
  </si>
  <si>
    <t>San Jose Sharks @ Ottawa Senators</t>
  </si>
  <si>
    <t>Anaheim Ducks @ Montreal Canadiens</t>
  </si>
  <si>
    <t>Toronto Maple Leafs @ Minnesota Wild</t>
  </si>
  <si>
    <t>Pittsburgh Penguins @ Colorado Avalanche</t>
  </si>
  <si>
    <t>Calgary Flames @ Detroit Red Wings</t>
  </si>
  <si>
    <t>Boston Bruins @ New Jersey Devils</t>
  </si>
  <si>
    <t>Los Angeles Kings @ New York Rangers</t>
  </si>
  <si>
    <t>Buffalo Sabres @ Vegas Golden Knights</t>
  </si>
  <si>
    <t>Florida Panthers @ Vancouver Canucks</t>
  </si>
  <si>
    <t>New York Islanders @ Toronto Maple Leafs</t>
  </si>
  <si>
    <t>Carolina Hurricanes @ Columbus Blue Jackets</t>
  </si>
  <si>
    <t>Tampa Bay Lightning @ Seattle Kraken</t>
  </si>
  <si>
    <t>New Jersey Devils @ New York Rangers</t>
  </si>
  <si>
    <t>Philadelphia Flyers @ Anaheim Ducks</t>
  </si>
  <si>
    <t>Utah Mammoth @ Vegas Golden Knights</t>
  </si>
  <si>
    <t>Tampa Bay Lightning @ Vancouver Canucks</t>
  </si>
  <si>
    <t>Buffalo Sabres @ San Jose Sharks</t>
  </si>
  <si>
    <t>Seattle Kraken @ Nashville Predators</t>
  </si>
  <si>
    <t>Florida Panthers @ Edmonton Oilers</t>
  </si>
  <si>
    <t>Winnipeg Jets @ Boston Bruins</t>
  </si>
  <si>
    <t>Philadelphia Flyers @ Los Angeles Kings</t>
  </si>
  <si>
    <t>Florida Panthers @ Calgary Flames</t>
  </si>
  <si>
    <t>Anaheim Ducks @ Utah Mammoth</t>
  </si>
  <si>
    <t>Winnipeg Jets @ Pittsburgh Penguins</t>
  </si>
  <si>
    <t>Tampa Bay Lightning @ Edmonton Oilers</t>
  </si>
  <si>
    <t>Toronto Maple Leafs @ Ottawa Senators</t>
  </si>
  <si>
    <t>Philadelphia Flyers @ San Jose Sharks</t>
  </si>
  <si>
    <t>Vegas Golden Knights @ Nashville Predators</t>
  </si>
  <si>
    <t>Seattle Kraken @ Columbus Blue Jackets</t>
  </si>
  <si>
    <t>Buffalo Sabres @ Los Angeles Kings</t>
  </si>
  <si>
    <t>Colorado Avalanche @ Washington Capitals</t>
  </si>
  <si>
    <t>Winnipeg Jets @ New York Rangers</t>
  </si>
  <si>
    <t>Tampa Bay Lightning @ Calgary Flames</t>
  </si>
  <si>
    <t>Buffalo Sabres @ Anaheim Ducks</t>
  </si>
  <si>
    <t>Colorado Avalanche @ Pittsburgh Penguins</t>
  </si>
  <si>
    <t>Edmonton Oilers @ Utah Mammoth</t>
  </si>
  <si>
    <t>Minnesota Wild @ Tampa Bay Lightning</t>
  </si>
  <si>
    <t>Washington Capitals @ St. Louis Blues</t>
  </si>
  <si>
    <t>New Jersey Devils @ Dallas Stars</t>
  </si>
  <si>
    <t>San Jose Sharks @ Nashville Predators</t>
  </si>
  <si>
    <t>Carolina Hurricanes @ Montreal Canadiens</t>
  </si>
  <si>
    <t>Seattle Kraken @ Florida Panthers</t>
  </si>
  <si>
    <t>Los Angeles Kings @ Calgary Flames</t>
  </si>
  <si>
    <t>Chicago Blackhawks @ New York Islanders</t>
  </si>
  <si>
    <t>Washington Capitals @ Utah Mammoth</t>
  </si>
  <si>
    <t>San Jose Sharks @ St. Louis Blues</t>
  </si>
  <si>
    <t>Los Angeles Kings @ Vancouver Canucks</t>
  </si>
  <si>
    <t>Chicago Blackhawks @ Philadelphia Flyers</t>
  </si>
  <si>
    <t>Seattle Kraken @ Tampa Bay Lightning</t>
  </si>
  <si>
    <t>Dallas Stars @ New York Islanders</t>
  </si>
  <si>
    <t>New Jersey Devils @ Nashville Predators</t>
  </si>
  <si>
    <t>Columbus Blue Jackets @ Montreal Canadiens</t>
  </si>
  <si>
    <t>Minnesota Wild @ Florida Panthers</t>
  </si>
  <si>
    <t>Chicago Blackhawks @ New York Rangers</t>
  </si>
  <si>
    <t>Washington Capitals @ Vegas Golden Knights</t>
  </si>
  <si>
    <t>Toronto Maple Leafs @ St. Louis Blues</t>
  </si>
  <si>
    <t>Dallas Stars @ Pittsburgh Penguins</t>
  </si>
  <si>
    <t>Montreal Canadiens @ Nashville Predators</t>
  </si>
  <si>
    <t>Utah Mammoth @ Los Angeles Kings</t>
  </si>
  <si>
    <t>Vancouver Canucks @ Calgary Flames</t>
  </si>
  <si>
    <t>San Jose Sharks @ Columbus Blue Jackets</t>
  </si>
  <si>
    <t>Seattle Kraken @ Buffalo Sabres</t>
  </si>
  <si>
    <t>Minnesota Wild @ Boston Bruins</t>
  </si>
  <si>
    <t>Philadelphia Flyers @ Detroit Red Wings</t>
  </si>
  <si>
    <t>Nashville Predators @ Tampa Bay Lightning</t>
  </si>
  <si>
    <t>Dallas Stars @ Philadelphia Flyers</t>
  </si>
  <si>
    <t>Florida Panthers @ New York Rangers</t>
  </si>
  <si>
    <t>Boston Bruins @ Columbus Blue Jackets</t>
  </si>
  <si>
    <t>Chicago Blackhawks @ New Jersey Devils</t>
  </si>
  <si>
    <t>Toronto Maple Leafs @ Anaheim Ducks</t>
  </si>
  <si>
    <t>Calgary Flames @ Colorado Avalanche</t>
  </si>
  <si>
    <t>Dallas Stars @ Boston Bruins</t>
  </si>
  <si>
    <t>St. Louis Blues @ Los Angeles Kings</t>
  </si>
  <si>
    <t>Toronto Maple Leafs @ San Jose Sharks</t>
  </si>
  <si>
    <t>Utah Mammoth @ Seattle Kraken</t>
  </si>
  <si>
    <t>Detroit Red Wings @ Philadelphia Flyers</t>
  </si>
  <si>
    <t>Nashville Predators @ Los Angeles Kings</t>
  </si>
  <si>
    <t>Buffalo Sabres @ Washington Capitals</t>
  </si>
  <si>
    <t>Nashville Predators @ San Jose Sharks</t>
  </si>
  <si>
    <t>Florida Panthers @ Pittsburgh Penguins</t>
  </si>
  <si>
    <t>Minnesota Wild @ Ottawa Senators</t>
  </si>
  <si>
    <t>Toronto Maple Leafs @ Los Angeles Kings</t>
  </si>
  <si>
    <t>Winnipeg Jets @ Columbus Blue Jackets</t>
  </si>
  <si>
    <t>Minnesota Wild @ Detroit Red Wings</t>
  </si>
  <si>
    <t>New Jersey Devils @ Montreal Canadiens</t>
  </si>
  <si>
    <t>Chicago Blackhawks @ San Jose Sharks</t>
  </si>
  <si>
    <t>Colorado Avalanche @ St. Louis Blues</t>
  </si>
  <si>
    <t>Tampa Bay Lightning @ Ottawa Senators</t>
  </si>
  <si>
    <t>Calgary Flames @ Dallas Stars</t>
  </si>
  <si>
    <t>Vegas Golden Knights @ Vancouver Canucks</t>
  </si>
  <si>
    <t>Boston Bruins @ Carolina Hurricanes</t>
  </si>
  <si>
    <t>Nashville Predators @ Anaheim Ducks</t>
  </si>
  <si>
    <t>Seattle Kraken @ Minnesota Wild</t>
  </si>
  <si>
    <t>Washington Capitals @ Toronto Maple Leafs</t>
  </si>
  <si>
    <t>Carolina Hurricanes @ Chicago Blackhawks</t>
  </si>
  <si>
    <t>Calgary Flames @ Seattle Kraken</t>
  </si>
  <si>
    <t>Philadelphia Flyers @ Winnipeg Jets</t>
  </si>
  <si>
    <t>Carolina Hurricanes @ Utah Mammoth</t>
  </si>
  <si>
    <t>Ottawa Senators @ New York Islanders</t>
  </si>
  <si>
    <t>New Jersey Devils @ Detroit Red Wings</t>
  </si>
  <si>
    <t>New York Rangers @ Dallas Stars</t>
  </si>
  <si>
    <t>Vegas Golden Knights @ Colorado Avalanche</t>
  </si>
  <si>
    <t>Pittsburgh Penguins @ Washington Capitals</t>
  </si>
  <si>
    <t>Montreal Canadiens @ New York Islanders</t>
  </si>
  <si>
    <t>Ottawa Senators @ New Jersey Devils</t>
  </si>
  <si>
    <t>Winnipeg Jets @ Vegas Golden Knights</t>
  </si>
  <si>
    <t>Dallas Stars @ Toronto Maple Leafs</t>
  </si>
  <si>
    <t>Buffalo Sabres @ Chicago Blackhawks</t>
  </si>
  <si>
    <t>Pittsburgh Penguins @ St. Louis Blues</t>
  </si>
  <si>
    <t>Montreal Canadiens @ Philadelphia Flyers</t>
  </si>
  <si>
    <t>Carolina Hurricanes @ New York Islanders</t>
  </si>
  <si>
    <t>Colorado Avalanche @ Calgary Flames</t>
  </si>
  <si>
    <t>Dallas Stars @ Buffalo Sabres</t>
  </si>
  <si>
    <t>Seattle Kraken @ Colorado Avalanche</t>
  </si>
  <si>
    <t>San Jose Sharks @ Winnipeg Jets</t>
  </si>
  <si>
    <t>✗ Predicted Dallas Stars, was New York Rangers</t>
  </si>
  <si>
    <t>2025-12-03 10:38:11</t>
  </si>
  <si>
    <t>✗ Predicted Boston Bruins, was Detroit Red Wings</t>
  </si>
  <si>
    <t>✗ Predicted Edmonton Oilers, was Minnesota Wild</t>
  </si>
  <si>
    <t>✗ Predicted Florida Panthers, was Toronto Maple Leafs</t>
  </si>
  <si>
    <t>✗ Predicted Tampa Bay Lightning, was New York Islanders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</si>
</sst>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81"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%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80"/>
    <tableColumn id="3" xr3:uid="{2C87C5E2-BA51-8A42-89C8-535F9675CB8F}" uniqueName="3" name="Visitor" queryTableFieldId="3" dataDxfId="79"/>
    <tableColumn id="4" xr3:uid="{CE6ABB56-546F-BB46-9A09-2A1A92669C31}" uniqueName="4" name="G" queryTableFieldId="4" dataDxfId="78"/>
    <tableColumn id="5" xr3:uid="{C1234731-C200-EA4C-B756-2CA67776A39C}" uniqueName="5" name="Home" queryTableFieldId="5" dataDxfId="77"/>
    <tableColumn id="6" xr3:uid="{339325E9-BBA1-9A48-8657-C4AC5A969A45}" uniqueName="6" name="G_1" queryTableFieldId="6" dataDxfId="76"/>
    <tableColumn id="11" xr3:uid="{D5C53254-CDEF-7A46-97BA-0F3F94C9C0F8}" uniqueName="11" name="Column1" queryTableFieldId="11" dataDxfId="75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4"/>
    <tableColumn id="10" xr3:uid="{D8B4237A-01AB-6648-9F38-4F24C83C2F02}" uniqueName="10" name="Losing_G" queryTableFieldId="10" dataDxfId="7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2" headerRowBorderDxfId="71" tableBorderDxfId="70">
  <autoFilter ref="D6:J1318" xr:uid="{082AB263-30A0-9143-A4CB-E8E85CF645DA}"/>
  <tableColumns count="7">
    <tableColumn id="1" xr3:uid="{A2DA1977-C625-F248-8922-D45BEAE345E6}" name="Visitor" dataDxfId="69"/>
    <tableColumn id="2" xr3:uid="{7F142366-1AE0-5D45-A506-465FBF578C3A}" name="G" dataDxfId="68"/>
    <tableColumn id="3" xr3:uid="{F73B07A5-94FF-C843-900F-F37684899EAA}" name="Home" dataDxfId="67"/>
    <tableColumn id="4" xr3:uid="{7D6FADB5-28D9-9449-ADC0-599788BF0B16}" name="G_1" dataDxfId="66"/>
    <tableColumn id="5" xr3:uid="{98CF2B62-3F88-D44B-AF59-BE4BB5C0604E}" name="HomeMargin" dataDxfId="65">
      <calculatedColumnFormula>Table3[[#This Row],[G_1]]-Table3[[#This Row],[G]]</calculatedColumnFormula>
    </tableColumn>
    <tableColumn id="6" xr3:uid="{FD0EC919-55F2-CA43-8B92-CA3E6283FCFD}" name="HomeForecast" dataDxfId="64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3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2" dataDxfId="61">
  <autoFilter ref="D1:R1313" xr:uid="{B940C27F-1AFD-1A45-A69A-42FED3D3591C}"/>
  <tableColumns count="15">
    <tableColumn id="1" xr3:uid="{27200A7D-FC6F-7D47-A38B-8116F873A9D8}" name="Date" dataDxfId="60"/>
    <tableColumn id="2" xr3:uid="{E6247AA5-111B-9544-9F6D-FFC524512888}" name="Time" dataDxfId="59"/>
    <tableColumn id="3" xr3:uid="{EDCD8AB3-2C72-284E-B537-7168C3C8687B}" name="Home" dataDxfId="58"/>
    <tableColumn id="4" xr3:uid="{EC6C1412-AAC2-6646-BF48-0D4526947D52}" name="Home Differential" dataDxfId="57">
      <calculatedColumnFormula>VLOOKUP(Table4[[#This Row],[Home]],'NHL Model'!$A$6:$B$38,2,FALSE)</calculatedColumnFormula>
    </tableColumn>
    <tableColumn id="5" xr3:uid="{67F5F1C4-5CC9-B648-BE7C-7E4EF3A85290}" name="Visitor" dataDxfId="56"/>
    <tableColumn id="6" xr3:uid="{84F489BE-33B4-0E4D-959D-E87A85C1D38D}" name="Away Differential" dataDxfId="55">
      <calculatedColumnFormula>VLOOKUP(Table4[[#This Row],[Visitor]],'NHL Model'!$A$6:$B$38,2,FALSE)</calculatedColumnFormula>
    </tableColumn>
    <tableColumn id="7" xr3:uid="{A6F9ABE3-1844-E54D-9016-325B538D2969}" name="HomeIce Differential" dataDxfId="54">
      <calculatedColumnFormula>($B$1+Table4[[#This Row],[Home Differential]])-Table4[[#This Row],[Away Differential]]</calculatedColumnFormula>
    </tableColumn>
    <tableColumn id="8" xr3:uid="{8FFD520F-0CF9-9D4A-93B6-B45373384612}" name="Predicted Winner" dataDxfId="53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2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1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0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9"/>
    <tableColumn id="13" xr3:uid="{F50D85A3-D772-F247-BFBE-86E765FD0BF6}" name="Locked Correct" dataDxfId="48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7">
  <autoFilter ref="A1:R33" xr:uid="{1B34B514-E1CC-0949-A7DD-8D37387465DD}"/>
  <tableColumns count="18">
    <tableColumn id="1" xr3:uid="{C9F77F0F-7B0D-CC44-9D34-395D1E3FA55B}" name="Team" dataDxfId="46"/>
    <tableColumn id="2" xr3:uid="{4080CFDD-7980-DD4D-A4DE-25DB03E50B7C}" name="GP" dataDxfId="45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4">
      <calculatedColumnFormula>COUNTIFS('NHL2025-26Results'!$H:$H,A2,'NHL2025-26Results'!$F:$F,"")</calculatedColumnFormula>
    </tableColumn>
    <tableColumn id="5" xr3:uid="{5EA2DCC3-F71A-5A40-B3F3-8F2F8CB0A7CE}" name="OTL" dataDxfId="43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2">
      <calculatedColumnFormula>(Table1[[#This Row],[W]]*2)+Table1[[#This Row],[OTL]]</calculatedColumnFormula>
    </tableColumn>
    <tableColumn id="7" xr3:uid="{40EA95E8-9958-E040-A5BE-EC17EEDC1CBD}" name="HomeWins" dataDxfId="41">
      <calculatedColumnFormula>COUNTIFS('NHL2025-26Results'!$D:$D,A2,'NHL2025-26Results'!$G:$G,A2)</calculatedColumnFormula>
    </tableColumn>
    <tableColumn id="9" xr3:uid="{F3FA5C24-502A-6446-A4B9-25DB670D2CB7}" name="HomeLoss" dataDxfId="40">
      <calculatedColumnFormula>COUNTIFS('NHL2025-26Results'!$D:$D,A2,'NHL2025-26Results'!$H:$H,A2,'NHL2025-26Results'!$F:$F,"")</calculatedColumnFormula>
    </tableColumn>
    <tableColumn id="8" xr3:uid="{999F1273-113E-7F4B-990E-AC7B23C4A496}" name="HomeOTL" dataDxfId="39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8">
      <calculatedColumnFormula>COUNTIFS('NHL2025-26Results'!$B:$B,A2,'NHL2025-26Results'!$G:$G,A2)</calculatedColumnFormula>
    </tableColumn>
    <tableColumn id="10" xr3:uid="{1A63BDD0-5CF0-0C48-B684-3675FC716427}" name="AwayLoss" dataDxfId="37">
      <calculatedColumnFormula>COUNTIFS('NHL2025-26Results'!$B:$B,A2,'NHL2025-26Results'!$H:$H,A2,'NHL2025-26Results'!$F:$F,"")</calculatedColumnFormula>
    </tableColumn>
    <tableColumn id="12" xr3:uid="{59628040-0BA7-5042-BB5A-1E9D40ABC469}" name="AwayOTL" dataDxfId="36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5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4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3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2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1313" tableType="queryTable" totalsRowShown="0">
  <autoFilter ref="A1:AA1313" xr:uid="{F2332789-251B-774B-AB2B-8BB4F3AFC4B8}"/>
  <tableColumns count="27">
    <tableColumn id="1" xr3:uid="{A82D8364-7061-A147-9648-1020427F222D}" uniqueName="1" name="game_date" queryTableFieldId="1" dataDxfId="3"/>
    <tableColumn id="2" xr3:uid="{2F0B0F85-AE68-C84D-ABF4-9C9BD4BCDE1A}" uniqueName="2" name="game_time" queryTableFieldId="2" dataDxfId="31"/>
    <tableColumn id="3" xr3:uid="{E190D701-E48A-4849-B026-83F6843A3F7C}" uniqueName="3" name="away_team" queryTableFieldId="3" dataDxfId="30"/>
    <tableColumn id="4" xr3:uid="{D8A87A5E-45E9-434D-B896-A1AC29AE2193}" uniqueName="4" name="home_team" queryTableFieldId="4" dataDxfId="29"/>
    <tableColumn id="5" xr3:uid="{F866A432-CB2E-1344-BB8E-B02DE09CEE39}" uniqueName="5" name="matchup" queryTableFieldId="5" dataDxfId="28"/>
    <tableColumn id="6" xr3:uid="{321205EB-FCDC-FF42-A5BC-028328229DA9}" uniqueName="6" name="ml_winner" queryTableFieldId="6" dataDxfId="27"/>
    <tableColumn id="7" xr3:uid="{1146F8DC-3374-2845-B506-3428513D1030}" uniqueName="7" name="ml_away_score" queryTableFieldId="7" dataDxfId="26"/>
    <tableColumn id="8" xr3:uid="{04F6AA09-904F-E441-9223-5D3EABA2C9DE}" uniqueName="8" name="ml_home_score" queryTableFieldId="8" dataDxfId="25"/>
    <tableColumn id="9" xr3:uid="{A52E9546-F206-504B-B50C-DE483A5979F1}" uniqueName="9" name="ml_confidence" queryTableFieldId="9" dataDxfId="2" dataCellStyle="Percent"/>
    <tableColumn id="10" xr3:uid="{B0863A61-8896-F94A-9BD1-877DA74E944C}" uniqueName="10" name="ml_ot" queryTableFieldId="10" dataDxfId="24"/>
    <tableColumn id="11" xr3:uid="{0CEF2C0B-AEAC-D24C-B808-9E65DA36D85B}" uniqueName="11" name="ml_ot_prob" queryTableFieldId="11" dataDxfId="1"/>
    <tableColumn id="12" xr3:uid="{953F4783-1A2A-2049-B662-B96EC4C98B47}" uniqueName="12" name="ml_correct" queryTableFieldId="12" dataDxfId="23"/>
    <tableColumn id="13" xr3:uid="{01F9271B-BF28-974D-9DD2-7B2DE98B6F67}" uniqueName="13" name="ml_result" queryTableFieldId="13" dataDxfId="22"/>
    <tableColumn id="14" xr3:uid="{53D10B71-CBA8-8D4A-96BA-CDF21FB393EA}" uniqueName="14" name="excel_winner" queryTableFieldId="14" dataDxfId="21"/>
    <tableColumn id="15" xr3:uid="{BFE057F3-C344-6344-BBC6-D1E83F6B5653}" uniqueName="15" name="excel_away_score" queryTableFieldId="15" dataDxfId="20"/>
    <tableColumn id="16" xr3:uid="{95A37C51-0AFC-4B48-BDBD-9F547D067C1A}" uniqueName="16" name="excel_home_score" queryTableFieldId="16" dataDxfId="19"/>
    <tableColumn id="17" xr3:uid="{21361EAA-D669-0647-AB36-316C9A355B06}" uniqueName="17" name="excel_confidence" queryTableFieldId="17" dataDxfId="0" dataCellStyle="Percent"/>
    <tableColumn id="18" xr3:uid="{C0D4B874-D9A3-F047-9F50-E1FD6B0B1717}" uniqueName="18" name="excel_ot" queryTableFieldId="18" dataDxfId="18"/>
    <tableColumn id="19" xr3:uid="{B5C6CD51-366A-5E4F-9D9D-FCD85DB91334}" uniqueName="19" name="excel_homeice" queryTableFieldId="19" dataDxfId="17"/>
    <tableColumn id="20" xr3:uid="{8A0C0F6C-7907-0B40-9DDC-02333190C939}" uniqueName="20" name="excel_correct" queryTableFieldId="20" dataDxfId="16"/>
    <tableColumn id="21" xr3:uid="{4F720508-4E4B-1843-AE1F-4E2016CC6849}" uniqueName="21" name="actual_winner" queryTableFieldId="21" dataDxfId="15"/>
    <tableColumn id="22" xr3:uid="{DF1197C5-5856-EF4D-BC04-6C080F1AD21B}" uniqueName="22" name="actual_away_score" queryTableFieldId="22" dataDxfId="14"/>
    <tableColumn id="23" xr3:uid="{521AC888-C59A-E842-8AF4-8F313E19B6CE}" uniqueName="23" name="actual_home_score" queryTableFieldId="23" dataDxfId="13"/>
    <tableColumn id="24" xr3:uid="{BBF8FDF8-3558-D043-9E29-97FCC0E90C92}" uniqueName="24" name="actual_ot" queryTableFieldId="24" dataDxfId="12"/>
    <tableColumn id="25" xr3:uid="{B3C51976-5727-A24B-9842-AC69798A596C}" uniqueName="25" name="game_status" queryTableFieldId="25" dataDxfId="11"/>
    <tableColumn id="26" xr3:uid="{C7B8AFAB-46A9-D04C-A7AF-56BEE52383BA}" uniqueName="26" name="recorded_at" queryTableFieldId="26" dataDxfId="10"/>
    <tableColumn id="27" xr3:uid="{0C0062D0-5688-D346-83F6-DF5908F6B02E}" uniqueName="27" name="updated_at" queryTableFieldId="27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00" zoomScale="90" zoomScaleNormal="120" workbookViewId="0">
      <selection activeCell="K426" sqref="K426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10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10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10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10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10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10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10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10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10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10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4.9386412426621305E-2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2270.9489490060437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0.18193976369097953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-0.24959402922205973</v>
      </c>
      <c r="J7">
        <f>(Table3[[#This Row],[HomeMargin]]-Table3[[#This Row],[HomeForecast]])^2</f>
        <v>1.561485237867422</v>
      </c>
    </row>
    <row r="8" spans="1:10" x14ac:dyDescent="0.2">
      <c r="A8" s="4" t="s">
        <v>21</v>
      </c>
      <c r="B8">
        <v>-0.24831960772154485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-1.9315582518118779</v>
      </c>
      <c r="J8">
        <f>(Table3[[#This Row],[HomeMargin]]-Table3[[#This Row],[HomeForecast]])^2</f>
        <v>1.1415677692712904</v>
      </c>
    </row>
    <row r="9" spans="1:10" x14ac:dyDescent="0.2">
      <c r="A9" s="4" t="s">
        <v>23</v>
      </c>
      <c r="B9">
        <v>-0.46454876921224991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-6.0467850620825964E-2</v>
      </c>
      <c r="J9">
        <f>(Table3[[#This Row],[HomeMargin]]-Table3[[#This Row],[HomeForecast]])^2</f>
        <v>8.6408492572337483</v>
      </c>
    </row>
    <row r="10" spans="1:10" x14ac:dyDescent="0.2">
      <c r="A10" s="4" t="s">
        <v>16</v>
      </c>
      <c r="B10">
        <v>-1.2021149591105404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0.42686016626338263</v>
      </c>
      <c r="J10">
        <f>(Table3[[#This Row],[HomeMargin]]-Table3[[#This Row],[HomeForecast]])^2</f>
        <v>2.0359299340691681</v>
      </c>
    </row>
    <row r="11" spans="1:10" x14ac:dyDescent="0.2">
      <c r="A11" s="4" t="s">
        <v>25</v>
      </c>
      <c r="B11">
        <v>0.4370463247440865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0.23173989680989732</v>
      </c>
      <c r="J11">
        <f>(Table3[[#This Row],[HomeMargin]]-Table3[[#This Row],[HomeForecast]])^2</f>
        <v>7.6632639989140792</v>
      </c>
    </row>
    <row r="12" spans="1:10" x14ac:dyDescent="0.2">
      <c r="A12" s="4" t="s">
        <v>10</v>
      </c>
      <c r="B12">
        <v>-0.21549764750433295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0.1969275565303025</v>
      </c>
      <c r="J12">
        <f>(Table3[[#This Row],[HomeMargin]]-Table3[[#This Row],[HomeForecast]])^2</f>
        <v>1.4326355755816007</v>
      </c>
    </row>
    <row r="13" spans="1:10" x14ac:dyDescent="0.2">
      <c r="A13" s="4" t="s">
        <v>12</v>
      </c>
      <c r="B13">
        <v>1.6140407860044261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0.79450280084273883</v>
      </c>
      <c r="J13">
        <f>(Table3[[#This Row],[HomeMargin]]-Table3[[#This Row],[HomeForecast]])^2</f>
        <v>7.8092459039179118</v>
      </c>
    </row>
    <row r="14" spans="1:10" x14ac:dyDescent="0.2">
      <c r="A14" s="4" t="s">
        <v>28</v>
      </c>
      <c r="B14">
        <v>-0.56850564030144513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1.6564452209409414E-2</v>
      </c>
      <c r="J14">
        <f>(Table3[[#This Row],[HomeMargin]]-Table3[[#This Row],[HomeForecast]])^2</f>
        <v>0.96714547665817907</v>
      </c>
    </row>
    <row r="15" spans="1:10" x14ac:dyDescent="0.2">
      <c r="A15" s="4" t="s">
        <v>39</v>
      </c>
      <c r="B15">
        <v>0.36815457830954207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-0.19795089785410633</v>
      </c>
      <c r="J15">
        <f>(Table3[[#This Row],[HomeMargin]]-Table3[[#This Row],[HomeForecast]])^2</f>
        <v>14.455577375128398</v>
      </c>
    </row>
    <row r="16" spans="1:10" x14ac:dyDescent="0.2">
      <c r="A16" s="4" t="s">
        <v>26</v>
      </c>
      <c r="B16">
        <v>-0.80014284799340474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0.48492561919495947</v>
      </c>
      <c r="J16">
        <f>(Table3[[#This Row],[HomeMargin]]-Table3[[#This Row],[HomeForecast]])^2</f>
        <v>6.3255991409818586</v>
      </c>
    </row>
    <row r="17" spans="1:10" x14ac:dyDescent="0.2">
      <c r="A17" s="4" t="s">
        <v>17</v>
      </c>
      <c r="B17">
        <v>-0.82464120527377915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2.0602724813675799</v>
      </c>
      <c r="J17">
        <f>(Table3[[#This Row],[HomeMargin]]-Table3[[#This Row],[HomeForecast]])^2</f>
        <v>1.124177734745365</v>
      </c>
    </row>
    <row r="18" spans="1:10" x14ac:dyDescent="0.2">
      <c r="A18" s="4" t="s">
        <v>11</v>
      </c>
      <c r="B18">
        <v>-0.51447808915301396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-6.4334739054019319E-2</v>
      </c>
      <c r="J18">
        <f>(Table3[[#This Row],[HomeMargin]]-Table3[[#This Row],[HomeForecast]])^2</f>
        <v>15.489461046216993</v>
      </c>
    </row>
    <row r="19" spans="1:10" x14ac:dyDescent="0.2">
      <c r="A19" s="4" t="s">
        <v>13</v>
      </c>
      <c r="B19">
        <v>-0.36690387823407311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-9.6056147877958908E-2</v>
      </c>
      <c r="J19">
        <f>(Table3[[#This Row],[HomeMargin]]-Table3[[#This Row],[HomeForecast]])^2</f>
        <v>1.2013390793010701</v>
      </c>
    </row>
    <row r="20" spans="1:10" x14ac:dyDescent="0.2">
      <c r="A20" s="4" t="s">
        <v>34</v>
      </c>
      <c r="B20">
        <v>-3.2419815263072818E-2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-0.60787492871923698</v>
      </c>
      <c r="J20">
        <f>(Table3[[#This Row],[HomeMargin]]-Table3[[#This Row],[HomeForecast]])^2</f>
        <v>2.5852617864038909</v>
      </c>
    </row>
    <row r="21" spans="1:10" x14ac:dyDescent="0.2">
      <c r="A21" s="4" t="s">
        <v>18</v>
      </c>
      <c r="B21">
        <v>-0.68642169651276408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0.10245010545820973</v>
      </c>
      <c r="J21">
        <f>(Table3[[#This Row],[HomeMargin]]-Table3[[#This Row],[HomeForecast]])^2</f>
        <v>0.80559581319197882</v>
      </c>
    </row>
    <row r="22" spans="1:10" x14ac:dyDescent="0.2">
      <c r="A22" s="4" t="s">
        <v>29</v>
      </c>
      <c r="B22">
        <v>-1.2257669814473033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-0.77021058856251001</v>
      </c>
      <c r="J22">
        <f>(Table3[[#This Row],[HomeMargin]]-Table3[[#This Row],[HomeForecast]])^2</f>
        <v>7.6740667049838471</v>
      </c>
    </row>
    <row r="23" spans="1:10" x14ac:dyDescent="0.2">
      <c r="A23" s="4" t="s">
        <v>24</v>
      </c>
      <c r="B23">
        <v>1.5071179757482971E-3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-0.17665169857584451</v>
      </c>
      <c r="J23">
        <f>(Table3[[#This Row],[HomeMargin]]-Table3[[#This Row],[HomeForecast]])^2</f>
        <v>0.67790242545804202</v>
      </c>
    </row>
    <row r="24" spans="1:10" x14ac:dyDescent="0.2">
      <c r="A24" s="4" t="s">
        <v>30</v>
      </c>
      <c r="B24">
        <v>-0.16042088891566345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-1.2977601365570655</v>
      </c>
      <c r="J24">
        <f>(Table3[[#This Row],[HomeMargin]]-Table3[[#This Row],[HomeForecast]])^2</f>
        <v>13.706580006465959</v>
      </c>
    </row>
    <row r="25" spans="1:10" x14ac:dyDescent="0.2">
      <c r="A25" s="4" t="s">
        <v>15</v>
      </c>
      <c r="B25">
        <v>-0.2172114589315223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0.94531494072621292</v>
      </c>
      <c r="J25">
        <f>(Table3[[#This Row],[HomeMargin]]-Table3[[#This Row],[HomeForecast]])^2</f>
        <v>3.7842502186126294</v>
      </c>
    </row>
    <row r="26" spans="1:10" x14ac:dyDescent="0.2">
      <c r="A26" s="4" t="s">
        <v>36</v>
      </c>
      <c r="B26">
        <v>-0.430694899721771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0.31999924751675468</v>
      </c>
      <c r="J26">
        <f>(Table3[[#This Row],[HomeMargin]]-Table3[[#This Row],[HomeForecast]])^2</f>
        <v>13.542405538277251</v>
      </c>
    </row>
    <row r="27" spans="1:10" x14ac:dyDescent="0.2">
      <c r="A27" s="4" t="s">
        <v>27</v>
      </c>
      <c r="B27">
        <v>-0.36903552884843377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-0.62778578880593383</v>
      </c>
      <c r="J27">
        <f>(Table3[[#This Row],[HomeMargin]]-Table3[[#This Row],[HomeForecast]])^2</f>
        <v>0.1385434190148209</v>
      </c>
    </row>
    <row r="28" spans="1:10" x14ac:dyDescent="0.2">
      <c r="A28" s="4" t="s">
        <v>14</v>
      </c>
      <c r="B28">
        <v>-0.10735719588407502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0.26561557391732638</v>
      </c>
      <c r="J28">
        <f>(Table3[[#This Row],[HomeMargin]]-Table3[[#This Row],[HomeForecast]])^2</f>
        <v>3.0080893374381246</v>
      </c>
    </row>
    <row r="29" spans="1:10" x14ac:dyDescent="0.2">
      <c r="A29" s="4" t="s">
        <v>33</v>
      </c>
      <c r="B29">
        <v>-0.44540084513285771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0.8554682660191415</v>
      </c>
      <c r="J29">
        <f>(Table3[[#This Row],[HomeMargin]]-Table3[[#This Row],[HomeForecast]])^2</f>
        <v>2.0889422127513647E-2</v>
      </c>
    </row>
    <row r="30" spans="1:10" x14ac:dyDescent="0.2">
      <c r="A30" s="4" t="s">
        <v>32</v>
      </c>
      <c r="B30">
        <v>-0.63765723729815182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0.22683781756284027</v>
      </c>
      <c r="J30">
        <f>(Table3[[#This Row],[HomeMargin]]-Table3[[#This Row],[HomeForecast]])^2</f>
        <v>4.9588066657280336</v>
      </c>
    </row>
    <row r="31" spans="1:10" x14ac:dyDescent="0.2">
      <c r="A31" s="4" t="s">
        <v>35</v>
      </c>
      <c r="B31">
        <v>-1.3795663642467595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0.52031046143505244</v>
      </c>
      <c r="J31">
        <f>(Table3[[#This Row],[HomeMargin]]-Table3[[#This Row],[HomeForecast]])^2</f>
        <v>2.311343899148862</v>
      </c>
    </row>
    <row r="32" spans="1:10" x14ac:dyDescent="0.2">
      <c r="A32" s="4" t="s">
        <v>37</v>
      </c>
      <c r="B32">
        <v>0.46523362857782063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1.2952726201215052</v>
      </c>
      <c r="J32">
        <f>(Table3[[#This Row],[HomeMargin]]-Table3[[#This Row],[HomeForecast]])^2</f>
        <v>5.2682764006794383</v>
      </c>
    </row>
    <row r="33" spans="1:10" x14ac:dyDescent="0.2">
      <c r="A33" s="4" t="s">
        <v>19</v>
      </c>
      <c r="B33">
        <v>-0.50406821212948805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-0.24668822343729535</v>
      </c>
      <c r="J33">
        <f>(Table3[[#This Row],[HomeMargin]]-Table3[[#This Row],[HomeForecast]])^2</f>
        <v>10.540984420206419</v>
      </c>
    </row>
    <row r="34" spans="1:10" x14ac:dyDescent="0.2">
      <c r="A34" t="s">
        <v>55</v>
      </c>
      <c r="B34">
        <v>-0.3968452829365326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0.15624733117324929</v>
      </c>
      <c r="J34">
        <f>(Table3[[#This Row],[HomeMargin]]-Table3[[#This Row],[HomeForecast]])^2</f>
        <v>3.3994239038057659</v>
      </c>
    </row>
    <row r="35" spans="1:10" x14ac:dyDescent="0.2">
      <c r="A35" s="4" t="s">
        <v>38</v>
      </c>
      <c r="B35">
        <v>-0.93150212402040711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-3.4396777004621681E-2</v>
      </c>
      <c r="J35">
        <f>(Table3[[#This Row],[HomeMargin]]-Table3[[#This Row],[HomeForecast]])^2</f>
        <v>16.276357354305279</v>
      </c>
    </row>
    <row r="36" spans="1:10" x14ac:dyDescent="0.2">
      <c r="A36" s="4" t="s">
        <v>20</v>
      </c>
      <c r="B36">
        <v>-0.21936273413039192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0.58547223746499366</v>
      </c>
      <c r="J36">
        <f>(Table3[[#This Row],[HomeMargin]]-Table3[[#This Row],[HomeForecast]])^2</f>
        <v>12.855611165632228</v>
      </c>
    </row>
    <row r="37" spans="1:10" x14ac:dyDescent="0.2">
      <c r="A37" s="4" t="s">
        <v>22</v>
      </c>
      <c r="B37">
        <v>0.49679678069457273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-0.77953528608414957</v>
      </c>
      <c r="J37">
        <f>(Table3[[#This Row],[HomeMargin]]-Table3[[#This Row],[HomeForecast]])^2</f>
        <v>4.8604690081997776E-2</v>
      </c>
    </row>
    <row r="38" spans="1:10" x14ac:dyDescent="0.2">
      <c r="A38" s="4" t="s">
        <v>40</v>
      </c>
      <c r="B38">
        <v>-0.30901762292301305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-0.60783125718361486</v>
      </c>
      <c r="J38">
        <f>(Table3[[#This Row],[HomeMargin]]-Table3[[#This Row],[HomeForecast]])^2</f>
        <v>1.9381338084749544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0.15924067547406859</v>
      </c>
      <c r="J39">
        <f>(Table3[[#This Row],[HomeMargin]]-Table3[[#This Row],[HomeForecast]])^2</f>
        <v>26.617764347466121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-0.36890809074113856</v>
      </c>
      <c r="J40">
        <f>(Table3[[#This Row],[HomeMargin]]-Table3[[#This Row],[HomeForecast]])^2</f>
        <v>1.8739093608965494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-0.5779541963972159</v>
      </c>
      <c r="J41">
        <f>(Table3[[#This Row],[HomeMargin]]-Table3[[#This Row],[HomeForecast]])^2</f>
        <v>0.17812266033871982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0.5131129230286936</v>
      </c>
      <c r="J42">
        <f>(Table3[[#This Row],[HomeMargin]]-Table3[[#This Row],[HomeForecast]])^2</f>
        <v>6.3157365638938243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0.10727266773768135</v>
      </c>
      <c r="J43">
        <f>(Table3[[#This Row],[HomeMargin]]-Table3[[#This Row],[HomeForecast]])^2</f>
        <v>0.79696208976819616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-0.66462182719947371</v>
      </c>
      <c r="J44">
        <f>(Table3[[#This Row],[HomeMargin]]-Table3[[#This Row],[HomeForecast]])^2</f>
        <v>0.11247851879101967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-0.66416682387274417</v>
      </c>
      <c r="J45">
        <f>(Table3[[#This Row],[HomeMargin]]-Table3[[#This Row],[HomeForecast]])^2</f>
        <v>0.11278392218772043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-2.0292031427900548</v>
      </c>
      <c r="J46">
        <f>(Table3[[#This Row],[HomeMargin]]-Table3[[#This Row],[HomeForecast]])^2</f>
        <v>8.5282354881632729E-4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-0.5206263458505721</v>
      </c>
      <c r="J47">
        <f>(Table3[[#This Row],[HomeMargin]]-Table3[[#This Row],[HomeForecast]])^2</f>
        <v>0.2297991002925753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0.23073404785882096</v>
      </c>
      <c r="J48">
        <f>(Table3[[#This Row],[HomeMargin]]-Table3[[#This Row],[HomeForecast]])^2</f>
        <v>3.1303020094060332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0.38387047539762159</v>
      </c>
      <c r="J49">
        <f>(Table3[[#This Row],[HomeMargin]]-Table3[[#This Row],[HomeForecast]])^2</f>
        <v>0.37961559108675275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0.19798314643397091</v>
      </c>
      <c r="J50">
        <f>(Table3[[#This Row],[HomeMargin]]-Table3[[#This Row],[HomeForecast]])^2</f>
        <v>10.227096204875721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0.84445849415215357</v>
      </c>
      <c r="J51">
        <f>(Table3[[#This Row],[HomeMargin]]-Table3[[#This Row],[HomeForecast]])^2</f>
        <v>14.779861113258642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0.19482897273120148</v>
      </c>
      <c r="J52">
        <f>(Table3[[#This Row],[HomeMargin]]-Table3[[#This Row],[HomeForecast]])^2</f>
        <v>7.8689844922282859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0.34546104829053798</v>
      </c>
      <c r="J53">
        <f>(Table3[[#This Row],[HomeMargin]]-Table3[[#This Row],[HomeForecast]])^2</f>
        <v>1.8102654324670735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0.49745065265297372</v>
      </c>
      <c r="J54">
        <f>(Table3[[#This Row],[HomeMargin]]-Table3[[#This Row],[HomeForecast]])^2</f>
        <v>12.232161067742711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0.33868337200167586</v>
      </c>
      <c r="J55">
        <f>(Table3[[#This Row],[HomeMargin]]-Table3[[#This Row],[HomeForecast]])^2</f>
        <v>0.43733968246707383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-0.93336581255352735</v>
      </c>
      <c r="J56">
        <f>(Table3[[#This Row],[HomeMargin]]-Table3[[#This Row],[HomeForecast]])^2</f>
        <v>1.137708489829597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0.44996080599923616</v>
      </c>
      <c r="J57">
        <f>(Table3[[#This Row],[HomeMargin]]-Table3[[#This Row],[HomeForecast]])^2</f>
        <v>6.5026998909400655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6.2195321200908538E-4</v>
      </c>
      <c r="J58">
        <f>(Table3[[#This Row],[HomeMargin]]-Table3[[#This Row],[HomeForecast]])^2</f>
        <v>0.99875648040177978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0.65681615876887811</v>
      </c>
      <c r="J59">
        <f>(Table3[[#This Row],[HomeMargin]]-Table3[[#This Row],[HomeForecast]])^2</f>
        <v>7.0586721014954161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-0.83306075745032293</v>
      </c>
      <c r="J60">
        <f>(Table3[[#This Row],[HomeMargin]]-Table3[[#This Row],[HomeForecast]])^2</f>
        <v>10.029504166001121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0.77108518174443663</v>
      </c>
      <c r="J61">
        <f>(Table3[[#This Row],[HomeMargin]]-Table3[[#This Row],[HomeForecast]])^2</f>
        <v>4.9680612670392312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8.0949564543373376E-2</v>
      </c>
      <c r="J62">
        <f>(Table3[[#This Row],[HomeMargin]]-Table3[[#This Row],[HomeForecast]])^2</f>
        <v>0.84465370291301511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1.5532542936142368E-2</v>
      </c>
      <c r="J63">
        <f>(Table3[[#This Row],[HomeMargin]]-Table3[[#This Row],[HomeForecast]])^2</f>
        <v>15.875980916400922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-0.23627834641376944</v>
      </c>
      <c r="J64">
        <f>(Table3[[#This Row],[HomeMargin]]-Table3[[#This Row],[HomeForecast]])^2</f>
        <v>10.47349753546664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-1.1146823043158054</v>
      </c>
      <c r="J65">
        <f>(Table3[[#This Row],[HomeMargin]]-Table3[[#This Row],[HomeForecast]])^2</f>
        <v>15.095693596396739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0.85465608860062914</v>
      </c>
      <c r="J66">
        <f>(Table3[[#This Row],[HomeMargin]]-Table3[[#This Row],[HomeForecast]])^2</f>
        <v>1.31181267537961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-0.20572014862648566</v>
      </c>
      <c r="J67">
        <f>(Table3[[#This Row],[HomeMargin]]-Table3[[#This Row],[HomeForecast]])^2</f>
        <v>7.8079998877919889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-2.1331600138792499</v>
      </c>
      <c r="J68">
        <f>(Table3[[#This Row],[HomeMargin]]-Table3[[#This Row],[HomeForecast]])^2</f>
        <v>0.75141156153782218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1.3490431147565705</v>
      </c>
      <c r="J69">
        <f>(Table3[[#This Row],[HomeMargin]]-Table3[[#This Row],[HomeForecast]])^2</f>
        <v>11.216089784498392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-0.2101602699233768</v>
      </c>
      <c r="J70">
        <f>(Table3[[#This Row],[HomeMargin]]-Table3[[#This Row],[HomeForecast]])^2</f>
        <v>3.2035262593607592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0.5887316973611606</v>
      </c>
      <c r="J71">
        <f>(Table3[[#This Row],[HomeMargin]]-Table3[[#This Row],[HomeForecast]])^2</f>
        <v>0.16914161675543199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0.56537161955538351</v>
      </c>
      <c r="J72">
        <f>(Table3[[#This Row],[HomeMargin]]-Table3[[#This Row],[HomeForecast]])^2</f>
        <v>2.0581585899771433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0.71360672878473697</v>
      </c>
      <c r="J73">
        <f>(Table3[[#This Row],[HomeMargin]]-Table3[[#This Row],[HomeForecast]])^2</f>
        <v>1.6548076482279053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0.25634875000300211</v>
      </c>
      <c r="J74">
        <f>(Table3[[#This Row],[HomeMargin]]-Table3[[#This Row],[HomeForecast]])^2</f>
        <v>0.55301718162209734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-1.0631493498799438E-2</v>
      </c>
      <c r="J75">
        <f>(Table3[[#This Row],[HomeMargin]]-Table3[[#This Row],[HomeForecast]])^2</f>
        <v>8.9363240676612197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-0.23747034077134446</v>
      </c>
      <c r="J76">
        <f>(Table3[[#This Row],[HomeMargin]]-Table3[[#This Row],[HomeForecast]])^2</f>
        <v>1.5313328442887475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7.8343286017774239E-2</v>
      </c>
      <c r="J77">
        <f>(Table3[[#This Row],[HomeMargin]]-Table3[[#This Row],[HomeForecast]])^2</f>
        <v>0.84945109842851441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0.76539088894269547</v>
      </c>
      <c r="J78">
        <f>(Table3[[#This Row],[HomeMargin]]-Table3[[#This Row],[HomeForecast]])^2</f>
        <v>3.1166049907618807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-1.215990064144604</v>
      </c>
      <c r="J79">
        <f>(Table3[[#This Row],[HomeMargin]]-Table3[[#This Row],[HomeForecast]])^2</f>
        <v>4.9106119643876056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9.7941974622946404E-2</v>
      </c>
      <c r="J80">
        <f>(Table3[[#This Row],[HomeMargin]]-Table3[[#This Row],[HomeForecast]])^2</f>
        <v>8.4219407826553638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0.57860300838426681</v>
      </c>
      <c r="J81">
        <f>(Table3[[#This Row],[HomeMargin]]-Table3[[#This Row],[HomeForecast]])^2</f>
        <v>11.70595737423719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9.9315732367385334E-2</v>
      </c>
      <c r="J82">
        <f>(Table3[[#This Row],[HomeMargin]]-Table3[[#This Row],[HomeForecast]])^2</f>
        <v>8.4139692204913583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-0.98435285645264448</v>
      </c>
      <c r="J83">
        <f>(Table3[[#This Row],[HomeMargin]]-Table3[[#This Row],[HomeForecast]])^2</f>
        <v>3.9376562589117694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1.9117468061525922</v>
      </c>
      <c r="J84">
        <f>(Table3[[#This Row],[HomeMargin]]-Table3[[#This Row],[HomeForecast]])^2</f>
        <v>1.1842950139190838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-0.75456379055153833</v>
      </c>
      <c r="J85">
        <f>(Table3[[#This Row],[HomeMargin]]-Table3[[#This Row],[HomeForecast]])^2</f>
        <v>6.0238932908429146E-2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-0.41982382515462047</v>
      </c>
      <c r="J86">
        <f>(Table3[[#This Row],[HomeMargin]]-Table3[[#This Row],[HomeForecast]])^2</f>
        <v>0.33660439385821639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0.8755347356761487</v>
      </c>
      <c r="J87">
        <f>(Table3[[#This Row],[HomeMargin]]-Table3[[#This Row],[HomeForecast]])^2</f>
        <v>1.2644221306709087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-0.22088759837948627</v>
      </c>
      <c r="J88">
        <f>(Table3[[#This Row],[HomeMargin]]-Table3[[#This Row],[HomeForecast]])^2</f>
        <v>0.60701613435888468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-0.28722930115873968</v>
      </c>
      <c r="J89">
        <f>(Table3[[#This Row],[HomeMargin]]-Table3[[#This Row],[HomeForecast]])^2</f>
        <v>1.6569592737616174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-0.28865723682216138</v>
      </c>
      <c r="J90">
        <f>(Table3[[#This Row],[HomeMargin]]-Table3[[#This Row],[HomeForecast]])^2</f>
        <v>7.351379579436836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-1.6983345301296804</v>
      </c>
      <c r="J91">
        <f>(Table3[[#This Row],[HomeMargin]]-Table3[[#This Row],[HomeForecast]])^2</f>
        <v>13.677678296749525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0.18297543759528506</v>
      </c>
      <c r="J92">
        <f>(Table3[[#This Row],[HomeMargin]]-Table3[[#This Row],[HomeForecast]])^2</f>
        <v>1.3994308859537561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1.0321386374067698</v>
      </c>
      <c r="J93">
        <f>(Table3[[#This Row],[HomeMargin]]-Table3[[#This Row],[HomeForecast]])^2</f>
        <v>15.743923792760205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0.96613577095091152</v>
      </c>
      <c r="J94">
        <f>(Table3[[#This Row],[HomeMargin]]-Table3[[#This Row],[HomeForecast]])^2</f>
        <v>4.1366037022054432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-0.34805099876869117</v>
      </c>
      <c r="J95">
        <f>(Table3[[#This Row],[HomeMargin]]-Table3[[#This Row],[HomeForecast]])^2</f>
        <v>1.8172414952812654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7.3884769706995757E-2</v>
      </c>
      <c r="J96">
        <f>(Table3[[#This Row],[HomeMargin]]-Table3[[#This Row],[HomeForecast]])^2</f>
        <v>3.7099198803666726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-9.9139262788366461E-2</v>
      </c>
      <c r="J97">
        <f>(Table3[[#This Row],[HomeMargin]]-Table3[[#This Row],[HomeForecast]])^2</f>
        <v>1.2081071190029538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1.4776853171416011</v>
      </c>
      <c r="J98">
        <f>(Table3[[#This Row],[HomeMargin]]-Table3[[#This Row],[HomeForecast]])^2</f>
        <v>6.1389245307790761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-0.84371092376090617</v>
      </c>
      <c r="J99">
        <f>(Table3[[#This Row],[HomeMargin]]-Table3[[#This Row],[HomeForecast]])^2</f>
        <v>2.4426275351669281E-2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-0.17248651487389283</v>
      </c>
      <c r="J100">
        <f>(Table3[[#This Row],[HomeMargin]]-Table3[[#This Row],[HomeForecast]])^2</f>
        <v>4.719697657308914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-0.13540523124182818</v>
      </c>
      <c r="J101">
        <f>(Table3[[#This Row],[HomeMargin]]-Table3[[#This Row],[HomeForecast]])^2</f>
        <v>3.4767136516803405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0.31800812087633934</v>
      </c>
      <c r="J102">
        <f>(Table3[[#This Row],[HomeMargin]]-Table3[[#This Row],[HomeForecast]])^2</f>
        <v>7.1930804396852634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-0.60702264644785708</v>
      </c>
      <c r="J103">
        <f>(Table3[[#This Row],[HomeMargin]]-Table3[[#This Row],[HomeForecast]])^2</f>
        <v>13.010612371987703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0.31554489385809043</v>
      </c>
      <c r="J104">
        <f>(Table3[[#This Row],[HomeMargin]]-Table3[[#This Row],[HomeForecast]])^2</f>
        <v>1.7306583677560945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0.98604663103760848</v>
      </c>
      <c r="J105">
        <f>(Table3[[#This Row],[HomeMargin]]-Table3[[#This Row],[HomeForecast]])^2</f>
        <v>24.860661006881489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-1.3583203327116617</v>
      </c>
      <c r="J106">
        <f>(Table3[[#This Row],[HomeMargin]]-Table3[[#This Row],[HomeForecast]])^2</f>
        <v>2.6951121299879488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0.33436636864381558</v>
      </c>
      <c r="J107">
        <f>(Table3[[#This Row],[HomeMargin]]-Table3[[#This Row],[HomeForecast]])^2</f>
        <v>0.44306813119242072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0.44333271797862944</v>
      </c>
      <c r="J108">
        <f>(Table3[[#This Row],[HomeMargin]]-Table3[[#This Row],[HomeForecast]])^2</f>
        <v>2.0832093347875782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0.87353134056295334</v>
      </c>
      <c r="J109">
        <f>(Table3[[#This Row],[HomeMargin]]-Table3[[#This Row],[HomeForecast]])^2</f>
        <v>9.7748062784420835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-0.96327607358606515</v>
      </c>
      <c r="J110">
        <f>(Table3[[#This Row],[HomeMargin]]-Table3[[#This Row],[HomeForecast]])^2</f>
        <v>1.3486467712561017E-3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-0.45618891767861508</v>
      </c>
      <c r="J111">
        <f>(Table3[[#This Row],[HomeMargin]]-Table3[[#This Row],[HomeForecast]])^2</f>
        <v>6.4709748225410966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-1.9614996565143374</v>
      </c>
      <c r="J112">
        <f>(Table3[[#This Row],[HomeMargin]]-Table3[[#This Row],[HomeForecast]])^2</f>
        <v>8.7704802155345387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1.1838404304193459</v>
      </c>
      <c r="J113">
        <f>(Table3[[#This Row],[HomeMargin]]-Table3[[#This Row],[HomeForecast]])^2</f>
        <v>3.2984355821793865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0.38498049120777611</v>
      </c>
      <c r="J114">
        <f>(Table3[[#This Row],[HomeMargin]]-Table3[[#This Row],[HomeForecast]])^2</f>
        <v>2.6082880137794762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-0.46630685017115514</v>
      </c>
      <c r="J115">
        <f>(Table3[[#This Row],[HomeMargin]]-Table3[[#This Row],[HomeForecast]])^2</f>
        <v>0.28482837817423384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8.331334566544242E-2</v>
      </c>
      <c r="J116">
        <f>(Table3[[#This Row],[HomeMargin]]-Table3[[#This Row],[HomeForecast]])^2</f>
        <v>8.5070610395733155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-0.38087295898590307</v>
      </c>
      <c r="J117">
        <f>(Table3[[#This Row],[HomeMargin]]-Table3[[#This Row],[HomeForecast]])^2</f>
        <v>2.6215723749430655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1.2263808736869608</v>
      </c>
      <c r="J118">
        <f>(Table3[[#This Row],[HomeMargin]]-Table3[[#This Row],[HomeForecast]])^2</f>
        <v>4.9567717947191152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0.78444486897023646</v>
      </c>
      <c r="J119">
        <f>(Table3[[#This Row],[HomeMargin]]-Table3[[#This Row],[HomeForecast]])^2</f>
        <v>3.1842434903942038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-8.8833096334393735E-2</v>
      </c>
      <c r="J120">
        <f>(Table3[[#This Row],[HomeMargin]]-Table3[[#This Row],[HomeForecast]])^2</f>
        <v>1.1855575116731432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-0.35773448084231763</v>
      </c>
      <c r="J121">
        <f>(Table3[[#This Row],[HomeMargin]]-Table3[[#This Row],[HomeForecast]])^2</f>
        <v>2.6970360354142517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-0.244878445000275</v>
      </c>
      <c r="J122">
        <f>(Table3[[#This Row],[HomeMargin]]-Table3[[#This Row],[HomeForecast]])^2</f>
        <v>1.5497223428263027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0.68910837150436266</v>
      </c>
      <c r="J123">
        <f>(Table3[[#This Row],[HomeMargin]]-Table3[[#This Row],[HomeForecast]])^2</f>
        <v>18.583786632633771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0.27757579862795673</v>
      </c>
      <c r="J124">
        <f>(Table3[[#This Row],[HomeMargin]]-Table3[[#This Row],[HomeForecast]])^2</f>
        <v>1.6321999212398617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-1.2272958446715942E-2</v>
      </c>
      <c r="J125">
        <f>(Table3[[#This Row],[HomeMargin]]-Table3[[#This Row],[HomeForecast]])^2</f>
        <v>1.024696542402467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-0.93333466888360572</v>
      </c>
      <c r="J126">
        <f>(Table3[[#This Row],[HomeMargin]]-Table3[[#This Row],[HomeForecast]])^2</f>
        <v>4.2711055908384354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0.7301176885087749</v>
      </c>
      <c r="J127">
        <f>(Table3[[#This Row],[HomeMargin]]-Table3[[#This Row],[HomeForecast]])^2</f>
        <v>2.9933072160909457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0.37802602680176006</v>
      </c>
      <c r="J128">
        <f>(Table3[[#This Row],[HomeMargin]]-Table3[[#This Row],[HomeForecast]])^2</f>
        <v>11.411059837750086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8.8905855343859419E-2</v>
      </c>
      <c r="J129">
        <f>(Table3[[#This Row],[HomeMargin]]-Table3[[#This Row],[HomeForecast]])^2</f>
        <v>3.6522808297389862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-1.0159160085693966</v>
      </c>
      <c r="J130">
        <f>(Table3[[#This Row],[HomeMargin]]-Table3[[#This Row],[HomeForecast]])^2</f>
        <v>8.9047572679124016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0.49629437553522732</v>
      </c>
      <c r="J131">
        <f>(Table3[[#This Row],[HomeMargin]]-Table3[[#This Row],[HomeForecast]])^2</f>
        <v>2.2611306050469917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0.94248374861414863</v>
      </c>
      <c r="J132">
        <f>(Table3[[#This Row],[HomeMargin]]-Table3[[#This Row],[HomeForecast]])^2</f>
        <v>1.1183406219451832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-1.8129739812993497</v>
      </c>
      <c r="J133">
        <f>(Table3[[#This Row],[HomeMargin]]-Table3[[#This Row],[HomeForecast]])^2</f>
        <v>7.9128226194671143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-1.9505334007923147E-2</v>
      </c>
      <c r="J134">
        <f>(Table3[[#This Row],[HomeMargin]]-Table3[[#This Row],[HomeForecast]])^2</f>
        <v>1.039391126070607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0.62880992867997609</v>
      </c>
      <c r="J135">
        <f>(Table3[[#This Row],[HomeMargin]]-Table3[[#This Row],[HomeForecast]])^2</f>
        <v>1.8801622116866126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-0.24572894259600075</v>
      </c>
      <c r="J136">
        <f>(Table3[[#This Row],[HomeMargin]]-Table3[[#This Row],[HomeForecast]])^2</f>
        <v>10.534756368805354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0.41381188010008108</v>
      </c>
      <c r="J137">
        <f>(Table3[[#This Row],[HomeMargin]]-Table3[[#This Row],[HomeForecast]])^2</f>
        <v>19.481735312912608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-0.809476690786609</v>
      </c>
      <c r="J138">
        <f>(Table3[[#This Row],[HomeMargin]]-Table3[[#This Row],[HomeForecast]])^2</f>
        <v>3.2742058945000569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-0.15922822750614904</v>
      </c>
      <c r="J139">
        <f>(Table3[[#This Row],[HomeMargin]]-Table3[[#This Row],[HomeForecast]])^2</f>
        <v>1.3438100834470479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0.51053485684399136</v>
      </c>
      <c r="J140">
        <f>(Table3[[#This Row],[HomeMargin]]-Table3[[#This Row],[HomeForecast]])^2</f>
        <v>2.2817155537406975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0.23637038040224867</v>
      </c>
      <c r="J141">
        <f>(Table3[[#This Row],[HomeMargin]]-Table3[[#This Row],[HomeForecast]])^2</f>
        <v>0.58313019592700643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0.33268027731346239</v>
      </c>
      <c r="J142">
        <f>(Table3[[#This Row],[HomeMargin]]-Table3[[#This Row],[HomeForecast]])^2</f>
        <v>0.44531561228643746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9.86696950938315E-3</v>
      </c>
      <c r="J143">
        <f>(Table3[[#This Row],[HomeMargin]]-Table3[[#This Row],[HomeForecast]])^2</f>
        <v>0.98036341806853278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-0.19569401508102169</v>
      </c>
      <c r="J144">
        <f>(Table3[[#This Row],[HomeMargin]]-Table3[[#This Row],[HomeForecast]])^2</f>
        <v>0.64690811737648779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0.97687809284296501</v>
      </c>
      <c r="J145">
        <f>(Table3[[#This Row],[HomeMargin]]-Table3[[#This Row],[HomeForecast]])^2</f>
        <v>48.676827922392086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-0.93551708775239695</v>
      </c>
      <c r="J146">
        <f>(Table3[[#This Row],[HomeMargin]]-Table3[[#This Row],[HomeForecast]])^2</f>
        <v>24.359328923495905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0.20079264315636147</v>
      </c>
      <c r="J147">
        <f>(Table3[[#This Row],[HomeMargin]]-Table3[[#This Row],[HomeForecast]])^2</f>
        <v>4.8434882581711634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0.46236744229640619</v>
      </c>
      <c r="J148">
        <f>(Table3[[#This Row],[HomeMargin]]-Table3[[#This Row],[HomeForecast]])^2</f>
        <v>2.1385185362885326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-1.5631472556020565</v>
      </c>
      <c r="J149">
        <f>(Table3[[#This Row],[HomeMargin]]-Table3[[#This Row],[HomeForecast]])^2</f>
        <v>6.5697238539003546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-1.5445351473302242</v>
      </c>
      <c r="J150">
        <f>(Table3[[#This Row],[HomeMargin]]-Table3[[#This Row],[HomeForecast]])^2</f>
        <v>0.29651852667794903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0.73398277513483379</v>
      </c>
      <c r="J151">
        <f>(Table3[[#This Row],[HomeMargin]]-Table3[[#This Row],[HomeForecast]])^2</f>
        <v>7.0765163924964403E-2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-5.7474506320006613E-2</v>
      </c>
      <c r="J152">
        <f>(Table3[[#This Row],[HomeMargin]]-Table3[[#This Row],[HomeForecast]])^2</f>
        <v>1.1182523315167416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0.13721407244014083</v>
      </c>
      <c r="J153">
        <f>(Table3[[#This Row],[HomeMargin]]-Table3[[#This Row],[HomeForecast]])^2</f>
        <v>1.2932558465558897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-0.13298887957360486</v>
      </c>
      <c r="J154">
        <f>(Table3[[#This Row],[HomeMargin]]-Table3[[#This Row],[HomeForecast]])^2</f>
        <v>26.347574837826294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1.3215955807893058</v>
      </c>
      <c r="J155">
        <f>(Table3[[#This Row],[HomeMargin]]-Table3[[#This Row],[HomeForecast]])^2</f>
        <v>2.8170413944259876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-3.8512306379260092E-2</v>
      </c>
      <c r="J156">
        <f>(Table3[[#This Row],[HomeMargin]]-Table3[[#This Row],[HomeForecast]])^2</f>
        <v>9.2325570360182105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0.1533432835158165</v>
      </c>
      <c r="J157">
        <f>(Table3[[#This Row],[HomeMargin]]-Table3[[#This Row],[HomeForecast]])^2</f>
        <v>1.3302007296310454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0.70579547130109965</v>
      </c>
      <c r="J158">
        <f>(Table3[[#This Row],[HomeMargin]]-Table3[[#This Row],[HomeForecast]])^2</f>
        <v>13.732920075115739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0.26458366464405936</v>
      </c>
      <c r="J159">
        <f>(Table3[[#This Row],[HomeMargin]]-Table3[[#This Row],[HomeForecast]])^2</f>
        <v>13.953335198444005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1.6619200804552992</v>
      </c>
      <c r="J160">
        <f>(Table3[[#This Row],[HomeMargin]]-Table3[[#This Row],[HomeForecast]])^2</f>
        <v>5.4666177101781548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-7.9255789958409373E-2</v>
      </c>
      <c r="J161">
        <f>(Table3[[#This Row],[HomeMargin]]-Table3[[#This Row],[HomeForecast]])^2</f>
        <v>1.1647930601587504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-0.37840950991062522</v>
      </c>
      <c r="J162">
        <f>(Table3[[#This Row],[HomeMargin]]-Table3[[#This Row],[HomeForecast]])^2</f>
        <v>11.413650816654551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-0.64703144041737226</v>
      </c>
      <c r="J163">
        <f>(Table3[[#This Row],[HomeMargin]]-Table3[[#This Row],[HomeForecast]])^2</f>
        <v>0.12458680405383503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0.32598422008656153</v>
      </c>
      <c r="J164">
        <f>(Table3[[#This Row],[HomeMargin]]-Table3[[#This Row],[HomeForecast]])^2</f>
        <v>1.7582341519185667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-1.6416141975985028</v>
      </c>
      <c r="J165">
        <f>(Table3[[#This Row],[HomeMargin]]-Table3[[#This Row],[HomeForecast]])^2</f>
        <v>1.8452119881659594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-0.21229192053773746</v>
      </c>
      <c r="J166">
        <f>(Table3[[#This Row],[HomeMargin]]-Table3[[#This Row],[HomeForecast]])^2</f>
        <v>1.4696517006010759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9.8150871641233595E-2</v>
      </c>
      <c r="J167">
        <f>(Table3[[#This Row],[HomeMargin]]-Table3[[#This Row],[HomeForecast]])^2</f>
        <v>1.2059353368864012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-2.9110554472163319E-2</v>
      </c>
      <c r="J168">
        <f>(Table3[[#This Row],[HomeMargin]]-Table3[[#This Row],[HomeForecast]])^2</f>
        <v>0.9426263154373502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-0.53003710382673352</v>
      </c>
      <c r="J169">
        <f>(Table3[[#This Row],[HomeMargin]]-Table3[[#This Row],[HomeForecast]])^2</f>
        <v>6.1007167084726301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0.74743315940767374</v>
      </c>
      <c r="J170">
        <f>(Table3[[#This Row],[HomeMargin]]-Table3[[#This Row],[HomeForecast]])^2</f>
        <v>6.3790008966789546E-2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-0.6649042526622635</v>
      </c>
      <c r="J171">
        <f>(Table3[[#This Row],[HomeMargin]]-Table3[[#This Row],[HomeForecast]])^2</f>
        <v>1.782480654559309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-1.5051015745335738E-2</v>
      </c>
      <c r="J172">
        <f>(Table3[[#This Row],[HomeMargin]]-Table3[[#This Row],[HomeForecast]])^2</f>
        <v>9.0905326275469811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0.26561557391732638</v>
      </c>
      <c r="J173">
        <f>(Table3[[#This Row],[HomeMargin]]-Table3[[#This Row],[HomeForecast]])^2</f>
        <v>0.53932048527277787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0.6468536260863712</v>
      </c>
      <c r="J174">
        <f>(Table3[[#This Row],[HomeMargin]]-Table3[[#This Row],[HomeForecast]])^2</f>
        <v>11.243590604890116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-0.55804333391563554</v>
      </c>
      <c r="J175">
        <f>(Table3[[#This Row],[HomeMargin]]-Table3[[#This Row],[HomeForecast]])^2</f>
        <v>0.19532569469640643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0.48262538218595291</v>
      </c>
      <c r="J176">
        <f>(Table3[[#This Row],[HomeMargin]]-Table3[[#This Row],[HomeForecast]])^2</f>
        <v>2.198178023902043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0.1243237930476235</v>
      </c>
      <c r="J177">
        <f>(Table3[[#This Row],[HomeMargin]]-Table3[[#This Row],[HomeForecast]])^2</f>
        <v>9.7613991638034889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0.82080647181539068</v>
      </c>
      <c r="J178">
        <f>(Table3[[#This Row],[HomeMargin]]-Table3[[#This Row],[HomeForecast]])^2</f>
        <v>3.2110320543248375E-2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0.90611786502549085</v>
      </c>
      <c r="J179">
        <f>(Table3[[#This Row],[HomeMargin]]-Table3[[#This Row],[HomeForecast]])^2</f>
        <v>4.3843423951654081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-0.39752155068198475</v>
      </c>
      <c r="J180">
        <f>(Table3[[#This Row],[HomeMargin]]-Table3[[#This Row],[HomeForecast]])^2</f>
        <v>11.543152687348519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-0.39867782779973115</v>
      </c>
      <c r="J181">
        <f>(Table3[[#This Row],[HomeMargin]]-Table3[[#This Row],[HomeForecast]])^2</f>
        <v>0.36158835477964979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0.14646546269489985</v>
      </c>
      <c r="J182">
        <f>(Table3[[#This Row],[HomeMargin]]-Table3[[#This Row],[HomeForecast]])^2</f>
        <v>0.72852120637263151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-4.4133562992058811E-2</v>
      </c>
      <c r="J183">
        <f>(Table3[[#This Row],[HomeMargin]]-Table3[[#This Row],[HomeForecast]])^2</f>
        <v>9.2667491493347267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1.0314690241110056</v>
      </c>
      <c r="J184">
        <f>(Table3[[#This Row],[HomeMargin]]-Table3[[#This Row],[HomeForecast]])^2</f>
        <v>3.8751142030344767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-1.7840171077081968</v>
      </c>
      <c r="J185">
        <f>(Table3[[#This Row],[HomeMargin]]-Table3[[#This Row],[HomeForecast]])^2</f>
        <v>4.6648609762732676E-2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0.70660408203685743</v>
      </c>
      <c r="J186">
        <f>(Table3[[#This Row],[HomeMargin]]-Table3[[#This Row],[HomeForecast]])^2</f>
        <v>7.3257056568985792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-0.63597952003901004</v>
      </c>
      <c r="J187">
        <f>(Table3[[#This Row],[HomeMargin]]-Table3[[#This Row],[HomeForecast]])^2</f>
        <v>2.6764289899870692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-0.91195913748020141</v>
      </c>
      <c r="J188">
        <f>(Table3[[#This Row],[HomeMargin]]-Table3[[#This Row],[HomeForecast]])^2</f>
        <v>3.6555877433940358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0.86044713637193571</v>
      </c>
      <c r="J189">
        <f>(Table3[[#This Row],[HomeMargin]]-Table3[[#This Row],[HomeForecast]])^2</f>
        <v>1.9475001746793109E-2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-0.55975714534282484</v>
      </c>
      <c r="J190">
        <f>(Table3[[#This Row],[HomeMargin]]-Table3[[#This Row],[HomeForecast]])^2</f>
        <v>2.4328423524479978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-0.83324625503593475</v>
      </c>
      <c r="J191">
        <f>(Table3[[#This Row],[HomeMargin]]-Table3[[#This Row],[HomeForecast]])^2</f>
        <v>3.3607918316032794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-0.31902458378320014</v>
      </c>
      <c r="J192">
        <f>(Table3[[#This Row],[HomeMargin]]-Table3[[#This Row],[HomeForecast]])^2</f>
        <v>7.187629182358843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0.94846872118395564</v>
      </c>
      <c r="J193">
        <f>(Table3[[#This Row],[HomeMargin]]-Table3[[#This Row],[HomeForecast]])^2</f>
        <v>4.208780587960594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-0.20634038436437174</v>
      </c>
      <c r="J194">
        <f>(Table3[[#This Row],[HomeMargin]]-Table3[[#This Row],[HomeForecast]])^2</f>
        <v>1.4552571229483804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2.5734390089858339E-2</v>
      </c>
      <c r="J195">
        <f>(Table3[[#This Row],[HomeMargin]]-Table3[[#This Row],[HomeForecast]])^2</f>
        <v>3.8977246984738638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0.18441909570767556</v>
      </c>
      <c r="J196">
        <f>(Table3[[#This Row],[HomeMargin]]-Table3[[#This Row],[HomeForecast]])^2</f>
        <v>10.140524977107692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-0.37105936594000821</v>
      </c>
      <c r="J197">
        <f>(Table3[[#This Row],[HomeMargin]]-Table3[[#This Row],[HomeForecast]])^2</f>
        <v>0.39556632117178453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-2.0100552187106624</v>
      </c>
      <c r="J198">
        <f>(Table3[[#This Row],[HomeMargin]]-Table3[[#This Row],[HomeForecast]])^2</f>
        <v>9.0604324196872934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-0.15227401461231674</v>
      </c>
      <c r="J199">
        <f>(Table3[[#This Row],[HomeMargin]]-Table3[[#This Row],[HomeForecast]])^2</f>
        <v>9.9368314632000541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0.22981905814185255</v>
      </c>
      <c r="J200">
        <f>(Table3[[#This Row],[HomeMargin]]-Table3[[#This Row],[HomeForecast]])^2</f>
        <v>7.6739024506340927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0.45747116381240299</v>
      </c>
      <c r="J201">
        <f>(Table3[[#This Row],[HomeMargin]]-Table3[[#This Row],[HomeForecast]])^2</f>
        <v>0.29433753809506852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0.88246584268872796</v>
      </c>
      <c r="J202">
        <f>(Table3[[#This Row],[HomeMargin]]-Table3[[#This Row],[HomeForecast]])^2</f>
        <v>3.5436776488897825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0.40412841528716831</v>
      </c>
      <c r="J203">
        <f>(Table3[[#This Row],[HomeMargin]]-Table3[[#This Row],[HomeForecast]])^2</f>
        <v>1.9715766066168545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-0.812692499087732</v>
      </c>
      <c r="J204">
        <f>(Table3[[#This Row],[HomeMargin]]-Table3[[#This Row],[HomeForecast]])^2</f>
        <v>1.4096991017225353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-0.244878445000275</v>
      </c>
      <c r="J205">
        <f>(Table3[[#This Row],[HomeMargin]]-Table3[[#This Row],[HomeForecast]])^2</f>
        <v>0.57020856282520271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-0.37277317736719751</v>
      </c>
      <c r="J206">
        <f>(Table3[[#This Row],[HomeMargin]]-Table3[[#This Row],[HomeForecast]])^2</f>
        <v>5.6300525512332253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-0.50553874654635911</v>
      </c>
      <c r="J207">
        <f>(Table3[[#This Row],[HomeMargin]]-Table3[[#This Row],[HomeForecast]])^2</f>
        <v>2.2666469173523818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-0.34732460381879171</v>
      </c>
      <c r="J208">
        <f>(Table3[[#This Row],[HomeMargin]]-Table3[[#This Row],[HomeForecast]])^2</f>
        <v>1.8152835880554643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0.74580426527061483</v>
      </c>
      <c r="J209">
        <f>(Table3[[#This Row],[HomeMargin]]-Table3[[#This Row],[HomeForecast]])^2</f>
        <v>10.589789879930922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-1.8317073849096033E-2</v>
      </c>
      <c r="J210">
        <f>(Table3[[#This Row],[HomeMargin]]-Table3[[#This Row],[HomeForecast]])^2</f>
        <v>0.96370136749620106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1.1981935698532267</v>
      </c>
      <c r="J211">
        <f>(Table3[[#This Row],[HomeMargin]]-Table3[[#This Row],[HomeForecast]])^2</f>
        <v>3.9280691131165842E-2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1.2421821960099426</v>
      </c>
      <c r="J212">
        <f>(Table3[[#This Row],[HomeMargin]]-Table3[[#This Row],[HomeForecast]])^2</f>
        <v>5.8652216064198265E-2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-8.4998428844387797E-3</v>
      </c>
      <c r="J213">
        <f>(Table3[[#This Row],[HomeMargin]]-Table3[[#This Row],[HomeForecast]])^2</f>
        <v>9.051071304635693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1.2427335786108518</v>
      </c>
      <c r="J214">
        <f>(Table3[[#This Row],[HomeMargin]]-Table3[[#This Row],[HomeForecast]])^2</f>
        <v>5.8919590185230554E-2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-0.26799975523770897</v>
      </c>
      <c r="J215">
        <f>(Table3[[#This Row],[HomeMargin]]-Table3[[#This Row],[HomeForecast]])^2</f>
        <v>0.53582435833205411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0.13728513123250272</v>
      </c>
      <c r="J216">
        <f>(Table3[[#This Row],[HomeMargin]]-Table3[[#This Row],[HomeForecast]])^2</f>
        <v>1.2934174697225309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-0.60487137124898749</v>
      </c>
      <c r="J217">
        <f>(Table3[[#This Row],[HomeMargin]]-Table3[[#This Row],[HomeForecast]])^2</f>
        <v>5.7366411482627067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0.6301665262896341</v>
      </c>
      <c r="J218">
        <f>(Table3[[#This Row],[HomeMargin]]-Table3[[#This Row],[HomeForecast]])^2</f>
        <v>0.13677679827667591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-0.58422290638247409</v>
      </c>
      <c r="J219">
        <f>(Table3[[#This Row],[HomeMargin]]-Table3[[#This Row],[HomeForecast]])^2</f>
        <v>21.01509965540178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-0.14286997973867277</v>
      </c>
      <c r="J220">
        <f>(Table3[[#This Row],[HomeMargin]]-Table3[[#This Row],[HomeForecast]])^2</f>
        <v>23.591712033723802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-5.7836516766334167E-2</v>
      </c>
      <c r="J221">
        <f>(Table3[[#This Row],[HomeMargin]]-Table3[[#This Row],[HomeForecast]])^2</f>
        <v>4.2346911297369987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-0.66661806408945279</v>
      </c>
      <c r="J222">
        <f>(Table3[[#This Row],[HomeMargin]]-Table3[[#This Row],[HomeForecast]])^2</f>
        <v>5.4446712588336537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1.9257495573679535</v>
      </c>
      <c r="J223">
        <f>(Table3[[#This Row],[HomeMargin]]-Table3[[#This Row],[HomeForecast]])^2</f>
        <v>9.4510157840233351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0.23176170442684746</v>
      </c>
      <c r="J224">
        <f>(Table3[[#This Row],[HomeMargin]]-Table3[[#This Row],[HomeForecast]])^2</f>
        <v>0.59019007878514262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0.96440400746113086</v>
      </c>
      <c r="J225">
        <f>(Table3[[#This Row],[HomeMargin]]-Table3[[#This Row],[HomeForecast]])^2</f>
        <v>15.716499134373874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0.51885255243378059</v>
      </c>
      <c r="J226">
        <f>(Table3[[#This Row],[HomeMargin]]-Table3[[#This Row],[HomeForecast]])^2</f>
        <v>0.23150286629948785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0.23560122704518383</v>
      </c>
      <c r="J227">
        <f>(Table3[[#This Row],[HomeMargin]]-Table3[[#This Row],[HomeForecast]])^2</f>
        <v>4.9979128463659324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0.19696062334556214</v>
      </c>
      <c r="J228">
        <f>(Table3[[#This Row],[HomeMargin]]-Table3[[#This Row],[HomeForecast]])^2</f>
        <v>10.220557227222045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0.73731522691513374</v>
      </c>
      <c r="J229">
        <f>(Table3[[#This Row],[HomeMargin]]-Table3[[#This Row],[HomeForecast]])^2</f>
        <v>6.9003290010647686E-2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-0.8073450401722484</v>
      </c>
      <c r="J230">
        <f>(Table3[[#This Row],[HomeMargin]]-Table3[[#This Row],[HomeForecast]])^2</f>
        <v>1.4224258532017358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-0.55476756415202644</v>
      </c>
      <c r="J231">
        <f>(Table3[[#This Row],[HomeMargin]]-Table3[[#This Row],[HomeForecast]])^2</f>
        <v>6.5268373068432783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-0.63520995028159122</v>
      </c>
      <c r="J232">
        <f>(Table3[[#This Row],[HomeMargin]]-Table3[[#This Row],[HomeForecast]])^2</f>
        <v>5.5922319792471935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-0.93723089917958624</v>
      </c>
      <c r="J233">
        <f>(Table3[[#This Row],[HomeMargin]]-Table3[[#This Row],[HomeForecast]])^2</f>
        <v>9.3805545649402848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-0.53354497663526113</v>
      </c>
      <c r="J234">
        <f>(Table3[[#This Row],[HomeMargin]]-Table3[[#This Row],[HomeForecast]])^2</f>
        <v>6.0834003822811544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-7.8614661225969315E-2</v>
      </c>
      <c r="J235">
        <f>(Table3[[#This Row],[HomeMargin]]-Table3[[#This Row],[HomeForecast]])^2</f>
        <v>8.5344922976038564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-8.6996809783223383E-2</v>
      </c>
      <c r="J236">
        <f>(Table3[[#This Row],[HomeMargin]]-Table3[[#This Row],[HomeForecast]])^2</f>
        <v>1.1815620644789053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0.95098150638295764</v>
      </c>
      <c r="J237">
        <f>(Table3[[#This Row],[HomeMargin]]-Table3[[#This Row],[HomeForecast]])^2</f>
        <v>4.1984767871846547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-2.3892955788515842</v>
      </c>
      <c r="J238">
        <f>(Table3[[#This Row],[HomeMargin]]-Table3[[#This Row],[HomeForecast]])^2</f>
        <v>31.48000410149438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-0.24019000114961014</v>
      </c>
      <c r="J239">
        <f>(Table3[[#This Row],[HomeMargin]]-Table3[[#This Row],[HomeForecast]])^2</f>
        <v>17.979211245849132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0.15825072628644463</v>
      </c>
      <c r="J240">
        <f>(Table3[[#This Row],[HomeMargin]]-Table3[[#This Row],[HomeForecast]])^2</f>
        <v>0.7085418397972979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-1.5445351473302242</v>
      </c>
      <c r="J241">
        <f>(Table3[[#This Row],[HomeMargin]]-Table3[[#This Row],[HomeForecast]])^2</f>
        <v>0.29651852667794903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-7.4041575892375422E-3</v>
      </c>
      <c r="J242">
        <f>(Table3[[#This Row],[HomeMargin]]-Table3[[#This Row],[HomeForecast]])^2</f>
        <v>24.926013245657227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0.11104578329995851</v>
      </c>
      <c r="J243">
        <f>(Table3[[#This Row],[HomeMargin]]-Table3[[#This Row],[HomeForecast]])^2</f>
        <v>1.2344227325886183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0.11846365644677753</v>
      </c>
      <c r="J244">
        <f>(Table3[[#This Row],[HomeMargin]]-Table3[[#This Row],[HomeForecast]])^2</f>
        <v>3.5401790121116297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-0.69252271452198644</v>
      </c>
      <c r="J245">
        <f>(Table3[[#This Row],[HomeMargin]]-Table3[[#This Row],[HomeForecast]])^2</f>
        <v>9.4542281084927848E-2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1.7823260309869193E-2</v>
      </c>
      <c r="J246">
        <f>(Table3[[#This Row],[HomeMargin]]-Table3[[#This Row],[HomeForecast]])^2</f>
        <v>0.96467114798833509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-0.20636219198132191</v>
      </c>
      <c r="J247">
        <f>(Table3[[#This Row],[HomeMargin]]-Table3[[#This Row],[HomeForecast]])^2</f>
        <v>3.2171365863540484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-0.31361007129234064</v>
      </c>
      <c r="J248">
        <f>(Table3[[#This Row],[HomeMargin]]-Table3[[#This Row],[HomeForecast]])^2</f>
        <v>1.7255714194006682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-0.35191608539475017</v>
      </c>
      <c r="J249">
        <f>(Table3[[#This Row],[HomeMargin]]-Table3[[#This Row],[HomeForecast]])^2</f>
        <v>0.42001276037006474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0.54034379904061391</v>
      </c>
      <c r="J250">
        <f>(Table3[[#This Row],[HomeMargin]]-Table3[[#This Row],[HomeForecast]])^2</f>
        <v>6.0499086269179587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1.0551982280343153</v>
      </c>
      <c r="J251">
        <f>(Table3[[#This Row],[HomeMargin]]-Table3[[#This Row],[HomeForecast]])^2</f>
        <v>3.0468443781282704E-3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-0.53525878806245042</v>
      </c>
      <c r="J252">
        <f>(Table3[[#This Row],[HomeMargin]]-Table3[[#This Row],[HomeForecast]])^2</f>
        <v>12.004431665698478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1.2190815562740889</v>
      </c>
      <c r="J253">
        <f>(Table3[[#This Row],[HomeMargin]]-Table3[[#This Row],[HomeForecast]])^2</f>
        <v>0.60983361575129902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1.5536795641382883E-2</v>
      </c>
      <c r="J254">
        <f>(Table3[[#This Row],[HomeMargin]]-Table3[[#This Row],[HomeForecast]])^2</f>
        <v>3.9380942094532703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0.3089330947766194</v>
      </c>
      <c r="J255">
        <f>(Table3[[#This Row],[HomeMargin]]-Table3[[#This Row],[HomeForecast]])^2</f>
        <v>1.7133058466014983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-0.89172812444695326</v>
      </c>
      <c r="J256">
        <f>(Table3[[#This Row],[HomeMargin]]-Table3[[#This Row],[HomeForecast]])^2</f>
        <v>1.172279903577444E-2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-2.496156497598212</v>
      </c>
      <c r="J257">
        <f>(Table3[[#This Row],[HomeMargin]]-Table3[[#This Row],[HomeForecast]])^2</f>
        <v>2.2384842653053485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-0.20674915254571269</v>
      </c>
      <c r="J258">
        <f>(Table3[[#This Row],[HomeMargin]]-Table3[[#This Row],[HomeForecast]])^2</f>
        <v>1.4562435171697961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0.21131441931803305</v>
      </c>
      <c r="J259">
        <f>(Table3[[#This Row],[HomeMargin]]-Table3[[#This Row],[HomeForecast]])^2</f>
        <v>1.4672826224477833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1.0579419349424024</v>
      </c>
      <c r="J260">
        <f>(Table3[[#This Row],[HomeMargin]]-Table3[[#This Row],[HomeForecast]])^2</f>
        <v>3.77158952805526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0.34450176744924332</v>
      </c>
      <c r="J261">
        <f>(Table3[[#This Row],[HomeMargin]]-Table3[[#This Row],[HomeForecast]])^2</f>
        <v>1.8076850026741396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0.30513501683456451</v>
      </c>
      <c r="J262">
        <f>(Table3[[#This Row],[HomeMargin]]-Table3[[#This Row],[HomeForecast]])^2</f>
        <v>2.8725673111603718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-1.0364043523864941E-2</v>
      </c>
      <c r="J263">
        <f>(Table3[[#This Row],[HomeMargin]]-Table3[[#This Row],[HomeForecast]])^2</f>
        <v>8.9379231522549745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1.4814874347400679</v>
      </c>
      <c r="J264">
        <f>(Table3[[#This Row],[HomeMargin]]-Table3[[#This Row],[HomeForecast]])^2</f>
        <v>2.3058804108522994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0.46236744229640619</v>
      </c>
      <c r="J265">
        <f>(Table3[[#This Row],[HomeMargin]]-Table3[[#This Row],[HomeForecast]])^2</f>
        <v>2.1385185362885326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-0.27013140585206963</v>
      </c>
      <c r="J266">
        <f>(Table3[[#This Row],[HomeMargin]]-Table3[[#This Row],[HomeForecast]])^2</f>
        <v>13.911919729611061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-0.74946306560469178</v>
      </c>
      <c r="J267">
        <f>(Table3[[#This Row],[HomeMargin]]-Table3[[#This Row],[HomeForecast]])^2</f>
        <v>6.276875549619898E-2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-1.9765184570085359E-2</v>
      </c>
      <c r="J268">
        <f>(Table3[[#This Row],[HomeMargin]]-Table3[[#This Row],[HomeForecast]])^2</f>
        <v>0.96086029338091883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-0.12806499270959781</v>
      </c>
      <c r="J269">
        <f>(Table3[[#This Row],[HomeMargin]]-Table3[[#This Row],[HomeForecast]])^2</f>
        <v>1.2725306277769051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-0.57309808867077272</v>
      </c>
      <c r="J270">
        <f>(Table3[[#This Row],[HomeMargin]]-Table3[[#This Row],[HomeForecast]])^2</f>
        <v>2.0360490645550016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-0.16761835305345993</v>
      </c>
      <c r="J271">
        <f>(Table3[[#This Row],[HomeMargin]]-Table3[[#This Row],[HomeForecast]])^2</f>
        <v>0.69285920617343444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0.50499208885196667</v>
      </c>
      <c r="J272">
        <f>(Table3[[#This Row],[HomeMargin]]-Table3[[#This Row],[HomeForecast]])^2</f>
        <v>2.2650011875070062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0.73183149993596419</v>
      </c>
      <c r="J273">
        <f>(Table3[[#This Row],[HomeMargin]]-Table3[[#This Row],[HomeForecast]])^2</f>
        <v>22.390229343786238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0.1170898987023386</v>
      </c>
      <c r="J274">
        <f>(Table3[[#This Row],[HomeMargin]]-Table3[[#This Row],[HomeForecast]])^2</f>
        <v>8.3111706521640922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0.30552197739895537</v>
      </c>
      <c r="J275">
        <f>(Table3[[#This Row],[HomeMargin]]-Table3[[#This Row],[HomeForecast]])^2</f>
        <v>0.48229972387585707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-0.70732770155106151</v>
      </c>
      <c r="J276">
        <f>(Table3[[#This Row],[HomeMargin]]-Table3[[#This Row],[HomeForecast]])^2</f>
        <v>7.3296232835857538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2.1279759676432972</v>
      </c>
      <c r="J277">
        <f>(Table3[[#This Row],[HomeMargin]]-Table3[[#This Row],[HomeForecast]])^2</f>
        <v>0.76042591300764384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-0.93269619925776293</v>
      </c>
      <c r="J278">
        <f>(Table3[[#This Row],[HomeMargin]]-Table3[[#This Row],[HomeForecast]])^2</f>
        <v>15.466099395656457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-0.9618884574209654</v>
      </c>
      <c r="J279">
        <f>(Table3[[#This Row],[HomeMargin]]-Table3[[#This Row],[HomeForecast]])^2</f>
        <v>15.696560149045474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-1.0051898623956848</v>
      </c>
      <c r="J280">
        <f>(Table3[[#This Row],[HomeMargin]]-Table3[[#This Row],[HomeForecast]])^2</f>
        <v>35.937748585923465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-0.13298887957360486</v>
      </c>
      <c r="J281">
        <f>(Table3[[#This Row],[HomeMargin]]-Table3[[#This Row],[HomeForecast]])^2</f>
        <v>4.5496415603846616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-0.27925320194851744</v>
      </c>
      <c r="J282">
        <f>(Table3[[#This Row],[HomeMargin]]-Table3[[#This Row],[HomeForecast]])^2</f>
        <v>5.194995158592568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-8.7777921468793652E-2</v>
      </c>
      <c r="J283">
        <f>(Table3[[#This Row],[HomeMargin]]-Table3[[#This Row],[HomeForecast]])^2</f>
        <v>0.83214912055979429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-9.5554327881071655E-3</v>
      </c>
      <c r="J284">
        <f>(Table3[[#This Row],[HomeMargin]]-Table3[[#This Row],[HomeForecast]])^2</f>
        <v>0.98098044071955381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1.4179348611911149</v>
      </c>
      <c r="J285">
        <f>(Table3[[#This Row],[HomeMargin]]-Table3[[#This Row],[HomeForecast]])^2</f>
        <v>0.17466954819883648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-1.069023373136607</v>
      </c>
      <c r="J286">
        <f>(Table3[[#This Row],[HomeMargin]]-Table3[[#This Row],[HomeForecast]])^2</f>
        <v>4.2808577185855832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-0.96114442297170455</v>
      </c>
      <c r="J287">
        <f>(Table3[[#This Row],[HomeMargin]]-Table3[[#This Row],[HomeForecast]])^2</f>
        <v>1.5097558662018013E-3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-0.18703798159424787</v>
      </c>
      <c r="J288">
        <f>(Table3[[#This Row],[HomeMargin]]-Table3[[#This Row],[HomeForecast]])^2</f>
        <v>0.66090724337035445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1.3110739424444868</v>
      </c>
      <c r="J289">
        <f>(Table3[[#This Row],[HomeMargin]]-Table3[[#This Row],[HomeForecast]])^2</f>
        <v>5.3410627674459032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-0.30190776894330151</v>
      </c>
      <c r="J290">
        <f>(Table3[[#This Row],[HomeMargin]]-Table3[[#This Row],[HomeForecast]])^2</f>
        <v>0.48733276306171891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-0.84371092376090617</v>
      </c>
      <c r="J291">
        <f>(Table3[[#This Row],[HomeMargin]]-Table3[[#This Row],[HomeForecast]])^2</f>
        <v>2.4426275351669281E-2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0.33795697705177641</v>
      </c>
      <c r="J292">
        <f>(Table3[[#This Row],[HomeMargin]]-Table3[[#This Row],[HomeForecast]])^2</f>
        <v>0.43830096423442211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0.78657651958459707</v>
      </c>
      <c r="J293">
        <f>(Table3[[#This Row],[HomeMargin]]-Table3[[#This Row],[HomeForecast]])^2</f>
        <v>10.326090464485043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-0.28620766635453349</v>
      </c>
      <c r="J294">
        <f>(Table3[[#This Row],[HomeMargin]]-Table3[[#This Row],[HomeForecast]])^2</f>
        <v>0.50949949557104102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-0.93032530530421331</v>
      </c>
      <c r="J295">
        <f>(Table3[[#This Row],[HomeMargin]]-Table3[[#This Row],[HomeForecast]])^2</f>
        <v>1.1442039524725245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-0.16497316652743105</v>
      </c>
      <c r="J296">
        <f>(Table3[[#This Row],[HomeMargin]]-Table3[[#This Row],[HomeForecast]])^2</f>
        <v>4.687108811783812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-0.38871567636459792</v>
      </c>
      <c r="J297">
        <f>(Table3[[#This Row],[HomeMargin]]-Table3[[#This Row],[HomeForecast]])^2</f>
        <v>0.373668524322391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-1.4404609061076601E-2</v>
      </c>
      <c r="J298">
        <f>(Table3[[#This Row],[HomeMargin]]-Table3[[#This Row],[HomeForecast]])^2</f>
        <v>0.97139827464004935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-0.14286997973867277</v>
      </c>
      <c r="J299">
        <f>(Table3[[#This Row],[HomeMargin]]-Table3[[#This Row],[HomeForecast]])^2</f>
        <v>9.8776317095425643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-1.1108172176897464</v>
      </c>
      <c r="J300">
        <f>(Table3[[#This Row],[HomeMargin]]-Table3[[#This Row],[HomeForecast]])^2</f>
        <v>3.569011584977511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0.54467607514544569</v>
      </c>
      <c r="J301">
        <f>(Table3[[#This Row],[HomeMargin]]-Table3[[#This Row],[HomeForecast]])^2</f>
        <v>2.386024177126739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1.8238480873467109</v>
      </c>
      <c r="J302">
        <f>(Table3[[#This Row],[HomeMargin]]-Table3[[#This Row],[HomeForecast]])^2</f>
        <v>1.3833333216379902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0.2363293312939404</v>
      </c>
      <c r="J303">
        <f>(Table3[[#This Row],[HomeMargin]]-Table3[[#This Row],[HomeForecast]])^2</f>
        <v>0.58319289024196019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0.63231780148850381</v>
      </c>
      <c r="J304">
        <f>(Table3[[#This Row],[HomeMargin]]-Table3[[#This Row],[HomeForecast]])^2</f>
        <v>2.6644614050562625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1.1677961979898497</v>
      </c>
      <c r="J305">
        <f>(Table3[[#This Row],[HomeMargin]]-Table3[[#This Row],[HomeForecast]])^2</f>
        <v>8.0213783761207527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1.446122165024849</v>
      </c>
      <c r="J306">
        <f>(Table3[[#This Row],[HomeMargin]]-Table3[[#This Row],[HomeForecast]])^2</f>
        <v>29.660246636374946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0.62817145905413341</v>
      </c>
      <c r="J307">
        <f>(Table3[[#This Row],[HomeMargin]]-Table3[[#This Row],[HomeForecast]])^2</f>
        <v>0.13825646386193199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-0.63597952003901004</v>
      </c>
      <c r="J308">
        <f>(Table3[[#This Row],[HomeMargin]]-Table3[[#This Row],[HomeForecast]])^2</f>
        <v>1.8605518697530097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0.40947884848815053</v>
      </c>
      <c r="J309">
        <f>(Table3[[#This Row],[HomeMargin]]-Table3[[#This Row],[HomeForecast]])^2</f>
        <v>12.891842139453978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0.16730246863794029</v>
      </c>
      <c r="J310">
        <f>(Table3[[#This Row],[HomeMargin]]-Table3[[#This Row],[HomeForecast]])^2</f>
        <v>0.69338517873646843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0.46641044729401443</v>
      </c>
      <c r="J311">
        <f>(Table3[[#This Row],[HomeMargin]]-Table3[[#This Row],[HomeForecast]])^2</f>
        <v>6.4190760215809162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0.91308707135526712</v>
      </c>
      <c r="J312">
        <f>(Table3[[#This Row],[HomeMargin]]-Table3[[#This Row],[HomeForecast]])^2</f>
        <v>7.5538571656044292E-3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1.0360037240328288</v>
      </c>
      <c r="J313">
        <f>(Table3[[#This Row],[HomeMargin]]-Table3[[#This Row],[HomeForecast]])^2</f>
        <v>3.8572813720129169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0.57796187965182677</v>
      </c>
      <c r="J314">
        <f>(Table3[[#This Row],[HomeMargin]]-Table3[[#This Row],[HomeForecast]])^2</f>
        <v>2.4899636936343259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-0.11309919826863157</v>
      </c>
      <c r="J315">
        <f>(Table3[[#This Row],[HomeMargin]]-Table3[[#This Row],[HomeForecast]])^2</f>
        <v>4.4651882217235341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8.3085023029616512E-4</v>
      </c>
      <c r="J316">
        <f>(Table3[[#This Row],[HomeMargin]]-Table3[[#This Row],[HomeForecast]])^2</f>
        <v>0.99833898985151281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0.5131129230286936</v>
      </c>
      <c r="J317">
        <f>(Table3[[#This Row],[HomeMargin]]-Table3[[#This Row],[HomeForecast]])^2</f>
        <v>12.158381487549502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0.92488456454389278</v>
      </c>
      <c r="J318">
        <f>(Table3[[#This Row],[HomeMargin]]-Table3[[#This Row],[HomeForecast]])^2</f>
        <v>5.6423286437606093E-3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4.7235137227751689E-2</v>
      </c>
      <c r="J319">
        <f>(Table3[[#This Row],[HomeMargin]]-Table3[[#This Row],[HomeForecast]])^2</f>
        <v>0.90776088373342101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0.30887442980505336</v>
      </c>
      <c r="J320">
        <f>(Table3[[#This Row],[HomeMargin]]-Table3[[#This Row],[HomeForecast]])^2</f>
        <v>7.2421568345570773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0.47964578383914569</v>
      </c>
      <c r="J321">
        <f>(Table3[[#This Row],[HomeMargin]]-Table3[[#This Row],[HomeForecast]])^2</f>
        <v>0.27076851027637711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0.78695260232491182</v>
      </c>
      <c r="J322">
        <f>(Table3[[#This Row],[HomeMargin]]-Table3[[#This Row],[HomeForecast]])^2</f>
        <v>22.914915216905246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-0.42007972758053802</v>
      </c>
      <c r="J323">
        <f>(Table3[[#This Row],[HomeMargin]]-Table3[[#This Row],[HomeForecast]])^2</f>
        <v>2.0166264326852148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1.3708243983949733</v>
      </c>
      <c r="J324">
        <f>(Table3[[#This Row],[HomeMargin]]-Table3[[#This Row],[HomeForecast]])^2</f>
        <v>2.6542131408651009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0.66202107583937186</v>
      </c>
      <c r="J325">
        <f>(Table3[[#This Row],[HomeMargin]]-Table3[[#This Row],[HomeForecast]])^2</f>
        <v>2.762314056534263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0.47154600222044019</v>
      </c>
      <c r="J326">
        <f>(Table3[[#This Row],[HomeMargin]]-Table3[[#This Row],[HomeForecast]])^2</f>
        <v>2.1654476366509603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1.8806386573625697</v>
      </c>
      <c r="J327">
        <f>(Table3[[#This Row],[HomeMargin]]-Table3[[#This Row],[HomeForecast]])^2</f>
        <v>1.2529698153910704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-0.59033554665111998</v>
      </c>
      <c r="J328">
        <f>(Table3[[#This Row],[HomeMargin]]-Table3[[#This Row],[HomeForecast]])^2</f>
        <v>19.445140591128673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-0.466598794702141</v>
      </c>
      <c r="J329">
        <f>(Table3[[#This Row],[HomeMargin]]-Table3[[#This Row],[HomeForecast]])^2</f>
        <v>2.150912024621773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-1.1338320647807154</v>
      </c>
      <c r="J330">
        <f>(Table3[[#This Row],[HomeMargin]]-Table3[[#This Row],[HomeForecast]])^2</f>
        <v>8.2149186328791775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1.059917247824947</v>
      </c>
      <c r="J331">
        <f>(Table3[[#This Row],[HomeMargin]]-Table3[[#This Row],[HomeForecast]])^2</f>
        <v>3.5900765869161166E-3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-2.9110554472163319E-2</v>
      </c>
      <c r="J332">
        <f>(Table3[[#This Row],[HomeMargin]]-Table3[[#This Row],[HomeForecast]])^2</f>
        <v>1.0590685333260033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1.339261246278221</v>
      </c>
      <c r="J333">
        <f>(Table3[[#This Row],[HomeMargin]]-Table3[[#This Row],[HomeForecast]])^2</f>
        <v>0.1150981932262517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0.11382384059857836</v>
      </c>
      <c r="J334">
        <f>(Table3[[#This Row],[HomeMargin]]-Table3[[#This Row],[HomeForecast]])^2</f>
        <v>1.2406035478857671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-0.12809613637951939</v>
      </c>
      <c r="J335">
        <f>(Table3[[#This Row],[HomeMargin]]-Table3[[#This Row],[HomeForecast]])^2</f>
        <v>8.2478318018782435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-1.2502702899033278</v>
      </c>
      <c r="J336">
        <f>(Table3[[#This Row],[HomeMargin]]-Table3[[#This Row],[HomeForecast]])^2</f>
        <v>0.56209463820164018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-0.19966470928129568</v>
      </c>
      <c r="J337">
        <f>(Table3[[#This Row],[HomeMargin]]-Table3[[#This Row],[HomeForecast]])^2</f>
        <v>38.435842507507928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-6.9197858085906977E-2</v>
      </c>
      <c r="J338">
        <f>(Table3[[#This Row],[HomeMargin]]-Table3[[#This Row],[HomeForecast]])^2</f>
        <v>0.8663926273918634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-2.5550968194380901E-2</v>
      </c>
      <c r="J339">
        <f>(Table3[[#This Row],[HomeMargin]]-Table3[[#This Row],[HomeForecast]])^2</f>
        <v>24.745143170031863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-0.69667753524047826</v>
      </c>
      <c r="J340">
        <f>(Table3[[#This Row],[HomeMargin]]-Table3[[#This Row],[HomeForecast]])^2</f>
        <v>9.2004517627791313E-2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0.45068891024799274</v>
      </c>
      <c r="J341">
        <f>(Table3[[#This Row],[HomeMargin]]-Table3[[#This Row],[HomeForecast]])^2</f>
        <v>0.3017426733245378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-1.5208831249934613</v>
      </c>
      <c r="J342">
        <f>(Table3[[#This Row],[HomeMargin]]-Table3[[#This Row],[HomeForecast]])^2</f>
        <v>6.354851729876799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-0.18225079526533827</v>
      </c>
      <c r="J343">
        <f>(Table3[[#This Row],[HomeMargin]]-Table3[[#This Row],[HomeForecast]])^2</f>
        <v>1.3977169429055247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0.35954952854738648</v>
      </c>
      <c r="J344">
        <f>(Table3[[#This Row],[HomeMargin]]-Table3[[#This Row],[HomeForecast]])^2</f>
        <v>11.286573034762968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-0.13296707195665469</v>
      </c>
      <c r="J345">
        <f>(Table3[[#This Row],[HomeMargin]]-Table3[[#This Row],[HomeForecast]])^2</f>
        <v>9.8154826739646541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-2.7904213550251082</v>
      </c>
      <c r="J346">
        <f>(Table3[[#This Row],[HomeMargin]]-Table3[[#This Row],[HomeForecast]])^2</f>
        <v>4.3923208429511723E-2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1.2685318877577174</v>
      </c>
      <c r="J347">
        <f>(Table3[[#This Row],[HomeMargin]]-Table3[[#This Row],[HomeForecast]])^2</f>
        <v>5.1462369257735929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-0.3211562343975608</v>
      </c>
      <c r="J348">
        <f>(Table3[[#This Row],[HomeMargin]]-Table3[[#This Row],[HomeForecast]])^2</f>
        <v>11.030078733277785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0.57968645384069806</v>
      </c>
      <c r="J349">
        <f>(Table3[[#This Row],[HomeMargin]]-Table3[[#This Row],[HomeForecast]])^2</f>
        <v>2.4954092924477997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3.4680467015534566E-2</v>
      </c>
      <c r="J350">
        <f>(Table3[[#This Row],[HomeMargin]]-Table3[[#This Row],[HomeForecast]])^2</f>
        <v>1.0705636688234845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-0.13024741157838901</v>
      </c>
      <c r="J351">
        <f>(Table3[[#This Row],[HomeMargin]]-Table3[[#This Row],[HomeForecast]])^2</f>
        <v>1.2774592113796481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8.0949564543373376E-2</v>
      </c>
      <c r="J352">
        <f>(Table3[[#This Row],[HomeMargin]]-Table3[[#This Row],[HomeForecast]])^2</f>
        <v>4.3303510901732549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-0.85220868152971518</v>
      </c>
      <c r="J353">
        <f>(Table3[[#This Row],[HomeMargin]]-Table3[[#This Row],[HomeForecast]])^2</f>
        <v>14.839511726052908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-1.7801520210821378</v>
      </c>
      <c r="J354">
        <f>(Table3[[#This Row],[HomeMargin]]-Table3[[#This Row],[HomeForecast]])^2</f>
        <v>0.60863717599854439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0.52662276080910964</v>
      </c>
      <c r="J355">
        <f>(Table3[[#This Row],[HomeMargin]]-Table3[[#This Row],[HomeForecast]])^2</f>
        <v>0.22408601058398941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-0.14769482498469158</v>
      </c>
      <c r="J356">
        <f>(Table3[[#This Row],[HomeMargin]]-Table3[[#This Row],[HomeForecast]])^2</f>
        <v>4.6125930612660255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0.31999924751675468</v>
      </c>
      <c r="J357">
        <f>(Table3[[#This Row],[HomeMargin]]-Table3[[#This Row],[HomeForecast]])^2</f>
        <v>11.022395003511818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-0.22721139523331896</v>
      </c>
      <c r="J358">
        <f>(Table3[[#This Row],[HomeMargin]]-Table3[[#This Row],[HomeForecast]])^2</f>
        <v>7.6883566467239577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0.11317743391431917</v>
      </c>
      <c r="J359">
        <f>(Table3[[#This Row],[HomeMargin]]-Table3[[#This Row],[HomeForecast]])^2</f>
        <v>0.78645426371879168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0.8510363783957744</v>
      </c>
      <c r="J360">
        <f>(Table3[[#This Row],[HomeMargin]]-Table3[[#This Row],[HomeForecast]])^2</f>
        <v>2.219016056144691E-2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-0.66190247986766815</v>
      </c>
      <c r="J361">
        <f>(Table3[[#This Row],[HomeMargin]]-Table3[[#This Row],[HomeForecast]])^2</f>
        <v>18.819090094178289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1.2117413177418586</v>
      </c>
      <c r="J362">
        <f>(Table3[[#This Row],[HomeMargin]]-Table3[[#This Row],[HomeForecast]])^2</f>
        <v>4.4834385639058706E-2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0.88365556985287563</v>
      </c>
      <c r="J363">
        <f>(Table3[[#This Row],[HomeMargin]]-Table3[[#This Row],[HomeForecast]])^2</f>
        <v>4.4789137470147562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-0.12809613637951939</v>
      </c>
      <c r="J364">
        <f>(Table3[[#This Row],[HomeMargin]]-Table3[[#This Row],[HomeForecast]])^2</f>
        <v>17.041177711191516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1.114688833422639</v>
      </c>
      <c r="J365">
        <f>(Table3[[#This Row],[HomeMargin]]-Table3[[#This Row],[HomeForecast]])^2</f>
        <v>8.3250205279760117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-1.1434093711566999</v>
      </c>
      <c r="J366">
        <f>(Table3[[#This Row],[HomeMargin]]-Table3[[#This Row],[HomeForecast]])^2</f>
        <v>14.873291278481959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1.162828300138008</v>
      </c>
      <c r="J367">
        <f>(Table3[[#This Row],[HomeMargin]]-Table3[[#This Row],[HomeForecast]])^2</f>
        <v>4.6778262558778652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0.70364419610223006</v>
      </c>
      <c r="J368">
        <f>(Table3[[#This Row],[HomeMargin]]-Table3[[#This Row],[HomeForecast]])^2</f>
        <v>7.3096919391172746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-1.5051015745335738E-2</v>
      </c>
      <c r="J369">
        <f>(Table3[[#This Row],[HomeMargin]]-Table3[[#This Row],[HomeForecast]])^2</f>
        <v>0.97012450158429486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-0.13369141981463883</v>
      </c>
      <c r="J370">
        <f>(Table3[[#This Row],[HomeMargin]]-Table3[[#This Row],[HomeForecast]])^2</f>
        <v>0.75049055610277637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2.1088280435639053</v>
      </c>
      <c r="J371">
        <f>(Table3[[#This Row],[HomeMargin]]-Table3[[#This Row],[HomeForecast]])^2</f>
        <v>15.141219194554704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0.47501054588051994</v>
      </c>
      <c r="J372">
        <f>(Table3[[#This Row],[HomeMargin]]-Table3[[#This Row],[HomeForecast]])^2</f>
        <v>12.07569829398083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-9.6056147877958908E-2</v>
      </c>
      <c r="J373">
        <f>(Table3[[#This Row],[HomeMargin]]-Table3[[#This Row],[HomeForecast]])^2</f>
        <v>3.6250021920333166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1.4304598946491291</v>
      </c>
      <c r="J374">
        <f>(Table3[[#This Row],[HomeMargin]]-Table3[[#This Row],[HomeForecast]])^2</f>
        <v>0.18529572090133936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0.13728513123250272</v>
      </c>
      <c r="J375">
        <f>(Table3[[#This Row],[HomeMargin]]-Table3[[#This Row],[HomeForecast]])^2</f>
        <v>4.567987732187536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0.4065779857547962</v>
      </c>
      <c r="J376">
        <f>(Table3[[#This Row],[HomeMargin]]-Table3[[#This Row],[HomeForecast]])^2</f>
        <v>2.5389937154812423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-0.95642540318107261</v>
      </c>
      <c r="J377">
        <f>(Table3[[#This Row],[HomeMargin]]-Table3[[#This Row],[HomeForecast]])^2</f>
        <v>1.8987454879320772E-3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1.7167350001149824</v>
      </c>
      <c r="J378">
        <f>(Table3[[#This Row],[HomeMargin]]-Table3[[#This Row],[HomeForecast]])^2</f>
        <v>5.2132990596999287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0.33896282600285277</v>
      </c>
      <c r="J379">
        <f>(Table3[[#This Row],[HomeMargin]]-Table3[[#This Row],[HomeForecast]])^2</f>
        <v>1.7928214494175458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0.26071857801800036</v>
      </c>
      <c r="J380">
        <f>(Table3[[#This Row],[HomeMargin]]-Table3[[#This Row],[HomeForecast]])^2</f>
        <v>1.5894113329597288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0.85520081604420706</v>
      </c>
      <c r="J381">
        <f>(Table3[[#This Row],[HomeMargin]]-Table3[[#This Row],[HomeForecast]])^2</f>
        <v>2.0966803674263564E-2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0.59823005435167398</v>
      </c>
      <c r="J382">
        <f>(Table3[[#This Row],[HomeMargin]]-Table3[[#This Row],[HomeForecast]])^2</f>
        <v>0.16141908922625883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1.8278263636598763E-2</v>
      </c>
      <c r="J383">
        <f>(Table3[[#This Row],[HomeMargin]]-Table3[[#This Row],[HomeForecast]])^2</f>
        <v>16.146560204014357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-0.41666947476137695</v>
      </c>
      <c r="J384">
        <f>(Table3[[#This Row],[HomeMargin]]-Table3[[#This Row],[HomeForecast]])^2</f>
        <v>21.006918703584155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0.79545036009372083</v>
      </c>
      <c r="J385">
        <f>(Table3[[#This Row],[HomeMargin]]-Table3[[#This Row],[HomeForecast]])^2</f>
        <v>10.269138394623463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-0.41176203199074879</v>
      </c>
      <c r="J386">
        <f>(Table3[[#This Row],[HomeMargin]]-Table3[[#This Row],[HomeForecast]])^2</f>
        <v>0.34602390700765284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1.0596557463695917</v>
      </c>
      <c r="J387">
        <f>(Table3[[#This Row],[HomeMargin]]-Table3[[#This Row],[HomeForecast]])^2</f>
        <v>4.2421817935532795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0.81438627367269589</v>
      </c>
      <c r="J388">
        <f>(Table3[[#This Row],[HomeMargin]]-Table3[[#This Row],[HomeForecast]])^2</f>
        <v>3.4452455401107349E-2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-1.215990064144604</v>
      </c>
      <c r="J389">
        <f>(Table3[[#This Row],[HomeMargin]]-Table3[[#This Row],[HomeForecast]])^2</f>
        <v>3.1826914512307742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0.73702328238414783</v>
      </c>
      <c r="J390">
        <f>(Table3[[#This Row],[HomeMargin]]-Table3[[#This Row],[HomeForecast]])^2</f>
        <v>7.4912964483128945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-1.5970741888408777</v>
      </c>
      <c r="J391">
        <f>(Table3[[#This Row],[HomeMargin]]-Table3[[#This Row],[HomeForecast]])^2</f>
        <v>6.7447943423435026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0.25800105235939164</v>
      </c>
      <c r="J392">
        <f>(Table3[[#This Row],[HomeMargin]]-Table3[[#This Row],[HomeForecast]])^2</f>
        <v>1.5825666477373368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0.53548769131417062</v>
      </c>
      <c r="J393">
        <f>(Table3[[#This Row],[HomeMargin]]-Table3[[#This Row],[HomeForecast]])^2</f>
        <v>0.21577168492063925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-0.89948505209836727</v>
      </c>
      <c r="J394">
        <f>(Table3[[#This Row],[HomeMargin]]-Table3[[#This Row],[HomeForecast]])^2</f>
        <v>3.6080434631451368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0.51644537480899344</v>
      </c>
      <c r="J395">
        <f>(Table3[[#This Row],[HomeMargin]]-Table3[[#This Row],[HomeForecast]])^2</f>
        <v>12.365388074015565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1.0502514052506822</v>
      </c>
      <c r="J396">
        <f>(Table3[[#This Row],[HomeMargin]]-Table3[[#This Row],[HomeForecast]])^2</f>
        <v>0.90202239322830391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0.60120965269848115</v>
      </c>
      <c r="J397">
        <f>(Table3[[#This Row],[HomeMargin]]-Table3[[#This Row],[HomeForecast]])^2</f>
        <v>0.15903374110086602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2.3498488949438112</v>
      </c>
      <c r="J398">
        <f>(Table3[[#This Row],[HomeMargin]]-Table3[[#This Row],[HomeForecast]])^2</f>
        <v>7.023300879630539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0.61398465821295534</v>
      </c>
      <c r="J399">
        <f>(Table3[[#This Row],[HomeMargin]]-Table3[[#This Row],[HomeForecast]])^2</f>
        <v>0.14900784409496892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0.48151536637579839</v>
      </c>
      <c r="J400">
        <f>(Table3[[#This Row],[HomeMargin]]-Table3[[#This Row],[HomeForecast]])^2</f>
        <v>2.1948877808076164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0.41992905925080337</v>
      </c>
      <c r="J401">
        <f>(Table3[[#This Row],[HomeMargin]]-Table3[[#This Row],[HomeForecast]])^2</f>
        <v>5.8560566518064769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-0.86736294609766906</v>
      </c>
      <c r="J402">
        <f>(Table3[[#This Row],[HomeMargin]]-Table3[[#This Row],[HomeForecast]])^2</f>
        <v>4.5481408036772137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-0.63305867508272162</v>
      </c>
      <c r="J403">
        <f>(Table3[[#This Row],[HomeMargin]]-Table3[[#This Row],[HomeForecast]])^2</f>
        <v>5.6024112356011626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0.44609742867203434</v>
      </c>
      <c r="J404">
        <f>(Table3[[#This Row],[HomeMargin]]-Table3[[#This Row],[HomeForecast]])^2</f>
        <v>29.659977202588149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0.23637038040224867</v>
      </c>
      <c r="J405">
        <f>(Table3[[#This Row],[HomeMargin]]-Table3[[#This Row],[HomeForecast]])^2</f>
        <v>17.94683399994949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-0.93333466888360572</v>
      </c>
      <c r="J406">
        <f>(Table3[[#This Row],[HomeMargin]]-Table3[[#This Row],[HomeForecast]])^2</f>
        <v>3.7377829419072812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0.27542452342908708</v>
      </c>
      <c r="J407">
        <f>(Table3[[#This Row],[HomeMargin]]-Table3[[#This Row],[HomeForecast]])^2</f>
        <v>0.52500962124796557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1.6885476962812482</v>
      </c>
      <c r="J408">
        <f>(Table3[[#This Row],[HomeMargin]]-Table3[[#This Row],[HomeForecast]])^2</f>
        <v>0.47409793005421408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-0.34805099876869117</v>
      </c>
      <c r="J409">
        <f>(Table3[[#This Row],[HomeMargin]]-Table3[[#This Row],[HomeForecast]])^2</f>
        <v>5.513343492818648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0.84823589045793435</v>
      </c>
      <c r="J410">
        <f>(Table3[[#This Row],[HomeMargin]]-Table3[[#This Row],[HomeForecast]])^2</f>
        <v>17.237145221281626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-0.60783125718361486</v>
      </c>
      <c r="J411">
        <f>(Table3[[#This Row],[HomeMargin]]-Table3[[#This Row],[HomeForecast]])^2</f>
        <v>5.7224712941077245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-0.10614473386261558</v>
      </c>
      <c r="J412">
        <f>(Table3[[#This Row],[HomeMargin]]-Table3[[#This Row],[HomeForecast]])^2</f>
        <v>16.86042457542769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0.61939917070381467</v>
      </c>
      <c r="J413">
        <f>(Table3[[#This Row],[HomeMargin]]-Table3[[#This Row],[HomeForecast]])^2</f>
        <v>6.8612520154838323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-0.21229192053773746</v>
      </c>
      <c r="J414">
        <f>(Table3[[#This Row],[HomeMargin]]-Table3[[#This Row],[HomeForecast]])^2</f>
        <v>14.3467324952237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8.3085023029616512E-4</v>
      </c>
      <c r="J415">
        <f>(Table3[[#This Row],[HomeMargin]]-Table3[[#This Row],[HomeForecast]])^2</f>
        <v>8.9950155889303289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-1.5121197155111177</v>
      </c>
      <c r="J416">
        <f>(Table3[[#This Row],[HomeMargin]]-Table3[[#This Row],[HomeForecast]])^2</f>
        <v>2.2137877409707172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2.5949293224514545</v>
      </c>
      <c r="J417">
        <f>(Table3[[#This Row],[HomeMargin]]-Table3[[#This Row],[HomeForecast]])^2</f>
        <v>0.35394089871254669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-0.50243682784523858</v>
      </c>
      <c r="J418">
        <f>(Table3[[#This Row],[HomeMargin]]-Table3[[#This Row],[HomeForecast]])^2</f>
        <v>2.2573164216656627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-0.74283497758408501</v>
      </c>
      <c r="J419">
        <f>(Table3[[#This Row],[HomeMargin]]-Table3[[#This Row],[HomeForecast]])^2</f>
        <v>6.6133848754178062E-2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3.8976535403095369E-2</v>
      </c>
      <c r="J420">
        <f>(Table3[[#This Row],[HomeMargin]]-Table3[[#This Row],[HomeForecast]])^2</f>
        <v>9.2353783827306017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-0.81431424650202455</v>
      </c>
      <c r="J421">
        <f>(Table3[[#This Row],[HomeMargin]]-Table3[[#This Row],[HomeForecast]])^2</f>
        <v>1.4058507060480618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-0.20634038436437174</v>
      </c>
      <c r="J422">
        <f>(Table3[[#This Row],[HomeMargin]]-Table3[[#This Row],[HomeForecast]])^2</f>
        <v>7.804534048033406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2.5734390089858339E-2</v>
      </c>
      <c r="J423">
        <f>(Table3[[#This Row],[HomeMargin]]-Table3[[#This Row],[HomeForecast]])^2</f>
        <v>15.794787138114431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-0.57626810506686277</v>
      </c>
      <c r="J424">
        <f>(Table3[[#This Row],[HomeMargin]]-Table3[[#This Row],[HomeForecast]])^2</f>
        <v>2.4846211390510784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-0.53597962481444306</v>
      </c>
      <c r="J425">
        <f>(Table3[[#This Row],[HomeMargin]]-Table3[[#This Row],[HomeForecast]])^2</f>
        <v>2.3592334078451174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4.552132580056234E-2</v>
      </c>
      <c r="J426">
        <f>(Table3[[#This Row],[HomeMargin]]-Table3[[#This Row],[HomeForecast]])^2</f>
        <v>0.91102953950151622</v>
      </c>
    </row>
    <row r="427" spans="4:10" x14ac:dyDescent="0.2">
      <c r="D427" t="s">
        <v>55</v>
      </c>
      <c r="F427" t="s">
        <v>31</v>
      </c>
    </row>
    <row r="428" spans="4:10" x14ac:dyDescent="0.2">
      <c r="D428" t="s">
        <v>40</v>
      </c>
      <c r="F428" t="s">
        <v>18</v>
      </c>
    </row>
    <row r="429" spans="4:10" x14ac:dyDescent="0.2">
      <c r="D429" t="s">
        <v>39</v>
      </c>
      <c r="F429" t="s">
        <v>24</v>
      </c>
    </row>
    <row r="430" spans="4:10" x14ac:dyDescent="0.2">
      <c r="D430" t="s">
        <v>23</v>
      </c>
      <c r="F430" t="s">
        <v>27</v>
      </c>
    </row>
    <row r="431" spans="4:10" x14ac:dyDescent="0.2">
      <c r="D431" t="s">
        <v>22</v>
      </c>
      <c r="F431" t="s">
        <v>33</v>
      </c>
    </row>
    <row r="432" spans="4:10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zoomScale="75" zoomScaleNormal="60" workbookViewId="0">
      <pane ySplit="1" topLeftCell="A409" activePane="bottomLeft" state="frozen"/>
      <selection activeCell="I1" sqref="I1"/>
      <selection pane="bottomLeft" activeCell="Q430" sqref="Q430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4.9386412426621305E-2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-0.51447808915301396</v>
      </c>
      <c r="H2" t="s">
        <v>10</v>
      </c>
      <c r="I2">
        <f>VLOOKUP(Table4[[#This Row],[Visitor]],'NHL Model'!$A$6:$B$38,2,FALSE)</f>
        <v>-0.21549764750433295</v>
      </c>
      <c r="J2">
        <f>($B$1+Table4[[#This Row],[Home Differential]])-Table4[[#This Row],[Away Differential]]</f>
        <v>-0.24959402922205973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0.48870968243253615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0.23883715370331032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-0.36690387823407311</v>
      </c>
      <c r="H3" t="s">
        <v>12</v>
      </c>
      <c r="I3">
        <f>VLOOKUP(Table4[[#This Row],[Visitor]],'NHL Model'!$A$6:$B$38,2,FALSE)</f>
        <v>1.6140407860044261</v>
      </c>
      <c r="J3">
        <f>($B$1+Table4[[#This Row],[Home Differential]])-Table4[[#This Row],[Away Differential]]</f>
        <v>-1.9315582518118779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0.75480165704006075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6.0122227390299994E-2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249</v>
      </c>
      <c r="V3">
        <f>COUNTIF(Table4[Locked Correct],"YES")</f>
        <v>249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-0.2172114589315223</v>
      </c>
      <c r="H4" t="s">
        <v>14</v>
      </c>
      <c r="I4">
        <f>VLOOKUP(Table4[[#This Row],[Visitor]],'NHL Model'!$A$6:$B$38,2,FALSE)</f>
        <v>-0.10735719588407502</v>
      </c>
      <c r="J4">
        <f>($B$1+Table4[[#This Row],[Home Differential]])-Table4[[#This Row],[Away Differential]]</f>
        <v>-6.0467850620825964E-2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0.50624207906165808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0.24379688448935391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171</v>
      </c>
      <c r="V4">
        <f>COUNTIF(Table4[Locked Correct],"NO")</f>
        <v>171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-0.82464120527377915</v>
      </c>
      <c r="H5" t="s">
        <v>16</v>
      </c>
      <c r="I5">
        <f>VLOOKUP(Table4[[#This Row],[Visitor]],'NHL Model'!$A$6:$B$38,2,FALSE)</f>
        <v>-1.2021149591105404</v>
      </c>
      <c r="J5">
        <f>($B$1+Table4[[#This Row],[Home Differential]])-Table4[[#This Row],[Away Differential]]</f>
        <v>0.42686016626338263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0.58909981162096714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0.347038588051859</v>
      </c>
      <c r="O5">
        <v>-4.1674767740132361E-3</v>
      </c>
      <c r="P5" s="11"/>
      <c r="Q5" t="s">
        <v>16</v>
      </c>
      <c r="R5" t="s">
        <v>248</v>
      </c>
      <c r="T5">
        <f>SUM(T3:T4)</f>
        <v>420</v>
      </c>
      <c r="V5">
        <f>SUM(V3:V4)</f>
        <v>420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-0.50406821212948805</v>
      </c>
      <c r="H6" t="s">
        <v>18</v>
      </c>
      <c r="I6">
        <f>VLOOKUP(Table4[[#This Row],[Visitor]],'NHL Model'!$A$6:$B$38,2,FALSE)</f>
        <v>-0.68642169651276408</v>
      </c>
      <c r="J6">
        <f>($B$1+Table4[[#This Row],[Home Differential]])-Table4[[#This Row],[Away Differential]]</f>
        <v>0.23173989680989732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0.50736816778038896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0.24268612211605101</v>
      </c>
      <c r="O6">
        <v>-4.4363714293103977E-3</v>
      </c>
      <c r="P6" s="11"/>
      <c r="Q6" t="s">
        <v>18</v>
      </c>
      <c r="R6" t="s">
        <v>249</v>
      </c>
      <c r="T6" s="13">
        <f>T3/T5</f>
        <v>0.59285714285714286</v>
      </c>
      <c r="V6" s="13">
        <f>V3/V5</f>
        <v>0.59285714285714286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-0.21936273413039192</v>
      </c>
      <c r="H7" t="s">
        <v>13</v>
      </c>
      <c r="I7">
        <f>VLOOKUP(Table4[[#This Row],[Visitor]],'NHL Model'!$A$6:$B$38,2,FALSE)</f>
        <v>-0.36690387823407311</v>
      </c>
      <c r="J7">
        <f>($B$1+Table4[[#This Row],[Home Differential]])-Table4[[#This Row],[Away Differential]]</f>
        <v>0.1969275565303025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0.49633590467069078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0.24634933026527303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0.49679678069457273</v>
      </c>
      <c r="H8" t="s">
        <v>21</v>
      </c>
      <c r="I8">
        <f>VLOOKUP(Table4[[#This Row],[Visitor]],'NHL Model'!$A$6:$B$38,2,FALSE)</f>
        <v>-0.24831960772154485</v>
      </c>
      <c r="J8">
        <f>($B$1+Table4[[#This Row],[Home Differential]])-Table4[[#This Row],[Away Differential]]</f>
        <v>0.79450280084273883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0.65742583185059167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0.43220872438444241</v>
      </c>
      <c r="O8">
        <v>-4.9858230986448791E-3</v>
      </c>
      <c r="P8" s="11"/>
      <c r="Q8" t="s">
        <v>21</v>
      </c>
      <c r="R8" t="s">
        <v>248</v>
      </c>
      <c r="T8">
        <f>SUM(Table4[Error])</f>
        <v>96.319085429629737</v>
      </c>
      <c r="V8">
        <f>COUNTIF(Table4[Locked Correct],"")</f>
        <v>892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-0.24831960772154485</v>
      </c>
      <c r="H9" t="s">
        <v>10</v>
      </c>
      <c r="I9">
        <f>VLOOKUP(Table4[[#This Row],[Visitor]],'NHL Model'!$A$6:$B$38,2,FALSE)</f>
        <v>-0.21549764750433295</v>
      </c>
      <c r="J9">
        <f>($B$1+Table4[[#This Row],[Home Differential]])-Table4[[#This Row],[Away Differential]]</f>
        <v>1.6564452209409414E-2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0.58480688909537659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0.17238531934265891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-0.46454876921224991</v>
      </c>
      <c r="H10" t="s">
        <v>15</v>
      </c>
      <c r="I10">
        <f>VLOOKUP(Table4[[#This Row],[Visitor]],'NHL Model'!$A$6:$B$38,2,FALSE)</f>
        <v>-0.2172114589315223</v>
      </c>
      <c r="J10">
        <f>($B$1+Table4[[#This Row],[Home Differential]])-Table4[[#This Row],[Away Differential]]</f>
        <v>-0.19795089785410633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0.57276940450995584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0.18252598172277773</v>
      </c>
      <c r="O10">
        <v>2.893763878885032E-2</v>
      </c>
      <c r="P10" s="11"/>
      <c r="Q10" t="s">
        <v>23</v>
      </c>
      <c r="R10" t="s">
        <v>249</v>
      </c>
      <c r="T10">
        <v>0.11502551772580108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0.4370463247440865</v>
      </c>
      <c r="H11" t="s">
        <v>24</v>
      </c>
      <c r="I11">
        <f>VLOOKUP(Table4[[#This Row],[Visitor]],'NHL Model'!$A$6:$B$38,2,FALSE)</f>
        <v>1.5071179757482971E-3</v>
      </c>
      <c r="J11">
        <f>($B$1+Table4[[#This Row],[Home Differential]])-Table4[[#This Row],[Away Differential]]</f>
        <v>0.48492561919495947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0.62720739183497642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0.1389743287024808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1.6140407860044261</v>
      </c>
      <c r="H12" t="s">
        <v>55</v>
      </c>
      <c r="I12">
        <f>VLOOKUP(Table4[[#This Row],[Visitor]],'NHL Model'!$A$6:$B$38,2,FALSE)</f>
        <v>-0.3968452829365326</v>
      </c>
      <c r="J12">
        <f>($B$1+Table4[[#This Row],[Home Differential]])-Table4[[#This Row],[Away Differential]]</f>
        <v>2.0602724813675799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0.88480487466769397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1.3269916900325694E-2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-0.80014284799340474</v>
      </c>
      <c r="H13" t="s">
        <v>18</v>
      </c>
      <c r="I13">
        <f>VLOOKUP(Table4[[#This Row],[Visitor]],'NHL Model'!$A$6:$B$38,2,FALSE)</f>
        <v>-0.68642169651276408</v>
      </c>
      <c r="J13">
        <f>($B$1+Table4[[#This Row],[Home Differential]])-Table4[[#This Row],[Away Differential]]</f>
        <v>-6.4334739054019319E-2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0.51649104575835192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0.23378090883185212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-0.51447808915301396</v>
      </c>
      <c r="H14" t="s">
        <v>27</v>
      </c>
      <c r="I14">
        <f>VLOOKUP(Table4[[#This Row],[Visitor]],'NHL Model'!$A$6:$B$38,2,FALSE)</f>
        <v>-0.36903552884843377</v>
      </c>
      <c r="J14">
        <f>($B$1+Table4[[#This Row],[Home Differential]])-Table4[[#This Row],[Away Differential]]</f>
        <v>-9.6056147877958908E-2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0.51356147095447868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0.26374538444892787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-1.2257669814473033</v>
      </c>
      <c r="H15" t="s">
        <v>28</v>
      </c>
      <c r="I15">
        <f>VLOOKUP(Table4[[#This Row],[Visitor]],'NHL Model'!$A$6:$B$38,2,FALSE)</f>
        <v>-0.56850564030144513</v>
      </c>
      <c r="J15">
        <f>($B$1+Table4[[#This Row],[Home Differential]])-Table4[[#This Row],[Away Differential]]</f>
        <v>-0.60787492871923698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0.53349728732886192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0.28461935558725426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-0.10735719588407502</v>
      </c>
      <c r="H16" t="s">
        <v>30</v>
      </c>
      <c r="I16">
        <f>VLOOKUP(Table4[[#This Row],[Visitor]],'NHL Model'!$A$6:$B$38,2,FALSE)</f>
        <v>-0.16042088891566345</v>
      </c>
      <c r="J16">
        <f>($B$1+Table4[[#This Row],[Home Differential]])-Table4[[#This Row],[Away Differential]]</f>
        <v>0.10245010545820973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0.47916120731353734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0.27127304796709195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-0.63765723729815182</v>
      </c>
      <c r="H17" t="s">
        <v>31</v>
      </c>
      <c r="I17">
        <f>VLOOKUP(Table4[[#This Row],[Visitor]],'NHL Model'!$A$6:$B$38,2,FALSE)</f>
        <v>0.18193976369097953</v>
      </c>
      <c r="J17">
        <f>($B$1+Table4[[#This Row],[Home Differential]])-Table4[[#This Row],[Away Differential]]</f>
        <v>-0.77021058856251001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0.56936310247652744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0.32417434246169669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-0.44540084513285771</v>
      </c>
      <c r="H18" t="s">
        <v>20</v>
      </c>
      <c r="I18">
        <f>VLOOKUP(Table4[[#This Row],[Visitor]],'NHL Model'!$A$6:$B$38,2,FALSE)</f>
        <v>-0.21936273413039192</v>
      </c>
      <c r="J18">
        <f>($B$1+Table4[[#This Row],[Home Differential]])-Table4[[#This Row],[Away Differential]]</f>
        <v>-0.17665169857584451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0.47019720369707563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0.28069100297039795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-1.3795663642467595</v>
      </c>
      <c r="H19" t="s">
        <v>34</v>
      </c>
      <c r="I19">
        <f>VLOOKUP(Table4[[#This Row],[Visitor]],'NHL Model'!$A$6:$B$38,2,FALSE)</f>
        <v>-3.2419815263072818E-2</v>
      </c>
      <c r="J19">
        <f>($B$1+Table4[[#This Row],[Home Differential]])-Table4[[#This Row],[Away Differential]]</f>
        <v>-1.2977601365570655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0.66856336541927586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0.10985024274219647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0.46523362857782063</v>
      </c>
      <c r="H20" t="s">
        <v>36</v>
      </c>
      <c r="I20">
        <f>VLOOKUP(Table4[[#This Row],[Visitor]],'NHL Model'!$A$6:$B$38,2,FALSE)</f>
        <v>-0.430694899721771</v>
      </c>
      <c r="J20">
        <f>($B$1+Table4[[#This Row],[Home Differential]])-Table4[[#This Row],[Away Differential]]</f>
        <v>0.94531494072621292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0.67745571961788698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0.45894625204298911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-0.93150212402040711</v>
      </c>
      <c r="H21" t="s">
        <v>16</v>
      </c>
      <c r="I21">
        <f>VLOOKUP(Table4[[#This Row],[Visitor]],'NHL Model'!$A$6:$B$38,2,FALSE)</f>
        <v>-1.2021149591105404</v>
      </c>
      <c r="J21">
        <f>($B$1+Table4[[#This Row],[Home Differential]])-Table4[[#This Row],[Away Differential]]</f>
        <v>0.31999924751675468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0.57680807911748155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0.17909140190023576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-0.30901762292301305</v>
      </c>
      <c r="H22" t="s">
        <v>39</v>
      </c>
      <c r="I22">
        <f>VLOOKUP(Table4[[#This Row],[Visitor]],'NHL Model'!$A$6:$B$38,2,FALSE)</f>
        <v>0.36815457830954207</v>
      </c>
      <c r="J22">
        <f>($B$1+Table4[[#This Row],[Home Differential]])-Table4[[#This Row],[Away Differential]]</f>
        <v>-0.62778578880593383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0.61319499193568006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0.14961811426363861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-0.24831960772154485</v>
      </c>
      <c r="H23" t="s">
        <v>23</v>
      </c>
      <c r="I23">
        <f>VLOOKUP(Table4[[#This Row],[Visitor]],'NHL Model'!$A$6:$B$38,2,FALSE)</f>
        <v>-0.46454876921224991</v>
      </c>
      <c r="J23">
        <f>($B$1+Table4[[#This Row],[Home Differential]])-Table4[[#This Row],[Away Differential]]</f>
        <v>0.26561557391732638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0.61345412331002125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0.14941771478602425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0.4370463247440865</v>
      </c>
      <c r="H24" t="s">
        <v>27</v>
      </c>
      <c r="I24">
        <f>VLOOKUP(Table4[[#This Row],[Visitor]],'NHL Model'!$A$6:$B$38,2,FALSE)</f>
        <v>-0.36903552884843377</v>
      </c>
      <c r="J24">
        <f>($B$1+Table4[[#This Row],[Home Differential]])-Table4[[#This Row],[Away Differential]]</f>
        <v>0.8554682660191415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0.64840068019684516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0.12362208168604115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-1.2021149591105404</v>
      </c>
      <c r="H25" t="s">
        <v>35</v>
      </c>
      <c r="I25">
        <f>VLOOKUP(Table4[[#This Row],[Visitor]],'NHL Model'!$A$6:$B$38,2,FALSE)</f>
        <v>-1.3795663642467595</v>
      </c>
      <c r="J25">
        <f>($B$1+Table4[[#This Row],[Home Differential]])-Table4[[#This Row],[Away Differential]]</f>
        <v>0.22683781756284027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0.56609213740495656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0.32046030803171222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-0.21549764750433295</v>
      </c>
      <c r="H26" t="s">
        <v>18</v>
      </c>
      <c r="I26">
        <f>VLOOKUP(Table4[[#This Row],[Visitor]],'NHL Model'!$A$6:$B$38,2,FALSE)</f>
        <v>-0.68642169651276408</v>
      </c>
      <c r="J26">
        <f>($B$1+Table4[[#This Row],[Home Differential]])-Table4[[#This Row],[Away Differential]]</f>
        <v>0.52031046143505244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0.54056114637682418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0.29220635297222636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1.6140407860044261</v>
      </c>
      <c r="H27" t="s">
        <v>39</v>
      </c>
      <c r="I27">
        <f>VLOOKUP(Table4[[#This Row],[Visitor]],'NHL Model'!$A$6:$B$38,2,FALSE)</f>
        <v>0.36815457830954207</v>
      </c>
      <c r="J27">
        <f>($B$1+Table4[[#This Row],[Home Differential]])-Table4[[#This Row],[Away Differential]]</f>
        <v>1.2952726201215052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0.71725508638235758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0.51445485894136322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-0.80014284799340474</v>
      </c>
      <c r="H28" t="s">
        <v>19</v>
      </c>
      <c r="I28">
        <f>VLOOKUP(Table4[[#This Row],[Visitor]],'NHL Model'!$A$6:$B$38,2,FALSE)</f>
        <v>-0.50406821212948805</v>
      </c>
      <c r="J28">
        <f>($B$1+Table4[[#This Row],[Home Differential]])-Table4[[#This Row],[Away Differential]]</f>
        <v>-0.24668822343729535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0.47825319122897997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0.22872611492070327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-0.82464120527377915</v>
      </c>
      <c r="H29" t="s">
        <v>38</v>
      </c>
      <c r="I29">
        <f>VLOOKUP(Table4[[#This Row],[Visitor]],'NHL Model'!$A$6:$B$38,2,FALSE)</f>
        <v>-0.93150212402040711</v>
      </c>
      <c r="J29">
        <f>($B$1+Table4[[#This Row],[Home Differential]])-Table4[[#This Row],[Away Differential]]</f>
        <v>0.15624733117324929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0.55797243016147768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0.19538837249734972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-0.51447808915301396</v>
      </c>
      <c r="H30" t="s">
        <v>36</v>
      </c>
      <c r="I30">
        <f>VLOOKUP(Table4[[#This Row],[Visitor]],'NHL Model'!$A$6:$B$38,2,FALSE)</f>
        <v>-0.430694899721771</v>
      </c>
      <c r="J30">
        <f>($B$1+Table4[[#This Row],[Home Differential]])-Table4[[#This Row],[Away Differential]]</f>
        <v>-3.4396777004621681E-2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0.46753266602345284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0.21858679379899748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-3.2419815263072818E-2</v>
      </c>
      <c r="H31" t="s">
        <v>28</v>
      </c>
      <c r="I31">
        <f>VLOOKUP(Table4[[#This Row],[Visitor]],'NHL Model'!$A$6:$B$38,2,FALSE)</f>
        <v>-0.56850564030144513</v>
      </c>
      <c r="J31">
        <f>($B$1+Table4[[#This Row],[Home Differential]])-Table4[[#This Row],[Away Differential]]</f>
        <v>0.58547223746499366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0.60376808828809669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0.3645359044350629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-1.2257669814473033</v>
      </c>
      <c r="H32" t="s">
        <v>55</v>
      </c>
      <c r="I32">
        <f>VLOOKUP(Table4[[#This Row],[Visitor]],'NHL Model'!$A$6:$B$38,2,FALSE)</f>
        <v>-0.3968452829365326</v>
      </c>
      <c r="J32">
        <f>($B$1+Table4[[#This Row],[Home Differential]])-Table4[[#This Row],[Away Differential]]</f>
        <v>-0.77953528608414957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0.5496664498673598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0.20280030637506716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-0.16042088891566345</v>
      </c>
      <c r="H33" t="s">
        <v>22</v>
      </c>
      <c r="I33">
        <f>VLOOKUP(Table4[[#This Row],[Visitor]],'NHL Model'!$A$6:$B$38,2,FALSE)</f>
        <v>0.49679678069457273</v>
      </c>
      <c r="J33">
        <f>($B$1+Table4[[#This Row],[Home Differential]])-Table4[[#This Row],[Away Differential]]</f>
        <v>-0.60783125718361486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0.58920393887536293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0.16875340383551654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-0.10735719588407502</v>
      </c>
      <c r="H34" t="s">
        <v>15</v>
      </c>
      <c r="I34">
        <f>VLOOKUP(Table4[[#This Row],[Visitor]],'NHL Model'!$A$6:$B$38,2,FALSE)</f>
        <v>-0.2172114589315223</v>
      </c>
      <c r="J34">
        <f>($B$1+Table4[[#This Row],[Home Differential]])-Table4[[#This Row],[Away Differential]]</f>
        <v>0.15924067547406859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0.45823527474429898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0.20997956701998316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-0.63765723729815182</v>
      </c>
      <c r="H35" t="s">
        <v>20</v>
      </c>
      <c r="I35">
        <f>VLOOKUP(Table4[[#This Row],[Visitor]],'NHL Model'!$A$6:$B$38,2,FALSE)</f>
        <v>-0.21936273413039192</v>
      </c>
      <c r="J35">
        <f>($B$1+Table4[[#This Row],[Home Differential]])-Table4[[#This Row],[Away Differential]]</f>
        <v>-0.36890809074113856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0.50243384413073633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0.25243976772798904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-0.44540084513285771</v>
      </c>
      <c r="H36" t="s">
        <v>31</v>
      </c>
      <c r="I36">
        <f>VLOOKUP(Table4[[#This Row],[Visitor]],'NHL Model'!$A$6:$B$38,2,FALSE)</f>
        <v>0.18193976369097953</v>
      </c>
      <c r="J36">
        <f>($B$1+Table4[[#This Row],[Home Differential]])-Table4[[#This Row],[Away Differential]]</f>
        <v>-0.5779541963972159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0.53706771595650671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0.21430629960972555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0.46523362857782063</v>
      </c>
      <c r="H37" t="s">
        <v>24</v>
      </c>
      <c r="I37">
        <f>VLOOKUP(Table4[[#This Row],[Visitor]],'NHL Model'!$A$6:$B$38,2,FALSE)</f>
        <v>1.5071179757482971E-3</v>
      </c>
      <c r="J37">
        <f>($B$1+Table4[[#This Row],[Home Differential]])-Table4[[#This Row],[Away Differential]]</f>
        <v>0.5131129230286936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0.61074521755420907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0.37300972076533817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-0.30901762292301305</v>
      </c>
      <c r="H38" t="s">
        <v>13</v>
      </c>
      <c r="I38">
        <f>VLOOKUP(Table4[[#This Row],[Visitor]],'NHL Model'!$A$6:$B$38,2,FALSE)</f>
        <v>-0.36690387823407311</v>
      </c>
      <c r="J38">
        <f>($B$1+Table4[[#This Row],[Home Differential]])-Table4[[#This Row],[Away Differential]]</f>
        <v>0.10727266773768135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0.48852957033483074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0.26160200042187293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-0.2172114589315223</v>
      </c>
      <c r="H39" t="s">
        <v>22</v>
      </c>
      <c r="I39">
        <f>VLOOKUP(Table4[[#This Row],[Visitor]],'NHL Model'!$A$6:$B$38,2,FALSE)</f>
        <v>0.49679678069457273</v>
      </c>
      <c r="J39">
        <f>($B$1+Table4[[#This Row],[Home Differential]])-Table4[[#This Row],[Away Differential]]</f>
        <v>-0.66462182719947371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0.59573630359338048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0.16342913623234342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-0.24831960772154485</v>
      </c>
      <c r="H40" t="s">
        <v>37</v>
      </c>
      <c r="I40">
        <f>VLOOKUP(Table4[[#This Row],[Visitor]],'NHL Model'!$A$6:$B$38,2,FALSE)</f>
        <v>0.46523362857782063</v>
      </c>
      <c r="J40">
        <f>($B$1+Table4[[#This Row],[Home Differential]])-Table4[[#This Row],[Away Differential]]</f>
        <v>-0.66416682387274417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0.56547910220457775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0.18880841062093978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-0.46454876921224991</v>
      </c>
      <c r="H41" t="s">
        <v>12</v>
      </c>
      <c r="I41">
        <f>VLOOKUP(Table4[[#This Row],[Visitor]],'NHL Model'!$A$6:$B$38,2,FALSE)</f>
        <v>1.6140407860044261</v>
      </c>
      <c r="J41">
        <f>($B$1+Table4[[#This Row],[Home Differential]])-Table4[[#This Row],[Away Differential]]</f>
        <v>-2.0292031427900548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0.75585912166208546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5.9604768475608388E-2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-0.56850564030144513</v>
      </c>
      <c r="H42" t="s">
        <v>24</v>
      </c>
      <c r="I42">
        <f>VLOOKUP(Table4[[#This Row],[Visitor]],'NHL Model'!$A$6:$B$38,2,FALSE)</f>
        <v>1.5071179757482971E-3</v>
      </c>
      <c r="J42">
        <f>($B$1+Table4[[#This Row],[Home Differential]])-Table4[[#This Row],[Away Differential]]</f>
        <v>-0.5206263458505721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0.54065454574238481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0.21099824634713485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-0.21549764750433295</v>
      </c>
      <c r="H43" t="s">
        <v>55</v>
      </c>
      <c r="I43">
        <f>VLOOKUP(Table4[[#This Row],[Visitor]],'NHL Model'!$A$6:$B$38,2,FALSE)</f>
        <v>-0.3968452829365326</v>
      </c>
      <c r="J43">
        <f>($B$1+Table4[[#This Row],[Home Differential]])-Table4[[#This Row],[Away Differential]]</f>
        <v>0.23073404785882096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0.56654030331193073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0.187887308652913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-3.2419815263072818E-2</v>
      </c>
      <c r="H44" t="s">
        <v>13</v>
      </c>
      <c r="I44">
        <f>VLOOKUP(Table4[[#This Row],[Visitor]],'NHL Model'!$A$6:$B$38,2,FALSE)</f>
        <v>-0.36690387823407311</v>
      </c>
      <c r="J44">
        <f>($B$1+Table4[[#This Row],[Home Differential]])-Table4[[#This Row],[Away Differential]]</f>
        <v>0.38387047539762159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0.51783911069857658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0.2324791231719395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-0.16042088891566345</v>
      </c>
      <c r="H45" t="s">
        <v>40</v>
      </c>
      <c r="I45">
        <f>VLOOKUP(Table4[[#This Row],[Visitor]],'NHL Model'!$A$6:$B$38,2,FALSE)</f>
        <v>-0.30901762292301305</v>
      </c>
      <c r="J45">
        <f>($B$1+Table4[[#This Row],[Home Differential]])-Table4[[#This Row],[Away Differential]]</f>
        <v>0.19798314643397091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0.54200388315031989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0.29376820935002562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-0.430694899721771</v>
      </c>
      <c r="H46" t="s">
        <v>29</v>
      </c>
      <c r="I46">
        <f>VLOOKUP(Table4[[#This Row],[Visitor]],'NHL Model'!$A$6:$B$38,2,FALSE)</f>
        <v>-1.2257669814473033</v>
      </c>
      <c r="J46">
        <f>($B$1+Table4[[#This Row],[Home Differential]])-Table4[[#This Row],[Away Differential]]</f>
        <v>0.84445849415215357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0.63962975469214178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0.40912622308752949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-0.36903552884843377</v>
      </c>
      <c r="H47" t="s">
        <v>11</v>
      </c>
      <c r="I47">
        <f>VLOOKUP(Table4[[#This Row],[Visitor]],'NHL Model'!$A$6:$B$38,2,FALSE)</f>
        <v>-0.51447808915301396</v>
      </c>
      <c r="J47">
        <f>($B$1+Table4[[#This Row],[Home Differential]])-Table4[[#This Row],[Away Differential]]</f>
        <v>0.19482897273120148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0.57642692395500739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0.17941415075021711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-0.50406821212948805</v>
      </c>
      <c r="H48" t="s">
        <v>26</v>
      </c>
      <c r="I48">
        <f>VLOOKUP(Table4[[#This Row],[Visitor]],'NHL Model'!$A$6:$B$38,2,FALSE)</f>
        <v>-0.80014284799340474</v>
      </c>
      <c r="J48">
        <f>($B$1+Table4[[#This Row],[Home Differential]])-Table4[[#This Row],[Away Differential]]</f>
        <v>0.34546104829053798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0.57973683593371717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0.33609479893843769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-0.93150212402040711</v>
      </c>
      <c r="H49" t="s">
        <v>35</v>
      </c>
      <c r="I49">
        <f>VLOOKUP(Table4[[#This Row],[Visitor]],'NHL Model'!$A$6:$B$38,2,FALSE)</f>
        <v>-1.3795663642467595</v>
      </c>
      <c r="J49">
        <f>($B$1+Table4[[#This Row],[Home Differential]])-Table4[[#This Row],[Away Differential]]</f>
        <v>0.49745065265297372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0.59721951886444602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0.35667115371268038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0.18193976369097953</v>
      </c>
      <c r="H50" t="s">
        <v>14</v>
      </c>
      <c r="I50">
        <f>VLOOKUP(Table4[[#This Row],[Visitor]],'NHL Model'!$A$6:$B$38,2,FALSE)</f>
        <v>-0.10735719588407502</v>
      </c>
      <c r="J50">
        <f>($B$1+Table4[[#This Row],[Home Differential]])-Table4[[#This Row],[Away Differential]]</f>
        <v>0.33868337200167586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0.62104678244841882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0.14360554109269602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-1.2021149591105404</v>
      </c>
      <c r="H51" t="s">
        <v>20</v>
      </c>
      <c r="I51">
        <f>VLOOKUP(Table4[[#This Row],[Visitor]],'NHL Model'!$A$6:$B$38,2,FALSE)</f>
        <v>-0.21936273413039192</v>
      </c>
      <c r="J51">
        <f>($B$1+Table4[[#This Row],[Home Differential]])-Table4[[#This Row],[Away Differential]]</f>
        <v>-0.93336581255352735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0.56736088581653255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0.1871766031214554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0.36815457830954207</v>
      </c>
      <c r="H52" t="s">
        <v>34</v>
      </c>
      <c r="I52">
        <f>VLOOKUP(Table4[[#This Row],[Visitor]],'NHL Model'!$A$6:$B$38,2,FALSE)</f>
        <v>-3.2419815263072818E-2</v>
      </c>
      <c r="J52">
        <f>($B$1+Table4[[#This Row],[Home Differential]])-Table4[[#This Row],[Away Differential]]</f>
        <v>0.44996080599923616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0.56512595862360004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0.18911543186304283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-0.68642169651276408</v>
      </c>
      <c r="H53" t="s">
        <v>32</v>
      </c>
      <c r="I53">
        <f>VLOOKUP(Table4[[#This Row],[Visitor]],'NHL Model'!$A$6:$B$38,2,FALSE)</f>
        <v>-0.63765723729815182</v>
      </c>
      <c r="J53">
        <f>($B$1+Table4[[#This Row],[Home Differential]])-Table4[[#This Row],[Away Differential]]</f>
        <v>6.2195321200908538E-4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0.54007154049021255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0.2115341878670462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-0.2172114589315223</v>
      </c>
      <c r="H54" t="s">
        <v>17</v>
      </c>
      <c r="I54">
        <f>VLOOKUP(Table4[[#This Row],[Visitor]],'NHL Model'!$A$6:$B$38,2,FALSE)</f>
        <v>-0.82464120527377915</v>
      </c>
      <c r="J54">
        <f>($B$1+Table4[[#This Row],[Home Differential]])-Table4[[#This Row],[Away Differential]]</f>
        <v>0.65681615876887811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0.61555061871306216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0.37890256419803364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-0.44540084513285771</v>
      </c>
      <c r="H55" t="s">
        <v>25</v>
      </c>
      <c r="I55">
        <f>VLOOKUP(Table4[[#This Row],[Visitor]],'NHL Model'!$A$6:$B$38,2,FALSE)</f>
        <v>0.4370463247440865</v>
      </c>
      <c r="J55">
        <f>($B$1+Table4[[#This Row],[Home Differential]])-Table4[[#This Row],[Away Differential]]</f>
        <v>-0.83306075745032293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0.61827222451460817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0.14571609457702572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-0.50406821212948805</v>
      </c>
      <c r="H56" t="s">
        <v>29</v>
      </c>
      <c r="I56">
        <f>VLOOKUP(Table4[[#This Row],[Visitor]],'NHL Model'!$A$6:$B$38,2,FALSE)</f>
        <v>-1.2257669814473033</v>
      </c>
      <c r="J56">
        <f>($B$1+Table4[[#This Row],[Home Differential]])-Table4[[#This Row],[Away Differential]]</f>
        <v>0.77108518174443663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0.62869447224084729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0.13786779494450294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0.49679678069457273</v>
      </c>
      <c r="H57" t="s">
        <v>37</v>
      </c>
      <c r="I57">
        <f>VLOOKUP(Table4[[#This Row],[Visitor]],'NHL Model'!$A$6:$B$38,2,FALSE)</f>
        <v>0.46523362857782063</v>
      </c>
      <c r="J57">
        <f>($B$1+Table4[[#This Row],[Home Differential]])-Table4[[#This Row],[Away Differential]]</f>
        <v>8.0949564543373376E-2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0.50298215164722893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0.24702674158121815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-0.46454876921224991</v>
      </c>
      <c r="H58" t="s">
        <v>36</v>
      </c>
      <c r="I58">
        <f>VLOOKUP(Table4[[#This Row],[Visitor]],'NHL Model'!$A$6:$B$38,2,FALSE)</f>
        <v>-0.430694899721771</v>
      </c>
      <c r="J58">
        <f>($B$1+Table4[[#This Row],[Home Differential]])-Table4[[#This Row],[Away Differential]]</f>
        <v>1.5532542936142368E-2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0.54834534324626927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0.20399192896733032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-0.80014284799340474</v>
      </c>
      <c r="H59" t="s">
        <v>11</v>
      </c>
      <c r="I59">
        <f>VLOOKUP(Table4[[#This Row],[Visitor]],'NHL Model'!$A$6:$B$38,2,FALSE)</f>
        <v>-0.51447808915301396</v>
      </c>
      <c r="J59">
        <f>($B$1+Table4[[#This Row],[Home Differential]])-Table4[[#This Row],[Away Differential]]</f>
        <v>-0.23627834641376944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0.47705578973488699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0.22758222651957671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-1.3795663642467595</v>
      </c>
      <c r="H60" t="s">
        <v>10</v>
      </c>
      <c r="I60">
        <f>VLOOKUP(Table4[[#This Row],[Visitor]],'NHL Model'!$A$6:$B$38,2,FALSE)</f>
        <v>-0.21549764750433295</v>
      </c>
      <c r="J60">
        <f>($B$1+Table4[[#This Row],[Home Differential]])-Table4[[#This Row],[Away Differential]]</f>
        <v>-1.1146823043158054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0.5882169091537145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0.16956531390692023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-0.3968452829365326</v>
      </c>
      <c r="H61" t="s">
        <v>16</v>
      </c>
      <c r="I61">
        <f>VLOOKUP(Table4[[#This Row],[Visitor]],'NHL Model'!$A$6:$B$38,2,FALSE)</f>
        <v>-1.2021149591105404</v>
      </c>
      <c r="J61">
        <f>($B$1+Table4[[#This Row],[Home Differential]])-Table4[[#This Row],[Away Differential]]</f>
        <v>0.85465608860062914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0.67873843651489818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0.1032089921728921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0.18193976369097953</v>
      </c>
      <c r="H62" t="s">
        <v>25</v>
      </c>
      <c r="I62">
        <f>VLOOKUP(Table4[[#This Row],[Visitor]],'NHL Model'!$A$6:$B$38,2,FALSE)</f>
        <v>0.4370463247440865</v>
      </c>
      <c r="J62">
        <f>($B$1+Table4[[#This Row],[Home Differential]])-Table4[[#This Row],[Away Differential]]</f>
        <v>-0.20572014862648566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0.47436729195450295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0.27628974376724269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-0.56850564030144513</v>
      </c>
      <c r="H63" t="s">
        <v>12</v>
      </c>
      <c r="I63">
        <f>VLOOKUP(Table4[[#This Row],[Visitor]],'NHL Model'!$A$6:$B$38,2,FALSE)</f>
        <v>1.6140407860044261</v>
      </c>
      <c r="J63">
        <f>($B$1+Table4[[#This Row],[Home Differential]])-Table4[[#This Row],[Away Differential]]</f>
        <v>-2.1331600138792499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0.77799100409629396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4.9287994262171765E-2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0.36815457830954207</v>
      </c>
      <c r="H64" t="s">
        <v>38</v>
      </c>
      <c r="I64">
        <f>VLOOKUP(Table4[[#This Row],[Visitor]],'NHL Model'!$A$6:$B$38,2,FALSE)</f>
        <v>-0.93150212402040711</v>
      </c>
      <c r="J64">
        <f>($B$1+Table4[[#This Row],[Home Differential]])-Table4[[#This Row],[Away Differential]]</f>
        <v>1.3490431147565705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0.72742044851759946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0.52914050892154552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-0.36690387823407311</v>
      </c>
      <c r="H65" t="s">
        <v>14</v>
      </c>
      <c r="I65">
        <f>VLOOKUP(Table4[[#This Row],[Visitor]],'NHL Model'!$A$6:$B$38,2,FALSE)</f>
        <v>-0.10735719588407502</v>
      </c>
      <c r="J65">
        <f>($B$1+Table4[[#This Row],[Home Differential]])-Table4[[#This Row],[Away Differential]]</f>
        <v>-0.2101602699233768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0.52346052709156166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0.22708986923985225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-0.68642169651276408</v>
      </c>
      <c r="H66" t="s">
        <v>29</v>
      </c>
      <c r="I66">
        <f>VLOOKUP(Table4[[#This Row],[Visitor]],'NHL Model'!$A$6:$B$38,2,FALSE)</f>
        <v>-1.2257669814473033</v>
      </c>
      <c r="J66">
        <f>($B$1+Table4[[#This Row],[Home Differential]])-Table4[[#This Row],[Away Differential]]</f>
        <v>0.5887316973611606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0.60771916829055717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0.1538842509266522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1.5071179757482971E-3</v>
      </c>
      <c r="H67" t="s">
        <v>11</v>
      </c>
      <c r="I67">
        <f>VLOOKUP(Table4[[#This Row],[Visitor]],'NHL Model'!$A$6:$B$38,2,FALSE)</f>
        <v>-0.51447808915301396</v>
      </c>
      <c r="J67">
        <f>($B$1+Table4[[#This Row],[Home Differential]])-Table4[[#This Row],[Away Differential]]</f>
        <v>0.56537161955538351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0.68486687399063428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9.9308887108434774E-2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-0.16042088891566345</v>
      </c>
      <c r="H68" t="s">
        <v>17</v>
      </c>
      <c r="I68">
        <f>VLOOKUP(Table4[[#This Row],[Visitor]],'NHL Model'!$A$6:$B$38,2,FALSE)</f>
        <v>-0.82464120527377915</v>
      </c>
      <c r="J68">
        <f>($B$1+Table4[[#This Row],[Home Differential]])-Table4[[#This Row],[Away Differential]]</f>
        <v>0.71360672878473697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0.62208298343107971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0.14282127141235357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-0.430694899721771</v>
      </c>
      <c r="H69" t="s">
        <v>32</v>
      </c>
      <c r="I69">
        <f>VLOOKUP(Table4[[#This Row],[Visitor]],'NHL Model'!$A$6:$B$38,2,FALSE)</f>
        <v>-0.63765723729815182</v>
      </c>
      <c r="J69">
        <f>($B$1+Table4[[#This Row],[Home Differential]])-Table4[[#This Row],[Away Differential]]</f>
        <v>0.25634875000300211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0.57198212689179717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0.18319929970006962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-0.36903552884843377</v>
      </c>
      <c r="H70" t="s">
        <v>40</v>
      </c>
      <c r="I70">
        <f>VLOOKUP(Table4[[#This Row],[Visitor]],'NHL Model'!$A$6:$B$38,2,FALSE)</f>
        <v>-0.30901762292301305</v>
      </c>
      <c r="J70">
        <f>($B$1+Table4[[#This Row],[Home Differential]])-Table4[[#This Row],[Away Differential]]</f>
        <v>-1.0631493498799438E-2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0.46788955971056456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0.28314152066501685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-0.50406821212948805</v>
      </c>
      <c r="H71" t="s">
        <v>15</v>
      </c>
      <c r="I71">
        <f>VLOOKUP(Table4[[#This Row],[Visitor]],'NHL Model'!$A$6:$B$38,2,FALSE)</f>
        <v>-0.2172114589315223</v>
      </c>
      <c r="J71">
        <f>($B$1+Table4[[#This Row],[Home Differential]])-Table4[[#This Row],[Away Differential]]</f>
        <v>-0.23747034077134446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0.58739661528685838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0.34503478365045753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-0.21936273413039192</v>
      </c>
      <c r="H72" t="s">
        <v>21</v>
      </c>
      <c r="I72">
        <f>VLOOKUP(Table4[[#This Row],[Visitor]],'NHL Model'!$A$6:$B$38,2,FALSE)</f>
        <v>-0.24831960772154485</v>
      </c>
      <c r="J72">
        <f>($B$1+Table4[[#This Row],[Home Differential]])-Table4[[#This Row],[Away Differential]]</f>
        <v>7.8343286017774239E-2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0.54901147703453501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0.20339064784657174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-0.21549764750433295</v>
      </c>
      <c r="H73" t="s">
        <v>38</v>
      </c>
      <c r="I73">
        <f>VLOOKUP(Table4[[#This Row],[Visitor]],'NHL Model'!$A$6:$B$38,2,FALSE)</f>
        <v>-0.93150212402040711</v>
      </c>
      <c r="J73">
        <f>($B$1+Table4[[#This Row],[Home Differential]])-Table4[[#This Row],[Away Differential]]</f>
        <v>0.76539088894269547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0.62803948326324466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0.39443359253756338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-0.80014284799340474</v>
      </c>
      <c r="H74" t="s">
        <v>37</v>
      </c>
      <c r="I74">
        <f>VLOOKUP(Table4[[#This Row],[Visitor]],'NHL Model'!$A$6:$B$38,2,FALSE)</f>
        <v>0.46523362857782063</v>
      </c>
      <c r="J74">
        <f>($B$1+Table4[[#This Row],[Home Differential]])-Table4[[#This Row],[Away Differential]]</f>
        <v>-1.215990064144604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0.66231886626949987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0.43866628061651564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-0.3968452829365326</v>
      </c>
      <c r="H75" t="s">
        <v>33</v>
      </c>
      <c r="I75">
        <f>VLOOKUP(Table4[[#This Row],[Visitor]],'NHL Model'!$A$6:$B$38,2,FALSE)</f>
        <v>-0.44540084513285771</v>
      </c>
      <c r="J75">
        <f>($B$1+Table4[[#This Row],[Home Differential]])-Table4[[#This Row],[Away Differential]]</f>
        <v>9.7941974622946404E-2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0.59169700378419443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0.16671133671880414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0.49679678069457273</v>
      </c>
      <c r="H76" t="s">
        <v>34</v>
      </c>
      <c r="I76">
        <f>VLOOKUP(Table4[[#This Row],[Visitor]],'NHL Model'!$A$6:$B$38,2,FALSE)</f>
        <v>-3.2419815263072818E-2</v>
      </c>
      <c r="J76">
        <f>($B$1+Table4[[#This Row],[Home Differential]])-Table4[[#This Row],[Away Differential]]</f>
        <v>0.57860300838426681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0.57359636411823312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0.18182006069319043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-0.46454876921224991</v>
      </c>
      <c r="H77" t="s">
        <v>11</v>
      </c>
      <c r="I77">
        <f>VLOOKUP(Table4[[#This Row],[Visitor]],'NHL Model'!$A$6:$B$38,2,FALSE)</f>
        <v>-0.51447808915301396</v>
      </c>
      <c r="J77">
        <f>($B$1+Table4[[#This Row],[Home Differential]])-Table4[[#This Row],[Away Differential]]</f>
        <v>9.9315732367385334E-2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0.56154609292262869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0.19224182863141215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-0.56850564030144513</v>
      </c>
      <c r="H78" t="s">
        <v>37</v>
      </c>
      <c r="I78">
        <f>VLOOKUP(Table4[[#This Row],[Visitor]],'NHL Model'!$A$6:$B$38,2,FALSE)</f>
        <v>0.46523362857782063</v>
      </c>
      <c r="J78">
        <f>($B$1+Table4[[#This Row],[Home Differential]])-Table4[[#This Row],[Away Differential]]</f>
        <v>-0.98435285645264448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0.64584886604619285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0.41712075777315316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1.6140407860044261</v>
      </c>
      <c r="H79" t="s">
        <v>21</v>
      </c>
      <c r="I79">
        <f>VLOOKUP(Table4[[#This Row],[Visitor]],'NHL Model'!$A$6:$B$38,2,FALSE)</f>
        <v>-0.24831960772154485</v>
      </c>
      <c r="J79">
        <f>($B$1+Table4[[#This Row],[Home Differential]])-Table4[[#This Row],[Away Differential]]</f>
        <v>1.9117468061525922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0.86772063198051574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1.7497831203634153E-2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-0.36690387823407311</v>
      </c>
      <c r="H80" t="s">
        <v>25</v>
      </c>
      <c r="I80">
        <f>VLOOKUP(Table4[[#This Row],[Visitor]],'NHL Model'!$A$6:$B$38,2,FALSE)</f>
        <v>0.4370463247440865</v>
      </c>
      <c r="J80">
        <f>($B$1+Table4[[#This Row],[Home Differential]])-Table4[[#This Row],[Away Differential]]</f>
        <v>-0.75456379055153833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0.61941725977318984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0.14484322215854767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-0.68642169651276408</v>
      </c>
      <c r="H81" t="s">
        <v>15</v>
      </c>
      <c r="I81">
        <f>VLOOKUP(Table4[[#This Row],[Visitor]],'NHL Model'!$A$6:$B$38,2,FALSE)</f>
        <v>-0.2172114589315223</v>
      </c>
      <c r="J81">
        <f>($B$1+Table4[[#This Row],[Home Differential]])-Table4[[#This Row],[Away Differential]]</f>
        <v>-0.41982382515462047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0.6083719192371484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0.15337255364199462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1.5071179757482971E-3</v>
      </c>
      <c r="H82" t="s">
        <v>17</v>
      </c>
      <c r="I82">
        <f>VLOOKUP(Table4[[#This Row],[Visitor]],'NHL Model'!$A$6:$B$38,2,FALSE)</f>
        <v>-0.82464120527377915</v>
      </c>
      <c r="J82">
        <f>($B$1+Table4[[#This Row],[Home Differential]])-Table4[[#This Row],[Away Differential]]</f>
        <v>0.8755347356761487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0.72054354700187306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7.8095909122294332E-2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-0.430694899721771</v>
      </c>
      <c r="H83" t="s">
        <v>30</v>
      </c>
      <c r="I83">
        <f>VLOOKUP(Table4[[#This Row],[Visitor]],'NHL Model'!$A$6:$B$38,2,FALSE)</f>
        <v>-0.16042088891566345</v>
      </c>
      <c r="J83">
        <f>($B$1+Table4[[#This Row],[Home Differential]])-Table4[[#This Row],[Away Differential]]</f>
        <v>-0.22088759837948627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0.55552819229052008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0.19755518784853288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-0.36903552884843377</v>
      </c>
      <c r="H84" t="s">
        <v>34</v>
      </c>
      <c r="I84">
        <f>VLOOKUP(Table4[[#This Row],[Visitor]],'NHL Model'!$A$6:$B$38,2,FALSE)</f>
        <v>-3.2419815263072818E-2</v>
      </c>
      <c r="J84">
        <f>($B$1+Table4[[#This Row],[Home Differential]])-Table4[[#This Row],[Away Differential]]</f>
        <v>-0.28722930115873968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0.53819333824706184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0.28965206933351634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-0.44540084513285771</v>
      </c>
      <c r="H85" t="s">
        <v>14</v>
      </c>
      <c r="I85">
        <f>VLOOKUP(Table4[[#This Row],[Visitor]],'NHL Model'!$A$6:$B$38,2,FALSE)</f>
        <v>-0.10735719588407502</v>
      </c>
      <c r="J85">
        <f>($B$1+Table4[[#This Row],[Home Differential]])-Table4[[#This Row],[Away Differential]]</f>
        <v>-0.28865723682216138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0.52228591754308273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0.22821074457765436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-1.3795663642467595</v>
      </c>
      <c r="H86" t="s">
        <v>39</v>
      </c>
      <c r="I86">
        <f>VLOOKUP(Table4[[#This Row],[Visitor]],'NHL Model'!$A$6:$B$38,2,FALSE)</f>
        <v>0.36815457830954207</v>
      </c>
      <c r="J86">
        <f>($B$1+Table4[[#This Row],[Home Differential]])-Table4[[#This Row],[Away Differential]]</f>
        <v>-1.6983345301296804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0.73883006946933694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0.54586987155206523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-0.50406821212948805</v>
      </c>
      <c r="H87" t="s">
        <v>32</v>
      </c>
      <c r="I87">
        <f>VLOOKUP(Table4[[#This Row],[Visitor]],'NHL Model'!$A$6:$B$38,2,FALSE)</f>
        <v>-0.63765723729815182</v>
      </c>
      <c r="J87">
        <f>($B$1+Table4[[#This Row],[Home Differential]])-Table4[[#This Row],[Away Differential]]</f>
        <v>0.18297543759528506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0.56104684444050268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0.31477356165664561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-0.21936273413039192</v>
      </c>
      <c r="H88" t="s">
        <v>16</v>
      </c>
      <c r="I88">
        <f>VLOOKUP(Table4[[#This Row],[Visitor]],'NHL Model'!$A$6:$B$38,2,FALSE)</f>
        <v>-1.2021149591105404</v>
      </c>
      <c r="J88">
        <f>($B$1+Table4[[#This Row],[Home Differential]])-Table4[[#This Row],[Away Differential]]</f>
        <v>1.0321386374067698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0.65872228113251663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0.11647048139539301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-0.30901762292301305</v>
      </c>
      <c r="H89" t="s">
        <v>29</v>
      </c>
      <c r="I89">
        <f>VLOOKUP(Table4[[#This Row],[Visitor]],'NHL Model'!$A$6:$B$38,2,FALSE)</f>
        <v>-1.2257669814473033</v>
      </c>
      <c r="J89">
        <f>($B$1+Table4[[#This Row],[Home Differential]])-Table4[[#This Row],[Away Differential]]</f>
        <v>0.96613577095091152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0.65362574645138449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0.11997512352136058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-0.21549764750433295</v>
      </c>
      <c r="H90" t="s">
        <v>31</v>
      </c>
      <c r="I90">
        <f>VLOOKUP(Table4[[#This Row],[Visitor]],'NHL Model'!$A$6:$B$38,2,FALSE)</f>
        <v>0.18193976369097953</v>
      </c>
      <c r="J90">
        <f>($B$1+Table4[[#This Row],[Home Differential]])-Table4[[#This Row],[Away Differential]]</f>
        <v>-0.34805099876869117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0.52080397709758164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0.27123678256065836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-0.80014284799340474</v>
      </c>
      <c r="H91" t="s">
        <v>17</v>
      </c>
      <c r="I91">
        <f>VLOOKUP(Table4[[#This Row],[Visitor]],'NHL Model'!$A$6:$B$38,2,FALSE)</f>
        <v>-0.82464120527377915</v>
      </c>
      <c r="J91">
        <f>($B$1+Table4[[#This Row],[Home Differential]])-Table4[[#This Row],[Away Differential]]</f>
        <v>7.3884769706995757E-2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0.55862088327635184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0.19481552467974783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-0.3968452829365326</v>
      </c>
      <c r="H92" t="s">
        <v>21</v>
      </c>
      <c r="I92">
        <f>VLOOKUP(Table4[[#This Row],[Visitor]],'NHL Model'!$A$6:$B$38,2,FALSE)</f>
        <v>-0.24831960772154485</v>
      </c>
      <c r="J92">
        <f>($B$1+Table4[[#This Row],[Home Differential]])-Table4[[#This Row],[Away Differential]]</f>
        <v>-9.9139262788366461E-2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0.43097236758308327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0.18573718162016825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0.49679678069457273</v>
      </c>
      <c r="H93" t="s">
        <v>38</v>
      </c>
      <c r="I93">
        <f>VLOOKUP(Table4[[#This Row],[Visitor]],'NHL Model'!$A$6:$B$38,2,FALSE)</f>
        <v>-0.93150212402040711</v>
      </c>
      <c r="J93">
        <f>($B$1+Table4[[#This Row],[Home Differential]])-Table4[[#This Row],[Away Differential]]</f>
        <v>1.4776853171416011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0.73600925448908383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0.54170962269357692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-1.2021149591105404</v>
      </c>
      <c r="H94" t="s">
        <v>40</v>
      </c>
      <c r="I94">
        <f>VLOOKUP(Table4[[#This Row],[Visitor]],'NHL Model'!$A$6:$B$38,2,FALSE)</f>
        <v>-0.30901762292301305</v>
      </c>
      <c r="J94">
        <f>($B$1+Table4[[#This Row],[Home Differential]])-Table4[[#This Row],[Away Differential]]</f>
        <v>-0.84371092376090617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0.57781751658574287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0.17823804930182949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-0.68642169651276408</v>
      </c>
      <c r="H95" t="s">
        <v>23</v>
      </c>
      <c r="I95">
        <f>VLOOKUP(Table4[[#This Row],[Visitor]],'NHL Model'!$A$6:$B$38,2,FALSE)</f>
        <v>-0.46454876921224991</v>
      </c>
      <c r="J95">
        <f>($B$1+Table4[[#This Row],[Home Differential]])-Table4[[#This Row],[Away Differential]]</f>
        <v>-0.17248651487389283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0.47984035067408864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0.23024676213503237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-0.2172114589315223</v>
      </c>
      <c r="H96" t="s">
        <v>34</v>
      </c>
      <c r="I96">
        <f>VLOOKUP(Table4[[#This Row],[Visitor]],'NHL Model'!$A$6:$B$38,2,FALSE)</f>
        <v>-3.2419815263072818E-2</v>
      </c>
      <c r="J96">
        <f>($B$1+Table4[[#This Row],[Home Differential]])-Table4[[#This Row],[Away Differential]]</f>
        <v>-0.13540523124182818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0.53486289065426618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0.21635253049050515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-0.36903552884843377</v>
      </c>
      <c r="H97" t="s">
        <v>32</v>
      </c>
      <c r="I97">
        <f>VLOOKUP(Table4[[#This Row],[Visitor]],'NHL Model'!$A$6:$B$38,2,FALSE)</f>
        <v>-0.63765723729815182</v>
      </c>
      <c r="J97">
        <f>($B$1+Table4[[#This Row],[Home Differential]])-Table4[[#This Row],[Away Differential]]</f>
        <v>0.31800812087633934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0.5905956692434251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0.16761190604223897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-0.21936273413039192</v>
      </c>
      <c r="H98" t="s">
        <v>25</v>
      </c>
      <c r="I98">
        <f>VLOOKUP(Table4[[#This Row],[Visitor]],'NHL Model'!$A$6:$B$38,2,FALSE)</f>
        <v>0.4370463247440865</v>
      </c>
      <c r="J98">
        <f>($B$1+Table4[[#This Row],[Home Differential]])-Table4[[#This Row],[Away Differential]]</f>
        <v>-0.60702264644785708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0.60244626328680684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0.36294150014823656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-0.24831960772154485</v>
      </c>
      <c r="H99" t="s">
        <v>11</v>
      </c>
      <c r="I99">
        <f>VLOOKUP(Table4[[#This Row],[Visitor]],'NHL Model'!$A$6:$B$38,2,FALSE)</f>
        <v>-0.51447808915301396</v>
      </c>
      <c r="J99">
        <f>($B$1+Table4[[#This Row],[Home Differential]])-Table4[[#This Row],[Away Differential]]</f>
        <v>0.31554489385809043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0.6191972691859049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0.38340525816728199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0.36815457830954207</v>
      </c>
      <c r="H100" t="s">
        <v>28</v>
      </c>
      <c r="I100">
        <f>VLOOKUP(Table4[[#This Row],[Visitor]],'NHL Model'!$A$6:$B$38,2,FALSE)</f>
        <v>-0.56850564030144513</v>
      </c>
      <c r="J100">
        <f>($B$1+Table4[[#This Row],[Home Differential]])-Table4[[#This Row],[Away Differential]]</f>
        <v>0.98604663103760848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0.68214090338380229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0.46531621206926987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-1.2257669814473033</v>
      </c>
      <c r="H101" t="s">
        <v>31</v>
      </c>
      <c r="I101">
        <f>VLOOKUP(Table4[[#This Row],[Visitor]],'NHL Model'!$A$6:$B$38,2,FALSE)</f>
        <v>0.18193976369097953</v>
      </c>
      <c r="J101">
        <f>($B$1+Table4[[#This Row],[Home Differential]])-Table4[[#This Row],[Away Differential]]</f>
        <v>-1.3583203327116617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0.63701073027687194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0.13176120993412982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-0.16042088891566345</v>
      </c>
      <c r="H102" t="s">
        <v>33</v>
      </c>
      <c r="I102">
        <f>VLOOKUP(Table4[[#This Row],[Visitor]],'NHL Model'!$A$6:$B$38,2,FALSE)</f>
        <v>-0.44540084513285771</v>
      </c>
      <c r="J102">
        <f>($B$1+Table4[[#This Row],[Home Differential]])-Table4[[#This Row],[Away Differential]]</f>
        <v>0.33436636864381558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0.578460664663351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0.1776954112360638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-0.430694899721771</v>
      </c>
      <c r="H103" t="s">
        <v>17</v>
      </c>
      <c r="I103">
        <f>VLOOKUP(Table4[[#This Row],[Visitor]],'NHL Model'!$A$6:$B$38,2,FALSE)</f>
        <v>-0.82464120527377915</v>
      </c>
      <c r="J103">
        <f>($B$1+Table4[[#This Row],[Home Differential]])-Table4[[#This Row],[Away Differential]]</f>
        <v>0.44333271797862944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0.59349005461461835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0.35223044492646266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-0.10735719588407502</v>
      </c>
      <c r="H104" t="s">
        <v>38</v>
      </c>
      <c r="I104">
        <f>VLOOKUP(Table4[[#This Row],[Visitor]],'NHL Model'!$A$6:$B$38,2,FALSE)</f>
        <v>-0.93150212402040711</v>
      </c>
      <c r="J104">
        <f>($B$1+Table4[[#This Row],[Home Differential]])-Table4[[#This Row],[Away Differential]]</f>
        <v>0.87353134056295334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0.64047839469796686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0.12925578467895091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-1.3795663642467595</v>
      </c>
      <c r="H105" t="s">
        <v>13</v>
      </c>
      <c r="I105">
        <f>VLOOKUP(Table4[[#This Row],[Visitor]],'NHL Model'!$A$6:$B$38,2,FALSE)</f>
        <v>-0.36690387823407311</v>
      </c>
      <c r="J105">
        <f>($B$1+Table4[[#This Row],[Home Differential]])-Table4[[#This Row],[Away Differential]]</f>
        <v>-0.96327607358606515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0.63711711855079822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0.13168398564887543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-0.50406821212948805</v>
      </c>
      <c r="H106" t="s">
        <v>24</v>
      </c>
      <c r="I106">
        <f>VLOOKUP(Table4[[#This Row],[Visitor]],'NHL Model'!$A$6:$B$38,2,FALSE)</f>
        <v>1.5071179757482971E-3</v>
      </c>
      <c r="J106">
        <f>($B$1+Table4[[#This Row],[Home Differential]])-Table4[[#This Row],[Away Differential]]</f>
        <v>-0.45618891767861508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0.53324259720598632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0.21786247306301312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-0.3968452829365326</v>
      </c>
      <c r="H107" t="s">
        <v>12</v>
      </c>
      <c r="I107">
        <f>VLOOKUP(Table4[[#This Row],[Visitor]],'NHL Model'!$A$6:$B$38,2,FALSE)</f>
        <v>1.6140407860044261</v>
      </c>
      <c r="J107">
        <f>($B$1+Table4[[#This Row],[Home Differential]])-Table4[[#This Row],[Away Differential]]</f>
        <v>-1.9614996565143374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0.71724262524138627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0.51443698346315569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0.49679678069457273</v>
      </c>
      <c r="H108" t="s">
        <v>32</v>
      </c>
      <c r="I108">
        <f>VLOOKUP(Table4[[#This Row],[Visitor]],'NHL Model'!$A$6:$B$38,2,FALSE)</f>
        <v>-0.63765723729815182</v>
      </c>
      <c r="J108">
        <f>($B$1+Table4[[#This Row],[Home Differential]])-Table4[[#This Row],[Away Differential]]</f>
        <v>1.1838404304193459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0.70220959426277707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8.8679125749139859E-2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-0.46454876921224991</v>
      </c>
      <c r="H109" t="s">
        <v>26</v>
      </c>
      <c r="I109">
        <f>VLOOKUP(Table4[[#This Row],[Visitor]],'NHL Model'!$A$6:$B$38,2,FALSE)</f>
        <v>-0.80014284799340474</v>
      </c>
      <c r="J109">
        <f>($B$1+Table4[[#This Row],[Home Differential]])-Table4[[#This Row],[Away Differential]]</f>
        <v>0.38498049120777611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0.59440482970426078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0.16450744216722971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-1.2021149591105404</v>
      </c>
      <c r="H110" t="s">
        <v>18</v>
      </c>
      <c r="I110">
        <f>VLOOKUP(Table4[[#This Row],[Visitor]],'NHL Model'!$A$6:$B$38,2,FALSE)</f>
        <v>-0.68642169651276408</v>
      </c>
      <c r="J110">
        <f>($B$1+Table4[[#This Row],[Home Differential]])-Table4[[#This Row],[Away Differential]]</f>
        <v>-0.46630685017115514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0.57292502068791784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0.18239303795441542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1.5071179757482971E-3</v>
      </c>
      <c r="H111" t="s">
        <v>34</v>
      </c>
      <c r="I111">
        <f>VLOOKUP(Table4[[#This Row],[Visitor]],'NHL Model'!$A$6:$B$38,2,FALSE)</f>
        <v>-3.2419815263072818E-2</v>
      </c>
      <c r="J111">
        <f>($B$1+Table4[[#This Row],[Home Differential]])-Table4[[#This Row],[Away Differential]]</f>
        <v>8.331334566544242E-2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0.57208316071863607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0.18311282134055265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-0.24831960772154485</v>
      </c>
      <c r="H112" t="s">
        <v>31</v>
      </c>
      <c r="I112">
        <f>VLOOKUP(Table4[[#This Row],[Visitor]],'NHL Model'!$A$6:$B$38,2,FALSE)</f>
        <v>0.18193976369097953</v>
      </c>
      <c r="J112">
        <f>($B$1+Table4[[#This Row],[Home Differential]])-Table4[[#This Row],[Away Differential]]</f>
        <v>-0.38087295898590307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0.48131010929511131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0.26903920271944937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1.6140407860044261</v>
      </c>
      <c r="H113" t="s">
        <v>25</v>
      </c>
      <c r="I113">
        <f>VLOOKUP(Table4[[#This Row],[Visitor]],'NHL Model'!$A$6:$B$38,2,FALSE)</f>
        <v>0.4370463247440865</v>
      </c>
      <c r="J113">
        <f>($B$1+Table4[[#This Row],[Home Differential]])-Table4[[#This Row],[Away Differential]]</f>
        <v>1.2263808736869608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0.72001246334591551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0.51841794737345337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0.36815457830954207</v>
      </c>
      <c r="H114" t="s">
        <v>13</v>
      </c>
      <c r="I114">
        <f>VLOOKUP(Table4[[#This Row],[Visitor]],'NHL Model'!$A$6:$B$38,2,FALSE)</f>
        <v>-0.36690387823407311</v>
      </c>
      <c r="J114">
        <f>($B$1+Table4[[#This Row],[Home Differential]])-Table4[[#This Row],[Away Differential]]</f>
        <v>0.78444486897023646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0.59656029110470021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0.35588418092292468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-0.82464120527377915</v>
      </c>
      <c r="H115" t="s">
        <v>18</v>
      </c>
      <c r="I115">
        <f>VLOOKUP(Table4[[#This Row],[Visitor]],'NHL Model'!$A$6:$B$38,2,FALSE)</f>
        <v>-0.68642169651276408</v>
      </c>
      <c r="J115">
        <f>($B$1+Table4[[#This Row],[Home Differential]])-Table4[[#This Row],[Away Differential]]</f>
        <v>-8.8833096334393735E-2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0.52950590672494269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0.28037650525660368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-0.51447808915301396</v>
      </c>
      <c r="H116" t="s">
        <v>14</v>
      </c>
      <c r="I116">
        <f>VLOOKUP(Table4[[#This Row],[Visitor]],'NHL Model'!$A$6:$B$38,2,FALSE)</f>
        <v>-0.10735719588407502</v>
      </c>
      <c r="J116">
        <f>($B$1+Table4[[#This Row],[Home Differential]])-Table4[[#This Row],[Away Differential]]</f>
        <v>-0.35773448084231763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0.54043532710548936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0.21119968857263857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-1.2257669814473033</v>
      </c>
      <c r="H117" t="s">
        <v>38</v>
      </c>
      <c r="I117">
        <f>VLOOKUP(Table4[[#This Row],[Visitor]],'NHL Model'!$A$6:$B$38,2,FALSE)</f>
        <v>-0.93150212402040711</v>
      </c>
      <c r="J117">
        <f>($B$1+Table4[[#This Row],[Home Differential]])-Table4[[#This Row],[Away Differential]]</f>
        <v>-0.244878445000275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0.48816726991604575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0.23830728341728546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-0.16042088891566345</v>
      </c>
      <c r="H118" t="s">
        <v>26</v>
      </c>
      <c r="I118">
        <f>VLOOKUP(Table4[[#This Row],[Visitor]],'NHL Model'!$A$6:$B$38,2,FALSE)</f>
        <v>-0.80014284799340474</v>
      </c>
      <c r="J118">
        <f>($B$1+Table4[[#This Row],[Home Differential]])-Table4[[#This Row],[Away Differential]]</f>
        <v>0.68910837150436266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0.61926504720147302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0.14495910428249656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-0.2172114589315223</v>
      </c>
      <c r="H119" t="s">
        <v>33</v>
      </c>
      <c r="I119">
        <f>VLOOKUP(Table4[[#This Row],[Visitor]],'NHL Model'!$A$6:$B$38,2,FALSE)</f>
        <v>-0.44540084513285771</v>
      </c>
      <c r="J119">
        <f>($B$1+Table4[[#This Row],[Home Differential]])-Table4[[#This Row],[Away Differential]]</f>
        <v>0.27757579862795673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0.57192829994533345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0.32710198027835929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-0.430694899721771</v>
      </c>
      <c r="H120" t="s">
        <v>27</v>
      </c>
      <c r="I120">
        <f>VLOOKUP(Table4[[#This Row],[Visitor]],'NHL Model'!$A$6:$B$38,2,FALSE)</f>
        <v>-0.36903552884843377</v>
      </c>
      <c r="J120">
        <f>($B$1+Table4[[#This Row],[Home Differential]])-Table4[[#This Row],[Away Differential]]</f>
        <v>-1.2272958446715942E-2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0.5014117033993607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0.25141369630584848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-1.3795663642467595</v>
      </c>
      <c r="H121" t="s">
        <v>55</v>
      </c>
      <c r="I121">
        <f>VLOOKUP(Table4[[#This Row],[Visitor]],'NHL Model'!$A$6:$B$38,2,FALSE)</f>
        <v>-0.3968452829365326</v>
      </c>
      <c r="J121">
        <f>($B$1+Table4[[#This Row],[Home Differential]])-Table4[[#This Row],[Away Differential]]</f>
        <v>-0.93333466888360572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0.56735730349977587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0.18717970283498506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0.46523362857782063</v>
      </c>
      <c r="H122" t="s">
        <v>10</v>
      </c>
      <c r="I122">
        <f>VLOOKUP(Table4[[#This Row],[Visitor]],'NHL Model'!$A$6:$B$38,2,FALSE)</f>
        <v>-0.21549764750433295</v>
      </c>
      <c r="J122">
        <f>($B$1+Table4[[#This Row],[Home Differential]])-Table4[[#This Row],[Away Differential]]</f>
        <v>0.7301176885087749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0.65622823092978466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0.43063549106923477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-0.30901762292301305</v>
      </c>
      <c r="H123" t="s">
        <v>32</v>
      </c>
      <c r="I123">
        <f>VLOOKUP(Table4[[#This Row],[Visitor]],'NHL Model'!$A$6:$B$38,2,FALSE)</f>
        <v>-0.63765723729815182</v>
      </c>
      <c r="J123">
        <f>($B$1+Table4[[#This Row],[Home Differential]])-Table4[[#This Row],[Away Differential]]</f>
        <v>0.37802602680176006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0.58597811865103999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0.34337035553781231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-0.46454876921224991</v>
      </c>
      <c r="H124" t="s">
        <v>19</v>
      </c>
      <c r="I124">
        <f>VLOOKUP(Table4[[#This Row],[Visitor]],'NHL Model'!$A$6:$B$38,2,FALSE)</f>
        <v>-0.50406821212948805</v>
      </c>
      <c r="J124">
        <f>($B$1+Table4[[#This Row],[Home Differential]])-Table4[[#This Row],[Away Differential]]</f>
        <v>8.8905855343859419E-2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0.56034869142853572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0.1932932731286009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-0.56850564030144513</v>
      </c>
      <c r="H125" t="s">
        <v>22</v>
      </c>
      <c r="I125">
        <f>VLOOKUP(Table4[[#This Row],[Visitor]],'NHL Model'!$A$6:$B$38,2,FALSE)</f>
        <v>0.49679678069457273</v>
      </c>
      <c r="J125">
        <f>($B$1+Table4[[#This Row],[Home Differential]])-Table4[[#This Row],[Away Differential]]</f>
        <v>-1.0159160085693966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0.63614409867951727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0.13239111692574088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1.5071179757482971E-3</v>
      </c>
      <c r="H126" t="s">
        <v>33</v>
      </c>
      <c r="I126">
        <f>VLOOKUP(Table4[[#This Row],[Visitor]],'NHL Model'!$A$6:$B$38,2,FALSE)</f>
        <v>-0.44540084513285771</v>
      </c>
      <c r="J126">
        <f>($B$1+Table4[[#This Row],[Home Differential]])-Table4[[#This Row],[Away Differential]]</f>
        <v>0.49629437553522732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0.67692122823414436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0.10437989276573384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-0.30901762292301305</v>
      </c>
      <c r="H127" t="s">
        <v>16</v>
      </c>
      <c r="I127">
        <f>VLOOKUP(Table4[[#This Row],[Visitor]],'NHL Model'!$A$6:$B$38,2,FALSE)</f>
        <v>-1.2021149591105404</v>
      </c>
      <c r="J127">
        <f>($B$1+Table4[[#This Row],[Home Differential]])-Table4[[#This Row],[Away Differential]]</f>
        <v>0.94248374861414863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0.6509051603368361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0.12186720707945012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-0.24831960772154485</v>
      </c>
      <c r="H128" t="s">
        <v>12</v>
      </c>
      <c r="I128">
        <f>VLOOKUP(Table4[[#This Row],[Visitor]],'NHL Model'!$A$6:$B$38,2,FALSE)</f>
        <v>1.6140407860044261</v>
      </c>
      <c r="J128">
        <f>($B$1+Table4[[#This Row],[Home Differential]])-Table4[[#This Row],[Away Differential]]</f>
        <v>-1.8129739812993497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0.69762124025467898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0.48667539485447653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0.36815457830954207</v>
      </c>
      <c r="H129" t="s">
        <v>25</v>
      </c>
      <c r="I129">
        <f>VLOOKUP(Table4[[#This Row],[Visitor]],'NHL Model'!$A$6:$B$38,2,FALSE)</f>
        <v>0.4370463247440865</v>
      </c>
      <c r="J129">
        <f>($B$1+Table4[[#This Row],[Home Differential]])-Table4[[#This Row],[Away Differential]]</f>
        <v>-1.9505334007923147E-2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0.50224361114267602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0.25224864493363558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-0.80014284799340474</v>
      </c>
      <c r="H130" t="s">
        <v>35</v>
      </c>
      <c r="I130">
        <f>VLOOKUP(Table4[[#This Row],[Visitor]],'NHL Model'!$A$6:$B$38,2,FALSE)</f>
        <v>-1.3795663642467595</v>
      </c>
      <c r="J130">
        <f>($B$1+Table4[[#This Row],[Home Differential]])-Table4[[#This Row],[Away Differential]]</f>
        <v>0.62880992867997609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0.62245143698629135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0.14254291743371633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-0.51447808915301396</v>
      </c>
      <c r="H131" t="s">
        <v>20</v>
      </c>
      <c r="I131">
        <f>VLOOKUP(Table4[[#This Row],[Visitor]],'NHL Model'!$A$6:$B$38,2,FALSE)</f>
        <v>-0.21936273413039192</v>
      </c>
      <c r="J131">
        <f>($B$1+Table4[[#This Row],[Home Differential]])-Table4[[#This Row],[Away Differential]]</f>
        <v>-0.24572894259600075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0.48826509884231867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0.23840280674749922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-3.2419815263072818E-2</v>
      </c>
      <c r="H132" t="s">
        <v>55</v>
      </c>
      <c r="I132">
        <f>VLOOKUP(Table4[[#This Row],[Visitor]],'NHL Model'!$A$6:$B$38,2,FALSE)</f>
        <v>-0.3968452829365326</v>
      </c>
      <c r="J132">
        <f>($B$1+Table4[[#This Row],[Home Differential]])-Table4[[#This Row],[Away Differential]]</f>
        <v>0.41381188010008108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0.58759892574959893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0.34527249754208267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-1.2257669814473033</v>
      </c>
      <c r="H133" t="s">
        <v>13</v>
      </c>
      <c r="I133">
        <f>VLOOKUP(Table4[[#This Row],[Visitor]],'NHL Model'!$A$6:$B$38,2,FALSE)</f>
        <v>-0.36690387823407311</v>
      </c>
      <c r="J133">
        <f>($B$1+Table4[[#This Row],[Home Differential]])-Table4[[#This Row],[Away Differential]]</f>
        <v>-0.809476690786609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0.61942626491838204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0.38368889767073761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-0.36903552884843377</v>
      </c>
      <c r="H134" t="s">
        <v>30</v>
      </c>
      <c r="I134">
        <f>VLOOKUP(Table4[[#This Row],[Visitor]],'NHL Model'!$A$6:$B$38,2,FALSE)</f>
        <v>-0.16042088891566345</v>
      </c>
      <c r="J134">
        <f>($B$1+Table4[[#This Row],[Home Differential]])-Table4[[#This Row],[Away Differential]]</f>
        <v>-0.15922822750614904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0.53683382782397504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0.2881905586961413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-0.10735719588407502</v>
      </c>
      <c r="H135" t="s">
        <v>28</v>
      </c>
      <c r="I135">
        <f>VLOOKUP(Table4[[#This Row],[Visitor]],'NHL Model'!$A$6:$B$38,2,FALSE)</f>
        <v>-0.56850564030144513</v>
      </c>
      <c r="J135">
        <f>($B$1+Table4[[#This Row],[Home Differential]])-Table4[[#This Row],[Away Differential]]</f>
        <v>0.51053485684399136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0.59514837728515046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0.35420159098514781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-0.63765723729815182</v>
      </c>
      <c r="H136" t="s">
        <v>17</v>
      </c>
      <c r="I136">
        <f>VLOOKUP(Table4[[#This Row],[Visitor]],'NHL Model'!$A$6:$B$38,2,FALSE)</f>
        <v>-0.82464120527377915</v>
      </c>
      <c r="J136">
        <f>($B$1+Table4[[#This Row],[Home Differential]])-Table4[[#This Row],[Away Differential]]</f>
        <v>0.23637038040224867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0.56718862538081327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0.18732568599975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0.46523362857782063</v>
      </c>
      <c r="H137" t="s">
        <v>31</v>
      </c>
      <c r="I137">
        <f>VLOOKUP(Table4[[#This Row],[Visitor]],'NHL Model'!$A$6:$B$38,2,FALSE)</f>
        <v>0.18193976369097953</v>
      </c>
      <c r="J137">
        <f>($B$1+Table4[[#This Row],[Home Differential]])-Table4[[#This Row],[Away Differential]]</f>
        <v>0.33268027731346239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0.58999085906617854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0.16810749564929026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-0.50406821212948805</v>
      </c>
      <c r="H138" t="s">
        <v>23</v>
      </c>
      <c r="I138">
        <f>VLOOKUP(Table4[[#This Row],[Visitor]],'NHL Model'!$A$6:$B$38,2,FALSE)</f>
        <v>-0.46454876921224991</v>
      </c>
      <c r="J138">
        <f>($B$1+Table4[[#This Row],[Home Differential]])-Table4[[#This Row],[Away Differential]]</f>
        <v>9.86696950938315E-3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0.54113495327620154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0.21055713110483376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-0.93150212402040711</v>
      </c>
      <c r="H139" t="s">
        <v>18</v>
      </c>
      <c r="I139">
        <f>VLOOKUP(Table4[[#This Row],[Visitor]],'NHL Model'!$A$6:$B$38,2,FALSE)</f>
        <v>-0.68642169651276408</v>
      </c>
      <c r="J139">
        <f>($B$1+Table4[[#This Row],[Home Differential]])-Table4[[#This Row],[Away Differential]]</f>
        <v>-0.19569401508102169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0.54179763922842838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0.20994940341664148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0.49679678069457273</v>
      </c>
      <c r="H140" t="s">
        <v>36</v>
      </c>
      <c r="I140">
        <f>VLOOKUP(Table4[[#This Row],[Visitor]],'NHL Model'!$A$6:$B$38,2,FALSE)</f>
        <v>-0.430694899721771</v>
      </c>
      <c r="J140">
        <f>($B$1+Table4[[#This Row],[Home Differential]])-Table4[[#This Row],[Away Differential]]</f>
        <v>0.97687809284296501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0.6748659083842552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0.45544399429930593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-1.2021149591105404</v>
      </c>
      <c r="H141" t="s">
        <v>15</v>
      </c>
      <c r="I141">
        <f>VLOOKUP(Table4[[#This Row],[Visitor]],'NHL Model'!$A$6:$B$38,2,FALSE)</f>
        <v>-0.2172114589315223</v>
      </c>
      <c r="J141">
        <f>($B$1+Table4[[#This Row],[Home Differential]])-Table4[[#This Row],[Away Differential]]</f>
        <v>-0.93551708775239695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0.66768980375516518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0.44580967403861099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-0.21549764750433295</v>
      </c>
      <c r="H142" t="s">
        <v>13</v>
      </c>
      <c r="I142">
        <f>VLOOKUP(Table4[[#This Row],[Visitor]],'NHL Model'!$A$6:$B$38,2,FALSE)</f>
        <v>-0.36690387823407311</v>
      </c>
      <c r="J142">
        <f>($B$1+Table4[[#This Row],[Home Differential]])-Table4[[#This Row],[Away Differential]]</f>
        <v>0.20079264315636147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0.49678048826090826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0.2467908535167464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-3.2419815263072818E-2</v>
      </c>
      <c r="H143" t="s">
        <v>33</v>
      </c>
      <c r="I143">
        <f>VLOOKUP(Table4[[#This Row],[Visitor]],'NHL Model'!$A$6:$B$38,2,FALSE)</f>
        <v>-0.44540084513285771</v>
      </c>
      <c r="J143">
        <f>($B$1+Table4[[#This Row],[Home Differential]])-Table4[[#This Row],[Away Differential]]</f>
        <v>0.46236744229640619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0.59318405442969857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0.35186732242965557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1.5071179757482971E-3</v>
      </c>
      <c r="H144" t="s">
        <v>12</v>
      </c>
      <c r="I144">
        <f>VLOOKUP(Table4[[#This Row],[Visitor]],'NHL Model'!$A$6:$B$38,2,FALSE)</f>
        <v>1.6140407860044261</v>
      </c>
      <c r="J144">
        <f>($B$1+Table4[[#This Row],[Home Differential]])-Table4[[#This Row],[Away Differential]]</f>
        <v>-1.5631472556020565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0.63050604770940433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0.39753787619813363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-1.2257669814473033</v>
      </c>
      <c r="H145" t="s">
        <v>39</v>
      </c>
      <c r="I145">
        <f>VLOOKUP(Table4[[#This Row],[Visitor]],'NHL Model'!$A$6:$B$38,2,FALSE)</f>
        <v>0.36815457830954207</v>
      </c>
      <c r="J145">
        <f>($B$1+Table4[[#This Row],[Home Differential]])-Table4[[#This Row],[Away Differential]]</f>
        <v>-1.5445351473302242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0.72113921583692076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7.7763336944047468E-2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0.46523362857782063</v>
      </c>
      <c r="H146" t="s">
        <v>20</v>
      </c>
      <c r="I146">
        <f>VLOOKUP(Table4[[#This Row],[Visitor]],'NHL Model'!$A$6:$B$38,2,FALSE)</f>
        <v>-0.21936273413039192</v>
      </c>
      <c r="J146">
        <f>($B$1+Table4[[#This Row],[Home Differential]])-Table4[[#This Row],[Away Differential]]</f>
        <v>0.73398277513483379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0.65667281452000215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0.11787355628961685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-0.93150212402040711</v>
      </c>
      <c r="H147" t="s">
        <v>17</v>
      </c>
      <c r="I147">
        <f>VLOOKUP(Table4[[#This Row],[Visitor]],'NHL Model'!$A$6:$B$38,2,FALSE)</f>
        <v>-0.82464120527377915</v>
      </c>
      <c r="J147">
        <f>($B$1+Table4[[#This Row],[Home Differential]])-Table4[[#This Row],[Away Differential]]</f>
        <v>-5.7474506320006613E-2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0.4666110348454936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0.21772585783958245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-0.30901762292301305</v>
      </c>
      <c r="H148" t="s">
        <v>55</v>
      </c>
      <c r="I148">
        <f>VLOOKUP(Table4[[#This Row],[Visitor]],'NHL Model'!$A$6:$B$38,2,FALSE)</f>
        <v>-0.3968452829365326</v>
      </c>
      <c r="J148">
        <f>($B$1+Table4[[#This Row],[Home Differential]])-Table4[[#This Row],[Away Differential]]</f>
        <v>0.13721407244014083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0.55827859892603271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0.3116749940188141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-0.430694899721771</v>
      </c>
      <c r="H149" t="s">
        <v>21</v>
      </c>
      <c r="I149">
        <f>VLOOKUP(Table4[[#This Row],[Visitor]],'NHL Model'!$A$6:$B$38,2,FALSE)</f>
        <v>-0.24831960772154485</v>
      </c>
      <c r="J149">
        <f>($B$1+Table4[[#This Row],[Home Differential]])-Table4[[#This Row],[Away Differential]]</f>
        <v>-0.13298887957360486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0.47280163552038817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0.22354138655075398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-0.10735719588407502</v>
      </c>
      <c r="H150" t="s">
        <v>35</v>
      </c>
      <c r="I150">
        <f>VLOOKUP(Table4[[#This Row],[Visitor]],'NHL Model'!$A$6:$B$38,2,FALSE)</f>
        <v>-1.3795663642467595</v>
      </c>
      <c r="J150">
        <f>($B$1+Table4[[#This Row],[Home Differential]])-Table4[[#This Row],[Away Differential]]</f>
        <v>1.3215955807893058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0.69201721590442067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9.4853395299264232E-2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-0.24831960772154485</v>
      </c>
      <c r="H151" t="s">
        <v>30</v>
      </c>
      <c r="I151">
        <f>VLOOKUP(Table4[[#This Row],[Visitor]],'NHL Model'!$A$6:$B$38,2,FALSE)</f>
        <v>-0.16042088891566345</v>
      </c>
      <c r="J151">
        <f>($B$1+Table4[[#This Row],[Home Differential]])-Table4[[#This Row],[Away Differential]]</f>
        <v>-3.8512306379260092E-2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0.49351286741240352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0.24355495030161259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-0.46454876921224991</v>
      </c>
      <c r="H152" t="s">
        <v>28</v>
      </c>
      <c r="I152">
        <f>VLOOKUP(Table4[[#This Row],[Visitor]],'NHL Model'!$A$6:$B$38,2,FALSE)</f>
        <v>-0.56850564030144513</v>
      </c>
      <c r="J152">
        <f>($B$1+Table4[[#This Row],[Home Differential]])-Table4[[#This Row],[Away Differential]]</f>
        <v>0.1533432835158165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0.56419709502962234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0.31831836203986469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0.4370463247440865</v>
      </c>
      <c r="H153" t="s">
        <v>20</v>
      </c>
      <c r="I153">
        <f>VLOOKUP(Table4[[#This Row],[Visitor]],'NHL Model'!$A$6:$B$38,2,FALSE)</f>
        <v>-0.21936273413039192</v>
      </c>
      <c r="J153">
        <f>($B$1+Table4[[#This Row],[Home Differential]])-Table4[[#This Row],[Away Differential]]</f>
        <v>0.70579547130109965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0.67290046582629559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0.45279503690924561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-0.21549764750433295</v>
      </c>
      <c r="H154" t="s">
        <v>36</v>
      </c>
      <c r="I154">
        <f>VLOOKUP(Table4[[#This Row],[Visitor]],'NHL Model'!$A$6:$B$38,2,FALSE)</f>
        <v>-0.430694899721771</v>
      </c>
      <c r="J154">
        <f>($B$1+Table4[[#This Row],[Home Differential]])-Table4[[#This Row],[Away Differential]]</f>
        <v>0.26458366464405936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0.5668577140670753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0.1876122398631995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1.6140407860044261</v>
      </c>
      <c r="H155" t="s">
        <v>24</v>
      </c>
      <c r="I155">
        <f>VLOOKUP(Table4[[#This Row],[Visitor]],'NHL Model'!$A$6:$B$38,2,FALSE)</f>
        <v>1.5071179757482971E-3</v>
      </c>
      <c r="J155">
        <f>($B$1+Table4[[#This Row],[Home Differential]])-Table4[[#This Row],[Away Differential]]</f>
        <v>1.6619200804552992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0.81973464624470438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3.249559776452187E-2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0.36815457830954207</v>
      </c>
      <c r="H156" t="s">
        <v>22</v>
      </c>
      <c r="I156">
        <f>VLOOKUP(Table4[[#This Row],[Visitor]],'NHL Model'!$A$6:$B$38,2,FALSE)</f>
        <v>0.49679678069457273</v>
      </c>
      <c r="J156">
        <f>($B$1+Table4[[#This Row],[Home Differential]])-Table4[[#This Row],[Away Differential]]</f>
        <v>-7.9255789958409373E-2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0.49574745431551409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0.24576553846031274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-0.82464120527377915</v>
      </c>
      <c r="H157" t="s">
        <v>55</v>
      </c>
      <c r="I157">
        <f>VLOOKUP(Table4[[#This Row],[Visitor]],'NHL Model'!$A$6:$B$38,2,FALSE)</f>
        <v>-0.3968452829365326</v>
      </c>
      <c r="J157">
        <f>($B$1+Table4[[#This Row],[Home Differential]])-Table4[[#This Row],[Away Differential]]</f>
        <v>-0.37840950991062522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0.50352674978983636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0.25353918775391648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-0.51447808915301396</v>
      </c>
      <c r="H158" t="s">
        <v>31</v>
      </c>
      <c r="I158">
        <f>VLOOKUP(Table4[[#This Row],[Visitor]],'NHL Model'!$A$6:$B$38,2,FALSE)</f>
        <v>0.18193976369097953</v>
      </c>
      <c r="J158">
        <f>($B$1+Table4[[#This Row],[Home Differential]])-Table4[[#This Row],[Away Differential]]</f>
        <v>-0.64703144041737226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0.55519435718810983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0.19785205987729881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-3.2419815263072818E-2</v>
      </c>
      <c r="H159" t="s">
        <v>40</v>
      </c>
      <c r="I159">
        <f>VLOOKUP(Table4[[#This Row],[Visitor]],'NHL Model'!$A$6:$B$38,2,FALSE)</f>
        <v>-0.30901762292301305</v>
      </c>
      <c r="J159">
        <f>($B$1+Table4[[#This Row],[Home Differential]])-Table4[[#This Row],[Away Differential]]</f>
        <v>0.32598422008656153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0.55672727291666746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0.30994525640922954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-1.2257669814473033</v>
      </c>
      <c r="H160" t="s">
        <v>37</v>
      </c>
      <c r="I160">
        <f>VLOOKUP(Table4[[#This Row],[Visitor]],'NHL Model'!$A$6:$B$38,2,FALSE)</f>
        <v>0.46523362857782063</v>
      </c>
      <c r="J160">
        <f>($B$1+Table4[[#This Row],[Home Differential]])-Table4[[#This Row],[Away Differential]]</f>
        <v>-1.6416141975985028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0.72145069209264956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7.7589716935663924E-2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-0.36903552884843377</v>
      </c>
      <c r="H161" t="s">
        <v>14</v>
      </c>
      <c r="I161">
        <f>VLOOKUP(Table4[[#This Row],[Visitor]],'NHL Model'!$A$6:$B$38,2,FALSE)</f>
        <v>-0.10735719588407502</v>
      </c>
      <c r="J161">
        <f>($B$1+Table4[[#This Row],[Home Differential]])-Table4[[#This Row],[Away Differential]]</f>
        <v>-0.21229192053773746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0.50956750292034292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0.2596590400324737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-0.63765723729815182</v>
      </c>
      <c r="H162" t="s">
        <v>18</v>
      </c>
      <c r="I162">
        <f>VLOOKUP(Table4[[#This Row],[Visitor]],'NHL Model'!$A$6:$B$38,2,FALSE)</f>
        <v>-0.68642169651276408</v>
      </c>
      <c r="J162">
        <f>($B$1+Table4[[#This Row],[Home Differential]])-Table4[[#This Row],[Away Differential]]</f>
        <v>9.8150871641233595E-2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0.49200202099787832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0.24206598866599671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-0.44540084513285771</v>
      </c>
      <c r="H163" t="s">
        <v>13</v>
      </c>
      <c r="I163">
        <f>VLOOKUP(Table4[[#This Row],[Visitor]],'NHL Model'!$A$6:$B$38,2,FALSE)</f>
        <v>-0.36690387823407311</v>
      </c>
      <c r="J163">
        <f>($B$1+Table4[[#This Row],[Home Differential]])-Table4[[#This Row],[Away Differential]]</f>
        <v>-2.9110554472163319E-2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0.51947748885751022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0.23090188371468423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-1.3795663642467595</v>
      </c>
      <c r="H164" t="s">
        <v>26</v>
      </c>
      <c r="I164">
        <f>VLOOKUP(Table4[[#This Row],[Visitor]],'NHL Model'!$A$6:$B$38,2,FALSE)</f>
        <v>-0.80014284799340474</v>
      </c>
      <c r="J164">
        <f>($B$1+Table4[[#This Row],[Home Differential]])-Table4[[#This Row],[Away Differential]]</f>
        <v>-0.53003710382673352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0.52096779228155421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0.22947185603160819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-0.50406821212948805</v>
      </c>
      <c r="H165" t="s">
        <v>16</v>
      </c>
      <c r="I165">
        <f>VLOOKUP(Table4[[#This Row],[Visitor]],'NHL Model'!$A$6:$B$38,2,FALSE)</f>
        <v>-1.2021149591105404</v>
      </c>
      <c r="J165">
        <f>($B$1+Table4[[#This Row],[Home Differential]])-Table4[[#This Row],[Away Differential]]</f>
        <v>0.74743315940767374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0.6259738861262989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0.13989553385946282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-0.93150212402040711</v>
      </c>
      <c r="H166" t="s">
        <v>15</v>
      </c>
      <c r="I166">
        <f>VLOOKUP(Table4[[#This Row],[Visitor]],'NHL Model'!$A$6:$B$38,2,FALSE)</f>
        <v>-0.2172114589315223</v>
      </c>
      <c r="J166">
        <f>($B$1+Table4[[#This Row],[Home Differential]])-Table4[[#This Row],[Away Differential]]</f>
        <v>-0.6649042526622635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0.63656242229567572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0.13208687288758675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-0.56850564030144513</v>
      </c>
      <c r="H167" t="s">
        <v>19</v>
      </c>
      <c r="I167">
        <f>VLOOKUP(Table4[[#This Row],[Visitor]],'NHL Model'!$A$6:$B$38,2,FALSE)</f>
        <v>-0.50406821212948805</v>
      </c>
      <c r="J167">
        <f>($B$1+Table4[[#This Row],[Home Differential]])-Table4[[#This Row],[Away Differential]]</f>
        <v>-1.5051015745335738E-2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0.46173125087840644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0.21319574803773791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-0.24831960772154485</v>
      </c>
      <c r="H168" t="s">
        <v>23</v>
      </c>
      <c r="I168">
        <f>VLOOKUP(Table4[[#This Row],[Visitor]],'NHL Model'!$A$6:$B$38,2,FALSE)</f>
        <v>-0.46454876921224991</v>
      </c>
      <c r="J168">
        <f>($B$1+Table4[[#This Row],[Home Differential]])-Table4[[#This Row],[Away Differential]]</f>
        <v>0.26561557391732638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0.61345412331002125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0.14941771478602425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0.4370463247440865</v>
      </c>
      <c r="H169" t="s">
        <v>30</v>
      </c>
      <c r="I169">
        <f>VLOOKUP(Table4[[#This Row],[Visitor]],'NHL Model'!$A$6:$B$38,2,FALSE)</f>
        <v>-0.16042088891566345</v>
      </c>
      <c r="J169">
        <f>($B$1+Table4[[#This Row],[Home Differential]])-Table4[[#This Row],[Away Differential]]</f>
        <v>0.6468536260863712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0.59440467323339663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0.16450756909490777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-0.82464120527377915</v>
      </c>
      <c r="H170" t="s">
        <v>15</v>
      </c>
      <c r="I170">
        <f>VLOOKUP(Table4[[#This Row],[Visitor]],'NHL Model'!$A$6:$B$38,2,FALSE)</f>
        <v>-0.2172114589315223</v>
      </c>
      <c r="J170">
        <f>($B$1+Table4[[#This Row],[Home Differential]])-Table4[[#This Row],[Away Differential]]</f>
        <v>-0.55804333391563554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0.62427068979219014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0.1411725145492366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-0.36690387823407311</v>
      </c>
      <c r="H171" t="s">
        <v>26</v>
      </c>
      <c r="I171">
        <f>VLOOKUP(Table4[[#This Row],[Visitor]],'NHL Model'!$A$6:$B$38,2,FALSE)</f>
        <v>-0.80014284799340474</v>
      </c>
      <c r="J171">
        <f>($B$1+Table4[[#This Row],[Home Differential]])-Table4[[#This Row],[Away Differential]]</f>
        <v>0.48262538218595291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0.59551423445355189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0.3546372034368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-3.2419815263072818E-2</v>
      </c>
      <c r="H172" t="s">
        <v>14</v>
      </c>
      <c r="I172">
        <f>VLOOKUP(Table4[[#This Row],[Visitor]],'NHL Model'!$A$6:$B$38,2,FALSE)</f>
        <v>-0.10735719588407502</v>
      </c>
      <c r="J172">
        <f>($B$1+Table4[[#This Row],[Home Differential]])-Table4[[#This Row],[Away Differential]]</f>
        <v>0.1243237930476235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0.51501367542270726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0.26523908587240569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-0.430694899721771</v>
      </c>
      <c r="H173" t="s">
        <v>16</v>
      </c>
      <c r="I173">
        <f>VLOOKUP(Table4[[#This Row],[Visitor]],'NHL Model'!$A$6:$B$38,2,FALSE)</f>
        <v>-1.2021149591105404</v>
      </c>
      <c r="J173">
        <f>($B$1+Table4[[#This Row],[Home Differential]])-Table4[[#This Row],[Away Differential]]</f>
        <v>0.82080647181539068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0.63690916857759339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0.1318349518630145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-0.36903552884843377</v>
      </c>
      <c r="H174" t="s">
        <v>29</v>
      </c>
      <c r="I174">
        <f>VLOOKUP(Table4[[#This Row],[Visitor]],'NHL Model'!$A$6:$B$38,2,FALSE)</f>
        <v>-1.2257669814473033</v>
      </c>
      <c r="J174">
        <f>($B$1+Table4[[#This Row],[Home Differential]])-Table4[[#This Row],[Away Differential]]</f>
        <v>0.90611786502549085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0.6582432970437696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0.1167976440155131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-0.44540084513285771</v>
      </c>
      <c r="H175" t="s">
        <v>24</v>
      </c>
      <c r="I175">
        <f>VLOOKUP(Table4[[#This Row],[Visitor]],'NHL Model'!$A$6:$B$38,2,FALSE)</f>
        <v>1.5071179757482971E-3</v>
      </c>
      <c r="J175">
        <f>($B$1+Table4[[#This Row],[Home Differential]])-Table4[[#This Row],[Away Differential]]</f>
        <v>-0.39752155068198475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0.51631335746847618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0.26657948310037044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-1.3795663642467595</v>
      </c>
      <c r="H176" t="s">
        <v>38</v>
      </c>
      <c r="I176">
        <f>VLOOKUP(Table4[[#This Row],[Visitor]],'NHL Model'!$A$6:$B$38,2,FALSE)</f>
        <v>-0.93150212402040711</v>
      </c>
      <c r="J176">
        <f>($B$1+Table4[[#This Row],[Home Differential]])-Table4[[#This Row],[Away Differential]]</f>
        <v>-0.39867782779973115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0.50585812354846182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0.24417619406304722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0.46523362857782063</v>
      </c>
      <c r="H177" t="s">
        <v>39</v>
      </c>
      <c r="I177">
        <f>VLOOKUP(Table4[[#This Row],[Visitor]],'NHL Model'!$A$6:$B$38,2,FALSE)</f>
        <v>0.36815457830954207</v>
      </c>
      <c r="J177">
        <f>($B$1+Table4[[#This Row],[Home Differential]])-Table4[[#This Row],[Away Differential]]</f>
        <v>0.14646546269489985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0.50593023510774426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0.24410493258068885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-0.30901762292301305</v>
      </c>
      <c r="H178" t="s">
        <v>10</v>
      </c>
      <c r="I178">
        <f>VLOOKUP(Table4[[#This Row],[Visitor]],'NHL Model'!$A$6:$B$38,2,FALSE)</f>
        <v>-0.21549764750433295</v>
      </c>
      <c r="J178">
        <f>($B$1+Table4[[#This Row],[Home Differential]])-Table4[[#This Row],[Away Differential]]</f>
        <v>-4.4133562992058811E-2</v>
      </c>
      <c r="K178" t="str">
        <f>IF(Table4[[#This Row],[HomeIce Differential]]&gt;0,Table4[[#This Row],[Home]],Table4[[#This Row],[Visitor]])</f>
        <v>Chicago Blackhawks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0.46258100672790586</v>
      </c>
      <c r="M178" t="str">
        <f>IF(OR((NHL2025_26Results[[#This Row],[Winning Team]]="")),"-",IF(Table4[[#This Row],[Predicted Winner]]=NHL2025_26Results[[#This Row],[Winning Team]],"YES","NO"))</f>
        <v>NO</v>
      </c>
      <c r="N178">
        <f>IF(Table4[[#This Row],[Adjusted Correct]]="-", "",IF(Table4[[#This Row],[Adjusted Correct]]="YES",(Table4[[#This Row],[Strength of Win]]-1)^2,(Table4[[#This Row],[Strength of Win]]-0)^2))</f>
        <v>0.2139811877854029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0.18193976369097953</v>
      </c>
      <c r="H179" t="s">
        <v>26</v>
      </c>
      <c r="I179">
        <f>VLOOKUP(Table4[[#This Row],[Visitor]],'NHL Model'!$A$6:$B$38,2,FALSE)</f>
        <v>-0.80014284799340474</v>
      </c>
      <c r="J179">
        <f>($B$1+Table4[[#This Row],[Home Differential]])-Table4[[#This Row],[Away Differential]]</f>
        <v>1.0314690241110056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0.73847996926029691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6.8392726478095245E-2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-0.21936273413039192</v>
      </c>
      <c r="H180" t="s">
        <v>12</v>
      </c>
      <c r="I180">
        <f>VLOOKUP(Table4[[#This Row],[Visitor]],'NHL Model'!$A$6:$B$38,2,FALSE)</f>
        <v>1.6140407860044261</v>
      </c>
      <c r="J180">
        <f>($B$1+Table4[[#This Row],[Home Differential]])-Table4[[#This Row],[Away Differential]]</f>
        <v>-1.7840171077081968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0.73783066055367774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6.8732762545720943E-2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0.49679678069457273</v>
      </c>
      <c r="H181" t="s">
        <v>30</v>
      </c>
      <c r="I181">
        <f>VLOOKUP(Table4[[#This Row],[Visitor]],'NHL Model'!$A$6:$B$38,2,FALSE)</f>
        <v>-0.16042088891566345</v>
      </c>
      <c r="J181">
        <f>($B$1+Table4[[#This Row],[Home Differential]])-Table4[[#This Row],[Away Differential]]</f>
        <v>0.70660408203685743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0.57494838643940327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0.33056564706927338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-0.24831960772154485</v>
      </c>
      <c r="H182" t="s">
        <v>25</v>
      </c>
      <c r="I182">
        <f>VLOOKUP(Table4[[#This Row],[Visitor]],'NHL Model'!$A$6:$B$38,2,FALSE)</f>
        <v>0.4370463247440865</v>
      </c>
      <c r="J182">
        <f>($B$1+Table4[[#This Row],[Home Differential]])-Table4[[#This Row],[Away Differential]]</f>
        <v>-0.63597952003901004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0.56223684298780807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0.31611026761289712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-0.46454876921224991</v>
      </c>
      <c r="H183" t="s">
        <v>22</v>
      </c>
      <c r="I183">
        <f>VLOOKUP(Table4[[#This Row],[Visitor]],'NHL Model'!$A$6:$B$38,2,FALSE)</f>
        <v>0.49679678069457273</v>
      </c>
      <c r="J183">
        <f>($B$1+Table4[[#This Row],[Home Differential]])-Table4[[#This Row],[Away Differential]]</f>
        <v>-0.91195913748020141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0.61398948102434425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0.37698308280854359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-0.56850564030144513</v>
      </c>
      <c r="H184" t="s">
        <v>35</v>
      </c>
      <c r="I184">
        <f>VLOOKUP(Table4[[#This Row],[Visitor]],'NHL Model'!$A$6:$B$38,2,FALSE)</f>
        <v>-1.3795663642467595</v>
      </c>
      <c r="J184">
        <f>($B$1+Table4[[#This Row],[Home Differential]])-Table4[[#This Row],[Away Differential]]</f>
        <v>0.86044713637193571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0.63897337733686488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0.13034022227154976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-0.82464120527377915</v>
      </c>
      <c r="H185" t="s">
        <v>10</v>
      </c>
      <c r="I185">
        <f>VLOOKUP(Table4[[#This Row],[Visitor]],'NHL Model'!$A$6:$B$38,2,FALSE)</f>
        <v>-0.21549764750433295</v>
      </c>
      <c r="J185">
        <f>($B$1+Table4[[#This Row],[Home Differential]])-Table4[[#This Row],[Away Differential]]</f>
        <v>-0.55975714534282484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0.52438635544377488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0.274981049775605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-0.51447808915301396</v>
      </c>
      <c r="H186" t="s">
        <v>39</v>
      </c>
      <c r="I186">
        <f>VLOOKUP(Table4[[#This Row],[Visitor]],'NHL Model'!$A$6:$B$38,2,FALSE)</f>
        <v>0.36815457830954207</v>
      </c>
      <c r="J186">
        <f>($B$1+Table4[[#This Row],[Home Differential]])-Table4[[#This Row],[Away Differential]]</f>
        <v>-0.83324625503593475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0.63932284274815854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0.40873369725958664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-0.36690387823407311</v>
      </c>
      <c r="H187" t="s">
        <v>24</v>
      </c>
      <c r="I187">
        <f>VLOOKUP(Table4[[#This Row],[Visitor]],'NHL Model'!$A$6:$B$38,2,FALSE)</f>
        <v>1.5071179757482971E-3</v>
      </c>
      <c r="J187">
        <f>($B$1+Table4[[#This Row],[Home Differential]])-Table4[[#This Row],[Away Differential]]</f>
        <v>-0.31902458378320014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0.51746519868615148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0.23283983447899526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-3.2419815263072818E-2</v>
      </c>
      <c r="H188" t="s">
        <v>38</v>
      </c>
      <c r="I188">
        <f>VLOOKUP(Table4[[#This Row],[Visitor]],'NHL Model'!$A$6:$B$38,2,FALSE)</f>
        <v>-0.93150212402040711</v>
      </c>
      <c r="J188">
        <f>($B$1+Table4[[#This Row],[Home Differential]])-Table4[[#This Row],[Away Differential]]</f>
        <v>0.94846872118395564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0.64909810570091298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0.12313213942268764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-0.68642169651276408</v>
      </c>
      <c r="H189" t="s">
        <v>36</v>
      </c>
      <c r="I189">
        <f>VLOOKUP(Table4[[#This Row],[Visitor]],'NHL Model'!$A$6:$B$38,2,FALSE)</f>
        <v>-0.430694899721771</v>
      </c>
      <c r="J189">
        <f>($B$1+Table4[[#This Row],[Home Differential]])-Table4[[#This Row],[Away Differential]]</f>
        <v>-0.20634038436437174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0.48731056847964993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0.23747159015195959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-1.2257669814473033</v>
      </c>
      <c r="H190" t="s">
        <v>16</v>
      </c>
      <c r="I190">
        <f>VLOOKUP(Table4[[#This Row],[Visitor]],'NHL Model'!$A$6:$B$38,2,FALSE)</f>
        <v>-1.2021149591105404</v>
      </c>
      <c r="J190">
        <f>($B$1+Table4[[#This Row],[Home Differential]])-Table4[[#This Row],[Away Differential]]</f>
        <v>2.5734390089858339E-2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0.5429601115434437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0.20888545964038141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-0.36903552884843377</v>
      </c>
      <c r="H191" t="s">
        <v>19</v>
      </c>
      <c r="I191">
        <f>VLOOKUP(Table4[[#This Row],[Visitor]],'NHL Model'!$A$6:$B$38,2,FALSE)</f>
        <v>-0.50406821212948805</v>
      </c>
      <c r="J191">
        <f>($B$1+Table4[[#This Row],[Home Differential]])-Table4[[#This Row],[Away Differential]]</f>
        <v>0.18441909570767556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0.57522952246091441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0.33088900351061162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-0.63765723729815182</v>
      </c>
      <c r="H192" t="s">
        <v>15</v>
      </c>
      <c r="I192">
        <f>VLOOKUP(Table4[[#This Row],[Visitor]],'NHL Model'!$A$6:$B$38,2,FALSE)</f>
        <v>-0.2172114589315223</v>
      </c>
      <c r="J192">
        <f>($B$1+Table4[[#This Row],[Home Differential]])-Table4[[#This Row],[Away Differential]]</f>
        <v>-0.37105936594000821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0.60276276206936896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0.15779742319875678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-0.44540084513285771</v>
      </c>
      <c r="H193" t="s">
        <v>12</v>
      </c>
      <c r="I193">
        <f>VLOOKUP(Table4[[#This Row],[Visitor]],'NHL Model'!$A$6:$B$38,2,FALSE)</f>
        <v>1.6140407860044261</v>
      </c>
      <c r="J193">
        <f>($B$1+Table4[[#This Row],[Home Differential]])-Table4[[#This Row],[Away Differential]]</f>
        <v>-2.0100552187106624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0.75365662178147907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0.56799830355507142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-0.30901762292301305</v>
      </c>
      <c r="H194" t="s">
        <v>14</v>
      </c>
      <c r="I194">
        <f>VLOOKUP(Table4[[#This Row],[Visitor]],'NHL Model'!$A$6:$B$38,2,FALSE)</f>
        <v>-0.10735719588407502</v>
      </c>
      <c r="J194">
        <f>($B$1+Table4[[#This Row],[Home Differential]])-Table4[[#This Row],[Away Differential]]</f>
        <v>-0.15227401461231674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0.51428959091535509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0.26449378332388329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0.18193976369097953</v>
      </c>
      <c r="H195" t="s">
        <v>24</v>
      </c>
      <c r="I195">
        <f>VLOOKUP(Table4[[#This Row],[Visitor]],'NHL Model'!$A$6:$B$38,2,FALSE)</f>
        <v>1.5071179757482971E-3</v>
      </c>
      <c r="J195">
        <f>($B$1+Table4[[#This Row],[Home Differential]])-Table4[[#This Row],[Away Differential]]</f>
        <v>0.22981905814185255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0.62643505614602257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0.1395507672766253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-0.16042088891566345</v>
      </c>
      <c r="H196" t="s">
        <v>28</v>
      </c>
      <c r="I196">
        <f>VLOOKUP(Table4[[#This Row],[Visitor]],'NHL Model'!$A$6:$B$38,2,FALSE)</f>
        <v>-0.56850564030144513</v>
      </c>
      <c r="J196">
        <f>($B$1+Table4[[#This Row],[Home Differential]])-Table4[[#This Row],[Away Differential]]</f>
        <v>0.45747116381240299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0.58904469852174901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0.16888425981308017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-0.36903552884843377</v>
      </c>
      <c r="H197" t="s">
        <v>16</v>
      </c>
      <c r="I197">
        <f>VLOOKUP(Table4[[#This Row],[Visitor]],'NHL Model'!$A$6:$B$38,2,FALSE)</f>
        <v>-1.2021149591105404</v>
      </c>
      <c r="J197">
        <f>($B$1+Table4[[#This Row],[Home Differential]])-Table4[[#This Row],[Away Differential]]</f>
        <v>0.88246584268872796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0.65552271092922121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0.42971002454399532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-0.44540084513285771</v>
      </c>
      <c r="H198" t="s">
        <v>26</v>
      </c>
      <c r="I198">
        <f>VLOOKUP(Table4[[#This Row],[Visitor]],'NHL Model'!$A$6:$B$38,2,FALSE)</f>
        <v>-0.80014284799340474</v>
      </c>
      <c r="J198">
        <f>($B$1+Table4[[#This Row],[Home Differential]])-Table4[[#This Row],[Away Differential]]</f>
        <v>0.40412841528716831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0.59660732958486717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0.35594030571438634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-0.3968452829365326</v>
      </c>
      <c r="H199" t="s">
        <v>37</v>
      </c>
      <c r="I199">
        <f>VLOOKUP(Table4[[#This Row],[Visitor]],'NHL Model'!$A$6:$B$38,2,FALSE)</f>
        <v>0.46523362857782063</v>
      </c>
      <c r="J199">
        <f>($B$1+Table4[[#This Row],[Home Differential]])-Table4[[#This Row],[Away Differential]]</f>
        <v>-0.812692499087732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0.58510048719128505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0.17214160572890902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-1.2257669814473033</v>
      </c>
      <c r="H200" t="s">
        <v>38</v>
      </c>
      <c r="I200">
        <f>VLOOKUP(Table4[[#This Row],[Visitor]],'NHL Model'!$A$6:$B$38,2,FALSE)</f>
        <v>-0.93150212402040711</v>
      </c>
      <c r="J200">
        <f>($B$1+Table4[[#This Row],[Home Differential]])-Table4[[#This Row],[Away Differential]]</f>
        <v>-0.244878445000275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0.48816726991604575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0.26197274358519396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-0.63765723729815182</v>
      </c>
      <c r="H201" t="s">
        <v>10</v>
      </c>
      <c r="I201">
        <f>VLOOKUP(Table4[[#This Row],[Visitor]],'NHL Model'!$A$6:$B$38,2,FALSE)</f>
        <v>-0.21549764750433295</v>
      </c>
      <c r="J201">
        <f>($B$1+Table4[[#This Row],[Home Differential]])-Table4[[#This Row],[Away Differential]]</f>
        <v>-0.37277317736719751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0.50287842772095381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0.25288671306709859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-1.3795663642467595</v>
      </c>
      <c r="H202" t="s">
        <v>17</v>
      </c>
      <c r="I202">
        <f>VLOOKUP(Table4[[#This Row],[Visitor]],'NHL Model'!$A$6:$B$38,2,FALSE)</f>
        <v>-0.82464120527377915</v>
      </c>
      <c r="J202">
        <f>($B$1+Table4[[#This Row],[Home Differential]])-Table4[[#This Row],[Away Differential]]</f>
        <v>-0.50553874654635911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0.51814985605194752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0.26847927332665394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-0.50406821212948805</v>
      </c>
      <c r="H203" t="s">
        <v>14</v>
      </c>
      <c r="I203">
        <f>VLOOKUP(Table4[[#This Row],[Visitor]],'NHL Model'!$A$6:$B$38,2,FALSE)</f>
        <v>-0.10735719588407502</v>
      </c>
      <c r="J203">
        <f>($B$1+Table4[[#This Row],[Home Differential]])-Table4[[#This Row],[Away Differential]]</f>
        <v>-0.34732460381879171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0.53923792561139638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0.29077754041768183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0.18193976369097953</v>
      </c>
      <c r="H204" t="s">
        <v>11</v>
      </c>
      <c r="I204">
        <f>VLOOKUP(Table4[[#This Row],[Visitor]],'NHL Model'!$A$6:$B$38,2,FALSE)</f>
        <v>-0.51447808915301396</v>
      </c>
      <c r="J204">
        <f>($B$1+Table4[[#This Row],[Home Differential]])-Table4[[#This Row],[Away Differential]]</f>
        <v>0.74580426527061483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0.70562123247866482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8.6658858767380303E-2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-0.46454876921224991</v>
      </c>
      <c r="H205" t="s">
        <v>55</v>
      </c>
      <c r="I205">
        <f>VLOOKUP(Table4[[#This Row],[Visitor]],'NHL Model'!$A$6:$B$38,2,FALSE)</f>
        <v>-0.3968452829365326</v>
      </c>
      <c r="J205">
        <f>($B$1+Table4[[#This Row],[Home Differential]])-Table4[[#This Row],[Away Differential]]</f>
        <v>-1.8317073849096033E-2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0.45198468151396098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0.30032078929535477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1.6140407860044261</v>
      </c>
      <c r="H206" t="s">
        <v>37</v>
      </c>
      <c r="I206">
        <f>VLOOKUP(Table4[[#This Row],[Visitor]],'NHL Model'!$A$6:$B$38,2,FALSE)</f>
        <v>0.46523362857782063</v>
      </c>
      <c r="J206">
        <f>($B$1+Table4[[#This Row],[Home Differential]])-Table4[[#This Row],[Away Differential]]</f>
        <v>1.1981935698532267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0.71677020412914572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8.0219117269045792E-2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0.36815457830954207</v>
      </c>
      <c r="H207" t="s">
        <v>17</v>
      </c>
      <c r="I207">
        <f>VLOOKUP(Table4[[#This Row],[Visitor]],'NHL Model'!$A$6:$B$38,2,FALSE)</f>
        <v>-0.82464120527377915</v>
      </c>
      <c r="J207">
        <f>($B$1+Table4[[#This Row],[Home Differential]])-Table4[[#This Row],[Away Differential]]</f>
        <v>1.2421821960099426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0.71512871601411376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8.1151648439767438E-2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-0.36690387823407311</v>
      </c>
      <c r="H208" t="s">
        <v>40</v>
      </c>
      <c r="I208">
        <f>VLOOKUP(Table4[[#This Row],[Visitor]],'NHL Model'!$A$6:$B$38,2,FALSE)</f>
        <v>-0.30901762292301305</v>
      </c>
      <c r="J208">
        <f>($B$1+Table4[[#This Row],[Home Differential]])-Table4[[#This Row],[Away Differential]]</f>
        <v>-8.4998428844387797E-3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0.48174692959760124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0.23208010417671615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-3.2419815263072818E-2</v>
      </c>
      <c r="H209" t="s">
        <v>29</v>
      </c>
      <c r="I209">
        <f>VLOOKUP(Table4[[#This Row],[Visitor]],'NHL Model'!$A$6:$B$38,2,FALSE)</f>
        <v>-1.2257669814473033</v>
      </c>
      <c r="J209">
        <f>($B$1+Table4[[#This Row],[Home Differential]])-Table4[[#This Row],[Away Differential]]</f>
        <v>1.2427335786108518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0.68294607327495083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0.10052319245177285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-0.68642169651276408</v>
      </c>
      <c r="H210" t="s">
        <v>27</v>
      </c>
      <c r="I210">
        <f>VLOOKUP(Table4[[#This Row],[Visitor]],'NHL Model'!$A$6:$B$38,2,FALSE)</f>
        <v>-0.36903552884843377</v>
      </c>
      <c r="J210">
        <f>($B$1+Table4[[#This Row],[Home Differential]])-Table4[[#This Row],[Away Differential]]</f>
        <v>-0.26799975523770897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0.53333937341067572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0.21777214040874074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-0.16042088891566345</v>
      </c>
      <c r="H211" t="s">
        <v>21</v>
      </c>
      <c r="I211">
        <f>VLOOKUP(Table4[[#This Row],[Visitor]],'NHL Model'!$A$6:$B$38,2,FALSE)</f>
        <v>-0.24831960772154485</v>
      </c>
      <c r="J211">
        <f>($B$1+Table4[[#This Row],[Home Differential]])-Table4[[#This Row],[Away Differential]]</f>
        <v>0.13728513123250272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0.55579129329607324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0.3089039617037217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-0.2172114589315223</v>
      </c>
      <c r="H212" t="s">
        <v>25</v>
      </c>
      <c r="I212">
        <f>VLOOKUP(Table4[[#This Row],[Visitor]],'NHL Model'!$A$6:$B$38,2,FALSE)</f>
        <v>0.4370463247440865</v>
      </c>
      <c r="J212">
        <f>($B$1+Table4[[#This Row],[Home Differential]])-Table4[[#This Row],[Away Differential]]</f>
        <v>-0.60487137124898749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0.60219881174328627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0.15824578537845341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-0.21936273413039192</v>
      </c>
      <c r="H213" t="s">
        <v>26</v>
      </c>
      <c r="I213">
        <f>VLOOKUP(Table4[[#This Row],[Visitor]],'NHL Model'!$A$6:$B$38,2,FALSE)</f>
        <v>-0.80014284799340474</v>
      </c>
      <c r="J213">
        <f>($B$1+Table4[[#This Row],[Home Differential]])-Table4[[#This Row],[Away Differential]]</f>
        <v>0.6301665262896341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0.61248523093993479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0.15016769623967569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-1.2021149591105404</v>
      </c>
      <c r="H214" t="s">
        <v>28</v>
      </c>
      <c r="I214">
        <f>VLOOKUP(Table4[[#This Row],[Visitor]],'NHL Model'!$A$6:$B$38,2,FALSE)</f>
        <v>-0.56850564030144513</v>
      </c>
      <c r="J214">
        <f>($B$1+Table4[[#This Row],[Home Differential]])-Table4[[#This Row],[Away Differential]]</f>
        <v>-0.58422290638247409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0.53077670121431353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0.28172390655194868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-0.63765723729815182</v>
      </c>
      <c r="H215" t="s">
        <v>33</v>
      </c>
      <c r="I215">
        <f>VLOOKUP(Table4[[#This Row],[Visitor]],'NHL Model'!$A$6:$B$38,2,FALSE)</f>
        <v>-0.44540084513285771</v>
      </c>
      <c r="J215">
        <f>($B$1+Table4[[#This Row],[Home Differential]])-Table4[[#This Row],[Away Differential]]</f>
        <v>-0.14286997973867277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0.47643369338691555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0.27412167742046634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-0.50406821212948805</v>
      </c>
      <c r="H216" t="s">
        <v>55</v>
      </c>
      <c r="I216">
        <f>VLOOKUP(Table4[[#This Row],[Visitor]],'NHL Model'!$A$6:$B$38,2,FALSE)</f>
        <v>-0.3968452829365326</v>
      </c>
      <c r="J216">
        <f>($B$1+Table4[[#This Row],[Home Differential]])-Table4[[#This Row],[Away Differential]]</f>
        <v>-5.7836516766334167E-2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0.4666526752845046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0.21776471935018529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-0.93150212402040711</v>
      </c>
      <c r="H217" t="s">
        <v>10</v>
      </c>
      <c r="I217">
        <f>VLOOKUP(Table4[[#This Row],[Visitor]],'NHL Model'!$A$6:$B$38,2,FALSE)</f>
        <v>-0.21549764750433295</v>
      </c>
      <c r="J217">
        <f>($B$1+Table4[[#This Row],[Home Differential]])-Table4[[#This Row],[Away Differential]]</f>
        <v>-0.66661806408945279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0.53667808794726057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0.2146671941882064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0.49679678069457273</v>
      </c>
      <c r="H218" t="s">
        <v>35</v>
      </c>
      <c r="I218">
        <f>VLOOKUP(Table4[[#This Row],[Visitor]],'NHL Model'!$A$6:$B$38,2,FALSE)</f>
        <v>-1.3795663642467595</v>
      </c>
      <c r="J218">
        <f>($B$1+Table4[[#This Row],[Home Differential]])-Table4[[#This Row],[Away Differential]]</f>
        <v>1.9257495573679535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0.78754807569553775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4.5135820140668956E-2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-0.24831960772154485</v>
      </c>
      <c r="H219" t="s">
        <v>36</v>
      </c>
      <c r="I219">
        <f>VLOOKUP(Table4[[#This Row],[Visitor]],'NHL Model'!$A$6:$B$38,2,FALSE)</f>
        <v>-0.430694899721771</v>
      </c>
      <c r="J219">
        <f>($B$1+Table4[[#This Row],[Home Differential]])-Table4[[#This Row],[Away Differential]]</f>
        <v>0.23176170442684746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0.60605765167161352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0.15519057380648379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-0.46454876921224991</v>
      </c>
      <c r="H220" t="s">
        <v>35</v>
      </c>
      <c r="I220">
        <f>VLOOKUP(Table4[[#This Row],[Visitor]],'NHL Model'!$A$6:$B$38,2,FALSE)</f>
        <v>-1.3795663642467595</v>
      </c>
      <c r="J220">
        <f>($B$1+Table4[[#This Row],[Home Differential]])-Table4[[#This Row],[Away Differential]]</f>
        <v>0.96440400746113086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0.66105331964380698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0.43699149141209725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0.4370463247440865</v>
      </c>
      <c r="H221" t="s">
        <v>34</v>
      </c>
      <c r="I221">
        <f>VLOOKUP(Table4[[#This Row],[Visitor]],'NHL Model'!$A$6:$B$38,2,FALSE)</f>
        <v>-3.2419815263072818E-2</v>
      </c>
      <c r="J221">
        <f>($B$1+Table4[[#This Row],[Home Differential]])-Table4[[#This Row],[Away Differential]]</f>
        <v>0.51885255243378059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0.59301461680038225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0.1656371021381397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0.36815457830954207</v>
      </c>
      <c r="H222" t="s">
        <v>31</v>
      </c>
      <c r="I222">
        <f>VLOOKUP(Table4[[#This Row],[Visitor]],'NHL Model'!$A$6:$B$38,2,FALSE)</f>
        <v>0.18193976369097953</v>
      </c>
      <c r="J222">
        <f>($B$1+Table4[[#This Row],[Home Differential]])-Table4[[#This Row],[Away Differential]]</f>
        <v>0.23560122704518383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0.57882429104874078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0.33503755990807738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-0.36690387823407311</v>
      </c>
      <c r="H223" t="s">
        <v>11</v>
      </c>
      <c r="I223">
        <f>VLOOKUP(Table4[[#This Row],[Visitor]],'NHL Model'!$A$6:$B$38,2,FALSE)</f>
        <v>-0.51447808915301396</v>
      </c>
      <c r="J223">
        <f>($B$1+Table4[[#This Row],[Home Differential]])-Table4[[#This Row],[Away Differential]]</f>
        <v>0.19696062334556214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0.5626554976719198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0.31658120906043574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1.5071179757482971E-3</v>
      </c>
      <c r="H224" t="s">
        <v>18</v>
      </c>
      <c r="I224">
        <f>VLOOKUP(Table4[[#This Row],[Visitor]],'NHL Model'!$A$6:$B$38,2,FALSE)</f>
        <v>-0.68642169651276408</v>
      </c>
      <c r="J224">
        <f>($B$1+Table4[[#This Row],[Home Differential]])-Table4[[#This Row],[Away Differential]]</f>
        <v>0.73731522691513374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0.64731006570302962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0.12439018975440128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-1.2257669814473033</v>
      </c>
      <c r="H225" t="s">
        <v>27</v>
      </c>
      <c r="I225">
        <f>VLOOKUP(Table4[[#This Row],[Visitor]],'NHL Model'!$A$6:$B$38,2,FALSE)</f>
        <v>-0.36903552884843377</v>
      </c>
      <c r="J225">
        <f>($B$1+Table4[[#This Row],[Home Differential]])-Table4[[#This Row],[Away Differential]]</f>
        <v>-0.8073450401722484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0.5953778440432409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0.16371908909109589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-0.10735719588407502</v>
      </c>
      <c r="H226" t="s">
        <v>22</v>
      </c>
      <c r="I226">
        <f>VLOOKUP(Table4[[#This Row],[Visitor]],'NHL Model'!$A$6:$B$38,2,FALSE)</f>
        <v>0.49679678069457273</v>
      </c>
      <c r="J226">
        <f>($B$1+Table4[[#This Row],[Home Differential]])-Table4[[#This Row],[Away Differential]]</f>
        <v>-0.55476756415202644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0.58310026011196148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0.34000591334263713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-0.21936273413039192</v>
      </c>
      <c r="H227" t="s">
        <v>37</v>
      </c>
      <c r="I227">
        <f>VLOOKUP(Table4[[#This Row],[Visitor]],'NHL Model'!$A$6:$B$38,2,FALSE)</f>
        <v>0.46523362857782063</v>
      </c>
      <c r="J227">
        <f>($B$1+Table4[[#This Row],[Home Differential]])-Table4[[#This Row],[Away Differential]]</f>
        <v>-0.63520995028159122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0.60568852250357663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0.15548154128541239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-1.2021149591105404</v>
      </c>
      <c r="H228" t="s">
        <v>10</v>
      </c>
      <c r="I228">
        <f>VLOOKUP(Table4[[#This Row],[Visitor]],'NHL Model'!$A$6:$B$38,2,FALSE)</f>
        <v>-0.21549764750433295</v>
      </c>
      <c r="J228">
        <f>($B$1+Table4[[#This Row],[Home Differential]])-Table4[[#This Row],[Away Differential]]</f>
        <v>-0.93723089917958624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0.56780546940675003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0.18679211227471967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-0.80014284799340474</v>
      </c>
      <c r="H229" t="s">
        <v>15</v>
      </c>
      <c r="I229">
        <f>VLOOKUP(Table4[[#This Row],[Visitor]],'NHL Model'!$A$6:$B$38,2,FALSE)</f>
        <v>-0.2172114589315223</v>
      </c>
      <c r="J229">
        <f>($B$1+Table4[[#This Row],[Home Differential]])-Table4[[#This Row],[Away Differential]]</f>
        <v>-0.53354497663526113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0.61137128716747136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0.15103227643786801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-0.16042088891566345</v>
      </c>
      <c r="H230" t="s">
        <v>34</v>
      </c>
      <c r="I230">
        <f>VLOOKUP(Table4[[#This Row],[Visitor]],'NHL Model'!$A$6:$B$38,2,FALSE)</f>
        <v>-3.2419815263072818E-2</v>
      </c>
      <c r="J230">
        <f>($B$1+Table4[[#This Row],[Home Differential]])-Table4[[#This Row],[Away Differential]]</f>
        <v>-7.8614661225969315E-2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0.52833052593624874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0.22247209276357571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-0.44540084513285771</v>
      </c>
      <c r="H231" t="s">
        <v>40</v>
      </c>
      <c r="I231">
        <f>VLOOKUP(Table4[[#This Row],[Visitor]],'NHL Model'!$A$6:$B$38,2,FALSE)</f>
        <v>-0.30901762292301305</v>
      </c>
      <c r="J231">
        <f>($B$1+Table4[[#This Row],[Home Differential]])-Table4[[#This Row],[Away Differential]]</f>
        <v>-8.6996809783223383E-2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0.48059508837992593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0.23097163897490883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0.4370463247440865</v>
      </c>
      <c r="H232" t="s">
        <v>23</v>
      </c>
      <c r="I232">
        <f>VLOOKUP(Table4[[#This Row],[Visitor]],'NHL Model'!$A$6:$B$38,2,FALSE)</f>
        <v>-0.46454876921224991</v>
      </c>
      <c r="J232">
        <f>($B$1+Table4[[#This Row],[Home Differential]])-Table4[[#This Row],[Away Differential]]</f>
        <v>0.95098150638295764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0.70110311645072276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8.9339346995470192E-2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-0.82464120527377915</v>
      </c>
      <c r="H233" t="s">
        <v>12</v>
      </c>
      <c r="I233">
        <f>VLOOKUP(Table4[[#This Row],[Visitor]],'NHL Model'!$A$6:$B$38,2,FALSE)</f>
        <v>1.6140407860044261</v>
      </c>
      <c r="J233">
        <f>($B$1+Table4[[#This Row],[Home Differential]])-Table4[[#This Row],[Away Differential]]</f>
        <v>-2.3892955788515842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0.80745313006522723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3.7074297121678298E-2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-0.68642169651276408</v>
      </c>
      <c r="H234" t="s">
        <v>55</v>
      </c>
      <c r="I234">
        <f>VLOOKUP(Table4[[#This Row],[Visitor]],'NHL Model'!$A$6:$B$38,2,FALSE)</f>
        <v>-0.3968452829365326</v>
      </c>
      <c r="J234">
        <f>($B$1+Table4[[#This Row],[Home Differential]])-Table4[[#This Row],[Away Differential]]</f>
        <v>-0.24019000114961014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0.48762797923479467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0.23778104613260934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1.5071179757482971E-3</v>
      </c>
      <c r="H235" t="s">
        <v>14</v>
      </c>
      <c r="I235">
        <f>VLOOKUP(Table4[[#This Row],[Visitor]],'NHL Model'!$A$6:$B$38,2,FALSE)</f>
        <v>-0.10735719588407502</v>
      </c>
      <c r="J235">
        <f>($B$1+Table4[[#This Row],[Home Differential]])-Table4[[#This Row],[Away Differential]]</f>
        <v>0.15825072628644463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0.60029242396038829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0.15976614634346198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-1.2257669814473033</v>
      </c>
      <c r="H236" t="s">
        <v>39</v>
      </c>
      <c r="I236">
        <f>VLOOKUP(Table4[[#This Row],[Visitor]],'NHL Model'!$A$6:$B$38,2,FALSE)</f>
        <v>0.36815457830954207</v>
      </c>
      <c r="J236">
        <f>($B$1+Table4[[#This Row],[Home Differential]])-Table4[[#This Row],[Away Differential]]</f>
        <v>-1.5445351473302242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0.72113921583692076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7.7763336944047468E-2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-0.2172114589315223</v>
      </c>
      <c r="H237" t="s">
        <v>30</v>
      </c>
      <c r="I237">
        <f>VLOOKUP(Table4[[#This Row],[Visitor]],'NHL Model'!$A$6:$B$38,2,FALSE)</f>
        <v>-0.16042088891566345</v>
      </c>
      <c r="J237">
        <f>($B$1+Table4[[#This Row],[Home Differential]])-Table4[[#This Row],[Away Differential]]</f>
        <v>-7.4041575892375422E-3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0.53347483616788172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0.21764572848858479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-0.36903552884843377</v>
      </c>
      <c r="H238" t="s">
        <v>36</v>
      </c>
      <c r="I238">
        <f>VLOOKUP(Table4[[#This Row],[Visitor]],'NHL Model'!$A$6:$B$38,2,FALSE)</f>
        <v>-0.430694899721771</v>
      </c>
      <c r="J238">
        <f>($B$1+Table4[[#This Row],[Home Differential]])-Table4[[#This Row],[Away Differential]]</f>
        <v>0.11104578329995851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0.56323181431167513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0.31723007665282127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-0.44540084513285771</v>
      </c>
      <c r="H239" t="s">
        <v>11</v>
      </c>
      <c r="I239">
        <f>VLOOKUP(Table4[[#This Row],[Visitor]],'NHL Model'!$A$6:$B$38,2,FALSE)</f>
        <v>-0.51447808915301396</v>
      </c>
      <c r="J239">
        <f>($B$1+Table4[[#This Row],[Home Differential]])-Table4[[#This Row],[Away Differential]]</f>
        <v>0.11846365644677753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0.56374859280323508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0.1903152902811576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-1.3795663642467595</v>
      </c>
      <c r="H240" t="s">
        <v>32</v>
      </c>
      <c r="I240">
        <f>VLOOKUP(Table4[[#This Row],[Visitor]],'NHL Model'!$A$6:$B$38,2,FALSE)</f>
        <v>-0.63765723729815182</v>
      </c>
      <c r="J240">
        <f>($B$1+Table4[[#This Row],[Home Differential]])-Table4[[#This Row],[Away Differential]]</f>
        <v>-0.69252271452198644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0.5396577837747687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0.21191495603915761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0.46523362857782063</v>
      </c>
      <c r="H241" t="s">
        <v>22</v>
      </c>
      <c r="I241">
        <f>VLOOKUP(Table4[[#This Row],[Visitor]],'NHL Model'!$A$6:$B$38,2,FALSE)</f>
        <v>0.49679678069457273</v>
      </c>
      <c r="J241">
        <f>($B$1+Table4[[#This Row],[Home Differential]])-Table4[[#This Row],[Away Differential]]</f>
        <v>1.7823260309869193E-2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0.51541911370192361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0.23481863536542924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-0.50406821212948805</v>
      </c>
      <c r="H242" t="s">
        <v>21</v>
      </c>
      <c r="I242">
        <f>VLOOKUP(Table4[[#This Row],[Visitor]],'NHL Model'!$A$6:$B$38,2,FALSE)</f>
        <v>-0.24831960772154485</v>
      </c>
      <c r="J242">
        <f>($B$1+Table4[[#This Row],[Home Differential]])-Table4[[#This Row],[Away Differential]]</f>
        <v>-0.20636219198132191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0.48373691797168272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0.26652756986537707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-0.93150212402040711</v>
      </c>
      <c r="H243" t="s">
        <v>28</v>
      </c>
      <c r="I243">
        <f>VLOOKUP(Table4[[#This Row],[Visitor]],'NHL Model'!$A$6:$B$38,2,FALSE)</f>
        <v>-0.56850564030144513</v>
      </c>
      <c r="J243">
        <f>($B$1+Table4[[#This Row],[Home Differential]])-Table4[[#This Row],[Away Differential]]</f>
        <v>-0.31361007129234064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0.49964931975482413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0.24964944273145848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-0.21936273413039192</v>
      </c>
      <c r="H244" t="s">
        <v>31</v>
      </c>
      <c r="I244">
        <f>VLOOKUP(Table4[[#This Row],[Visitor]],'NHL Model'!$A$6:$B$38,2,FALSE)</f>
        <v>0.18193976369097953</v>
      </c>
      <c r="J244">
        <f>($B$1+Table4[[#This Row],[Home Differential]])-Table4[[#This Row],[Away Differential]]</f>
        <v>-0.35191608539475017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0.52124856068779912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0.22920294064350397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0.18193976369097953</v>
      </c>
      <c r="H245" t="s">
        <v>40</v>
      </c>
      <c r="I245">
        <f>VLOOKUP(Table4[[#This Row],[Visitor]],'NHL Model'!$A$6:$B$38,2,FALSE)</f>
        <v>-0.30901762292301305</v>
      </c>
      <c r="J245">
        <f>($B$1+Table4[[#This Row],[Home Differential]])-Table4[[#This Row],[Away Differential]]</f>
        <v>0.54034379904061391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0.66215332523457282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0.11414037565005633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0.36815457830954207</v>
      </c>
      <c r="H246" t="s">
        <v>32</v>
      </c>
      <c r="I246">
        <f>VLOOKUP(Table4[[#This Row],[Visitor]],'NHL Model'!$A$6:$B$38,2,FALSE)</f>
        <v>-0.63765723729815182</v>
      </c>
      <c r="J246">
        <f>($B$1+Table4[[#This Row],[Home Differential]])-Table4[[#This Row],[Away Differential]]</f>
        <v>1.0551982280343153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0.69362078829129259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9.3868221367248955E-2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-0.80014284799340474</v>
      </c>
      <c r="H247" t="s">
        <v>10</v>
      </c>
      <c r="I247">
        <f>VLOOKUP(Table4[[#This Row],[Visitor]],'NHL Model'!$A$6:$B$38,2,FALSE)</f>
        <v>-0.21549764750433295</v>
      </c>
      <c r="J247">
        <f>($B$1+Table4[[#This Row],[Home Differential]])-Table4[[#This Row],[Away Differential]]</f>
        <v>-0.53525878806245042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0.51144616982541513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0.23868484497825712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-3.2419815263072818E-2</v>
      </c>
      <c r="H248" t="s">
        <v>16</v>
      </c>
      <c r="I248">
        <f>VLOOKUP(Table4[[#This Row],[Visitor]],'NHL Model'!$A$6:$B$38,2,FALSE)</f>
        <v>-1.2021149591105404</v>
      </c>
      <c r="J248">
        <f>($B$1+Table4[[#This Row],[Home Differential]])-Table4[[#This Row],[Away Differential]]</f>
        <v>1.2190815562740889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0.68022548716040243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0.10225573906180195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-0.430694899721771</v>
      </c>
      <c r="H249" t="s">
        <v>55</v>
      </c>
      <c r="I249">
        <f>VLOOKUP(Table4[[#This Row],[Visitor]],'NHL Model'!$A$6:$B$38,2,FALSE)</f>
        <v>-0.3968452829365326</v>
      </c>
      <c r="J249">
        <f>($B$1+Table4[[#This Row],[Home Differential]])-Table4[[#This Row],[Away Differential]]</f>
        <v>1.5536795641382883E-2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0.54428260716679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0.20767834213069825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-0.10735719588407502</v>
      </c>
      <c r="H250" t="s">
        <v>13</v>
      </c>
      <c r="I250">
        <f>VLOOKUP(Table4[[#This Row],[Visitor]],'NHL Model'!$A$6:$B$38,2,FALSE)</f>
        <v>-0.36690387823407311</v>
      </c>
      <c r="J250">
        <f>($B$1+Table4[[#This Row],[Home Differential]])-Table4[[#This Row],[Away Differential]]</f>
        <v>0.3089330947766194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0.50921939969563035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0.25930439702637814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-0.50406821212948805</v>
      </c>
      <c r="H251" t="s">
        <v>25</v>
      </c>
      <c r="I251">
        <f>VLOOKUP(Table4[[#This Row],[Visitor]],'NHL Model'!$A$6:$B$38,2,FALSE)</f>
        <v>0.4370463247440865</v>
      </c>
      <c r="J251">
        <f>($B$1+Table4[[#This Row],[Home Differential]])-Table4[[#This Row],[Away Differential]]</f>
        <v>-0.89172812444695326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0.63519465829302457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0.1330829373379431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-0.93150212402040711</v>
      </c>
      <c r="H252" t="s">
        <v>12</v>
      </c>
      <c r="I252">
        <f>VLOOKUP(Table4[[#This Row],[Visitor]],'NHL Model'!$A$6:$B$38,2,FALSE)</f>
        <v>1.6140407860044261</v>
      </c>
      <c r="J252">
        <f>($B$1+Table4[[#This Row],[Home Differential]])-Table4[[#This Row],[Away Differential]]</f>
        <v>-2.496156497598212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0.81974486256871293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3.2491914570372191E-2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-0.82464120527377915</v>
      </c>
      <c r="H253" t="s">
        <v>28</v>
      </c>
      <c r="I253">
        <f>VLOOKUP(Table4[[#This Row],[Visitor]],'NHL Model'!$A$6:$B$38,2,FALSE)</f>
        <v>-0.56850564030144513</v>
      </c>
      <c r="J253">
        <f>($B$1+Table4[[#This Row],[Home Differential]])-Table4[[#This Row],[Away Differential]]</f>
        <v>-0.20674915254571269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0.48735758725133849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0.23751741785144601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1.5071179757482971E-3</v>
      </c>
      <c r="H254" t="s">
        <v>30</v>
      </c>
      <c r="I254">
        <f>VLOOKUP(Table4[[#This Row],[Visitor]],'NHL Model'!$A$6:$B$38,2,FALSE)</f>
        <v>-0.16042088891566345</v>
      </c>
      <c r="J254">
        <f>($B$1+Table4[[#This Row],[Home Differential]])-Table4[[#This Row],[Away Differential]]</f>
        <v>0.21131441931803305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0.57360232513287102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0.32901962739783586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-0.2172114589315223</v>
      </c>
      <c r="H255" t="s">
        <v>29</v>
      </c>
      <c r="I255">
        <f>VLOOKUP(Table4[[#This Row],[Visitor]],'NHL Model'!$A$6:$B$38,2,FALSE)</f>
        <v>-1.2257669814473033</v>
      </c>
      <c r="J255">
        <f>($B$1+Table4[[#This Row],[Home Differential]])-Table4[[#This Row],[Away Differential]]</f>
        <v>1.0579419349424024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0.6616903187905856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0.11445344040001561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-0.21936273413039192</v>
      </c>
      <c r="H256" t="s">
        <v>11</v>
      </c>
      <c r="I256">
        <f>VLOOKUP(Table4[[#This Row],[Visitor]],'NHL Model'!$A$6:$B$38,2,FALSE)</f>
        <v>-0.51447808915301396</v>
      </c>
      <c r="J256">
        <f>($B$1+Table4[[#This Row],[Home Differential]])-Table4[[#This Row],[Away Differential]]</f>
        <v>0.34450176744924332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0.57962649415830281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0.33596687273024506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-0.24831960772154485</v>
      </c>
      <c r="H257" t="s">
        <v>19</v>
      </c>
      <c r="I257">
        <f>VLOOKUP(Table4[[#This Row],[Visitor]],'NHL Model'!$A$6:$B$38,2,FALSE)</f>
        <v>-0.50406821212948805</v>
      </c>
      <c r="J257">
        <f>($B$1+Table4[[#This Row],[Home Differential]])-Table4[[#This Row],[Away Differential]]</f>
        <v>0.30513501683456451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0.61799986769181181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0.14592410108347328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0.4370463247440865</v>
      </c>
      <c r="H258" t="s">
        <v>22</v>
      </c>
      <c r="I258">
        <f>VLOOKUP(Table4[[#This Row],[Visitor]],'NHL Model'!$A$6:$B$38,2,FALSE)</f>
        <v>0.49679678069457273</v>
      </c>
      <c r="J258">
        <f>($B$1+Table4[[#This Row],[Home Differential]])-Table4[[#This Row],[Away Differential]]</f>
        <v>-1.0364043523864941E-2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0.46785879613873199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0.28317426084691966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1.6140407860044261</v>
      </c>
      <c r="H259" t="s">
        <v>31</v>
      </c>
      <c r="I259">
        <f>VLOOKUP(Table4[[#This Row],[Visitor]],'NHL Model'!$A$6:$B$38,2,FALSE)</f>
        <v>0.18193976369097953</v>
      </c>
      <c r="J259">
        <f>($B$1+Table4[[#This Row],[Home Differential]])-Table4[[#This Row],[Away Differential]]</f>
        <v>1.4814874347400679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0.79898028775667385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4.0408924710389649E-2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-3.2419815263072818E-2</v>
      </c>
      <c r="H260" t="s">
        <v>33</v>
      </c>
      <c r="I260">
        <f>VLOOKUP(Table4[[#This Row],[Visitor]],'NHL Model'!$A$6:$B$38,2,FALSE)</f>
        <v>-0.44540084513285771</v>
      </c>
      <c r="J260">
        <f>($B$1+Table4[[#This Row],[Home Differential]])-Table4[[#This Row],[Away Differential]]</f>
        <v>0.46236744229640619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0.59318405442969857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0.35186732242965557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-0.68642169651276408</v>
      </c>
      <c r="H261" t="s">
        <v>13</v>
      </c>
      <c r="I261">
        <f>VLOOKUP(Table4[[#This Row],[Visitor]],'NHL Model'!$A$6:$B$38,2,FALSE)</f>
        <v>-0.36690387823407311</v>
      </c>
      <c r="J261">
        <f>($B$1+Table4[[#This Row],[Home Differential]])-Table4[[#This Row],[Away Differential]]</f>
        <v>-0.27013140585206963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0.55738779428581697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0.19590556464717426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-0.430694899721771</v>
      </c>
      <c r="H262" t="s">
        <v>39</v>
      </c>
      <c r="I262">
        <f>VLOOKUP(Table4[[#This Row],[Visitor]],'NHL Model'!$A$6:$B$38,2,FALSE)</f>
        <v>0.36815457830954207</v>
      </c>
      <c r="J262">
        <f>($B$1+Table4[[#This Row],[Home Differential]])-Table4[[#This Row],[Away Differential]]</f>
        <v>-0.74946306560469178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0.62719098369492277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0.13898656263835935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-0.63765723729815182</v>
      </c>
      <c r="H263" t="s">
        <v>28</v>
      </c>
      <c r="I263">
        <f>VLOOKUP(Table4[[#This Row],[Visitor]],'NHL Model'!$A$6:$B$38,2,FALSE)</f>
        <v>-0.56850564030144513</v>
      </c>
      <c r="J263">
        <f>($B$1+Table4[[#This Row],[Home Differential]])-Table4[[#This Row],[Away Differential]]</f>
        <v>-1.9765184570085359E-2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0.46584965952851737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0.28531658622580086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-1.3795663642467595</v>
      </c>
      <c r="H264" t="s">
        <v>16</v>
      </c>
      <c r="I264">
        <f>VLOOKUP(Table4[[#This Row],[Visitor]],'NHL Model'!$A$6:$B$38,2,FALSE)</f>
        <v>-1.2021149591105404</v>
      </c>
      <c r="J264">
        <f>($B$1+Table4[[#This Row],[Home Differential]])-Table4[[#This Row],[Away Differential]]</f>
        <v>-0.12806499270959781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0.47473074208897242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0.22536927748434646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-0.93150212402040711</v>
      </c>
      <c r="H265" t="s">
        <v>40</v>
      </c>
      <c r="I265">
        <f>VLOOKUP(Table4[[#This Row],[Visitor]],'NHL Model'!$A$6:$B$38,2,FALSE)</f>
        <v>-0.30901762292301305</v>
      </c>
      <c r="J265">
        <f>($B$1+Table4[[#This Row],[Home Differential]])-Table4[[#This Row],[Away Differential]]</f>
        <v>-0.57309808867077272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0.54669013512625342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0.20548983359185438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-0.21549764750433295</v>
      </c>
      <c r="H266" t="s">
        <v>24</v>
      </c>
      <c r="I266">
        <f>VLOOKUP(Table4[[#This Row],[Visitor]],'NHL Model'!$A$6:$B$38,2,FALSE)</f>
        <v>1.5071179757482971E-3</v>
      </c>
      <c r="J266">
        <f>($B$1+Table4[[#This Row],[Home Differential]])-Table4[[#This Row],[Away Differential]]</f>
        <v>-0.16761835305345993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0.50004961860955111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0.2499503838524553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-0.36903552884843377</v>
      </c>
      <c r="H267" t="s">
        <v>17</v>
      </c>
      <c r="I267">
        <f>VLOOKUP(Table4[[#This Row],[Visitor]],'NHL Model'!$A$6:$B$38,2,FALSE)</f>
        <v>-0.82464120527377915</v>
      </c>
      <c r="J267">
        <f>($B$1+Table4[[#This Row],[Home Differential]])-Table4[[#This Row],[Away Differential]]</f>
        <v>0.50499208885196667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0.61210359696624617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0.3746708134190167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0.46523362857782063</v>
      </c>
      <c r="H268" t="s">
        <v>15</v>
      </c>
      <c r="I268">
        <f>VLOOKUP(Table4[[#This Row],[Visitor]],'NHL Model'!$A$6:$B$38,2,FALSE)</f>
        <v>-0.2172114589315223</v>
      </c>
      <c r="J268">
        <f>($B$1+Table4[[#This Row],[Home Differential]])-Table4[[#This Row],[Away Differential]]</f>
        <v>0.73183149993596419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0.55650402041541636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0.30969672473852217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-0.3968452829365326</v>
      </c>
      <c r="H269" t="s">
        <v>23</v>
      </c>
      <c r="I269">
        <f>VLOOKUP(Table4[[#This Row],[Visitor]],'NHL Model'!$A$6:$B$38,2,FALSE)</f>
        <v>-0.46454876921224991</v>
      </c>
      <c r="J269">
        <f>($B$1+Table4[[#This Row],[Home Differential]])-Table4[[#This Row],[Away Differential]]</f>
        <v>0.1170898987023386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0.59389950366480082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0.16491761312369513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-0.56850564030144513</v>
      </c>
      <c r="H270" t="s">
        <v>17</v>
      </c>
      <c r="I270">
        <f>VLOOKUP(Table4[[#This Row],[Visitor]],'NHL Model'!$A$6:$B$38,2,FALSE)</f>
        <v>-0.82464120527377915</v>
      </c>
      <c r="J270">
        <f>($B$1+Table4[[#This Row],[Home Differential]])-Table4[[#This Row],[Away Differential]]</f>
        <v>0.30552197739895537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0.57514282362692537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0.18050362031570186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-1.2021149591105404</v>
      </c>
      <c r="H271" t="s">
        <v>33</v>
      </c>
      <c r="I271">
        <f>VLOOKUP(Table4[[#This Row],[Visitor]],'NHL Model'!$A$6:$B$38,2,FALSE)</f>
        <v>-0.44540084513285771</v>
      </c>
      <c r="J271">
        <f>($B$1+Table4[[#This Row],[Home Differential]])-Table4[[#This Row],[Away Differential]]</f>
        <v>-0.70732770155106151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0.54136073507271176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0.29307144547846681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1.6140407860044261</v>
      </c>
      <c r="H272" t="s">
        <v>23</v>
      </c>
      <c r="I272">
        <f>VLOOKUP(Table4[[#This Row],[Visitor]],'NHL Model'!$A$6:$B$38,2,FALSE)</f>
        <v>-0.46454876921224991</v>
      </c>
      <c r="J272">
        <f>($B$1+Table4[[#This Row],[Home Differential]])-Table4[[#This Row],[Away Differential]]</f>
        <v>2.1279759676432972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0.8925925032284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1.1536370362741263E-2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-0.80014284799340474</v>
      </c>
      <c r="H273" t="s">
        <v>31</v>
      </c>
      <c r="I273">
        <f>VLOOKUP(Table4[[#This Row],[Visitor]],'NHL Model'!$A$6:$B$38,2,FALSE)</f>
        <v>0.18193976369097953</v>
      </c>
      <c r="J273">
        <f>($B$1+Table4[[#This Row],[Home Differential]])-Table4[[#This Row],[Away Differential]]</f>
        <v>-0.93269619925776293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0.57787209849462873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0.33393616221858591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-0.51447808915301396</v>
      </c>
      <c r="H274" t="s">
        <v>22</v>
      </c>
      <c r="I274">
        <f>VLOOKUP(Table4[[#This Row],[Visitor]],'NHL Model'!$A$6:$B$38,2,FALSE)</f>
        <v>0.49679678069457273</v>
      </c>
      <c r="J274">
        <f>($B$1+Table4[[#This Row],[Home Differential]])-Table4[[#This Row],[Away Differential]]</f>
        <v>-0.9618884574209654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0.62992955163721187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0.39681124002585877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-0.68642169651276408</v>
      </c>
      <c r="H275" t="s">
        <v>39</v>
      </c>
      <c r="I275">
        <f>VLOOKUP(Table4[[#This Row],[Visitor]],'NHL Model'!$A$6:$B$38,2,FALSE)</f>
        <v>0.36815457830954207</v>
      </c>
      <c r="J275">
        <f>($B$1+Table4[[#This Row],[Home Differential]])-Table4[[#This Row],[Away Differential]]</f>
        <v>-1.0051898623956848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0.65910074520435569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0.11621230192022562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-0.430694899721771</v>
      </c>
      <c r="H276" t="s">
        <v>21</v>
      </c>
      <c r="I276">
        <f>VLOOKUP(Table4[[#This Row],[Visitor]],'NHL Model'!$A$6:$B$38,2,FALSE)</f>
        <v>-0.24831960772154485</v>
      </c>
      <c r="J276">
        <f>($B$1+Table4[[#This Row],[Home Differential]])-Table4[[#This Row],[Away Differential]]</f>
        <v>-0.13298887957360486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0.47280163552038817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0.22354138655075398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-0.63765723729815182</v>
      </c>
      <c r="H277" t="s">
        <v>40</v>
      </c>
      <c r="I277">
        <f>VLOOKUP(Table4[[#This Row],[Visitor]],'NHL Model'!$A$6:$B$38,2,FALSE)</f>
        <v>-0.30901762292301305</v>
      </c>
      <c r="J277">
        <f>($B$1+Table4[[#This Row],[Home Differential]])-Table4[[#This Row],[Away Differential]]</f>
        <v>-0.27925320194851744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0.51289047489994666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0.2630566392430928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-0.50406821212948805</v>
      </c>
      <c r="H278" t="s">
        <v>13</v>
      </c>
      <c r="I278">
        <f>VLOOKUP(Table4[[#This Row],[Visitor]],'NHL Model'!$A$6:$B$38,2,FALSE)</f>
        <v>-0.36690387823407311</v>
      </c>
      <c r="J278">
        <f>($B$1+Table4[[#This Row],[Home Differential]])-Table4[[#This Row],[Away Differential]]</f>
        <v>-8.7777921468793652E-2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0.53641249033552685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0.214913379116908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-0.21936273413039192</v>
      </c>
      <c r="H279" t="s">
        <v>30</v>
      </c>
      <c r="I279">
        <f>VLOOKUP(Table4[[#This Row],[Visitor]],'NHL Model'!$A$6:$B$38,2,FALSE)</f>
        <v>-0.16042088891566345</v>
      </c>
      <c r="J279">
        <f>($B$1+Table4[[#This Row],[Home Differential]])-Table4[[#This Row],[Away Differential]]</f>
        <v>-9.5554327881071655E-3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0.5337222877114024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0.21741490497708821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0.4370463247440865</v>
      </c>
      <c r="H280" t="s">
        <v>38</v>
      </c>
      <c r="I280">
        <f>VLOOKUP(Table4[[#This Row],[Visitor]],'NHL Model'!$A$6:$B$38,2,FALSE)</f>
        <v>-0.93150212402040711</v>
      </c>
      <c r="J280">
        <f>($B$1+Table4[[#This Row],[Home Differential]])-Table4[[#This Row],[Away Differential]]</f>
        <v>1.4179348611911149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0.75481466784133078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6.0115847105756959E-2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-1.2257669814473033</v>
      </c>
      <c r="H281" t="s">
        <v>14</v>
      </c>
      <c r="I281">
        <f>VLOOKUP(Table4[[#This Row],[Visitor]],'NHL Model'!$A$6:$B$38,2,FALSE)</f>
        <v>-0.10735719588407502</v>
      </c>
      <c r="J281">
        <f>($B$1+Table4[[#This Row],[Home Differential]])-Table4[[#This Row],[Away Differential]]</f>
        <v>-1.069023373136607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0.62225170019425158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0.38719717839463674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-1.3795663642467595</v>
      </c>
      <c r="H282" t="s">
        <v>27</v>
      </c>
      <c r="I282">
        <f>VLOOKUP(Table4[[#This Row],[Visitor]],'NHL Model'!$A$6:$B$38,2,FALSE)</f>
        <v>-0.36903552884843377</v>
      </c>
      <c r="J282">
        <f>($B$1+Table4[[#This Row],[Home Differential]])-Table4[[#This Row],[Away Differential]]</f>
        <v>-0.96114442297170455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0.61306869767565697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0.14971583271841216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-0.3968452829365326</v>
      </c>
      <c r="H283" t="s">
        <v>30</v>
      </c>
      <c r="I283">
        <f>VLOOKUP(Table4[[#This Row],[Visitor]],'NHL Model'!$A$6:$B$38,2,FALSE)</f>
        <v>-0.16042088891566345</v>
      </c>
      <c r="J283">
        <f>($B$1+Table4[[#This Row],[Home Differential]])-Table4[[#This Row],[Away Differential]]</f>
        <v>-0.18703798159424787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0.51313425239911081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0.23703825618697275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0.4370463247440865</v>
      </c>
      <c r="H284" t="s">
        <v>17</v>
      </c>
      <c r="I284">
        <f>VLOOKUP(Table4[[#This Row],[Visitor]],'NHL Model'!$A$6:$B$38,2,FALSE)</f>
        <v>-0.82464120527377915</v>
      </c>
      <c r="J284">
        <f>($B$1+Table4[[#This Row],[Home Differential]])-Table4[[#This Row],[Away Differential]]</f>
        <v>1.3110739424444868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0.74252293533784508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0.55134030950272972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-0.56850564030144513</v>
      </c>
      <c r="H285" t="s">
        <v>15</v>
      </c>
      <c r="I285">
        <f>VLOOKUP(Table4[[#This Row],[Visitor]],'NHL Model'!$A$6:$B$38,2,FALSE)</f>
        <v>-0.2172114589315223</v>
      </c>
      <c r="J285">
        <f>($B$1+Table4[[#This Row],[Home Differential]])-Table4[[#This Row],[Away Differential]]</f>
        <v>-0.30190776894330151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0.59480856382325675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0.1641800999509718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-1.2021149591105404</v>
      </c>
      <c r="H286" t="s">
        <v>40</v>
      </c>
      <c r="I286">
        <f>VLOOKUP(Table4[[#This Row],[Visitor]],'NHL Model'!$A$6:$B$38,2,FALSE)</f>
        <v>-0.30901762292301305</v>
      </c>
      <c r="J286">
        <f>($B$1+Table4[[#This Row],[Home Differential]])-Table4[[#This Row],[Away Differential]]</f>
        <v>-0.84371092376090617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0.57781751658574287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0.17823804930182949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-0.21549764750433295</v>
      </c>
      <c r="H287" t="s">
        <v>19</v>
      </c>
      <c r="I287">
        <f>VLOOKUP(Table4[[#This Row],[Visitor]],'NHL Model'!$A$6:$B$38,2,FALSE)</f>
        <v>-0.50406821212948805</v>
      </c>
      <c r="J287">
        <f>($B$1+Table4[[#This Row],[Home Differential]])-Table4[[#This Row],[Away Differential]]</f>
        <v>0.33795697705177641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0.57887367625442732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0.1773473805514609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0.36815457830954207</v>
      </c>
      <c r="H288" t="s">
        <v>27</v>
      </c>
      <c r="I288">
        <f>VLOOKUP(Table4[[#This Row],[Visitor]],'NHL Model'!$A$6:$B$38,2,FALSE)</f>
        <v>-0.36903552884843377</v>
      </c>
      <c r="J288">
        <f>($B$1+Table4[[#This Row],[Home Differential]])-Table4[[#This Row],[Away Differential]]</f>
        <v>0.78657651958459707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0.62059685332388792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0.14394674770773541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-0.80014284799340474</v>
      </c>
      <c r="H289" t="s">
        <v>23</v>
      </c>
      <c r="I289">
        <f>VLOOKUP(Table4[[#This Row],[Visitor]],'NHL Model'!$A$6:$B$38,2,FALSE)</f>
        <v>-0.46454876921224991</v>
      </c>
      <c r="J289">
        <f>($B$1+Table4[[#This Row],[Home Differential]])-Table4[[#This Row],[Away Differential]]</f>
        <v>-0.28620766635453349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0.48279893561077053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0.26749694100535193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-0.51447808915301396</v>
      </c>
      <c r="H290" t="s">
        <v>37</v>
      </c>
      <c r="I290">
        <f>VLOOKUP(Table4[[#This Row],[Visitor]],'NHL Model'!$A$6:$B$38,2,FALSE)</f>
        <v>0.46523362857782063</v>
      </c>
      <c r="J290">
        <f>($B$1+Table4[[#This Row],[Home Differential]])-Table4[[#This Row],[Away Differential]]</f>
        <v>-0.93032530530421331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0.63963431900388734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0.12986342403979204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-3.2419815263072818E-2</v>
      </c>
      <c r="H291" t="s">
        <v>31</v>
      </c>
      <c r="I291">
        <f>VLOOKUP(Table4[[#This Row],[Visitor]],'NHL Model'!$A$6:$B$38,2,FALSE)</f>
        <v>0.18193976369097953</v>
      </c>
      <c r="J291">
        <f>($B$1+Table4[[#This Row],[Home Differential]])-Table4[[#This Row],[Away Differential]]</f>
        <v>-0.16497316652743105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0.49974535465991327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0.24974541950416249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-0.68642169651276408</v>
      </c>
      <c r="H292" t="s">
        <v>21</v>
      </c>
      <c r="I292">
        <f>VLOOKUP(Table4[[#This Row],[Visitor]],'NHL Model'!$A$6:$B$38,2,FALSE)</f>
        <v>-0.24831960772154485</v>
      </c>
      <c r="J292">
        <f>($B$1+Table4[[#This Row],[Home Differential]])-Table4[[#This Row],[Away Differential]]</f>
        <v>-0.38871567636459792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0.50471222192197285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0.24530998311346908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-0.430694899721771</v>
      </c>
      <c r="H293" t="s">
        <v>13</v>
      </c>
      <c r="I293">
        <f>VLOOKUP(Table4[[#This Row],[Visitor]],'NHL Model'!$A$6:$B$38,2,FALSE)</f>
        <v>-0.36690387823407311</v>
      </c>
      <c r="J293">
        <f>($B$1+Table4[[#This Row],[Home Differential]])-Table4[[#This Row],[Away Differential]]</f>
        <v>-1.4404609061076601E-2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0.5254664214244118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0.22518211719575393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-0.63765723729815182</v>
      </c>
      <c r="H294" t="s">
        <v>33</v>
      </c>
      <c r="I294">
        <f>VLOOKUP(Table4[[#This Row],[Visitor]],'NHL Model'!$A$6:$B$38,2,FALSE)</f>
        <v>-0.44540084513285771</v>
      </c>
      <c r="J294">
        <f>($B$1+Table4[[#This Row],[Home Differential]])-Table4[[#This Row],[Away Differential]]</f>
        <v>-0.14286997973867277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0.47643369338691555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0.22698906419429746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-1.3795663642467595</v>
      </c>
      <c r="H295" t="s">
        <v>20</v>
      </c>
      <c r="I295">
        <f>VLOOKUP(Table4[[#This Row],[Visitor]],'NHL Model'!$A$6:$B$38,2,FALSE)</f>
        <v>-0.21936273413039192</v>
      </c>
      <c r="J295">
        <f>($B$1+Table4[[#This Row],[Home Differential]])-Table4[[#This Row],[Away Differential]]</f>
        <v>-1.1108172176897464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0.58777232556349701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0.1699316555713275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0.49679678069457273</v>
      </c>
      <c r="H296" t="s">
        <v>24</v>
      </c>
      <c r="I296">
        <f>VLOOKUP(Table4[[#This Row],[Visitor]],'NHL Model'!$A$6:$B$38,2,FALSE)</f>
        <v>1.5071179757482971E-3</v>
      </c>
      <c r="J296">
        <f>($B$1+Table4[[#This Row],[Home Differential]])-Table4[[#This Row],[Away Differential]]</f>
        <v>0.54467607514544569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0.60810619299100765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0.36979314195401664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1.6140407860044261</v>
      </c>
      <c r="H297" t="s">
        <v>30</v>
      </c>
      <c r="I297">
        <f>VLOOKUP(Table4[[#This Row],[Visitor]],'NHL Model'!$A$6:$B$38,2,FALSE)</f>
        <v>-0.16042088891566345</v>
      </c>
      <c r="J297">
        <f>($B$1+Table4[[#This Row],[Home Differential]])-Table4[[#This Row],[Away Differential]]</f>
        <v>1.8238480873467109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0.78873643892132006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4.4632292239645127E-2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-3.2419815263072818E-2</v>
      </c>
      <c r="H298" t="s">
        <v>20</v>
      </c>
      <c r="I298">
        <f>VLOOKUP(Table4[[#This Row],[Visitor]],'NHL Model'!$A$6:$B$38,2,FALSE)</f>
        <v>-0.21936273413039192</v>
      </c>
      <c r="J298">
        <f>($B$1+Table4[[#This Row],[Home Differential]])-Table4[[#This Row],[Away Differential]]</f>
        <v>0.2363293312939404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0.5671839036858779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0.18732977322859543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-0.2172114589315223</v>
      </c>
      <c r="H299" t="s">
        <v>26</v>
      </c>
      <c r="I299">
        <f>VLOOKUP(Table4[[#This Row],[Visitor]],'NHL Model'!$A$6:$B$38,2,FALSE)</f>
        <v>-0.80014284799340474</v>
      </c>
      <c r="J299">
        <f>($B$1+Table4[[#This Row],[Home Differential]])-Table4[[#This Row],[Away Differential]]</f>
        <v>0.63231780148850381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0.61273268248345547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0.37544134018337105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-0.10735719588407502</v>
      </c>
      <c r="H300" t="s">
        <v>29</v>
      </c>
      <c r="I300">
        <f>VLOOKUP(Table4[[#This Row],[Visitor]],'NHL Model'!$A$6:$B$38,2,FALSE)</f>
        <v>-1.2257669814473033</v>
      </c>
      <c r="J300">
        <f>($B$1+Table4[[#This Row],[Home Differential]])-Table4[[#This Row],[Away Differential]]</f>
        <v>1.1677961979898497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0.6743263622720046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0.10606331831098559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0.46523362857782063</v>
      </c>
      <c r="H301" t="s">
        <v>38</v>
      </c>
      <c r="I301">
        <f>VLOOKUP(Table4[[#This Row],[Visitor]],'NHL Model'!$A$6:$B$38,2,FALSE)</f>
        <v>-0.93150212402040711</v>
      </c>
      <c r="J301">
        <f>($B$1+Table4[[#This Row],[Home Differential]])-Table4[[#This Row],[Away Differential]]</f>
        <v>1.446122165024849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0.73858701653503722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0.54551078099412731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0.18193976369097953</v>
      </c>
      <c r="H302" t="s">
        <v>55</v>
      </c>
      <c r="I302">
        <f>VLOOKUP(Table4[[#This Row],[Visitor]],'NHL Model'!$A$6:$B$38,2,FALSE)</f>
        <v>-0.3968452829365326</v>
      </c>
      <c r="J302">
        <f>($B$1+Table4[[#This Row],[Home Differential]])-Table4[[#This Row],[Away Differential]]</f>
        <v>0.62817145905413341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0.69209045804207525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9.4808286028739017E-2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-0.24831960772154485</v>
      </c>
      <c r="H303" t="s">
        <v>25</v>
      </c>
      <c r="I303">
        <f>VLOOKUP(Table4[[#This Row],[Visitor]],'NHL Model'!$A$6:$B$38,2,FALSE)</f>
        <v>0.4370463247440865</v>
      </c>
      <c r="J303">
        <f>($B$1+Table4[[#This Row],[Home Differential]])-Table4[[#This Row],[Away Differential]]</f>
        <v>-0.63597952003901004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0.56223684298780807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0.19163658163728101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-0.46454876921224991</v>
      </c>
      <c r="H304" t="s">
        <v>17</v>
      </c>
      <c r="I304">
        <f>VLOOKUP(Table4[[#This Row],[Visitor]],'NHL Model'!$A$6:$B$38,2,FALSE)</f>
        <v>-0.82464120527377915</v>
      </c>
      <c r="J304">
        <f>($B$1+Table4[[#This Row],[Home Differential]])-Table4[[#This Row],[Away Differential]]</f>
        <v>0.40947884848815053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0.59722276593386747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0.16222950028196412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-0.56850564030144513</v>
      </c>
      <c r="H305" t="s">
        <v>18</v>
      </c>
      <c r="I305">
        <f>VLOOKUP(Table4[[#This Row],[Visitor]],'NHL Model'!$A$6:$B$38,2,FALSE)</f>
        <v>-0.68642169651276408</v>
      </c>
      <c r="J305">
        <f>($B$1+Table4[[#This Row],[Home Differential]])-Table4[[#This Row],[Away Differential]]</f>
        <v>0.16730246863794029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0.49995621924399047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0.25004378267276411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-0.51447808915301396</v>
      </c>
      <c r="H306" t="s">
        <v>38</v>
      </c>
      <c r="I306">
        <f>VLOOKUP(Table4[[#This Row],[Visitor]],'NHL Model'!$A$6:$B$38,2,FALSE)</f>
        <v>-0.93150212402040711</v>
      </c>
      <c r="J306">
        <f>($B$1+Table4[[#This Row],[Home Differential]])-Table4[[#This Row],[Away Differential]]</f>
        <v>0.46641044729401443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0.59364910317271646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0.16512105135233762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0.49679678069457273</v>
      </c>
      <c r="H307" t="s">
        <v>13</v>
      </c>
      <c r="I307">
        <f>VLOOKUP(Table4[[#This Row],[Visitor]],'NHL Model'!$A$6:$B$38,2,FALSE)</f>
        <v>-0.36690387823407311</v>
      </c>
      <c r="J307">
        <f>($B$1+Table4[[#This Row],[Home Differential]])-Table4[[#This Row],[Away Differential]]</f>
        <v>0.91308707135526712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0.60502831311137506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0.15600263344364598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-0.21549764750433295</v>
      </c>
      <c r="H308" t="s">
        <v>16</v>
      </c>
      <c r="I308">
        <f>VLOOKUP(Table4[[#This Row],[Visitor]],'NHL Model'!$A$6:$B$38,2,FALSE)</f>
        <v>-1.2021149591105404</v>
      </c>
      <c r="J308">
        <f>($B$1+Table4[[#This Row],[Home Differential]])-Table4[[#This Row],[Away Differential]]</f>
        <v>1.0360037240328288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0.65916686472273411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0.11616722610293102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0.36815457830954207</v>
      </c>
      <c r="H309" t="s">
        <v>30</v>
      </c>
      <c r="I309">
        <f>VLOOKUP(Table4[[#This Row],[Visitor]],'NHL Model'!$A$6:$B$38,2,FALSE)</f>
        <v>-0.16042088891566345</v>
      </c>
      <c r="J309">
        <f>($B$1+Table4[[#This Row],[Home Differential]])-Table4[[#This Row],[Away Differential]]</f>
        <v>0.57796187965182677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0.56648036443272853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0.32090000328783691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-0.80014284799340474</v>
      </c>
      <c r="H310" t="s">
        <v>32</v>
      </c>
      <c r="I310">
        <f>VLOOKUP(Table4[[#This Row],[Visitor]],'NHL Model'!$A$6:$B$38,2,FALSE)</f>
        <v>-0.63765723729815182</v>
      </c>
      <c r="J310">
        <f>($B$1+Table4[[#This Row],[Home Differential]])-Table4[[#This Row],[Away Differential]]</f>
        <v>-0.11309919826863157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0.46288704444646933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0.21426441591638767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-0.44540084513285771</v>
      </c>
      <c r="H311" t="s">
        <v>55</v>
      </c>
      <c r="I311">
        <f>VLOOKUP(Table4[[#This Row],[Visitor]],'NHL Model'!$A$6:$B$38,2,FALSE)</f>
        <v>-0.3968452829365326</v>
      </c>
      <c r="J311">
        <f>($B$1+Table4[[#This Row],[Home Differential]])-Table4[[#This Row],[Away Differential]]</f>
        <v>8.3085023029616512E-4</v>
      </c>
      <c r="K311" t="str">
        <f>IF(Table4[[#This Row],[HomeIce Differential]]&gt;0,Table4[[#This Row],[Home]],Table4[[#This Row],[Visitor]])</f>
        <v>San Jose Sharks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0.55021781836664552</v>
      </c>
      <c r="M311" t="str">
        <f>IF(OR((NHL2025_26Results[[#This Row],[Winning Team]]="")),"-",IF(Table4[[#This Row],[Predicted Winner]]=NHL2025_26Results[[#This Row],[Winning Team]],"YES","NO"))</f>
        <v>YES</v>
      </c>
      <c r="N311">
        <f>IF(Table4[[#This Row],[Adjusted Correct]]="-", "",IF(Table4[[#This Row],[Adjusted Correct]]="YES",(Table4[[#This Row],[Strength of Win]]-1)^2,(Table4[[#This Row],[Strength of Win]]-0)^2))</f>
        <v>0.20230401091485989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0.46523362857782063</v>
      </c>
      <c r="H312" t="s">
        <v>24</v>
      </c>
      <c r="I312">
        <f>VLOOKUP(Table4[[#This Row],[Visitor]],'NHL Model'!$A$6:$B$38,2,FALSE)</f>
        <v>1.5071179757482971E-3</v>
      </c>
      <c r="J312">
        <f>($B$1+Table4[[#This Row],[Home Differential]])-Table4[[#This Row],[Away Differential]]</f>
        <v>0.5131129230286936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0.61074521755420907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0.15151928565692002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-0.50406821212948805</v>
      </c>
      <c r="H313" t="s">
        <v>35</v>
      </c>
      <c r="I313">
        <f>VLOOKUP(Table4[[#This Row],[Visitor]],'NHL Model'!$A$6:$B$38,2,FALSE)</f>
        <v>-1.3795663642467595</v>
      </c>
      <c r="J313">
        <f>($B$1+Table4[[#This Row],[Home Differential]])-Table4[[#This Row],[Away Differential]]</f>
        <v>0.92488456454389278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0.64638532587326336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0.12504333775775814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-0.21936273413039192</v>
      </c>
      <c r="H314" t="s">
        <v>15</v>
      </c>
      <c r="I314">
        <f>VLOOKUP(Table4[[#This Row],[Visitor]],'NHL Model'!$A$6:$B$38,2,FALSE)</f>
        <v>-0.2172114589315223</v>
      </c>
      <c r="J314">
        <f>($B$1+Table4[[#This Row],[Home Differential]])-Table4[[#This Row],[Away Differential]]</f>
        <v>4.7235137227751689E-2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0.44535177971935935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0.30763464826048209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-0.30901762292301305</v>
      </c>
      <c r="H315" t="s">
        <v>28</v>
      </c>
      <c r="I315">
        <f>VLOOKUP(Table4[[#This Row],[Visitor]],'NHL Model'!$A$6:$B$38,2,FALSE)</f>
        <v>-0.56850564030144513</v>
      </c>
      <c r="J315">
        <f>($B$1+Table4[[#This Row],[Home Differential]])-Table4[[#This Row],[Away Differential]]</f>
        <v>0.30887442980505336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0.57445059688921052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0.1810922944879492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0.18193976369097953</v>
      </c>
      <c r="H316" t="s">
        <v>21</v>
      </c>
      <c r="I316">
        <f>VLOOKUP(Table4[[#This Row],[Visitor]],'NHL Model'!$A$6:$B$38,2,FALSE)</f>
        <v>-0.24831960772154485</v>
      </c>
      <c r="J316">
        <f>($B$1+Table4[[#This Row],[Home Differential]])-Table4[[#This Row],[Away Differential]]</f>
        <v>0.47964578383914569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0.67500621535489713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0.10562096005794749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-0.46454876921224991</v>
      </c>
      <c r="H317" t="s">
        <v>16</v>
      </c>
      <c r="I317">
        <f>VLOOKUP(Table4[[#This Row],[Visitor]],'NHL Model'!$A$6:$B$38,2,FALSE)</f>
        <v>-1.2021149591105404</v>
      </c>
      <c r="J317">
        <f>($B$1+Table4[[#This Row],[Home Differential]])-Table4[[#This Row],[Away Differential]]</f>
        <v>0.78695260232491182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0.64064187989684251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0.41042201827776037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-3.2419815263072818E-2</v>
      </c>
      <c r="H318" t="s">
        <v>25</v>
      </c>
      <c r="I318">
        <f>VLOOKUP(Table4[[#This Row],[Visitor]],'NHL Model'!$A$6:$B$38,2,FALSE)</f>
        <v>0.4370463247440865</v>
      </c>
      <c r="J318">
        <f>($B$1+Table4[[#This Row],[Home Differential]])-Table4[[#This Row],[Away Differential]]</f>
        <v>-0.42007972758053802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0.58094305725892115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0.33749483577734213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0.49679678069457273</v>
      </c>
      <c r="H319" t="s">
        <v>17</v>
      </c>
      <c r="I319">
        <f>VLOOKUP(Table4[[#This Row],[Visitor]],'NHL Model'!$A$6:$B$38,2,FALSE)</f>
        <v>-0.82464120527377915</v>
      </c>
      <c r="J319">
        <f>($B$1+Table4[[#This Row],[Home Differential]])-Table4[[#This Row],[Away Differential]]</f>
        <v>1.3708243983949733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0.72371752198559824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7.6332007657778395E-2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0.18193976369097953</v>
      </c>
      <c r="H320" t="s">
        <v>36</v>
      </c>
      <c r="I320">
        <f>VLOOKUP(Table4[[#This Row],[Visitor]],'NHL Model'!$A$6:$B$38,2,FALSE)</f>
        <v>-0.430694899721771</v>
      </c>
      <c r="J320">
        <f>($B$1+Table4[[#This Row],[Home Differential]])-Table4[[#This Row],[Away Differential]]</f>
        <v>0.66202107583937186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0.69258767315819902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0.4796776850106883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-0.21549764750433295</v>
      </c>
      <c r="H321" t="s">
        <v>32</v>
      </c>
      <c r="I321">
        <f>VLOOKUP(Table4[[#This Row],[Visitor]],'NHL Model'!$A$6:$B$38,2,FALSE)</f>
        <v>-0.63765723729815182</v>
      </c>
      <c r="J321">
        <f>($B$1+Table4[[#This Row],[Home Differential]])-Table4[[#This Row],[Away Differential]]</f>
        <v>0.47154600222044019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0.5942398230369379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0.35312096728297127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1.6140407860044261</v>
      </c>
      <c r="H322" t="s">
        <v>15</v>
      </c>
      <c r="I322">
        <f>VLOOKUP(Table4[[#This Row],[Visitor]],'NHL Model'!$A$6:$B$38,2,FALSE)</f>
        <v>-0.2172114589315223</v>
      </c>
      <c r="J322">
        <f>($B$1+Table4[[#This Row],[Home Differential]])-Table4[[#This Row],[Away Differential]]</f>
        <v>1.8806386573625697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0.76804557314931943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5.3802856135627727E-2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-0.80014284799340474</v>
      </c>
      <c r="H323" t="s">
        <v>30</v>
      </c>
      <c r="I323">
        <f>VLOOKUP(Table4[[#This Row],[Visitor]],'NHL Model'!$A$6:$B$38,2,FALSE)</f>
        <v>-0.16042088891566345</v>
      </c>
      <c r="J323">
        <f>($B$1+Table4[[#This Row],[Home Differential]])-Table4[[#This Row],[Away Differential]]</f>
        <v>-0.59033554665111998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0.59035263147732564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0.16781096653755179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-0.51447808915301396</v>
      </c>
      <c r="H324" t="s">
        <v>24</v>
      </c>
      <c r="I324">
        <f>VLOOKUP(Table4[[#This Row],[Visitor]],'NHL Model'!$A$6:$B$38,2,FALSE)</f>
        <v>1.5071179757482971E-3</v>
      </c>
      <c r="J324">
        <f>($B$1+Table4[[#This Row],[Home Differential]])-Table4[[#This Row],[Away Differential]]</f>
        <v>-0.466598794702141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0.5344399987000793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0.28562611221054074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-0.68642169651276408</v>
      </c>
      <c r="H325" t="s">
        <v>22</v>
      </c>
      <c r="I325">
        <f>VLOOKUP(Table4[[#This Row],[Visitor]],'NHL Model'!$A$6:$B$38,2,FALSE)</f>
        <v>0.49679678069457273</v>
      </c>
      <c r="J325">
        <f>($B$1+Table4[[#This Row],[Home Differential]])-Table4[[#This Row],[Away Differential]]</f>
        <v>-1.1338320647807154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0.64970745409340891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0.12270486771772122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-0.36903552884843377</v>
      </c>
      <c r="H326" t="s">
        <v>35</v>
      </c>
      <c r="I326">
        <f>VLOOKUP(Table4[[#This Row],[Visitor]],'NHL Model'!$A$6:$B$38,2,FALSE)</f>
        <v>-1.3795663642467595</v>
      </c>
      <c r="J326">
        <f>($B$1+Table4[[#This Row],[Home Differential]])-Table4[[#This Row],[Away Differential]]</f>
        <v>1.059917247824947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0.67593415067618579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0.10501867469796505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-0.44540084513285771</v>
      </c>
      <c r="H327" t="s">
        <v>13</v>
      </c>
      <c r="I327">
        <f>VLOOKUP(Table4[[#This Row],[Visitor]],'NHL Model'!$A$6:$B$38,2,FALSE)</f>
        <v>-0.36690387823407311</v>
      </c>
      <c r="J327">
        <f>($B$1+Table4[[#This Row],[Home Differential]])-Table4[[#This Row],[Away Differential]]</f>
        <v>-2.9110554472163319E-2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0.51947748885751022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0.26985686142970466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0.46523362857782063</v>
      </c>
      <c r="H328" t="s">
        <v>17</v>
      </c>
      <c r="I328">
        <f>VLOOKUP(Table4[[#This Row],[Visitor]],'NHL Model'!$A$6:$B$38,2,FALSE)</f>
        <v>-0.82464120527377915</v>
      </c>
      <c r="J328">
        <f>($B$1+Table4[[#This Row],[Home Differential]])-Table4[[#This Row],[Away Differential]]</f>
        <v>1.339261246278221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0.72629528403155152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7.4914271543369049E-2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-0.50406821212948805</v>
      </c>
      <c r="H329" t="s">
        <v>28</v>
      </c>
      <c r="I329">
        <f>VLOOKUP(Table4[[#This Row],[Visitor]],'NHL Model'!$A$6:$B$38,2,FALSE)</f>
        <v>-0.56850564030144513</v>
      </c>
      <c r="J329">
        <f>($B$1+Table4[[#This Row],[Home Differential]])-Table4[[#This Row],[Away Differential]]</f>
        <v>0.11382384059857836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0.54951648725399316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0.30196836976396801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-0.3968452829365326</v>
      </c>
      <c r="H330" t="s">
        <v>20</v>
      </c>
      <c r="I330">
        <f>VLOOKUP(Table4[[#This Row],[Visitor]],'NHL Model'!$A$6:$B$38,2,FALSE)</f>
        <v>-0.21936273413039192</v>
      </c>
      <c r="J330">
        <f>($B$1+Table4[[#This Row],[Home Differential]])-Table4[[#This Row],[Away Differential]]</f>
        <v>-0.12809613637951939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0.43430314695962619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0.32001292953978233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-0.93150212402040711</v>
      </c>
      <c r="H331" t="s">
        <v>39</v>
      </c>
      <c r="I331">
        <f>VLOOKUP(Table4[[#This Row],[Visitor]],'NHL Model'!$A$6:$B$38,2,FALSE)</f>
        <v>0.36815457830954207</v>
      </c>
      <c r="J331">
        <f>($B$1+Table4[[#This Row],[Home Differential]])-Table4[[#This Row],[Away Differential]]</f>
        <v>-1.2502702899033278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0.68729124826288301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9.7786763412985866E-2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-0.46454876921224991</v>
      </c>
      <c r="H332" t="s">
        <v>10</v>
      </c>
      <c r="I332">
        <f>VLOOKUP(Table4[[#This Row],[Visitor]],'NHL Model'!$A$6:$B$38,2,FALSE)</f>
        <v>-0.21549764750433295</v>
      </c>
      <c r="J332">
        <f>($B$1+Table4[[#This Row],[Home Differential]])-Table4[[#This Row],[Away Differential]]</f>
        <v>-0.19966470928129568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0.47284428716789956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0.22358171990731907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-0.36690387823407311</v>
      </c>
      <c r="H333" t="s">
        <v>21</v>
      </c>
      <c r="I333">
        <f>VLOOKUP(Table4[[#This Row],[Visitor]],'NHL Model'!$A$6:$B$38,2,FALSE)</f>
        <v>-0.24831960772154485</v>
      </c>
      <c r="J333">
        <f>($B$1+Table4[[#This Row],[Home Differential]])-Table4[[#This Row],[Away Differential]]</f>
        <v>-6.9197858085906977E-2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0.46795951945184799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0.28306707294190853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-0.10735719588407502</v>
      </c>
      <c r="H334" t="s">
        <v>34</v>
      </c>
      <c r="I334">
        <f>VLOOKUP(Table4[[#This Row],[Visitor]],'NHL Model'!$A$6:$B$38,2,FALSE)</f>
        <v>-3.2419815263072818E-2</v>
      </c>
      <c r="J334">
        <f>($B$1+Table4[[#This Row],[Home Differential]])-Table4[[#This Row],[Away Differential]]</f>
        <v>-2.5550968194380901E-2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0.52222684717284729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0.22826718556239783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-0.30901762292301305</v>
      </c>
      <c r="H335" t="s">
        <v>25</v>
      </c>
      <c r="I335">
        <f>VLOOKUP(Table4[[#This Row],[Visitor]],'NHL Model'!$A$6:$B$38,2,FALSE)</f>
        <v>0.4370463247440865</v>
      </c>
      <c r="J335">
        <f>($B$1+Table4[[#This Row],[Home Differential]])-Table4[[#This Row],[Away Differential]]</f>
        <v>-0.69667753524047826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0.61025617610668192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0.15190024826298573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0.18193976369097953</v>
      </c>
      <c r="H336" t="s">
        <v>20</v>
      </c>
      <c r="I336">
        <f>VLOOKUP(Table4[[#This Row],[Visitor]],'NHL Model'!$A$6:$B$38,2,FALSE)</f>
        <v>-0.21936273413039192</v>
      </c>
      <c r="J336">
        <f>($B$1+Table4[[#This Row],[Home Differential]])-Table4[[#This Row],[Away Differential]]</f>
        <v>0.45068891024799274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0.67167543597835411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0.10779701934000385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-1.2021149591105404</v>
      </c>
      <c r="H337" t="s">
        <v>39</v>
      </c>
      <c r="I337">
        <f>VLOOKUP(Table4[[#This Row],[Visitor]],'NHL Model'!$A$6:$B$38,2,FALSE)</f>
        <v>0.36815457830954207</v>
      </c>
      <c r="J337">
        <f>($B$1+Table4[[#This Row],[Home Differential]])-Table4[[#This Row],[Away Differential]]</f>
        <v>-1.5208831249934613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0.71841862972237247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0.51612532753217133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-0.80014284799340474</v>
      </c>
      <c r="H338" t="s">
        <v>28</v>
      </c>
      <c r="I338">
        <f>VLOOKUP(Table4[[#This Row],[Visitor]],'NHL Model'!$A$6:$B$38,2,FALSE)</f>
        <v>-0.56850564030144513</v>
      </c>
      <c r="J338">
        <f>($B$1+Table4[[#This Row],[Home Differential]])-Table4[[#This Row],[Away Differential]]</f>
        <v>-0.18225079526533827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0.47440478762789318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0.22505990252426641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-0.51447808915301396</v>
      </c>
      <c r="H339" t="s">
        <v>17</v>
      </c>
      <c r="I339">
        <f>VLOOKUP(Table4[[#This Row],[Visitor]],'NHL Model'!$A$6:$B$38,2,FALSE)</f>
        <v>-0.82464120527377915</v>
      </c>
      <c r="J339">
        <f>($B$1+Table4[[#This Row],[Home Differential]])-Table4[[#This Row],[Away Differential]]</f>
        <v>0.35954952854738648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0.58135737066923088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0.33797639243144151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-0.68642169651276408</v>
      </c>
      <c r="H340" t="s">
        <v>19</v>
      </c>
      <c r="I340">
        <f>VLOOKUP(Table4[[#This Row],[Visitor]],'NHL Model'!$A$6:$B$38,2,FALSE)</f>
        <v>-0.50406821212948805</v>
      </c>
      <c r="J340">
        <f>($B$1+Table4[[#This Row],[Home Differential]])-Table4[[#This Row],[Away Differential]]</f>
        <v>-0.13296707195665469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0.47529460629229808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0.22590496277055064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-1.2257669814473033</v>
      </c>
      <c r="H341" t="s">
        <v>12</v>
      </c>
      <c r="I341">
        <f>VLOOKUP(Table4[[#This Row],[Visitor]],'NHL Model'!$A$6:$B$38,2,FALSE)</f>
        <v>1.6140407860044261</v>
      </c>
      <c r="J341">
        <f>($B$1+Table4[[#This Row],[Home Differential]])-Table4[[#This Row],[Away Differential]]</f>
        <v>-2.7904213550251082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0.85359283014275067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2.1435059385609457E-2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-0.16042088891566345</v>
      </c>
      <c r="H342" t="s">
        <v>35</v>
      </c>
      <c r="I342">
        <f>VLOOKUP(Table4[[#This Row],[Visitor]],'NHL Model'!$A$6:$B$38,2,FALSE)</f>
        <v>-1.3795663642467595</v>
      </c>
      <c r="J342">
        <f>($B$1+Table4[[#This Row],[Home Differential]])-Table4[[#This Row],[Away Differential]]</f>
        <v>1.2685318877577174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0.68591353714101921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0.47047738043330434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-0.36903552884843377</v>
      </c>
      <c r="H343" t="s">
        <v>24</v>
      </c>
      <c r="I343">
        <f>VLOOKUP(Table4[[#This Row],[Visitor]],'NHL Model'!$A$6:$B$38,2,FALSE)</f>
        <v>1.5071179757482971E-3</v>
      </c>
      <c r="J343">
        <f>($B$1+Table4[[#This Row],[Home Differential]])-Table4[[#This Row],[Away Differential]]</f>
        <v>-0.3211562343975608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0.50360782879911481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0.25362084522775852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-0.10735719588407502</v>
      </c>
      <c r="H344" t="s">
        <v>32</v>
      </c>
      <c r="I344">
        <f>VLOOKUP(Table4[[#This Row],[Visitor]],'NHL Model'!$A$6:$B$38,2,FALSE)</f>
        <v>-0.63765723729815182</v>
      </c>
      <c r="J344">
        <f>($B$1+Table4[[#This Row],[Home Differential]])-Table4[[#This Row],[Away Differential]]</f>
        <v>0.57968645384069806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0.60667873447165999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0.36805908686013494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-0.44540084513285771</v>
      </c>
      <c r="H345" t="s">
        <v>36</v>
      </c>
      <c r="I345">
        <f>VLOOKUP(Table4[[#This Row],[Visitor]],'NHL Model'!$A$6:$B$38,2,FALSE)</f>
        <v>-0.430694899721771</v>
      </c>
      <c r="J345">
        <f>($B$1+Table4[[#This Row],[Home Differential]])-Table4[[#This Row],[Away Differential]]</f>
        <v>3.4680467015534566E-2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0.55054784312687566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0.30310292757165491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-0.3968452829365326</v>
      </c>
      <c r="H346" t="s">
        <v>15</v>
      </c>
      <c r="I346">
        <f>VLOOKUP(Table4[[#This Row],[Visitor]],'NHL Model'!$A$6:$B$38,2,FALSE)</f>
        <v>-0.2172114589315223</v>
      </c>
      <c r="J346">
        <f>($B$1+Table4[[#This Row],[Home Differential]])-Table4[[#This Row],[Away Differential]]</f>
        <v>-0.13024741157838901</v>
      </c>
      <c r="K346" t="str">
        <f>IF(Table4[[#This Row],[HomeIce Differential]]&gt;0,Table4[[#This Row],[Home]],Table4[[#This Row],[Visitor]])</f>
        <v>New York Rangers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0.53429508067027975</v>
      </c>
      <c r="M346" t="str">
        <f>IF(OR((NHL2025_26Results[[#This Row],[Winning Team]]="")),"-",IF(Table4[[#This Row],[Predicted Winner]]=NHL2025_26Results[[#This Row],[Winning Team]],"YES","NO"))</f>
        <v>NO</v>
      </c>
      <c r="N346">
        <f>IF(Table4[[#This Row],[Adjusted Correct]]="-", "",IF(Table4[[#This Row],[Adjusted Correct]]="YES",(Table4[[#This Row],[Strength of Win]]-1)^2,(Table4[[#This Row],[Strength of Win]]-0)^2))</f>
        <v>0.28547123322846074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0.49679678069457273</v>
      </c>
      <c r="H347" t="s">
        <v>37</v>
      </c>
      <c r="I347">
        <f>VLOOKUP(Table4[[#This Row],[Visitor]],'NHL Model'!$A$6:$B$38,2,FALSE)</f>
        <v>0.46523362857782063</v>
      </c>
      <c r="J347">
        <f>($B$1+Table4[[#This Row],[Home Differential]])-Table4[[#This Row],[Away Differential]]</f>
        <v>8.0949564543373376E-2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0.50298215164722893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0.25299104487567597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-0.46454876921224991</v>
      </c>
      <c r="H348" t="s">
        <v>25</v>
      </c>
      <c r="I348">
        <f>VLOOKUP(Table4[[#This Row],[Visitor]],'NHL Model'!$A$6:$B$38,2,FALSE)</f>
        <v>0.4370463247440865</v>
      </c>
      <c r="J348">
        <f>($B$1+Table4[[#This Row],[Home Differential]])-Table4[[#This Row],[Away Differential]]</f>
        <v>-0.85220868152971518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0.62047472439521456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0.38498888361331746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-0.21549764750433295</v>
      </c>
      <c r="H349" t="s">
        <v>12</v>
      </c>
      <c r="I349">
        <f>VLOOKUP(Table4[[#This Row],[Visitor]],'NHL Model'!$A$6:$B$38,2,FALSE)</f>
        <v>1.6140407860044261</v>
      </c>
      <c r="J349">
        <f>($B$1+Table4[[#This Row],[Home Differential]])-Table4[[#This Row],[Away Differential]]</f>
        <v>-1.7801520210821378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0.73738607696346026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6.8966072572641618E-2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-0.16042088891566345</v>
      </c>
      <c r="H350" t="s">
        <v>32</v>
      </c>
      <c r="I350">
        <f>VLOOKUP(Table4[[#This Row],[Visitor]],'NHL Model'!$A$6:$B$38,2,FALSE)</f>
        <v>-0.63765723729815182</v>
      </c>
      <c r="J350">
        <f>($B$1+Table4[[#This Row],[Home Differential]])-Table4[[#This Row],[Away Differential]]</f>
        <v>0.52662276080910964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0.60057505570825853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0.15954028612246077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-0.44540084513285771</v>
      </c>
      <c r="H351" t="s">
        <v>21</v>
      </c>
      <c r="I351">
        <f>VLOOKUP(Table4[[#This Row],[Visitor]],'NHL Model'!$A$6:$B$38,2,FALSE)</f>
        <v>-0.24831960772154485</v>
      </c>
      <c r="J351">
        <f>($B$1+Table4[[#This Row],[Home Differential]])-Table4[[#This Row],[Away Differential]]</f>
        <v>-0.14769482498469158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0.46686642432053271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0.21796425815783971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-0.93150212402040711</v>
      </c>
      <c r="H352" t="s">
        <v>16</v>
      </c>
      <c r="I352">
        <f>VLOOKUP(Table4[[#This Row],[Visitor]],'NHL Model'!$A$6:$B$38,2,FALSE)</f>
        <v>-1.2021149591105404</v>
      </c>
      <c r="J352">
        <f>($B$1+Table4[[#This Row],[Home Differential]])-Table4[[#This Row],[Away Differential]]</f>
        <v>0.31999924751675468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0.57680807911748155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0.33270756013519887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-0.30901762292301305</v>
      </c>
      <c r="H353" t="s">
        <v>34</v>
      </c>
      <c r="I353">
        <f>VLOOKUP(Table4[[#This Row],[Visitor]],'NHL Model'!$A$6:$B$38,2,FALSE)</f>
        <v>-3.2419815263072818E-2</v>
      </c>
      <c r="J353">
        <f>($B$1+Table4[[#This Row],[Home Differential]])-Table4[[#This Row],[Away Differential]]</f>
        <v>-0.22721139523331896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0.54291363185984709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0.20892794793955538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-0.36690387823407311</v>
      </c>
      <c r="H354" t="s">
        <v>36</v>
      </c>
      <c r="I354">
        <f>VLOOKUP(Table4[[#This Row],[Visitor]],'NHL Model'!$A$6:$B$38,2,FALSE)</f>
        <v>-0.430694899721771</v>
      </c>
      <c r="J354">
        <f>($B$1+Table4[[#This Row],[Home Differential]])-Table4[[#This Row],[Away Differential]]</f>
        <v>0.11317743391431917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0.54944213399047481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0.20300239062305725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1.5071179757482971E-3</v>
      </c>
      <c r="H355" t="s">
        <v>26</v>
      </c>
      <c r="I355">
        <f>VLOOKUP(Table4[[#This Row],[Visitor]],'NHL Model'!$A$6:$B$38,2,FALSE)</f>
        <v>-0.80014284799340474</v>
      </c>
      <c r="J355">
        <f>($B$1+Table4[[#This Row],[Home Differential]])-Table4[[#This Row],[Away Differential]]</f>
        <v>0.8510363783957744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0.71772561077226638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7.9678830813890059E-2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-1.2257669814473033</v>
      </c>
      <c r="H356" t="s">
        <v>11</v>
      </c>
      <c r="I356">
        <f>VLOOKUP(Table4[[#This Row],[Visitor]],'NHL Model'!$A$6:$B$38,2,FALSE)</f>
        <v>-0.51447808915301396</v>
      </c>
      <c r="J356">
        <f>($B$1+Table4[[#This Row],[Home Differential]])-Table4[[#This Row],[Away Differential]]</f>
        <v>-0.66190247986766815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0.53613567543077023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0.21517011160806773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-0.2172114589315223</v>
      </c>
      <c r="H357" t="s">
        <v>35</v>
      </c>
      <c r="I357">
        <f>VLOOKUP(Table4[[#This Row],[Visitor]],'NHL Model'!$A$6:$B$38,2,FALSE)</f>
        <v>-1.3795663642467595</v>
      </c>
      <c r="J357">
        <f>($B$1+Table4[[#This Row],[Home Differential]])-Table4[[#This Row],[Away Differential]]</f>
        <v>1.2117413177418586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0.67938117242300178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0.10279643259684891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0.46523362857782063</v>
      </c>
      <c r="H358" t="s">
        <v>27</v>
      </c>
      <c r="I358">
        <f>VLOOKUP(Table4[[#This Row],[Visitor]],'NHL Model'!$A$6:$B$38,2,FALSE)</f>
        <v>-0.36903552884843377</v>
      </c>
      <c r="J358">
        <f>($B$1+Table4[[#This Row],[Home Differential]])-Table4[[#This Row],[Away Differential]]</f>
        <v>0.88365556985287563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0.63176342134132568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0.13559817786224604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-0.3968452829365326</v>
      </c>
      <c r="H359" t="s">
        <v>20</v>
      </c>
      <c r="I359">
        <f>VLOOKUP(Table4[[#This Row],[Visitor]],'NHL Model'!$A$6:$B$38,2,FALSE)</f>
        <v>-0.21936273413039192</v>
      </c>
      <c r="J359">
        <f>($B$1+Table4[[#This Row],[Home Differential]])-Table4[[#This Row],[Away Differential]]</f>
        <v>-0.12809613637951939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0.43430314695962619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0.18861922345903465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0.49679678069457273</v>
      </c>
      <c r="H360" t="s">
        <v>28</v>
      </c>
      <c r="I360">
        <f>VLOOKUP(Table4[[#This Row],[Visitor]],'NHL Model'!$A$6:$B$38,2,FALSE)</f>
        <v>-0.56850564030144513</v>
      </c>
      <c r="J360">
        <f>($B$1+Table4[[#This Row],[Home Differential]])-Table4[[#This Row],[Away Differential]]</f>
        <v>1.114688833422639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0.69071766016760827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9.5655565732199049E-2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-0.82464120527377915</v>
      </c>
      <c r="H361" t="s">
        <v>39</v>
      </c>
      <c r="I361">
        <f>VLOOKUP(Table4[[#This Row],[Visitor]],'NHL Model'!$A$6:$B$38,2,FALSE)</f>
        <v>0.36815457830954207</v>
      </c>
      <c r="J361">
        <f>($B$1+Table4[[#This Row],[Home Differential]])-Table4[[#This Row],[Away Differential]]</f>
        <v>-1.1434093711566999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0.67499951575939732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0.10562531475662623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0.18193976369097953</v>
      </c>
      <c r="H362" t="s">
        <v>38</v>
      </c>
      <c r="I362">
        <f>VLOOKUP(Table4[[#This Row],[Visitor]],'NHL Model'!$A$6:$B$38,2,FALSE)</f>
        <v>-0.93150212402040711</v>
      </c>
      <c r="J362">
        <f>($B$1+Table4[[#This Row],[Home Differential]])-Table4[[#This Row],[Away Differential]]</f>
        <v>1.162828300138008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0.75358963799338929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0.56789734249100754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0.4370463247440865</v>
      </c>
      <c r="H363" t="s">
        <v>15</v>
      </c>
      <c r="I363">
        <f>VLOOKUP(Table4[[#This Row],[Visitor]],'NHL Model'!$A$6:$B$38,2,FALSE)</f>
        <v>-0.2172114589315223</v>
      </c>
      <c r="J363">
        <f>($B$1+Table4[[#This Row],[Home Differential]])-Table4[[#This Row],[Away Differential]]</f>
        <v>0.70364419610223006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0.57324473025910649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0.32860952076983574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-0.56850564030144513</v>
      </c>
      <c r="H364" t="s">
        <v>19</v>
      </c>
      <c r="I364">
        <f>VLOOKUP(Table4[[#This Row],[Visitor]],'NHL Model'!$A$6:$B$38,2,FALSE)</f>
        <v>-0.50406821212948805</v>
      </c>
      <c r="J364">
        <f>($B$1+Table4[[#This Row],[Home Differential]])-Table4[[#This Row],[Away Differential]]</f>
        <v>-1.5051015745335738E-2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0.46173125087840644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0.28973324628092506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-0.21549764750433295</v>
      </c>
      <c r="H365" t="s">
        <v>34</v>
      </c>
      <c r="I365">
        <f>VLOOKUP(Table4[[#This Row],[Visitor]],'NHL Model'!$A$6:$B$38,2,FALSE)</f>
        <v>-3.2419815263072818E-2</v>
      </c>
      <c r="J365">
        <f>($B$1+Table4[[#This Row],[Home Differential]])-Table4[[#This Row],[Away Differential]]</f>
        <v>-0.13369141981463883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0.53466575860756937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0.2165359562122689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1.6140407860044261</v>
      </c>
      <c r="H366" t="s">
        <v>33</v>
      </c>
      <c r="I366">
        <f>VLOOKUP(Table4[[#This Row],[Visitor]],'NHL Model'!$A$6:$B$38,2,FALSE)</f>
        <v>-0.44540084513285771</v>
      </c>
      <c r="J366">
        <f>($B$1+Table4[[#This Row],[Home Differential]])-Table4[[#This Row],[Away Differential]]</f>
        <v>2.1088280435639053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0.89039000334779361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1.2014351366096696E-2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-0.80014284799340474</v>
      </c>
      <c r="H367" t="s">
        <v>29</v>
      </c>
      <c r="I367">
        <f>VLOOKUP(Table4[[#This Row],[Visitor]],'NHL Model'!$A$6:$B$38,2,FALSE)</f>
        <v>-1.2257669814473033</v>
      </c>
      <c r="J367">
        <f>($B$1+Table4[[#This Row],[Home Differential]])-Table4[[#This Row],[Away Differential]]</f>
        <v>0.47501054588051994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0.60476058335387528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0.36573536317851951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-0.51447808915301396</v>
      </c>
      <c r="H368" t="s">
        <v>27</v>
      </c>
      <c r="I368">
        <f>VLOOKUP(Table4[[#This Row],[Visitor]],'NHL Model'!$A$6:$B$38,2,FALSE)</f>
        <v>-0.36903552884843377</v>
      </c>
      <c r="J368">
        <f>($B$1+Table4[[#This Row],[Home Differential]])-Table4[[#This Row],[Away Differential]]</f>
        <v>-9.6056147877958908E-2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0.51356147095447868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0.23662244253997047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1.5071179757482971E-3</v>
      </c>
      <c r="H369" t="s">
        <v>35</v>
      </c>
      <c r="I369">
        <f>VLOOKUP(Table4[[#This Row],[Visitor]],'NHL Model'!$A$6:$B$38,2,FALSE)</f>
        <v>-1.3795663642467595</v>
      </c>
      <c r="J369">
        <f>($B$1+Table4[[#This Row],[Home Differential]])-Table4[[#This Row],[Away Differential]]</f>
        <v>1.4304598946491291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0.78437410071181268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4.64945284438395E-2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-0.16042088891566345</v>
      </c>
      <c r="H370" t="s">
        <v>21</v>
      </c>
      <c r="I370">
        <f>VLOOKUP(Table4[[#This Row],[Visitor]],'NHL Model'!$A$6:$B$38,2,FALSE)</f>
        <v>-0.24831960772154485</v>
      </c>
      <c r="J370">
        <f>($B$1+Table4[[#This Row],[Home Differential]])-Table4[[#This Row],[Away Differential]]</f>
        <v>0.13728513123250272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0.55579129329607324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0.3089039617037217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-0.10735719588407502</v>
      </c>
      <c r="H371" t="s">
        <v>23</v>
      </c>
      <c r="I371">
        <f>VLOOKUP(Table4[[#This Row],[Visitor]],'NHL Model'!$A$6:$B$38,2,FALSE)</f>
        <v>-0.46454876921224991</v>
      </c>
      <c r="J371">
        <f>($B$1+Table4[[#This Row],[Home Differential]])-Table4[[#This Row],[Away Differential]]</f>
        <v>0.4065779857547962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0.58676684330735884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0.17076164179016493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-0.63765723729815182</v>
      </c>
      <c r="H372" t="s">
        <v>39</v>
      </c>
      <c r="I372">
        <f>VLOOKUP(Table4[[#This Row],[Visitor]],'NHL Model'!$A$6:$B$38,2,FALSE)</f>
        <v>0.36815457830954207</v>
      </c>
      <c r="J372">
        <f>($B$1+Table4[[#This Row],[Home Differential]])-Table4[[#This Row],[Away Differential]]</f>
        <v>-0.95642540318107261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0.65349158803657625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0.12006807956141378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0.46523362857782063</v>
      </c>
      <c r="H373" t="s">
        <v>16</v>
      </c>
      <c r="I373">
        <f>VLOOKUP(Table4[[#This Row],[Visitor]],'NHL Model'!$A$6:$B$38,2,FALSE)</f>
        <v>-1.2021149591105404</v>
      </c>
      <c r="J373">
        <f>($B$1+Table4[[#This Row],[Home Differential]])-Table4[[#This Row],[Away Differential]]</f>
        <v>1.7167350001149824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0.76971439799452668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5.303145849102326E-2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-0.3968452829365326</v>
      </c>
      <c r="H374" t="s">
        <v>18</v>
      </c>
      <c r="I374">
        <f>VLOOKUP(Table4[[#This Row],[Visitor]],'NHL Model'!$A$6:$B$38,2,FALSE)</f>
        <v>-0.68642169651276408</v>
      </c>
      <c r="J374">
        <f>($B$1+Table4[[#This Row],[Home Differential]])-Table4[[#This Row],[Away Differential]]</f>
        <v>0.33896282600285277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0.56072850498556137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0.31441645630334275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-0.21936273413039192</v>
      </c>
      <c r="H375" t="s">
        <v>36</v>
      </c>
      <c r="I375">
        <f>VLOOKUP(Table4[[#This Row],[Visitor]],'NHL Model'!$A$6:$B$38,2,FALSE)</f>
        <v>-0.430694899721771</v>
      </c>
      <c r="J375">
        <f>($B$1+Table4[[#This Row],[Home Differential]])-Table4[[#This Row],[Away Differential]]</f>
        <v>0.26071857801800036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0.56641313047685782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0.32082383437659395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0.49679678069457273</v>
      </c>
      <c r="H376" t="s">
        <v>40</v>
      </c>
      <c r="I376">
        <f>VLOOKUP(Table4[[#This Row],[Visitor]],'NHL Model'!$A$6:$B$38,2,FALSE)</f>
        <v>-0.30901762292301305</v>
      </c>
      <c r="J376">
        <f>($B$1+Table4[[#This Row],[Home Differential]])-Table4[[#This Row],[Away Differential]]</f>
        <v>0.85520081604420706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0.6438244620795579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0.12686101381291628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0.18193976369097953</v>
      </c>
      <c r="H377" t="s">
        <v>13</v>
      </c>
      <c r="I377">
        <f>VLOOKUP(Table4[[#This Row],[Visitor]],'NHL Model'!$A$6:$B$38,2,FALSE)</f>
        <v>-0.36690387823407311</v>
      </c>
      <c r="J377">
        <f>($B$1+Table4[[#This Row],[Home Differential]])-Table4[[#This Row],[Away Differential]]</f>
        <v>0.59823005435167398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0.62436727727649088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0.14109994238067669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-0.24831960772154485</v>
      </c>
      <c r="H378" t="s">
        <v>15</v>
      </c>
      <c r="I378">
        <f>VLOOKUP(Table4[[#This Row],[Visitor]],'NHL Model'!$A$6:$B$38,2,FALSE)</f>
        <v>-0.2172114589315223</v>
      </c>
      <c r="J378">
        <f>($B$1+Table4[[#This Row],[Home Differential]])-Table4[[#This Row],[Away Differential]]</f>
        <v>1.8278263636598763E-2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0.48532394324799566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0.23553932988978371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-0.46454876921224991</v>
      </c>
      <c r="H379" t="s">
        <v>24</v>
      </c>
      <c r="I379">
        <f>VLOOKUP(Table4[[#This Row],[Visitor]],'NHL Model'!$A$6:$B$38,2,FALSE)</f>
        <v>1.5071179757482971E-3</v>
      </c>
      <c r="J379">
        <f>($B$1+Table4[[#This Row],[Home Differential]])-Table4[[#This Row],[Away Differential]]</f>
        <v>-0.41666947476137695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0.51851585734908268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0.23182697962428891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0.4370463247440865</v>
      </c>
      <c r="H380" t="s">
        <v>40</v>
      </c>
      <c r="I380">
        <f>VLOOKUP(Table4[[#This Row],[Visitor]],'NHL Model'!$A$6:$B$38,2,FALSE)</f>
        <v>-0.30901762292301305</v>
      </c>
      <c r="J380">
        <f>($B$1+Table4[[#This Row],[Home Differential]])-Table4[[#This Row],[Away Differential]]</f>
        <v>0.79545036009372083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0.66292566092352667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0.11361911006384132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-0.56850564030144513</v>
      </c>
      <c r="H381" t="s">
        <v>14</v>
      </c>
      <c r="I381">
        <f>VLOOKUP(Table4[[#This Row],[Visitor]],'NHL Model'!$A$6:$B$38,2,FALSE)</f>
        <v>-0.10735719588407502</v>
      </c>
      <c r="J381">
        <f>($B$1+Table4[[#This Row],[Home Differential]])-Table4[[#This Row],[Away Differential]]</f>
        <v>-0.41176203199074879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0.54664987414779487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0.20552633661021022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-0.21549764750433295</v>
      </c>
      <c r="H382" t="s">
        <v>29</v>
      </c>
      <c r="I382">
        <f>VLOOKUP(Table4[[#This Row],[Visitor]],'NHL Model'!$A$6:$B$38,2,FALSE)</f>
        <v>-1.2257669814473033</v>
      </c>
      <c r="J382">
        <f>($B$1+Table4[[#This Row],[Home Differential]])-Table4[[#This Row],[Away Differential]]</f>
        <v>1.0596557463695917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0.66188745083728251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0.43809499757587606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0.36815457830954207</v>
      </c>
      <c r="H383" t="s">
        <v>55</v>
      </c>
      <c r="I383">
        <f>VLOOKUP(Table4[[#This Row],[Visitor]],'NHL Model'!$A$6:$B$38,2,FALSE)</f>
        <v>-0.3968452829365326</v>
      </c>
      <c r="J383">
        <f>($B$1+Table4[[#This Row],[Home Differential]])-Table4[[#This Row],[Away Differential]]</f>
        <v>0.81438627367269589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0.66592126856628542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0.11160859879636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-0.80014284799340474</v>
      </c>
      <c r="H384" t="s">
        <v>37</v>
      </c>
      <c r="I384">
        <f>VLOOKUP(Table4[[#This Row],[Visitor]],'NHL Model'!$A$6:$B$38,2,FALSE)</f>
        <v>0.46523362857782063</v>
      </c>
      <c r="J384">
        <f>($B$1+Table4[[#This Row],[Home Differential]])-Table4[[#This Row],[Away Differential]]</f>
        <v>-1.215990064144604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0.66231886626949987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0.1140285480775159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-0.51447808915301396</v>
      </c>
      <c r="H385" t="s">
        <v>16</v>
      </c>
      <c r="I385">
        <f>VLOOKUP(Table4[[#This Row],[Visitor]],'NHL Model'!$A$6:$B$38,2,FALSE)</f>
        <v>-1.2021149591105404</v>
      </c>
      <c r="J385">
        <f>($B$1+Table4[[#This Row],[Home Differential]])-Table4[[#This Row],[Away Differential]]</f>
        <v>0.73702328238414783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0.62477648463220592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0.39034565574937702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-3.2419815263072818E-2</v>
      </c>
      <c r="H386" t="s">
        <v>12</v>
      </c>
      <c r="I386">
        <f>VLOOKUP(Table4[[#This Row],[Visitor]],'NHL Model'!$A$6:$B$38,2,FALSE)</f>
        <v>1.6140407860044261</v>
      </c>
      <c r="J386">
        <f>($B$1+Table4[[#This Row],[Home Differential]])-Table4[[#This Row],[Away Differential]]</f>
        <v>-1.5970741888408777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0.71632745452579205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0.51312502210740063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-0.16042088891566345</v>
      </c>
      <c r="H387" t="s">
        <v>27</v>
      </c>
      <c r="I387">
        <f>VLOOKUP(Table4[[#This Row],[Visitor]],'NHL Model'!$A$6:$B$38,2,FALSE)</f>
        <v>-0.36903552884843377</v>
      </c>
      <c r="J387">
        <f>($B$1+Table4[[#This Row],[Home Differential]])-Table4[[#This Row],[Away Differential]]</f>
        <v>0.25800105235939164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0.52716414180737026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0.27790203240750116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-0.44540084513285771</v>
      </c>
      <c r="H388" t="s">
        <v>38</v>
      </c>
      <c r="I388">
        <f>VLOOKUP(Table4[[#This Row],[Visitor]],'NHL Model'!$A$6:$B$38,2,FALSE)</f>
        <v>-0.93150212402040711</v>
      </c>
      <c r="J388">
        <f>($B$1+Table4[[#This Row],[Home Differential]])-Table4[[#This Row],[Away Differential]]</f>
        <v>0.53548769131417062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0.61171699831795956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0.15076368939521542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-1.3795663642467595</v>
      </c>
      <c r="H389" t="s">
        <v>36</v>
      </c>
      <c r="I389">
        <f>VLOOKUP(Table4[[#This Row],[Visitor]],'NHL Model'!$A$6:$B$38,2,FALSE)</f>
        <v>-0.430694899721771</v>
      </c>
      <c r="J389">
        <f>($B$1+Table4[[#This Row],[Home Differential]])-Table4[[#This Row],[Away Differential]]</f>
        <v>-0.89948505209836727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0.56703989274463118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0.32153423996384284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-0.21936273413039192</v>
      </c>
      <c r="H390" t="s">
        <v>18</v>
      </c>
      <c r="I390">
        <f>VLOOKUP(Table4[[#This Row],[Visitor]],'NHL Model'!$A$6:$B$38,2,FALSE)</f>
        <v>-0.68642169651276408</v>
      </c>
      <c r="J390">
        <f>($B$1+Table4[[#This Row],[Home Differential]])-Table4[[#This Row],[Away Differential]]</f>
        <v>0.51644537480899344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0.54011656278660658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0.29172590139641835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0.49679678069457273</v>
      </c>
      <c r="H391" t="s">
        <v>19</v>
      </c>
      <c r="I391">
        <f>VLOOKUP(Table4[[#This Row],[Visitor]],'NHL Model'!$A$6:$B$38,2,FALSE)</f>
        <v>-0.50406821212948805</v>
      </c>
      <c r="J391">
        <f>($B$1+Table4[[#This Row],[Home Differential]])-Table4[[#This Row],[Away Differential]]</f>
        <v>1.0502514052506822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0.68684344748026638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9.8067026386044684E-2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-0.24831960772154485</v>
      </c>
      <c r="H392" t="s">
        <v>26</v>
      </c>
      <c r="I392">
        <f>VLOOKUP(Table4[[#This Row],[Visitor]],'NHL Model'!$A$6:$B$38,2,FALSE)</f>
        <v>-0.80014284799340474</v>
      </c>
      <c r="J392">
        <f>($B$1+Table4[[#This Row],[Home Differential]])-Table4[[#This Row],[Away Differential]]</f>
        <v>0.60120965269848115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0.65205600596753688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0.12106502298326273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1.6140407860044261</v>
      </c>
      <c r="H393" t="s">
        <v>18</v>
      </c>
      <c r="I393">
        <f>VLOOKUP(Table4[[#This Row],[Visitor]],'NHL Model'!$A$6:$B$38,2,FALSE)</f>
        <v>-0.68642169651276408</v>
      </c>
      <c r="J393">
        <f>($B$1+Table4[[#This Row],[Home Differential]])-Table4[[#This Row],[Away Differential]]</f>
        <v>2.3498488949438112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0.86222083683938955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1.8983097801238115E-2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-0.36690387823407311</v>
      </c>
      <c r="H394" t="s">
        <v>38</v>
      </c>
      <c r="I394">
        <f>VLOOKUP(Table4[[#This Row],[Visitor]],'NHL Model'!$A$6:$B$38,2,FALSE)</f>
        <v>-0.93150212402040711</v>
      </c>
      <c r="J394">
        <f>($B$1+Table4[[#This Row],[Home Differential]])-Table4[[#This Row],[Away Differential]]</f>
        <v>0.61398465821295534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0.61062390318664428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0.15161374476960376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-3.2419815263072818E-2</v>
      </c>
      <c r="H395" t="s">
        <v>23</v>
      </c>
      <c r="I395">
        <f>VLOOKUP(Table4[[#This Row],[Visitor]],'NHL Model'!$A$6:$B$38,2,FALSE)</f>
        <v>-0.46454876921224991</v>
      </c>
      <c r="J395">
        <f>($B$1+Table4[[#This Row],[Home Differential]])-Table4[[#This Row],[Away Differential]]</f>
        <v>0.48151536637579839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0.59538655431030507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0.35448514905349787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1.5071179757482971E-3</v>
      </c>
      <c r="H396" t="s">
        <v>27</v>
      </c>
      <c r="I396">
        <f>VLOOKUP(Table4[[#This Row],[Visitor]],'NHL Model'!$A$6:$B$38,2,FALSE)</f>
        <v>-0.36903552884843377</v>
      </c>
      <c r="J396">
        <f>($B$1+Table4[[#This Row],[Home Differential]])-Table4[[#This Row],[Away Differential]]</f>
        <v>0.41992905925080337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0.62724992586948491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0.39344246950327433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-1.2257669814473033</v>
      </c>
      <c r="H397" t="s">
        <v>40</v>
      </c>
      <c r="I397">
        <f>VLOOKUP(Table4[[#This Row],[Visitor]],'NHL Model'!$A$6:$B$38,2,FALSE)</f>
        <v>-0.30901762292301305</v>
      </c>
      <c r="J397">
        <f>($B$1+Table4[[#This Row],[Home Differential]])-Table4[[#This Row],[Away Differential]]</f>
        <v>-0.86736294609766906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0.58053810270029116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0.17594828328627149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-0.2172114589315223</v>
      </c>
      <c r="H398" t="s">
        <v>37</v>
      </c>
      <c r="I398">
        <f>VLOOKUP(Table4[[#This Row],[Visitor]],'NHL Model'!$A$6:$B$38,2,FALSE)</f>
        <v>0.46523362857782063</v>
      </c>
      <c r="J398">
        <f>($B$1+Table4[[#This Row],[Home Differential]])-Table4[[#This Row],[Away Differential]]</f>
        <v>-0.63305867508272162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0.60544107096005595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0.15567674848514759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-0.10735719588407502</v>
      </c>
      <c r="H399" t="s">
        <v>19</v>
      </c>
      <c r="I399">
        <f>VLOOKUP(Table4[[#This Row],[Visitor]],'NHL Model'!$A$6:$B$38,2,FALSE)</f>
        <v>-0.50406821212948805</v>
      </c>
      <c r="J399">
        <f>($B$1+Table4[[#This Row],[Home Differential]])-Table4[[#This Row],[Away Differential]]</f>
        <v>0.44609742867203434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0.5913125876891494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0.34965057635963798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-0.63765723729815182</v>
      </c>
      <c r="H400" t="s">
        <v>17</v>
      </c>
      <c r="I400">
        <f>VLOOKUP(Table4[[#This Row],[Visitor]],'NHL Model'!$A$6:$B$38,2,FALSE)</f>
        <v>-0.82464120527377915</v>
      </c>
      <c r="J400">
        <f>($B$1+Table4[[#This Row],[Home Differential]])-Table4[[#This Row],[Away Differential]]</f>
        <v>0.23637038040224867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0.56718862538081327</v>
      </c>
      <c r="M400" t="str">
        <f>IF(OR((NHL2025_26Results[[#This Row],[Winning Team]]="")),"-",IF(Table4[[#This Row],[Predicted Winner]]=NHL2025_26Results[[#This Row],[Winning Team]],"YES","NO"))</f>
        <v>NO</v>
      </c>
      <c r="N400">
        <f>IF(Table4[[#This Row],[Adjusted Correct]]="-", "",IF(Table4[[#This Row],[Adjusted Correct]]="YES",(Table4[[#This Row],[Strength of Win]]-1)^2,(Table4[[#This Row],[Strength of Win]]-0)^2))</f>
        <v>0.32170293676137651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-1.3795663642467595</v>
      </c>
      <c r="H401" t="s">
        <v>55</v>
      </c>
      <c r="I401">
        <f>VLOOKUP(Table4[[#This Row],[Visitor]],'NHL Model'!$A$6:$B$38,2,FALSE)</f>
        <v>-0.3968452829365326</v>
      </c>
      <c r="J401">
        <f>($B$1+Table4[[#This Row],[Home Differential]])-Table4[[#This Row],[Away Differential]]</f>
        <v>-0.93333466888360572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0.56735730349977587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0.32189430983453676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-0.21936273413039192</v>
      </c>
      <c r="H402" t="s">
        <v>33</v>
      </c>
      <c r="I402">
        <f>VLOOKUP(Table4[[#This Row],[Visitor]],'NHL Model'!$A$6:$B$38,2,FALSE)</f>
        <v>-0.44540084513285771</v>
      </c>
      <c r="J402">
        <f>($B$1+Table4[[#This Row],[Home Differential]])-Table4[[#This Row],[Away Differential]]</f>
        <v>0.27542452342908708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0.57168084840181277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0.18345729562579088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0.4370463247440865</v>
      </c>
      <c r="H403" t="s">
        <v>16</v>
      </c>
      <c r="I403">
        <f>VLOOKUP(Table4[[#This Row],[Visitor]],'NHL Model'!$A$6:$B$38,2,FALSE)</f>
        <v>-1.2021149591105404</v>
      </c>
      <c r="J403">
        <f>($B$1+Table4[[#This Row],[Home Differential]])-Table4[[#This Row],[Away Differential]]</f>
        <v>1.6885476962812482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0.78594204930082012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4.5820806257532522E-2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-0.21549764750433295</v>
      </c>
      <c r="H404" t="s">
        <v>31</v>
      </c>
      <c r="I404">
        <f>VLOOKUP(Table4[[#This Row],[Visitor]],'NHL Model'!$A$6:$B$38,2,FALSE)</f>
        <v>0.18193976369097953</v>
      </c>
      <c r="J404">
        <f>($B$1+Table4[[#This Row],[Home Differential]])-Table4[[#This Row],[Away Differential]]</f>
        <v>-0.34805099876869117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0.52080397709758164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0.27123678256065836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0.36815457830954207</v>
      </c>
      <c r="H405" t="s">
        <v>36</v>
      </c>
      <c r="I405">
        <f>VLOOKUP(Table4[[#This Row],[Visitor]],'NHL Model'!$A$6:$B$38,2,FALSE)</f>
        <v>-0.430694899721771</v>
      </c>
      <c r="J405">
        <f>($B$1+Table4[[#This Row],[Home Differential]])-Table4[[#This Row],[Away Differential]]</f>
        <v>0.84823589045793435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0.66628915160044921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0.11136293033954797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-0.16042088891566345</v>
      </c>
      <c r="H406" t="s">
        <v>22</v>
      </c>
      <c r="I406">
        <f>VLOOKUP(Table4[[#This Row],[Visitor]],'NHL Model'!$A$6:$B$38,2,FALSE)</f>
        <v>0.49679678069457273</v>
      </c>
      <c r="J406">
        <f>($B$1+Table4[[#This Row],[Home Differential]])-Table4[[#This Row],[Away Differential]]</f>
        <v>-0.60783125718361486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0.58920393887536293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0.16875340383551654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-0.46454876921224991</v>
      </c>
      <c r="H407" t="s">
        <v>40</v>
      </c>
      <c r="I407">
        <f>VLOOKUP(Table4[[#This Row],[Visitor]],'NHL Model'!$A$6:$B$38,2,FALSE)</f>
        <v>-0.30901762292301305</v>
      </c>
      <c r="J407">
        <f>($B$1+Table4[[#This Row],[Home Differential]])-Table4[[#This Row],[Away Differential]]</f>
        <v>-0.10614473386261558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0.48279758826053237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0.23309351123018654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1.5071179757482971E-3</v>
      </c>
      <c r="H408" t="s">
        <v>28</v>
      </c>
      <c r="I408">
        <f>VLOOKUP(Table4[[#This Row],[Visitor]],'NHL Model'!$A$6:$B$38,2,FALSE)</f>
        <v>-0.56850564030144513</v>
      </c>
      <c r="J408">
        <f>($B$1+Table4[[#This Row],[Home Differential]])-Table4[[#This Row],[Away Differential]]</f>
        <v>0.61939917070381467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0.68768506645352157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0.47291075062318438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-0.36903552884843377</v>
      </c>
      <c r="H409" t="s">
        <v>14</v>
      </c>
      <c r="I409">
        <f>VLOOKUP(Table4[[#This Row],[Visitor]],'NHL Model'!$A$6:$B$38,2,FALSE)</f>
        <v>-0.10735719588407502</v>
      </c>
      <c r="J409">
        <f>($B$1+Table4[[#This Row],[Home Differential]])-Table4[[#This Row],[Away Differential]]</f>
        <v>-0.21229192053773746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0.50956750292034292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0.24052403419178786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-0.44540084513285771</v>
      </c>
      <c r="H410" t="s">
        <v>55</v>
      </c>
      <c r="I410">
        <f>VLOOKUP(Table4[[#This Row],[Visitor]],'NHL Model'!$A$6:$B$38,2,FALSE)</f>
        <v>-0.3968452829365326</v>
      </c>
      <c r="J410">
        <f>($B$1+Table4[[#This Row],[Home Differential]])-Table4[[#This Row],[Away Differential]]</f>
        <v>8.3085023029616512E-4</v>
      </c>
      <c r="K410" t="str">
        <f>IF(Table4[[#This Row],[HomeIce Differential]]&gt;0,Table4[[#This Row],[Home]],Table4[[#This Row],[Visitor]])</f>
        <v>San Jose Sharks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0.55021781836664552</v>
      </c>
      <c r="M410" t="str">
        <f>IF(OR((NHL2025_26Results[[#This Row],[Winning Team]]="")),"-",IF(Table4[[#This Row],[Predicted Winner]]=NHL2025_26Results[[#This Row],[Winning Team]],"YES","NO"))</f>
        <v>YES</v>
      </c>
      <c r="N410">
        <f>IF(Table4[[#This Row],[Adjusted Correct]]="-", "",IF(Table4[[#This Row],[Adjusted Correct]]="YES",(Table4[[#This Row],[Strength of Win]]-1)^2,(Table4[[#This Row],[Strength of Win]]-0)^2))</f>
        <v>0.20230401091485989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-1.3795663642467595</v>
      </c>
      <c r="H411" t="s">
        <v>31</v>
      </c>
      <c r="I411">
        <f>VLOOKUP(Table4[[#This Row],[Visitor]],'NHL Model'!$A$6:$B$38,2,FALSE)</f>
        <v>0.18193976369097953</v>
      </c>
      <c r="J411">
        <f>($B$1+Table4[[#This Row],[Home Differential]])-Table4[[#This Row],[Away Differential]]</f>
        <v>-1.5121197155111177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0.65470158390928801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0.11923099615475446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1.6140407860044261</v>
      </c>
      <c r="H412" t="s">
        <v>38</v>
      </c>
      <c r="I412">
        <f>VLOOKUP(Table4[[#This Row],[Visitor]],'NHL Model'!$A$6:$B$38,2,FALSE)</f>
        <v>-0.93150212402040711</v>
      </c>
      <c r="J412">
        <f>($B$1+Table4[[#This Row],[Home Differential]])-Table4[[#This Row],[Away Differential]]</f>
        <v>2.5949293224514545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0.94630405461900802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2.8832545503584741E-3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-0.80014284799340474</v>
      </c>
      <c r="H413" t="s">
        <v>21</v>
      </c>
      <c r="I413">
        <f>VLOOKUP(Table4[[#This Row],[Visitor]],'NHL Model'!$A$6:$B$38,2,FALSE)</f>
        <v>-0.24831960772154485</v>
      </c>
      <c r="J413">
        <f>($B$1+Table4[[#This Row],[Home Differential]])-Table4[[#This Row],[Away Differential]]</f>
        <v>-0.50243682784523858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0.50767080685865473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0.2577296481365175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-0.82464120527377915</v>
      </c>
      <c r="H414" t="s">
        <v>34</v>
      </c>
      <c r="I414">
        <f>VLOOKUP(Table4[[#This Row],[Visitor]],'NHL Model'!$A$6:$B$38,2,FALSE)</f>
        <v>-3.2419815263072818E-2</v>
      </c>
      <c r="J414">
        <f>($B$1+Table4[[#This Row],[Home Differential]])-Table4[[#This Row],[Away Differential]]</f>
        <v>-0.74283497758408501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0.60473281170933635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0.15623615013920694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-0.51447808915301396</v>
      </c>
      <c r="H415" t="s">
        <v>19</v>
      </c>
      <c r="I415">
        <f>VLOOKUP(Table4[[#This Row],[Visitor]],'NHL Model'!$A$6:$B$38,2,FALSE)</f>
        <v>-0.50406821212948805</v>
      </c>
      <c r="J415">
        <f>($B$1+Table4[[#This Row],[Home Differential]])-Table4[[#This Row],[Away Differential]]</f>
        <v>3.8976535403095369E-2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0.54448329616389912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0.29646205980150431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-0.36690387823407311</v>
      </c>
      <c r="H416" t="s">
        <v>22</v>
      </c>
      <c r="I416">
        <f>VLOOKUP(Table4[[#This Row],[Visitor]],'NHL Model'!$A$6:$B$38,2,FALSE)</f>
        <v>0.49679678069457273</v>
      </c>
      <c r="J416">
        <f>($B$1+Table4[[#This Row],[Home Differential]])-Table4[[#This Row],[Away Differential]]</f>
        <v>-0.81431424650202455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0.61295475162328406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0.14980402429099374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-0.68642169651276408</v>
      </c>
      <c r="H417" t="s">
        <v>36</v>
      </c>
      <c r="I417">
        <f>VLOOKUP(Table4[[#This Row],[Visitor]],'NHL Model'!$A$6:$B$38,2,FALSE)</f>
        <v>-0.430694899721771</v>
      </c>
      <c r="J417">
        <f>($B$1+Table4[[#This Row],[Home Differential]])-Table4[[#This Row],[Away Differential]]</f>
        <v>-0.20634038436437174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0.48731056847964993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0.26285045319265971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-1.2257669814473033</v>
      </c>
      <c r="H418" t="s">
        <v>16</v>
      </c>
      <c r="I418">
        <f>VLOOKUP(Table4[[#This Row],[Visitor]],'NHL Model'!$A$6:$B$38,2,FALSE)</f>
        <v>-1.2021149591105404</v>
      </c>
      <c r="J418">
        <f>($B$1+Table4[[#This Row],[Home Differential]])-Table4[[#This Row],[Away Differential]]</f>
        <v>2.5734390089858339E-2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0.5429601115434437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0.20888545964038141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-0.16042088891566345</v>
      </c>
      <c r="H419" t="s">
        <v>37</v>
      </c>
      <c r="I419">
        <f>VLOOKUP(Table4[[#This Row],[Visitor]],'NHL Model'!$A$6:$B$38,2,FALSE)</f>
        <v>0.46523362857782063</v>
      </c>
      <c r="J419">
        <f>($B$1+Table4[[#This Row],[Home Differential]])-Table4[[#This Row],[Away Differential]]</f>
        <v>-0.57626810506686277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0.5989087062420384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0.35869163841251223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-0.2172114589315223</v>
      </c>
      <c r="H420" t="s">
        <v>39</v>
      </c>
      <c r="I420">
        <f>VLOOKUP(Table4[[#This Row],[Visitor]],'NHL Model'!$A$6:$B$38,2,FALSE)</f>
        <v>0.36815457830954207</v>
      </c>
      <c r="J420">
        <f>($B$1+Table4[[#This Row],[Home Differential]])-Table4[[#This Row],[Away Differential]]</f>
        <v>-0.53597962481444306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0.60512959470432726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0.36618182638702335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-0.21936273413039192</v>
      </c>
      <c r="H421" t="s">
        <v>10</v>
      </c>
      <c r="I421">
        <f>VLOOKUP(Table4[[#This Row],[Visitor]],'NHL Model'!$A$6:$B$38,2,FALSE)</f>
        <v>-0.21549764750433295</v>
      </c>
      <c r="J421">
        <f>($B$1+Table4[[#This Row],[Home Differential]])-Table4[[#This Row],[Away Differential]]</f>
        <v>4.552132580056234E-2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0.54523611406777461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0.2068101919481781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0.18193976369097953</v>
      </c>
      <c r="H422" t="s">
        <v>55</v>
      </c>
      <c r="I422">
        <f>VLOOKUP(Table4[[#This Row],[Visitor]],'NHL Model'!$A$6:$B$38,2,FALSE)</f>
        <v>-0.3968452829365326</v>
      </c>
      <c r="J422">
        <f>($B$1+Table4[[#This Row],[Home Differential]])-Table4[[#This Row],[Away Differential]]</f>
        <v>0.62817145905413341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0.69209045804207525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O422">
        <v>0.62817145905413341</v>
      </c>
      <c r="P422" s="11">
        <v>0.69209045804207525</v>
      </c>
      <c r="Q422" t="s">
        <v>31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-0.68642169651276408</v>
      </c>
      <c r="H423" t="s">
        <v>40</v>
      </c>
      <c r="I423">
        <f>VLOOKUP(Table4[[#This Row],[Visitor]],'NHL Model'!$A$6:$B$38,2,FALSE)</f>
        <v>-0.30901762292301305</v>
      </c>
      <c r="J423">
        <f>($B$1+Table4[[#This Row],[Home Differential]])-Table4[[#This Row],[Away Differential]]</f>
        <v>-0.32801766116312969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0.51849963206772609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O423">
        <v>-0.32801766116312969</v>
      </c>
      <c r="P423" s="11">
        <v>0.51849963206772609</v>
      </c>
      <c r="Q423" t="s">
        <v>40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1.5071179757482971E-3</v>
      </c>
      <c r="H424" t="s">
        <v>39</v>
      </c>
      <c r="I424">
        <f>VLOOKUP(Table4[[#This Row],[Visitor]],'NHL Model'!$A$6:$B$38,2,FALSE)</f>
        <v>0.36815457830954207</v>
      </c>
      <c r="J424">
        <f>($B$1+Table4[[#This Row],[Home Differential]])-Table4[[#This Row],[Away Differential]]</f>
        <v>-0.31726104790717247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0.49803157782821433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O424">
        <v>-0.31726104790717247</v>
      </c>
      <c r="P424" s="11">
        <v>0.49803157782821433</v>
      </c>
      <c r="Q424" t="s">
        <v>39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-0.36903552884843377</v>
      </c>
      <c r="H425" t="s">
        <v>23</v>
      </c>
      <c r="I425">
        <f>VLOOKUP(Table4[[#This Row],[Visitor]],'NHL Model'!$A$6:$B$38,2,FALSE)</f>
        <v>-0.46454876921224991</v>
      </c>
      <c r="J425">
        <f>($B$1+Table4[[#This Row],[Home Differential]])-Table4[[#This Row],[Away Differential]]</f>
        <v>0.14489965279043743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0.57068377807912385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O425">
        <v>0.14489965279043743</v>
      </c>
      <c r="P425" s="11">
        <v>0.57068377807912385</v>
      </c>
      <c r="Q425" t="s">
        <v>27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-0.44540084513285771</v>
      </c>
      <c r="H426" t="s">
        <v>22</v>
      </c>
      <c r="I426">
        <f>VLOOKUP(Table4[[#This Row],[Visitor]],'NHL Model'!$A$6:$B$38,2,FALSE)</f>
        <v>0.49679678069457273</v>
      </c>
      <c r="J426">
        <f>($B$1+Table4[[#This Row],[Home Differential]])-Table4[[#This Row],[Away Differential]]</f>
        <v>-0.89281121340080916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0.61178698114373775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O426">
        <v>-0.89281121340080916</v>
      </c>
      <c r="P426" s="11">
        <v>0.61178698114373775</v>
      </c>
      <c r="Q426" t="s">
        <v>22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-0.24831960772154485</v>
      </c>
      <c r="H427" t="s">
        <v>35</v>
      </c>
      <c r="I427">
        <f>VLOOKUP(Table4[[#This Row],[Visitor]],'NHL Model'!$A$6:$B$38,2,FALSE)</f>
        <v>-1.3795663642467595</v>
      </c>
      <c r="J427">
        <f>($B$1+Table4[[#This Row],[Home Differential]])-Table4[[#This Row],[Away Differential]]</f>
        <v>1.1806331689518359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0.71870449590708319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0.4370463247440865</v>
      </c>
      <c r="H428" t="s">
        <v>19</v>
      </c>
      <c r="I428">
        <f>VLOOKUP(Table4[[#This Row],[Visitor]],'NHL Model'!$A$6:$B$38,2,FALSE)</f>
        <v>-0.50406821212948805</v>
      </c>
      <c r="J428">
        <f>($B$1+Table4[[#This Row],[Home Differential]])-Table4[[#This Row],[Away Differential]]</f>
        <v>0.99050094930019583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0.70564886083251332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-0.56850564030144513</v>
      </c>
      <c r="H429" t="s">
        <v>26</v>
      </c>
      <c r="I429">
        <f>VLOOKUP(Table4[[#This Row],[Visitor]],'NHL Model'!$A$6:$B$38,2,FALSE)</f>
        <v>-0.80014284799340474</v>
      </c>
      <c r="J429">
        <f>($B$1+Table4[[#This Row],[Home Differential]])-Table4[[#This Row],[Away Differential]]</f>
        <v>0.28102362011858095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0.57232488739731868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-1.2021149591105404</v>
      </c>
      <c r="H430" t="s">
        <v>34</v>
      </c>
      <c r="I430">
        <f>VLOOKUP(Table4[[#This Row],[Visitor]],'NHL Model'!$A$6:$B$38,2,FALSE)</f>
        <v>-3.2419815263072818E-2</v>
      </c>
      <c r="J430">
        <f>($B$1+Table4[[#This Row],[Home Differential]])-Table4[[#This Row],[Away Differential]]</f>
        <v>-1.1203087314208464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0.64815192567231139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-0.82464120527377915</v>
      </c>
      <c r="H431" t="s">
        <v>32</v>
      </c>
      <c r="I431">
        <f>VLOOKUP(Table4[[#This Row],[Visitor]],'NHL Model'!$A$6:$B$38,2,FALSE)</f>
        <v>-0.63765723729815182</v>
      </c>
      <c r="J431">
        <f>($B$1+Table4[[#This Row],[Home Differential]])-Table4[[#This Row],[Away Differential]]</f>
        <v>-0.13759755554900599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0.47582723006482913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-0.51447808915301396</v>
      </c>
      <c r="H432" t="s">
        <v>29</v>
      </c>
      <c r="I432">
        <f>VLOOKUP(Table4[[#This Row],[Visitor]],'NHL Model'!$A$6:$B$38,2,FALSE)</f>
        <v>-1.2257669814473033</v>
      </c>
      <c r="J432">
        <f>($B$1+Table4[[#This Row],[Home Differential]])-Table4[[#This Row],[Away Differential]]</f>
        <v>0.76067530472091072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0.62749707074675432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-0.36690387823407311</v>
      </c>
      <c r="H433" t="s">
        <v>10</v>
      </c>
      <c r="I433">
        <f>VLOOKUP(Table4[[#This Row],[Visitor]],'NHL Model'!$A$6:$B$38,2,FALSE)</f>
        <v>-0.21549764750433295</v>
      </c>
      <c r="J433">
        <f>($B$1+Table4[[#This Row],[Home Differential]])-Table4[[#This Row],[Away Differential]]</f>
        <v>-0.10201981830311888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0.47173488241860845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-0.16042088891566345</v>
      </c>
      <c r="H434" t="s">
        <v>12</v>
      </c>
      <c r="I434">
        <f>VLOOKUP(Table4[[#This Row],[Visitor]],'NHL Model'!$A$6:$B$38,2,FALSE)</f>
        <v>1.6140407860044261</v>
      </c>
      <c r="J434">
        <f>($B$1+Table4[[#This Row],[Home Differential]])-Table4[[#This Row],[Away Differential]]</f>
        <v>-1.7250752624934682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0.73105084429213962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-0.430694899721771</v>
      </c>
      <c r="H435" t="s">
        <v>15</v>
      </c>
      <c r="I435">
        <f>VLOOKUP(Table4[[#This Row],[Visitor]],'NHL Model'!$A$6:$B$38,2,FALSE)</f>
        <v>-0.2172114589315223</v>
      </c>
      <c r="J435">
        <f>($B$1+Table4[[#This Row],[Home Differential]])-Table4[[#This Row],[Away Differential]]</f>
        <v>-0.16409702836362741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0.57647903228073649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0.46523362857782063</v>
      </c>
      <c r="H436" t="s">
        <v>14</v>
      </c>
      <c r="I436">
        <f>VLOOKUP(Table4[[#This Row],[Visitor]],'NHL Model'!$A$6:$B$38,2,FALSE)</f>
        <v>-0.10735719588407502</v>
      </c>
      <c r="J436">
        <f>($B$1+Table4[[#This Row],[Home Differential]])-Table4[[#This Row],[Away Differential]]</f>
        <v>0.62197723688851692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0.60487658702009828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0.18193976369097953</v>
      </c>
      <c r="H437" t="s">
        <v>22</v>
      </c>
      <c r="I437">
        <f>VLOOKUP(Table4[[#This Row],[Visitor]],'NHL Model'!$A$6:$B$38,2,FALSE)</f>
        <v>0.49679678069457273</v>
      </c>
      <c r="J437">
        <f>($B$1+Table4[[#This Row],[Home Differential]])-Table4[[#This Row],[Away Differential]]</f>
        <v>-0.26547060457697191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0.46803589373244758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0.36815457830954207</v>
      </c>
      <c r="H438" t="s">
        <v>33</v>
      </c>
      <c r="I438">
        <f>VLOOKUP(Table4[[#This Row],[Visitor]],'NHL Model'!$A$6:$B$38,2,FALSE)</f>
        <v>-0.44540084513285771</v>
      </c>
      <c r="J438">
        <f>($B$1+Table4[[#This Row],[Home Differential]])-Table4[[#This Row],[Away Differential]]</f>
        <v>0.86294183586902107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0.67150639724638506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1.5071179757482971E-3</v>
      </c>
      <c r="H439" t="s">
        <v>20</v>
      </c>
      <c r="I439">
        <f>VLOOKUP(Table4[[#This Row],[Visitor]],'NHL Model'!$A$6:$B$38,2,FALSE)</f>
        <v>-0.21936273413039192</v>
      </c>
      <c r="J439">
        <f>($B$1+Table4[[#This Row],[Home Differential]])-Table4[[#This Row],[Away Differential]]</f>
        <v>0.27025626453276153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0.65092107749032369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-0.93150212402040711</v>
      </c>
      <c r="H440" t="s">
        <v>55</v>
      </c>
      <c r="I440">
        <f>VLOOKUP(Table4[[#This Row],[Visitor]],'NHL Model'!$A$6:$B$38,2,FALSE)</f>
        <v>-0.3968452829365326</v>
      </c>
      <c r="J440">
        <f>($B$1+Table4[[#This Row],[Home Differential]])-Table4[[#This Row],[Away Differential]]</f>
        <v>-0.48527042865725317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0.51581848229332194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-0.30901762292301305</v>
      </c>
      <c r="H441" t="s">
        <v>23</v>
      </c>
      <c r="I441">
        <f>VLOOKUP(Table4[[#This Row],[Visitor]],'NHL Model'!$A$6:$B$38,2,FALSE)</f>
        <v>-0.46454876921224991</v>
      </c>
      <c r="J441">
        <f>($B$1+Table4[[#This Row],[Home Differential]])-Table4[[#This Row],[Away Differential]]</f>
        <v>0.20491755871585815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0.56606622748673874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-0.24831960772154485</v>
      </c>
      <c r="H442" t="s">
        <v>24</v>
      </c>
      <c r="I442">
        <f>VLOOKUP(Table4[[#This Row],[Visitor]],'NHL Model'!$A$6:$B$38,2,FALSE)</f>
        <v>1.5071179757482971E-3</v>
      </c>
      <c r="J442">
        <f>($B$1+Table4[[#This Row],[Home Differential]])-Table4[[#This Row],[Away Differential]]</f>
        <v>-0.20044031327067183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0.46055575080708078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0.4370463247440865</v>
      </c>
      <c r="H443" t="s">
        <v>29</v>
      </c>
      <c r="I443">
        <f>VLOOKUP(Table4[[#This Row],[Visitor]],'NHL Model'!$A$6:$B$38,2,FALSE)</f>
        <v>-1.2257669814473033</v>
      </c>
      <c r="J443">
        <f>($B$1+Table4[[#This Row],[Home Differential]])-Table4[[#This Row],[Away Differential]]</f>
        <v>1.7121997186180111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0.78866263541536852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-1.2021149591105404</v>
      </c>
      <c r="H444" t="s">
        <v>55</v>
      </c>
      <c r="I444">
        <f>VLOOKUP(Table4[[#This Row],[Visitor]],'NHL Model'!$A$6:$B$38,2,FALSE)</f>
        <v>-0.3968452829365326</v>
      </c>
      <c r="J444">
        <f>($B$1+Table4[[#This Row],[Home Differential]])-Table4[[#This Row],[Away Differential]]</f>
        <v>-0.75588326374738668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0.5469458637528114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-0.82464120527377915</v>
      </c>
      <c r="H445" t="s">
        <v>40</v>
      </c>
      <c r="I445">
        <f>VLOOKUP(Table4[[#This Row],[Visitor]],'NHL Model'!$A$6:$B$38,2,FALSE)</f>
        <v>-0.30901762292301305</v>
      </c>
      <c r="J445">
        <f>($B$1+Table4[[#This Row],[Home Differential]])-Table4[[#This Row],[Away Differential]]</f>
        <v>-0.46623716992414477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0.53439840262276772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-0.51447808915301396</v>
      </c>
      <c r="H446" t="s">
        <v>28</v>
      </c>
      <c r="I446">
        <f>VLOOKUP(Table4[[#This Row],[Visitor]],'NHL Model'!$A$6:$B$38,2,FALSE)</f>
        <v>-0.56850564030144513</v>
      </c>
      <c r="J446">
        <f>($B$1+Table4[[#This Row],[Home Differential]])-Table4[[#This Row],[Away Differential]]</f>
        <v>0.10341396357505245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0.54831908575990018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-0.36690387823407311</v>
      </c>
      <c r="H447" t="s">
        <v>10</v>
      </c>
      <c r="I447">
        <f>VLOOKUP(Table4[[#This Row],[Visitor]],'NHL Model'!$A$6:$B$38,2,FALSE)</f>
        <v>-0.21549764750433295</v>
      </c>
      <c r="J447">
        <f>($B$1+Table4[[#This Row],[Home Differential]])-Table4[[#This Row],[Away Differential]]</f>
        <v>-0.10201981830311888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0.47173488241860845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-0.2172114589315223</v>
      </c>
      <c r="H448" t="s">
        <v>12</v>
      </c>
      <c r="I448">
        <f>VLOOKUP(Table4[[#This Row],[Visitor]],'NHL Model'!$A$6:$B$38,2,FALSE)</f>
        <v>1.6140407860044261</v>
      </c>
      <c r="J448">
        <f>($B$1+Table4[[#This Row],[Home Differential]])-Table4[[#This Row],[Away Differential]]</f>
        <v>-1.7818658325093271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0.73758320901015717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-0.430694899721771</v>
      </c>
      <c r="H449" t="s">
        <v>35</v>
      </c>
      <c r="I449">
        <f>VLOOKUP(Table4[[#This Row],[Visitor]],'NHL Model'!$A$6:$B$38,2,FALSE)</f>
        <v>-1.3795663642467595</v>
      </c>
      <c r="J449">
        <f>($B$1+Table4[[#This Row],[Home Differential]])-Table4[[#This Row],[Away Differential]]</f>
        <v>0.99825787695160972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0.65732060832455785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-0.63765723729815182</v>
      </c>
      <c r="H450" t="s">
        <v>26</v>
      </c>
      <c r="I450">
        <f>VLOOKUP(Table4[[#This Row],[Visitor]],'NHL Model'!$A$6:$B$38,2,FALSE)</f>
        <v>-0.80014284799340474</v>
      </c>
      <c r="J450">
        <f>($B$1+Table4[[#This Row],[Home Differential]])-Table4[[#This Row],[Away Differential]]</f>
        <v>0.21187202312187425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0.56437068915120647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0.46523362857782063</v>
      </c>
      <c r="H451" t="s">
        <v>30</v>
      </c>
      <c r="I451">
        <f>VLOOKUP(Table4[[#This Row],[Visitor]],'NHL Model'!$A$6:$B$38,2,FALSE)</f>
        <v>-0.16042088891566345</v>
      </c>
      <c r="J451">
        <f>($B$1+Table4[[#This Row],[Home Differential]])-Table4[[#This Row],[Away Differential]]</f>
        <v>0.67504092992010534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0.57764693245016629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-0.50406821212948805</v>
      </c>
      <c r="H452" t="s">
        <v>18</v>
      </c>
      <c r="I452">
        <f>VLOOKUP(Table4[[#This Row],[Visitor]],'NHL Model'!$A$6:$B$38,2,FALSE)</f>
        <v>-0.68642169651276408</v>
      </c>
      <c r="J452">
        <f>($B$1+Table4[[#This Row],[Home Differential]])-Table4[[#This Row],[Away Differential]]</f>
        <v>0.23173989680989732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0.50736816778038896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-0.93150212402040711</v>
      </c>
      <c r="H453" t="s">
        <v>34</v>
      </c>
      <c r="I453">
        <f>VLOOKUP(Table4[[#This Row],[Visitor]],'NHL Model'!$A$6:$B$38,2,FALSE)</f>
        <v>-3.2419815263072818E-2</v>
      </c>
      <c r="J453">
        <f>($B$1+Table4[[#This Row],[Home Differential]])-Table4[[#This Row],[Away Differential]]</f>
        <v>-0.84969589633071296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0.61702454421282193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0.18193976369097953</v>
      </c>
      <c r="H454" t="s">
        <v>10</v>
      </c>
      <c r="I454">
        <f>VLOOKUP(Table4[[#This Row],[Visitor]],'NHL Model'!$A$6:$B$38,2,FALSE)</f>
        <v>-0.21549764750433295</v>
      </c>
      <c r="J454">
        <f>($B$1+Table4[[#This Row],[Home Differential]])-Table4[[#This Row],[Away Differential]]</f>
        <v>0.44682382362193379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0.67123085238813662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0.4370463247440865</v>
      </c>
      <c r="H455" t="s">
        <v>33</v>
      </c>
      <c r="I455">
        <f>VLOOKUP(Table4[[#This Row],[Visitor]],'NHL Model'!$A$6:$B$38,2,FALSE)</f>
        <v>-0.44540084513285771</v>
      </c>
      <c r="J455">
        <f>($B$1+Table4[[#This Row],[Home Differential]])-Table4[[#This Row],[Away Differential]]</f>
        <v>0.9318335823035655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0.69890061657011637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0.36815457830954207</v>
      </c>
      <c r="H456" t="s">
        <v>14</v>
      </c>
      <c r="I456">
        <f>VLOOKUP(Table4[[#This Row],[Visitor]],'NHL Model'!$A$6:$B$38,2,FALSE)</f>
        <v>-0.10735719588407502</v>
      </c>
      <c r="J456">
        <f>($B$1+Table4[[#This Row],[Home Differential]])-Table4[[#This Row],[Away Differential]]</f>
        <v>0.52489818662023835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0.59371001900266052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-0.51447808915301396</v>
      </c>
      <c r="H457" t="s">
        <v>30</v>
      </c>
      <c r="I457">
        <f>VLOOKUP(Table4[[#This Row],[Visitor]],'NHL Model'!$A$6:$B$38,2,FALSE)</f>
        <v>-0.16042088891566345</v>
      </c>
      <c r="J457">
        <f>($B$1+Table4[[#This Row],[Home Differential]])-Table4[[#This Row],[Away Differential]]</f>
        <v>-0.3046707878107292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0.567668084211713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-0.68642169651276408</v>
      </c>
      <c r="H458" t="s">
        <v>35</v>
      </c>
      <c r="I458">
        <f>VLOOKUP(Table4[[#This Row],[Visitor]],'NHL Model'!$A$6:$B$38,2,FALSE)</f>
        <v>-1.3795663642467595</v>
      </c>
      <c r="J458">
        <f>($B$1+Table4[[#This Row],[Home Differential]])-Table4[[#This Row],[Away Differential]]</f>
        <v>0.74253108016061675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0.62541002192297324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-0.2172114589315223</v>
      </c>
      <c r="H459" t="s">
        <v>20</v>
      </c>
      <c r="I459">
        <f>VLOOKUP(Table4[[#This Row],[Visitor]],'NHL Model'!$A$6:$B$38,2,FALSE)</f>
        <v>-0.21936273413039192</v>
      </c>
      <c r="J459">
        <f>($B$1+Table4[[#This Row],[Home Differential]])-Table4[[#This Row],[Away Differential]]</f>
        <v>5.1537687625490936E-2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0.54592814920151278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-0.36903552884843377</v>
      </c>
      <c r="H460" t="s">
        <v>12</v>
      </c>
      <c r="I460">
        <f>VLOOKUP(Table4[[#This Row],[Visitor]],'NHL Model'!$A$6:$B$38,2,FALSE)</f>
        <v>1.6140407860044261</v>
      </c>
      <c r="J460">
        <f>($B$1+Table4[[#This Row],[Home Differential]])-Table4[[#This Row],[Away Differential]]</f>
        <v>-1.9336899024262386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0.74094220066625049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0.49679678069457273</v>
      </c>
      <c r="H461" t="s">
        <v>28</v>
      </c>
      <c r="I461">
        <f>VLOOKUP(Table4[[#This Row],[Visitor]],'NHL Model'!$A$6:$B$38,2,FALSE)</f>
        <v>-0.56850564030144513</v>
      </c>
      <c r="J461">
        <f>($B$1+Table4[[#This Row],[Home Differential]])-Table4[[#This Row],[Away Differential]]</f>
        <v>1.114688833422639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0.69071766016760827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-1.2021149591105404</v>
      </c>
      <c r="H462" t="s">
        <v>23</v>
      </c>
      <c r="I462">
        <f>VLOOKUP(Table4[[#This Row],[Visitor]],'NHL Model'!$A$6:$B$38,2,FALSE)</f>
        <v>-0.46454876921224991</v>
      </c>
      <c r="J462">
        <f>($B$1+Table4[[#This Row],[Home Differential]])-Table4[[#This Row],[Away Differential]]</f>
        <v>-0.68817977747166936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0.53915823519210537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-0.63765723729815182</v>
      </c>
      <c r="H463" t="s">
        <v>34</v>
      </c>
      <c r="I463">
        <f>VLOOKUP(Table4[[#This Row],[Visitor]],'NHL Model'!$A$6:$B$38,2,FALSE)</f>
        <v>-3.2419815263072818E-2</v>
      </c>
      <c r="J463">
        <f>($B$1+Table4[[#This Row],[Home Differential]])-Table4[[#This Row],[Away Differential]]</f>
        <v>-0.55585100960845768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0.58322488398651517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-0.50406821212948805</v>
      </c>
      <c r="H464" t="s">
        <v>37</v>
      </c>
      <c r="I464">
        <f>VLOOKUP(Table4[[#This Row],[Visitor]],'NHL Model'!$A$6:$B$38,2,FALSE)</f>
        <v>0.46523362857782063</v>
      </c>
      <c r="J464">
        <f>($B$1+Table4[[#This Row],[Home Differential]])-Table4[[#This Row],[Away Differential]]</f>
        <v>-0.9199154282806874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0.63843691750979437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-0.3968452829365326</v>
      </c>
      <c r="H465" t="s">
        <v>13</v>
      </c>
      <c r="I465">
        <f>VLOOKUP(Table4[[#This Row],[Visitor]],'NHL Model'!$A$6:$B$38,2,FALSE)</f>
        <v>-0.36690387823407311</v>
      </c>
      <c r="J465">
        <f>($B$1+Table4[[#This Row],[Home Differential]])-Table4[[#This Row],[Away Differential]]</f>
        <v>1.94450077241618E-2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0.51694255443359516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-0.93150212402040711</v>
      </c>
      <c r="H466" t="s">
        <v>26</v>
      </c>
      <c r="I466">
        <f>VLOOKUP(Table4[[#This Row],[Visitor]],'NHL Model'!$A$6:$B$38,2,FALSE)</f>
        <v>-0.80014284799340474</v>
      </c>
      <c r="J466">
        <f>($B$1+Table4[[#This Row],[Home Differential]])-Table4[[#This Row],[Away Differential]]</f>
        <v>-8.197286360038103E-2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0.46942897107510034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0.4370463247440865</v>
      </c>
      <c r="H467" t="s">
        <v>28</v>
      </c>
      <c r="I467">
        <f>VLOOKUP(Table4[[#This Row],[Visitor]],'NHL Model'!$A$6:$B$38,2,FALSE)</f>
        <v>-0.56850564030144513</v>
      </c>
      <c r="J467">
        <f>($B$1+Table4[[#This Row],[Home Differential]])-Table4[[#This Row],[Away Differential]]</f>
        <v>1.054938377472153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0.70958012715519803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-0.82464120527377915</v>
      </c>
      <c r="H468" t="s">
        <v>23</v>
      </c>
      <c r="I468">
        <f>VLOOKUP(Table4[[#This Row],[Visitor]],'NHL Model'!$A$6:$B$38,2,FALSE)</f>
        <v>-0.46454876921224991</v>
      </c>
      <c r="J468">
        <f>($B$1+Table4[[#This Row],[Home Differential]])-Table4[[#This Row],[Away Differential]]</f>
        <v>-0.3107060236349079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0.49573912122913028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-0.68642169651276408</v>
      </c>
      <c r="H469" t="s">
        <v>37</v>
      </c>
      <c r="I469">
        <f>VLOOKUP(Table4[[#This Row],[Visitor]],'NHL Model'!$A$6:$B$38,2,FALSE)</f>
        <v>0.46523362857782063</v>
      </c>
      <c r="J469">
        <f>($B$1+Table4[[#This Row],[Home Differential]])-Table4[[#This Row],[Away Differential]]</f>
        <v>-1.1022689126639633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0.65941222146008438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-1.2257669814473033</v>
      </c>
      <c r="H470" t="s">
        <v>12</v>
      </c>
      <c r="I470">
        <f>VLOOKUP(Table4[[#This Row],[Visitor]],'NHL Model'!$A$6:$B$38,2,FALSE)</f>
        <v>1.6140407860044261</v>
      </c>
      <c r="J470">
        <f>($B$1+Table4[[#This Row],[Home Differential]])-Table4[[#This Row],[Away Differential]]</f>
        <v>-2.7904213550251082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0.85359283014275067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-0.16042088891566345</v>
      </c>
      <c r="H471" t="s">
        <v>20</v>
      </c>
      <c r="I471">
        <f>VLOOKUP(Table4[[#This Row],[Visitor]],'NHL Model'!$A$6:$B$38,2,FALSE)</f>
        <v>-0.21936273413039192</v>
      </c>
      <c r="J471">
        <f>($B$1+Table4[[#This Row],[Home Differential]])-Table4[[#This Row],[Away Differential]]</f>
        <v>0.10832825764134979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0.55246051391953022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-0.430694899721771</v>
      </c>
      <c r="H472" t="s">
        <v>24</v>
      </c>
      <c r="I472">
        <f>VLOOKUP(Table4[[#This Row],[Visitor]],'NHL Model'!$A$6:$B$38,2,FALSE)</f>
        <v>1.5071179757482971E-3</v>
      </c>
      <c r="J472">
        <f>($B$1+Table4[[#This Row],[Home Differential]])-Table4[[#This Row],[Away Differential]]</f>
        <v>-0.38281560527089803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0.5222944327550183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-0.36903552884843377</v>
      </c>
      <c r="H473" t="s">
        <v>33</v>
      </c>
      <c r="I473">
        <f>VLOOKUP(Table4[[#This Row],[Visitor]],'NHL Model'!$A$6:$B$38,2,FALSE)</f>
        <v>-0.44540084513285771</v>
      </c>
      <c r="J473">
        <f>($B$1+Table4[[#This Row],[Home Differential]])-Table4[[#This Row],[Away Differential]]</f>
        <v>0.12575172871104523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0.56848127819851746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-0.10735719588407502</v>
      </c>
      <c r="H474" t="s">
        <v>31</v>
      </c>
      <c r="I474">
        <f>VLOOKUP(Table4[[#This Row],[Visitor]],'NHL Model'!$A$6:$B$38,2,FALSE)</f>
        <v>0.18193976369097953</v>
      </c>
      <c r="J474">
        <f>($B$1+Table4[[#This Row],[Home Differential]])-Table4[[#This Row],[Away Differential]]</f>
        <v>-0.23991054714843324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0.50836506566285944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-1.3795663642467595</v>
      </c>
      <c r="H475" t="s">
        <v>21</v>
      </c>
      <c r="I475">
        <f>VLOOKUP(Table4[[#This Row],[Visitor]],'NHL Model'!$A$6:$B$38,2,FALSE)</f>
        <v>-0.24831960772154485</v>
      </c>
      <c r="J475">
        <f>($B$1+Table4[[#This Row],[Home Differential]])-Table4[[#This Row],[Away Differential]]</f>
        <v>-1.0818603440985934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0.5844415461869541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-0.30901762292301305</v>
      </c>
      <c r="H476" t="s">
        <v>39</v>
      </c>
      <c r="I476">
        <f>VLOOKUP(Table4[[#This Row],[Visitor]],'NHL Model'!$A$6:$B$38,2,FALSE)</f>
        <v>0.36815457830954207</v>
      </c>
      <c r="J476">
        <f>($B$1+Table4[[#This Row],[Home Differential]])-Table4[[#This Row],[Away Differential]]</f>
        <v>-0.62778578880593383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0.61319499193568006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-1.2021149591105404</v>
      </c>
      <c r="H477" t="s">
        <v>26</v>
      </c>
      <c r="I477">
        <f>VLOOKUP(Table4[[#This Row],[Visitor]],'NHL Model'!$A$6:$B$38,2,FALSE)</f>
        <v>-0.80014284799340474</v>
      </c>
      <c r="J477">
        <f>($B$1+Table4[[#This Row],[Home Differential]])-Table4[[#This Row],[Away Differential]]</f>
        <v>-0.35258569869051448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0.50055635253458974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-0.21549764750433295</v>
      </c>
      <c r="H478" t="s">
        <v>15</v>
      </c>
      <c r="I478">
        <f>VLOOKUP(Table4[[#This Row],[Visitor]],'NHL Model'!$A$6:$B$38,2,FALSE)</f>
        <v>-0.2172114589315223</v>
      </c>
      <c r="J478">
        <f>($B$1+Table4[[#This Row],[Home Differential]])-Table4[[#This Row],[Away Differential]]</f>
        <v>5.1100223853810661E-2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0.44579636330957689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-0.63765723729815182</v>
      </c>
      <c r="H479" t="s">
        <v>13</v>
      </c>
      <c r="I479">
        <f>VLOOKUP(Table4[[#This Row],[Visitor]],'NHL Model'!$A$6:$B$38,2,FALSE)</f>
        <v>-0.36690387823407311</v>
      </c>
      <c r="J479">
        <f>($B$1+Table4[[#This Row],[Home Differential]])-Table4[[#This Row],[Away Differential]]</f>
        <v>-0.22136694663745737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0.55177863711803754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-0.3968452829365326</v>
      </c>
      <c r="H480" t="s">
        <v>11</v>
      </c>
      <c r="I480">
        <f>VLOOKUP(Table4[[#This Row],[Visitor]],'NHL Model'!$A$6:$B$38,2,FALSE)</f>
        <v>-0.51447808915301396</v>
      </c>
      <c r="J480">
        <f>($B$1+Table4[[#This Row],[Home Differential]])-Table4[[#This Row],[Away Differential]]</f>
        <v>0.16701921864310265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0.59964264954068436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-0.56850564030144513</v>
      </c>
      <c r="H481" t="s">
        <v>36</v>
      </c>
      <c r="I481">
        <f>VLOOKUP(Table4[[#This Row],[Visitor]],'NHL Model'!$A$6:$B$38,2,FALSE)</f>
        <v>-0.430694899721771</v>
      </c>
      <c r="J481">
        <f>($B$1+Table4[[#This Row],[Home Differential]])-Table4[[#This Row],[Away Differential]]</f>
        <v>-8.8424328153052789E-2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0.47374721306575829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1.6140407860044261</v>
      </c>
      <c r="H482" t="s">
        <v>11</v>
      </c>
      <c r="I482">
        <f>VLOOKUP(Table4[[#This Row],[Visitor]],'NHL Model'!$A$6:$B$38,2,FALSE)</f>
        <v>-0.51447808915301396</v>
      </c>
      <c r="J482">
        <f>($B$1+Table4[[#This Row],[Home Differential]])-Table4[[#This Row],[Away Differential]]</f>
        <v>2.1779052875840614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0.89833564910428354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-0.82464120527377915</v>
      </c>
      <c r="H483" t="s">
        <v>26</v>
      </c>
      <c r="I483">
        <f>VLOOKUP(Table4[[#This Row],[Visitor]],'NHL Model'!$A$6:$B$38,2,FALSE)</f>
        <v>-0.80014284799340474</v>
      </c>
      <c r="J483">
        <f>($B$1+Table4[[#This Row],[Home Differential]])-Table4[[#This Row],[Away Differential]]</f>
        <v>2.4888055146246923E-2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0.54286276142838541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-3.2419815263072818E-2</v>
      </c>
      <c r="H484" t="s">
        <v>39</v>
      </c>
      <c r="I484">
        <f>VLOOKUP(Table4[[#This Row],[Visitor]],'NHL Model'!$A$6:$B$38,2,FALSE)</f>
        <v>0.36815457830954207</v>
      </c>
      <c r="J484">
        <f>($B$1+Table4[[#This Row],[Home Differential]])-Table4[[#This Row],[Away Differential]]</f>
        <v>-0.35118798114599359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0.58387384021996214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1.5071179757482971E-3</v>
      </c>
      <c r="H485" t="s">
        <v>37</v>
      </c>
      <c r="I485">
        <f>VLOOKUP(Table4[[#This Row],[Visitor]],'NHL Model'!$A$6:$B$38,2,FALSE)</f>
        <v>0.46523362857782063</v>
      </c>
      <c r="J485">
        <f>($B$1+Table4[[#This Row],[Home Differential]])-Table4[[#This Row],[Away Differential]]</f>
        <v>-0.41434009817545103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0.49836390965930322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-1.2257669814473033</v>
      </c>
      <c r="H486" t="s">
        <v>35</v>
      </c>
      <c r="I486">
        <f>VLOOKUP(Table4[[#This Row],[Visitor]],'NHL Model'!$A$6:$B$38,2,FALSE)</f>
        <v>-1.3795663642467595</v>
      </c>
      <c r="J486">
        <f>($B$1+Table4[[#This Row],[Home Differential]])-Table4[[#This Row],[Away Differential]]</f>
        <v>0.20318579522607738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0.56337155129040817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-0.16042088891566345</v>
      </c>
      <c r="H487" t="s">
        <v>31</v>
      </c>
      <c r="I487">
        <f>VLOOKUP(Table4[[#This Row],[Visitor]],'NHL Model'!$A$6:$B$38,2,FALSE)</f>
        <v>0.18193976369097953</v>
      </c>
      <c r="J487">
        <f>($B$1+Table4[[#This Row],[Home Differential]])-Table4[[#This Row],[Away Differential]]</f>
        <v>-0.29297424018002166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0.51446874442626089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-0.36903552884843377</v>
      </c>
      <c r="H488" t="s">
        <v>20</v>
      </c>
      <c r="I488">
        <f>VLOOKUP(Table4[[#This Row],[Visitor]],'NHL Model'!$A$6:$B$38,2,FALSE)</f>
        <v>-0.21936273413039192</v>
      </c>
      <c r="J488">
        <f>($B$1+Table4[[#This Row],[Home Differential]])-Table4[[#This Row],[Away Differential]]</f>
        <v>-0.10028638229142056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0.45751887254530338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-0.10735719588407502</v>
      </c>
      <c r="H489" t="s">
        <v>18</v>
      </c>
      <c r="I489">
        <f>VLOOKUP(Table4[[#This Row],[Visitor]],'NHL Model'!$A$6:$B$38,2,FALSE)</f>
        <v>-0.68642169651276408</v>
      </c>
      <c r="J489">
        <f>($B$1+Table4[[#This Row],[Home Differential]])-Table4[[#This Row],[Away Differential]]</f>
        <v>0.62845091305531031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0.55300005781154626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-0.50406821212948805</v>
      </c>
      <c r="H490" t="s">
        <v>33</v>
      </c>
      <c r="I490">
        <f>VLOOKUP(Table4[[#This Row],[Visitor]],'NHL Model'!$A$6:$B$38,2,FALSE)</f>
        <v>-0.44540084513285771</v>
      </c>
      <c r="J490">
        <f>($B$1+Table4[[#This Row],[Home Differential]])-Table4[[#This Row],[Away Differential]]</f>
        <v>-9.2809545700090479E-3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0.46106754660440497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-0.93150212402040711</v>
      </c>
      <c r="H491" t="s">
        <v>23</v>
      </c>
      <c r="I491">
        <f>VLOOKUP(Table4[[#This Row],[Visitor]],'NHL Model'!$A$6:$B$38,2,FALSE)</f>
        <v>-0.46454876921224991</v>
      </c>
      <c r="J491">
        <f>($B$1+Table4[[#This Row],[Home Differential]])-Table4[[#This Row],[Away Differential]]</f>
        <v>-0.41756694238153585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0.50803085373261592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-0.30901762292301305</v>
      </c>
      <c r="H492" t="s">
        <v>21</v>
      </c>
      <c r="I492">
        <f>VLOOKUP(Table4[[#This Row],[Visitor]],'NHL Model'!$A$6:$B$38,2,FALSE)</f>
        <v>-0.24831960772154485</v>
      </c>
      <c r="J492">
        <f>($B$1+Table4[[#This Row],[Home Differential]])-Table4[[#This Row],[Away Differential]]</f>
        <v>-1.1311602774846913E-2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0.45880564376114547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0.49679678069457273</v>
      </c>
      <c r="H493" t="s">
        <v>25</v>
      </c>
      <c r="I493">
        <f>VLOOKUP(Table4[[#This Row],[Visitor]],'NHL Model'!$A$6:$B$38,2,FALSE)</f>
        <v>0.4370463247440865</v>
      </c>
      <c r="J493">
        <f>($B$1+Table4[[#This Row],[Home Differential]])-Table4[[#This Row],[Away Differential]]</f>
        <v>0.10913686837710751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0.50622441086399872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-1.3795663642467595</v>
      </c>
      <c r="H494" t="s">
        <v>10</v>
      </c>
      <c r="I494">
        <f>VLOOKUP(Table4[[#This Row],[Visitor]],'NHL Model'!$A$6:$B$38,2,FALSE)</f>
        <v>-0.21549764750433295</v>
      </c>
      <c r="J494">
        <f>($B$1+Table4[[#This Row],[Home Differential]])-Table4[[#This Row],[Away Differential]]</f>
        <v>-1.1146823043158054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0.5882169091537145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-0.3968452829365326</v>
      </c>
      <c r="H495" t="s">
        <v>32</v>
      </c>
      <c r="I495">
        <f>VLOOKUP(Table4[[#This Row],[Visitor]],'NHL Model'!$A$6:$B$38,2,FALSE)</f>
        <v>-0.63765723729815182</v>
      </c>
      <c r="J495">
        <f>($B$1+Table4[[#This Row],[Home Differential]])-Table4[[#This Row],[Away Differential]]</f>
        <v>0.29019836678824051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0.61381139482910196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-0.56850564030144513</v>
      </c>
      <c r="H496" t="s">
        <v>20</v>
      </c>
      <c r="I496">
        <f>VLOOKUP(Table4[[#This Row],[Visitor]],'NHL Model'!$A$6:$B$38,2,FALSE)</f>
        <v>-0.21936273413039192</v>
      </c>
      <c r="J496">
        <f>($B$1+Table4[[#This Row],[Home Differential]])-Table4[[#This Row],[Away Differential]]</f>
        <v>-0.29975649374443186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0.49447964588462412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-0.21549764750433295</v>
      </c>
      <c r="H497" t="s">
        <v>26</v>
      </c>
      <c r="I497">
        <f>VLOOKUP(Table4[[#This Row],[Visitor]],'NHL Model'!$A$6:$B$38,2,FALSE)</f>
        <v>-0.80014284799340474</v>
      </c>
      <c r="J497">
        <f>($B$1+Table4[[#This Row],[Home Differential]])-Table4[[#This Row],[Away Differential]]</f>
        <v>0.6340316129156931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0.61292981453015238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1.6140407860044261</v>
      </c>
      <c r="H498" t="s">
        <v>29</v>
      </c>
      <c r="I498">
        <f>VLOOKUP(Table4[[#This Row],[Visitor]],'NHL Model'!$A$6:$B$38,2,FALSE)</f>
        <v>-1.2257669814473033</v>
      </c>
      <c r="J498">
        <f>($B$1+Table4[[#This Row],[Home Differential]])-Table4[[#This Row],[Away Differential]]</f>
        <v>2.8891941798783507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0.98015202219304576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0.36815457830954207</v>
      </c>
      <c r="H499" t="s">
        <v>11</v>
      </c>
      <c r="I499">
        <f>VLOOKUP(Table4[[#This Row],[Visitor]],'NHL Model'!$A$6:$B$38,2,FALSE)</f>
        <v>-0.51447808915301396</v>
      </c>
      <c r="J499">
        <f>($B$1+Table4[[#This Row],[Home Differential]])-Table4[[#This Row],[Away Differential]]</f>
        <v>0.93201907988917732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0.67945204300287498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-0.36690387823407311</v>
      </c>
      <c r="H500" t="s">
        <v>16</v>
      </c>
      <c r="I500">
        <f>VLOOKUP(Table4[[#This Row],[Visitor]],'NHL Model'!$A$6:$B$38,2,FALSE)</f>
        <v>-1.2021149591105404</v>
      </c>
      <c r="J500">
        <f>($B$1+Table4[[#This Row],[Home Differential]])-Table4[[#This Row],[Away Differential]]</f>
        <v>0.88459749330308868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0.64175128464613362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-3.2419815263072818E-2</v>
      </c>
      <c r="H501" t="s">
        <v>36</v>
      </c>
      <c r="I501">
        <f>VLOOKUP(Table4[[#This Row],[Visitor]],'NHL Model'!$A$6:$B$38,2,FALSE)</f>
        <v>-0.430694899721771</v>
      </c>
      <c r="J501">
        <f>($B$1+Table4[[#This Row],[Home Differential]])-Table4[[#This Row],[Away Differential]]</f>
        <v>0.44766149688531948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0.58791633650474362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1.5071179757482971E-3</v>
      </c>
      <c r="H502" t="s">
        <v>31</v>
      </c>
      <c r="I502">
        <f>VLOOKUP(Table4[[#This Row],[Visitor]],'NHL Model'!$A$6:$B$38,2,FALSE)</f>
        <v>0.18193976369097953</v>
      </c>
      <c r="J502">
        <f>($B$1+Table4[[#This Row],[Home Differential]])-Table4[[#This Row],[Away Differential]]</f>
        <v>-0.13104623328860993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0.41507366083003849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-0.16042088891566345</v>
      </c>
      <c r="H503" t="s">
        <v>37</v>
      </c>
      <c r="I503">
        <f>VLOOKUP(Table4[[#This Row],[Visitor]],'NHL Model'!$A$6:$B$38,2,FALSE)</f>
        <v>0.46523362857782063</v>
      </c>
      <c r="J503">
        <f>($B$1+Table4[[#This Row],[Home Differential]])-Table4[[#This Row],[Away Differential]]</f>
        <v>-0.57626810506686277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0.5989087062420384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-0.2172114589315223</v>
      </c>
      <c r="H504" t="s">
        <v>18</v>
      </c>
      <c r="I504">
        <f>VLOOKUP(Table4[[#This Row],[Visitor]],'NHL Model'!$A$6:$B$38,2,FALSE)</f>
        <v>-0.68642169651276408</v>
      </c>
      <c r="J504">
        <f>($B$1+Table4[[#This Row],[Home Differential]])-Table4[[#This Row],[Away Differential]]</f>
        <v>0.51859665000786315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0.54036401433012726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-0.36903552884843377</v>
      </c>
      <c r="H505" t="s">
        <v>25</v>
      </c>
      <c r="I505">
        <f>VLOOKUP(Table4[[#This Row],[Visitor]],'NHL Model'!$A$6:$B$38,2,FALSE)</f>
        <v>0.4370463247440865</v>
      </c>
      <c r="J505">
        <f>($B$1+Table4[[#This Row],[Home Differential]])-Table4[[#This Row],[Away Differential]]</f>
        <v>-0.75669544116589904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0.60555780339937959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-0.10735719588407502</v>
      </c>
      <c r="H506" t="s">
        <v>33</v>
      </c>
      <c r="I506">
        <f>VLOOKUP(Table4[[#This Row],[Visitor]],'NHL Model'!$A$6:$B$38,2,FALSE)</f>
        <v>-0.44540084513285771</v>
      </c>
      <c r="J506">
        <f>($B$1+Table4[[#This Row],[Home Differential]])-Table4[[#This Row],[Away Differential]]</f>
        <v>0.387430061675404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0.58456434342675245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-0.50406821212948805</v>
      </c>
      <c r="H507" t="s">
        <v>17</v>
      </c>
      <c r="I507">
        <f>VLOOKUP(Table4[[#This Row],[Visitor]],'NHL Model'!$A$6:$B$38,2,FALSE)</f>
        <v>-0.82464120527377915</v>
      </c>
      <c r="J507">
        <f>($B$1+Table4[[#This Row],[Home Differential]])-Table4[[#This Row],[Away Differential]]</f>
        <v>0.36995940557091239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0.58255477216332385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-0.30901762292301305</v>
      </c>
      <c r="H508" t="s">
        <v>22</v>
      </c>
      <c r="I508">
        <f>VLOOKUP(Table4[[#This Row],[Visitor]],'NHL Model'!$A$6:$B$38,2,FALSE)</f>
        <v>0.49679678069457273</v>
      </c>
      <c r="J508">
        <f>($B$1+Table4[[#This Row],[Home Differential]])-Table4[[#This Row],[Away Differential]]</f>
        <v>-0.75642799119096449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0.60378704479896128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0.4370463247440865</v>
      </c>
      <c r="H509" t="s">
        <v>27</v>
      </c>
      <c r="I509">
        <f>VLOOKUP(Table4[[#This Row],[Visitor]],'NHL Model'!$A$6:$B$38,2,FALSE)</f>
        <v>-0.36903552884843377</v>
      </c>
      <c r="J509">
        <f>($B$1+Table4[[#This Row],[Home Differential]])-Table4[[#This Row],[Away Differential]]</f>
        <v>0.8554682660191415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0.64840068019684516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-3.2419815263072818E-2</v>
      </c>
      <c r="H510" t="s">
        <v>21</v>
      </c>
      <c r="I510">
        <f>VLOOKUP(Table4[[#This Row],[Visitor]],'NHL Model'!$A$6:$B$38,2,FALSE)</f>
        <v>-0.24831960772154485</v>
      </c>
      <c r="J510">
        <f>($B$1+Table4[[#This Row],[Home Differential]])-Table4[[#This Row],[Away Differential]]</f>
        <v>0.26528620488509336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0.57051468306242081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-0.68642169651276408</v>
      </c>
      <c r="H511" t="s">
        <v>17</v>
      </c>
      <c r="I511">
        <f>VLOOKUP(Table4[[#This Row],[Visitor]],'NHL Model'!$A$6:$B$38,2,FALSE)</f>
        <v>-0.82464120527377915</v>
      </c>
      <c r="J511">
        <f>($B$1+Table4[[#This Row],[Home Differential]])-Table4[[#This Row],[Away Differential]]</f>
        <v>0.18760592118763642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0.56157946821303373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1.5071179757482971E-3</v>
      </c>
      <c r="H512" t="s">
        <v>38</v>
      </c>
      <c r="I512">
        <f>VLOOKUP(Table4[[#This Row],[Visitor]],'NHL Model'!$A$6:$B$38,2,FALSE)</f>
        <v>-0.93150212402040711</v>
      </c>
      <c r="J512">
        <f>($B$1+Table4[[#This Row],[Home Differential]])-Table4[[#This Row],[Away Differential]]</f>
        <v>0.98239565442277677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0.73283527950535876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-0.10735719588407502</v>
      </c>
      <c r="H513" t="s">
        <v>55</v>
      </c>
      <c r="I513">
        <f>VLOOKUP(Table4[[#This Row],[Visitor]],'NHL Model'!$A$6:$B$38,2,FALSE)</f>
        <v>-0.3968452829365326</v>
      </c>
      <c r="J513">
        <f>($B$1+Table4[[#This Row],[Home Differential]])-Table4[[#This Row],[Away Differential]]</f>
        <v>0.33887449947907888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0.57897921474665281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-0.63765723729815182</v>
      </c>
      <c r="H514" t="s">
        <v>23</v>
      </c>
      <c r="I514">
        <f>VLOOKUP(Table4[[#This Row],[Visitor]],'NHL Model'!$A$6:$B$38,2,FALSE)</f>
        <v>-0.46454876921224991</v>
      </c>
      <c r="J514">
        <f>($B$1+Table4[[#This Row],[Home Differential]])-Table4[[#This Row],[Away Differential]]</f>
        <v>-0.12372205565928057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0.47423119350630916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0.36815457830954207</v>
      </c>
      <c r="H515" t="s">
        <v>13</v>
      </c>
      <c r="I515">
        <f>VLOOKUP(Table4[[#This Row],[Visitor]],'NHL Model'!$A$6:$B$38,2,FALSE)</f>
        <v>-0.36690387823407311</v>
      </c>
      <c r="J515">
        <f>($B$1+Table4[[#This Row],[Home Differential]])-Table4[[#This Row],[Away Differential]]</f>
        <v>0.78444486897023646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0.59656029110470021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-0.2172114589315223</v>
      </c>
      <c r="H516" t="s">
        <v>31</v>
      </c>
      <c r="I516">
        <f>VLOOKUP(Table4[[#This Row],[Visitor]],'NHL Model'!$A$6:$B$38,2,FALSE)</f>
        <v>0.18193976369097953</v>
      </c>
      <c r="J516">
        <f>($B$1+Table4[[#This Row],[Home Differential]])-Table4[[#This Row],[Away Differential]]</f>
        <v>-0.34976481019588052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0.52100110914427844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-1.3795663642467595</v>
      </c>
      <c r="H517" t="s">
        <v>29</v>
      </c>
      <c r="I517">
        <f>VLOOKUP(Table4[[#This Row],[Visitor]],'NHL Model'!$A$6:$B$38,2,FALSE)</f>
        <v>-1.2257669814473033</v>
      </c>
      <c r="J517">
        <f>($B$1+Table4[[#This Row],[Home Differential]])-Table4[[#This Row],[Away Differential]]</f>
        <v>-0.10441297037283492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0.47201015597442408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0.46523362857782063</v>
      </c>
      <c r="H518" t="s">
        <v>11</v>
      </c>
      <c r="I518">
        <f>VLOOKUP(Table4[[#This Row],[Visitor]],'NHL Model'!$A$6:$B$38,2,FALSE)</f>
        <v>-0.51447808915301396</v>
      </c>
      <c r="J518">
        <f>($B$1+Table4[[#This Row],[Home Differential]])-Table4[[#This Row],[Away Differential]]</f>
        <v>1.0290981301574558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0.69061861102031274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-0.30901762292301305</v>
      </c>
      <c r="H519" t="s">
        <v>36</v>
      </c>
      <c r="I519">
        <f>VLOOKUP(Table4[[#This Row],[Visitor]],'NHL Model'!$A$6:$B$38,2,FALSE)</f>
        <v>-0.430694899721771</v>
      </c>
      <c r="J519">
        <f>($B$1+Table4[[#This Row],[Home Differential]])-Table4[[#This Row],[Away Differential]]</f>
        <v>0.17106368922537923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0.55859884510585744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-0.24831960772154485</v>
      </c>
      <c r="H520" t="s">
        <v>55</v>
      </c>
      <c r="I520">
        <f>VLOOKUP(Table4[[#This Row],[Visitor]],'NHL Model'!$A$6:$B$38,2,FALSE)</f>
        <v>-0.3968452829365326</v>
      </c>
      <c r="J520">
        <f>($B$1+Table4[[#This Row],[Home Differential]])-Table4[[#This Row],[Away Differential]]</f>
        <v>0.19791208764160906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0.60566649474931522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-0.56850564030144513</v>
      </c>
      <c r="H521" t="s">
        <v>31</v>
      </c>
      <c r="I521">
        <f>VLOOKUP(Table4[[#This Row],[Visitor]],'NHL Model'!$A$6:$B$38,2,FALSE)</f>
        <v>0.18193976369097953</v>
      </c>
      <c r="J521">
        <f>($B$1+Table4[[#This Row],[Home Differential]])-Table4[[#This Row],[Away Differential]]</f>
        <v>-0.70105899156580331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0.56140890423041523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-0.80014284799340474</v>
      </c>
      <c r="H522" t="s">
        <v>30</v>
      </c>
      <c r="I522">
        <f>VLOOKUP(Table4[[#This Row],[Visitor]],'NHL Model'!$A$6:$B$38,2,FALSE)</f>
        <v>-0.16042088891566345</v>
      </c>
      <c r="J522">
        <f>($B$1+Table4[[#This Row],[Home Differential]])-Table4[[#This Row],[Away Differential]]</f>
        <v>-0.59033554665111998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0.59035263147732564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-3.2419815263072818E-2</v>
      </c>
      <c r="H523" t="s">
        <v>22</v>
      </c>
      <c r="I523">
        <f>VLOOKUP(Table4[[#This Row],[Visitor]],'NHL Model'!$A$6:$B$38,2,FALSE)</f>
        <v>0.49679678069457273</v>
      </c>
      <c r="J523">
        <f>($B$1+Table4[[#This Row],[Home Differential]])-Table4[[#This Row],[Away Differential]]</f>
        <v>-0.47983018353102425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0.57448054910901536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-0.68642169651276408</v>
      </c>
      <c r="H524" t="s">
        <v>27</v>
      </c>
      <c r="I524">
        <f>VLOOKUP(Table4[[#This Row],[Visitor]],'NHL Model'!$A$6:$B$38,2,FALSE)</f>
        <v>-0.36903552884843377</v>
      </c>
      <c r="J524">
        <f>($B$1+Table4[[#This Row],[Home Differential]])-Table4[[#This Row],[Away Differential]]</f>
        <v>-0.26799975523770897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0.53333937341067572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-0.2172114589315223</v>
      </c>
      <c r="H525" t="s">
        <v>38</v>
      </c>
      <c r="I525">
        <f>VLOOKUP(Table4[[#This Row],[Visitor]],'NHL Model'!$A$6:$B$38,2,FALSE)</f>
        <v>-0.93150212402040711</v>
      </c>
      <c r="J525">
        <f>($B$1+Table4[[#This Row],[Home Differential]])-Table4[[#This Row],[Away Differential]]</f>
        <v>0.76367707751550618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0.62784235121654786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-0.10735719588407502</v>
      </c>
      <c r="H526" t="s">
        <v>17</v>
      </c>
      <c r="I526">
        <f>VLOOKUP(Table4[[#This Row],[Visitor]],'NHL Model'!$A$6:$B$38,2,FALSE)</f>
        <v>-0.82464120527377915</v>
      </c>
      <c r="J526">
        <f>($B$1+Table4[[#This Row],[Home Differential]])-Table4[[#This Row],[Away Differential]]</f>
        <v>0.76667042181632539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0.62818666219448116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-0.63765723729815182</v>
      </c>
      <c r="H527" t="s">
        <v>12</v>
      </c>
      <c r="I527">
        <f>VLOOKUP(Table4[[#This Row],[Visitor]],'NHL Model'!$A$6:$B$38,2,FALSE)</f>
        <v>1.6140407860044261</v>
      </c>
      <c r="J527">
        <f>($B$1+Table4[[#This Row],[Home Differential]])-Table4[[#This Row],[Away Differential]]</f>
        <v>-2.2023116108759568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0.78594520234240606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-0.44540084513285771</v>
      </c>
      <c r="H528" t="s">
        <v>16</v>
      </c>
      <c r="I528">
        <f>VLOOKUP(Table4[[#This Row],[Visitor]],'NHL Model'!$A$6:$B$38,2,FALSE)</f>
        <v>-1.2021149591105404</v>
      </c>
      <c r="J528">
        <f>($B$1+Table4[[#This Row],[Home Differential]])-Table4[[#This Row],[Away Differential]]</f>
        <v>0.80610052640430396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0.6428443797774489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-0.50406821212948805</v>
      </c>
      <c r="H529" t="s">
        <v>10</v>
      </c>
      <c r="I529">
        <f>VLOOKUP(Table4[[#This Row],[Visitor]],'NHL Model'!$A$6:$B$38,2,FALSE)</f>
        <v>-0.21549764750433295</v>
      </c>
      <c r="J529">
        <f>($B$1+Table4[[#This Row],[Home Differential]])-Table4[[#This Row],[Away Differential]]</f>
        <v>-0.23918415219853381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0.48751228093844318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-0.80014284799340474</v>
      </c>
      <c r="H530" t="s">
        <v>55</v>
      </c>
      <c r="I530">
        <f>VLOOKUP(Table4[[#This Row],[Visitor]],'NHL Model'!$A$6:$B$38,2,FALSE)</f>
        <v>-0.3968452829365326</v>
      </c>
      <c r="J530">
        <f>($B$1+Table4[[#This Row],[Home Differential]])-Table4[[#This Row],[Away Differential]]</f>
        <v>-0.3539111526302508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0.49058656417147656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-0.51447808915301396</v>
      </c>
      <c r="H531" t="s">
        <v>13</v>
      </c>
      <c r="I531">
        <f>VLOOKUP(Table4[[#This Row],[Visitor]],'NHL Model'!$A$6:$B$38,2,FALSE)</f>
        <v>-0.36690387823407311</v>
      </c>
      <c r="J531">
        <f>($B$1+Table4[[#This Row],[Home Differential]])-Table4[[#This Row],[Away Differential]]</f>
        <v>-9.8187798492319567E-2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0.53760989182961982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-1.2257669814473033</v>
      </c>
      <c r="H532" t="s">
        <v>25</v>
      </c>
      <c r="I532">
        <f>VLOOKUP(Table4[[#This Row],[Visitor]],'NHL Model'!$A$6:$B$38,2,FALSE)</f>
        <v>0.4370463247440865</v>
      </c>
      <c r="J532">
        <f>($B$1+Table4[[#This Row],[Home Differential]])-Table4[[#This Row],[Away Differential]]</f>
        <v>-1.6134268937647687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0.71820843287587977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-1.3795663642467595</v>
      </c>
      <c r="H533" t="s">
        <v>40</v>
      </c>
      <c r="I533">
        <f>VLOOKUP(Table4[[#This Row],[Visitor]],'NHL Model'!$A$6:$B$38,2,FALSE)</f>
        <v>-0.30901762292301305</v>
      </c>
      <c r="J533">
        <f>($B$1+Table4[[#This Row],[Home Differential]])-Table4[[#This Row],[Away Differential]]</f>
        <v>-1.0211623288971252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0.59822895633270734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-0.21936273413039192</v>
      </c>
      <c r="H534" t="s">
        <v>24</v>
      </c>
      <c r="I534">
        <f>VLOOKUP(Table4[[#This Row],[Visitor]],'NHL Model'!$A$6:$B$38,2,FALSE)</f>
        <v>1.5071179757482971E-3</v>
      </c>
      <c r="J534">
        <f>($B$1+Table4[[#This Row],[Home Differential]])-Table4[[#This Row],[Away Differential]]</f>
        <v>-0.1714834396795189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0.50049420219976859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-0.24831960772154485</v>
      </c>
      <c r="H535" t="s">
        <v>17</v>
      </c>
      <c r="I535">
        <f>VLOOKUP(Table4[[#This Row],[Visitor]],'NHL Model'!$A$6:$B$38,2,FALSE)</f>
        <v>-0.82464120527377915</v>
      </c>
      <c r="J535">
        <f>($B$1+Table4[[#This Row],[Home Differential]])-Table4[[#This Row],[Away Differential]]</f>
        <v>0.62570800997885567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0.65487394219714368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-0.46454876921224991</v>
      </c>
      <c r="H536" t="s">
        <v>27</v>
      </c>
      <c r="I536">
        <f>VLOOKUP(Table4[[#This Row],[Visitor]],'NHL Model'!$A$6:$B$38,2,FALSE)</f>
        <v>-0.36903552884843377</v>
      </c>
      <c r="J536">
        <f>($B$1+Table4[[#This Row],[Home Differential]])-Table4[[#This Row],[Away Differential]]</f>
        <v>-4.6126827937194859E-2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0.49761345457221706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-0.56850564030144513</v>
      </c>
      <c r="H537" t="s">
        <v>34</v>
      </c>
      <c r="I537">
        <f>VLOOKUP(Table4[[#This Row],[Visitor]],'NHL Model'!$A$6:$B$38,2,FALSE)</f>
        <v>-3.2419815263072818E-2</v>
      </c>
      <c r="J537">
        <f>($B$1+Table4[[#This Row],[Home Differential]])-Table4[[#This Row],[Away Differential]]</f>
        <v>-0.48669941261175098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0.57527068574040308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-1.2021149591105404</v>
      </c>
      <c r="H538" t="s">
        <v>32</v>
      </c>
      <c r="I538">
        <f>VLOOKUP(Table4[[#This Row],[Visitor]],'NHL Model'!$A$6:$B$38,2,FALSE)</f>
        <v>-0.63765723729815182</v>
      </c>
      <c r="J538">
        <f>($B$1+Table4[[#This Row],[Home Differential]])-Table4[[#This Row],[Away Differential]]</f>
        <v>-0.5150713093857674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0.51924634402780423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-0.68642169651276408</v>
      </c>
      <c r="H539" t="s">
        <v>10</v>
      </c>
      <c r="I539">
        <f>VLOOKUP(Table4[[#This Row],[Visitor]],'NHL Model'!$A$6:$B$38,2,FALSE)</f>
        <v>-0.21549764750433295</v>
      </c>
      <c r="J539">
        <f>($B$1+Table4[[#This Row],[Home Differential]])-Table4[[#This Row],[Away Differential]]</f>
        <v>-0.42153763658180976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0.50848758488873325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-0.430694899721771</v>
      </c>
      <c r="H540" t="s">
        <v>14</v>
      </c>
      <c r="I540">
        <f>VLOOKUP(Table4[[#This Row],[Visitor]],'NHL Model'!$A$6:$B$38,2,FALSE)</f>
        <v>-0.10735719588407502</v>
      </c>
      <c r="J540">
        <f>($B$1+Table4[[#This Row],[Home Differential]])-Table4[[#This Row],[Away Differential]]</f>
        <v>-0.27395129141107466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0.5282855826745978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-0.44540084513285771</v>
      </c>
      <c r="H541" t="s">
        <v>39</v>
      </c>
      <c r="I541">
        <f>VLOOKUP(Table4[[#This Row],[Visitor]],'NHL Model'!$A$6:$B$38,2,FALSE)</f>
        <v>0.36815457830954207</v>
      </c>
      <c r="J541">
        <f>($B$1+Table4[[#This Row],[Home Differential]])-Table4[[#This Row],[Away Differential]]</f>
        <v>-0.7641690110157785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0.62123226945543675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-1.3795663642467595</v>
      </c>
      <c r="H542" t="s">
        <v>15</v>
      </c>
      <c r="I542">
        <f>VLOOKUP(Table4[[#This Row],[Visitor]],'NHL Model'!$A$6:$B$38,2,FALSE)</f>
        <v>-0.2172114589315223</v>
      </c>
      <c r="J542">
        <f>($B$1+Table4[[#This Row],[Home Differential]])-Table4[[#This Row],[Away Differential]]</f>
        <v>-1.1129684928886159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0.68810124350212964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0.46523362857782063</v>
      </c>
      <c r="H543" t="s">
        <v>13</v>
      </c>
      <c r="I543">
        <f>VLOOKUP(Table4[[#This Row],[Visitor]],'NHL Model'!$A$6:$B$38,2,FALSE)</f>
        <v>-0.36690387823407311</v>
      </c>
      <c r="J543">
        <f>($B$1+Table4[[#This Row],[Home Differential]])-Table4[[#This Row],[Away Differential]]</f>
        <v>0.88152391923851503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0.60772685912213797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0.49679678069457273</v>
      </c>
      <c r="H544" t="s">
        <v>19</v>
      </c>
      <c r="I544">
        <f>VLOOKUP(Table4[[#This Row],[Visitor]],'NHL Model'!$A$6:$B$38,2,FALSE)</f>
        <v>-0.50406821212948805</v>
      </c>
      <c r="J544">
        <f>($B$1+Table4[[#This Row],[Home Differential]])-Table4[[#This Row],[Away Differential]]</f>
        <v>1.0502514052506822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0.68684344748026638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0.18193976369097953</v>
      </c>
      <c r="H545" t="s">
        <v>39</v>
      </c>
      <c r="I545">
        <f>VLOOKUP(Table4[[#This Row],[Visitor]],'NHL Model'!$A$6:$B$38,2,FALSE)</f>
        <v>0.36815457830954207</v>
      </c>
      <c r="J545">
        <f>($B$1+Table4[[#This Row],[Home Differential]])-Table4[[#This Row],[Away Differential]]</f>
        <v>-0.13682840219194123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0.4772772193401838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1.6140407860044261</v>
      </c>
      <c r="H546" t="s">
        <v>40</v>
      </c>
      <c r="I546">
        <f>VLOOKUP(Table4[[#This Row],[Visitor]],'NHL Model'!$A$6:$B$38,2,FALSE)</f>
        <v>-0.30901762292301305</v>
      </c>
      <c r="J546">
        <f>($B$1+Table4[[#This Row],[Home Differential]])-Table4[[#This Row],[Away Differential]]</f>
        <v>1.9724448213540604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0.85545291533325463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-0.51447808915301396</v>
      </c>
      <c r="H547" t="s">
        <v>25</v>
      </c>
      <c r="I547">
        <f>VLOOKUP(Table4[[#This Row],[Visitor]],'NHL Model'!$A$6:$B$38,2,FALSE)</f>
        <v>0.4370463247440865</v>
      </c>
      <c r="J547">
        <f>($B$1+Table4[[#This Row],[Home Differential]])-Table4[[#This Row],[Away Differential]]</f>
        <v>-0.90213800147047918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0.63639205978711755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-0.16042088891566345</v>
      </c>
      <c r="H548" t="s">
        <v>38</v>
      </c>
      <c r="I548">
        <f>VLOOKUP(Table4[[#This Row],[Visitor]],'NHL Model'!$A$6:$B$38,2,FALSE)</f>
        <v>-0.93150212402040711</v>
      </c>
      <c r="J548">
        <f>($B$1+Table4[[#This Row],[Home Differential]])-Table4[[#This Row],[Away Differential]]</f>
        <v>0.82046764753136503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0.6343747159345654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-0.3968452829365326</v>
      </c>
      <c r="H549" t="s">
        <v>24</v>
      </c>
      <c r="I549">
        <f>VLOOKUP(Table4[[#This Row],[Visitor]],'NHL Model'!$A$6:$B$38,2,FALSE)</f>
        <v>1.5071179757482971E-3</v>
      </c>
      <c r="J549">
        <f>($B$1+Table4[[#This Row],[Home Differential]])-Table4[[#This Row],[Away Differential]]</f>
        <v>-0.34896598848565963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0.48013999349425901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0.18193976369097953</v>
      </c>
      <c r="H550" t="s">
        <v>28</v>
      </c>
      <c r="I550">
        <f>VLOOKUP(Table4[[#This Row],[Visitor]],'NHL Model'!$A$6:$B$38,2,FALSE)</f>
        <v>-0.56850564030144513</v>
      </c>
      <c r="J550">
        <f>($B$1+Table4[[#This Row],[Home Differential]])-Table4[[#This Row],[Away Differential]]</f>
        <v>0.79983181641904599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0.7084394249415521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-0.24831960772154485</v>
      </c>
      <c r="H551" t="s">
        <v>38</v>
      </c>
      <c r="I551">
        <f>VLOOKUP(Table4[[#This Row],[Visitor]],'NHL Model'!$A$6:$B$38,2,FALSE)</f>
        <v>-0.93150212402040711</v>
      </c>
      <c r="J551">
        <f>($B$1+Table4[[#This Row],[Home Differential]])-Table4[[#This Row],[Away Differential]]</f>
        <v>0.73256892872548351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0.66716567470062926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-0.46454876921224991</v>
      </c>
      <c r="H552" t="s">
        <v>30</v>
      </c>
      <c r="I552">
        <f>VLOOKUP(Table4[[#This Row],[Visitor]],'NHL Model'!$A$6:$B$38,2,FALSE)</f>
        <v>-0.16042088891566345</v>
      </c>
      <c r="J552">
        <f>($B$1+Table4[[#This Row],[Home Differential]])-Table4[[#This Row],[Away Differential]]</f>
        <v>-0.25474146786996521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0.55175074881981001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-1.2021149591105404</v>
      </c>
      <c r="H553" t="s">
        <v>20</v>
      </c>
      <c r="I553">
        <f>VLOOKUP(Table4[[#This Row],[Visitor]],'NHL Model'!$A$6:$B$38,2,FALSE)</f>
        <v>-0.21936273413039192</v>
      </c>
      <c r="J553">
        <f>($B$1+Table4[[#This Row],[Home Differential]])-Table4[[#This Row],[Away Differential]]</f>
        <v>-0.93336581255352735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0.56736088581653255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-0.51447808915301396</v>
      </c>
      <c r="H554" t="s">
        <v>35</v>
      </c>
      <c r="I554">
        <f>VLOOKUP(Table4[[#This Row],[Visitor]],'NHL Model'!$A$6:$B$38,2,FALSE)</f>
        <v>-1.3795663642467595</v>
      </c>
      <c r="J554">
        <f>($B$1+Table4[[#This Row],[Home Differential]])-Table4[[#This Row],[Away Differential]]</f>
        <v>0.91447468752036687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0.64518792437917039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-3.2419815263072818E-2</v>
      </c>
      <c r="H555" t="s">
        <v>17</v>
      </c>
      <c r="I555">
        <f>VLOOKUP(Table4[[#This Row],[Visitor]],'NHL Model'!$A$6:$B$38,2,FALSE)</f>
        <v>-0.82464120527377915</v>
      </c>
      <c r="J555">
        <f>($B$1+Table4[[#This Row],[Home Differential]])-Table4[[#This Row],[Away Differential]]</f>
        <v>0.84160780243732769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0.63680637319742739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-0.68642169651276408</v>
      </c>
      <c r="H556" t="s">
        <v>14</v>
      </c>
      <c r="I556">
        <f>VLOOKUP(Table4[[#This Row],[Visitor]],'NHL Model'!$A$6:$B$38,2,FALSE)</f>
        <v>-0.10735719588407502</v>
      </c>
      <c r="J556">
        <f>($B$1+Table4[[#This Row],[Home Differential]])-Table4[[#This Row],[Away Differential]]</f>
        <v>-0.52967808820206774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0.56021322956168651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-1.2257669814473033</v>
      </c>
      <c r="H557" t="s">
        <v>19</v>
      </c>
      <c r="I557">
        <f>VLOOKUP(Table4[[#This Row],[Visitor]],'NHL Model'!$A$6:$B$38,2,FALSE)</f>
        <v>-0.50406821212948805</v>
      </c>
      <c r="J557">
        <f>($B$1+Table4[[#This Row],[Home Differential]])-Table4[[#This Row],[Away Differential]]</f>
        <v>-0.67231235689119406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0.53733307692486321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-0.2172114589315223</v>
      </c>
      <c r="H558" t="s">
        <v>27</v>
      </c>
      <c r="I558">
        <f>VLOOKUP(Table4[[#This Row],[Visitor]],'NHL Model'!$A$6:$B$38,2,FALSE)</f>
        <v>-0.36903552884843377</v>
      </c>
      <c r="J558">
        <f>($B$1+Table4[[#This Row],[Home Differential]])-Table4[[#This Row],[Away Differential]]</f>
        <v>0.20121048234353278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0.52063177708935271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-0.430694899721771</v>
      </c>
      <c r="H559" t="s">
        <v>10</v>
      </c>
      <c r="I559">
        <f>VLOOKUP(Table4[[#This Row],[Visitor]],'NHL Model'!$A$6:$B$38,2,FALSE)</f>
        <v>-0.21549764750433295</v>
      </c>
      <c r="J559">
        <f>($B$1+Table4[[#This Row],[Home Differential]])-Table4[[#This Row],[Away Differential]]</f>
        <v>-0.16581083979081676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0.47657699848714863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-0.44540084513285771</v>
      </c>
      <c r="H560" t="s">
        <v>32</v>
      </c>
      <c r="I560">
        <f>VLOOKUP(Table4[[#This Row],[Visitor]],'NHL Model'!$A$6:$B$38,2,FALSE)</f>
        <v>-0.63765723729815182</v>
      </c>
      <c r="J560">
        <f>($B$1+Table4[[#This Row],[Home Differential]])-Table4[[#This Row],[Away Differential]]</f>
        <v>0.24164280459191539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0.57791733809165269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0.46523362857782063</v>
      </c>
      <c r="H561" t="s">
        <v>25</v>
      </c>
      <c r="I561">
        <f>VLOOKUP(Table4[[#This Row],[Visitor]],'NHL Model'!$A$6:$B$38,2,FALSE)</f>
        <v>0.4370463247440865</v>
      </c>
      <c r="J561">
        <f>($B$1+Table4[[#This Row],[Home Differential]])-Table4[[#This Row],[Away Differential]]</f>
        <v>7.7573716260355419E-2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0.50892295687476174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0.49679678069457273</v>
      </c>
      <c r="H562" t="s">
        <v>26</v>
      </c>
      <c r="I562">
        <f>VLOOKUP(Table4[[#This Row],[Visitor]],'NHL Model'!$A$6:$B$38,2,FALSE)</f>
        <v>-0.80014284799340474</v>
      </c>
      <c r="J562">
        <f>($B$1+Table4[[#This Row],[Home Differential]])-Table4[[#This Row],[Away Differential]]</f>
        <v>1.3463260411145987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0.72089958575599145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-0.24831960772154485</v>
      </c>
      <c r="H563" t="s">
        <v>36</v>
      </c>
      <c r="I563">
        <f>VLOOKUP(Table4[[#This Row],[Visitor]],'NHL Model'!$A$6:$B$38,2,FALSE)</f>
        <v>-0.430694899721771</v>
      </c>
      <c r="J563">
        <f>($B$1+Table4[[#This Row],[Home Differential]])-Table4[[#This Row],[Away Differential]]</f>
        <v>0.23176170442684746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0.60605765167161352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0.36815457830954207</v>
      </c>
      <c r="H564" t="s">
        <v>19</v>
      </c>
      <c r="I564">
        <f>VLOOKUP(Table4[[#This Row],[Visitor]],'NHL Model'!$A$6:$B$38,2,FALSE)</f>
        <v>-0.50406821212948805</v>
      </c>
      <c r="J564">
        <f>($B$1+Table4[[#This Row],[Home Differential]])-Table4[[#This Row],[Away Differential]]</f>
        <v>0.9216092028656514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0.67825464150878201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-0.80014284799340474</v>
      </c>
      <c r="H565" t="s">
        <v>22</v>
      </c>
      <c r="I565">
        <f>VLOOKUP(Table4[[#This Row],[Visitor]],'NHL Model'!$A$6:$B$38,2,FALSE)</f>
        <v>0.49679678069457273</v>
      </c>
      <c r="J565">
        <f>($B$1+Table4[[#This Row],[Home Differential]])-Table4[[#This Row],[Away Differential]]</f>
        <v>-1.2475532162613561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0.65259136368185977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-0.82464120527377915</v>
      </c>
      <c r="H566" t="s">
        <v>20</v>
      </c>
      <c r="I566">
        <f>VLOOKUP(Table4[[#This Row],[Visitor]],'NHL Model'!$A$6:$B$38,2,FALSE)</f>
        <v>-0.21936273413039192</v>
      </c>
      <c r="J566">
        <f>($B$1+Table4[[#This Row],[Home Differential]])-Table4[[#This Row],[Away Differential]]</f>
        <v>-0.55589205871676595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0.52394177185355739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-3.2419815263072818E-2</v>
      </c>
      <c r="H567" t="s">
        <v>12</v>
      </c>
      <c r="I567">
        <f>VLOOKUP(Table4[[#This Row],[Visitor]],'NHL Model'!$A$6:$B$38,2,FALSE)</f>
        <v>1.6140407860044261</v>
      </c>
      <c r="J567">
        <f>($B$1+Table4[[#This Row],[Home Differential]])-Table4[[#This Row],[Away Differential]]</f>
        <v>-1.5970741888408777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0.71632745452579205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1.5071179757482971E-3</v>
      </c>
      <c r="H568" t="s">
        <v>23</v>
      </c>
      <c r="I568">
        <f>VLOOKUP(Table4[[#This Row],[Visitor]],'NHL Model'!$A$6:$B$38,2,FALSE)</f>
        <v>-0.46454876921224991</v>
      </c>
      <c r="J568">
        <f>($B$1+Table4[[#This Row],[Home Differential]])-Table4[[#This Row],[Away Differential]]</f>
        <v>0.51544229961461951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0.67912372811475075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-1.2257669814473033</v>
      </c>
      <c r="H569" t="s">
        <v>15</v>
      </c>
      <c r="I569">
        <f>VLOOKUP(Table4[[#This Row],[Visitor]],'NHL Model'!$A$6:$B$38,2,FALSE)</f>
        <v>-0.2172114589315223</v>
      </c>
      <c r="J569">
        <f>($B$1+Table4[[#This Row],[Home Differential]])-Table4[[#This Row],[Away Differential]]</f>
        <v>-0.95916911008915984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0.67041038986971357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-0.10735719588407502</v>
      </c>
      <c r="H570" t="s">
        <v>18</v>
      </c>
      <c r="I570">
        <f>VLOOKUP(Table4[[#This Row],[Visitor]],'NHL Model'!$A$6:$B$38,2,FALSE)</f>
        <v>-0.68642169651276408</v>
      </c>
      <c r="J570">
        <f>($B$1+Table4[[#This Row],[Home Differential]])-Table4[[#This Row],[Away Differential]]</f>
        <v>0.62845091305531031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0.55300005781154626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-0.3968452829365326</v>
      </c>
      <c r="H571" t="s">
        <v>40</v>
      </c>
      <c r="I571">
        <f>VLOOKUP(Table4[[#This Row],[Visitor]],'NHL Model'!$A$6:$B$38,2,FALSE)</f>
        <v>-0.30901762292301305</v>
      </c>
      <c r="J571">
        <f>($B$1+Table4[[#This Row],[Home Differential]])-Table4[[#This Row],[Away Differential]]</f>
        <v>-3.8441247586898264E-2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0.44442172440570871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0.18193976369097953</v>
      </c>
      <c r="H572" t="s">
        <v>32</v>
      </c>
      <c r="I572">
        <f>VLOOKUP(Table4[[#This Row],[Visitor]],'NHL Model'!$A$6:$B$38,2,FALSE)</f>
        <v>-0.63765723729815182</v>
      </c>
      <c r="J572">
        <f>($B$1+Table4[[#This Row],[Home Differential]])-Table4[[#This Row],[Away Differential]]</f>
        <v>0.86898341341575269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0.71978997776708253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-0.36690387823407311</v>
      </c>
      <c r="H573" t="s">
        <v>28</v>
      </c>
      <c r="I573">
        <f>VLOOKUP(Table4[[#This Row],[Visitor]],'NHL Model'!$A$6:$B$38,2,FALSE)</f>
        <v>-0.56850564030144513</v>
      </c>
      <c r="J573">
        <f>($B$1+Table4[[#This Row],[Home Differential]])-Table4[[#This Row],[Away Differential]]</f>
        <v>0.2509881744939933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0.56529388577382789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-0.36903552884843377</v>
      </c>
      <c r="H574" t="s">
        <v>38</v>
      </c>
      <c r="I574">
        <f>VLOOKUP(Table4[[#This Row],[Visitor]],'NHL Model'!$A$6:$B$38,2,FALSE)</f>
        <v>-0.93150212402040711</v>
      </c>
      <c r="J574">
        <f>($B$1+Table4[[#This Row],[Home Differential]])-Table4[[#This Row],[Away Differential]]</f>
        <v>0.61185300759859462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0.62439532946973186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0.46523362857782063</v>
      </c>
      <c r="H575" t="s">
        <v>35</v>
      </c>
      <c r="I575">
        <f>VLOOKUP(Table4[[#This Row],[Visitor]],'NHL Model'!$A$6:$B$38,2,FALSE)</f>
        <v>-1.3795663642467595</v>
      </c>
      <c r="J575">
        <f>($B$1+Table4[[#This Row],[Home Differential]])-Table4[[#This Row],[Away Differential]]</f>
        <v>1.8941864052512014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0.79012583774149114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-0.24831960772154485</v>
      </c>
      <c r="H576" t="s">
        <v>18</v>
      </c>
      <c r="I576">
        <f>VLOOKUP(Table4[[#This Row],[Visitor]],'NHL Model'!$A$6:$B$38,2,FALSE)</f>
        <v>-0.68642169651276408</v>
      </c>
      <c r="J576">
        <f>($B$1+Table4[[#This Row],[Home Differential]])-Table4[[#This Row],[Away Differential]]</f>
        <v>0.48748850121784054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0.58034546189815106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0.4370463247440865</v>
      </c>
      <c r="H577" t="s">
        <v>11</v>
      </c>
      <c r="I577">
        <f>VLOOKUP(Table4[[#This Row],[Visitor]],'NHL Model'!$A$6:$B$38,2,FALSE)</f>
        <v>-0.51447808915301396</v>
      </c>
      <c r="J577">
        <f>($B$1+Table4[[#This Row],[Home Differential]])-Table4[[#This Row],[Away Differential]]</f>
        <v>1.0009108263237216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0.7068462623266063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-0.21549764750433295</v>
      </c>
      <c r="H578" t="s">
        <v>27</v>
      </c>
      <c r="I578">
        <f>VLOOKUP(Table4[[#This Row],[Visitor]],'NHL Model'!$A$6:$B$38,2,FALSE)</f>
        <v>-0.36903552884843377</v>
      </c>
      <c r="J578">
        <f>($B$1+Table4[[#This Row],[Home Differential]])-Table4[[#This Row],[Away Differential]]</f>
        <v>0.20292429377072213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0.52082890913604951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1.6140407860044261</v>
      </c>
      <c r="H579" t="s">
        <v>55</v>
      </c>
      <c r="I579">
        <f>VLOOKUP(Table4[[#This Row],[Visitor]],'NHL Model'!$A$6:$B$38,2,FALSE)</f>
        <v>-0.3968452829365326</v>
      </c>
      <c r="J579">
        <f>($B$1+Table4[[#This Row],[Home Differential]])-Table4[[#This Row],[Away Differential]]</f>
        <v>2.0602724813675799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0.88480487466769397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-0.80014284799340474</v>
      </c>
      <c r="H580" t="s">
        <v>39</v>
      </c>
      <c r="I580">
        <f>VLOOKUP(Table4[[#This Row],[Visitor]],'NHL Model'!$A$6:$B$38,2,FALSE)</f>
        <v>0.36815457830954207</v>
      </c>
      <c r="J580">
        <f>($B$1+Table4[[#This Row],[Home Differential]])-Table4[[#This Row],[Away Differential]]</f>
        <v>-1.1189110138763254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0.66203665199355877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-0.82464120527377915</v>
      </c>
      <c r="H581" t="s">
        <v>16</v>
      </c>
      <c r="I581">
        <f>VLOOKUP(Table4[[#This Row],[Visitor]],'NHL Model'!$A$6:$B$38,2,FALSE)</f>
        <v>-1.2021149591105404</v>
      </c>
      <c r="J581">
        <f>($B$1+Table4[[#This Row],[Home Differential]])-Table4[[#This Row],[Away Differential]]</f>
        <v>0.42686016626338263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0.58909981162096714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-0.36690387823407311</v>
      </c>
      <c r="H582" t="s">
        <v>32</v>
      </c>
      <c r="I582">
        <f>VLOOKUP(Table4[[#This Row],[Visitor]],'NHL Model'!$A$6:$B$38,2,FALSE)</f>
        <v>-0.63765723729815182</v>
      </c>
      <c r="J582">
        <f>($B$1+Table4[[#This Row],[Home Differential]])-Table4[[#This Row],[Away Differential]]</f>
        <v>0.3201397714907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0.57682424296033741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-3.2419815263072818E-2</v>
      </c>
      <c r="H583" t="s">
        <v>29</v>
      </c>
      <c r="I583">
        <f>VLOOKUP(Table4[[#This Row],[Visitor]],'NHL Model'!$A$6:$B$38,2,FALSE)</f>
        <v>-1.2257669814473033</v>
      </c>
      <c r="J583">
        <f>($B$1+Table4[[#This Row],[Home Differential]])-Table4[[#This Row],[Away Differential]]</f>
        <v>1.2427335786108518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0.68294607327495083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-0.16042088891566345</v>
      </c>
      <c r="H584" t="s">
        <v>24</v>
      </c>
      <c r="I584">
        <f>VLOOKUP(Table4[[#This Row],[Visitor]],'NHL Model'!$A$6:$B$38,2,FALSE)</f>
        <v>1.5071179757482971E-3</v>
      </c>
      <c r="J584">
        <f>($B$1+Table4[[#This Row],[Home Differential]])-Table4[[#This Row],[Away Differential]]</f>
        <v>-0.11254159446479044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0.49371438593823042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-0.430694899721771</v>
      </c>
      <c r="H585" t="s">
        <v>23</v>
      </c>
      <c r="I585">
        <f>VLOOKUP(Table4[[#This Row],[Visitor]],'NHL Model'!$A$6:$B$38,2,FALSE)</f>
        <v>-0.46454876921224991</v>
      </c>
      <c r="J585">
        <f>($B$1+Table4[[#This Row],[Home Differential]])-Table4[[#This Row],[Away Differential]]</f>
        <v>8.3240281917100201E-2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0.55207023572749603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-0.50406821212948805</v>
      </c>
      <c r="H586" t="s">
        <v>14</v>
      </c>
      <c r="I586">
        <f>VLOOKUP(Table4[[#This Row],[Visitor]],'NHL Model'!$A$6:$B$38,2,FALSE)</f>
        <v>-0.10735719588407502</v>
      </c>
      <c r="J586">
        <f>($B$1+Table4[[#This Row],[Home Differential]])-Table4[[#This Row],[Away Differential]]</f>
        <v>-0.34732460381879171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0.53923792561139638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-0.21936273413039192</v>
      </c>
      <c r="H587" t="s">
        <v>33</v>
      </c>
      <c r="I587">
        <f>VLOOKUP(Table4[[#This Row],[Visitor]],'NHL Model'!$A$6:$B$38,2,FALSE)</f>
        <v>-0.44540084513285771</v>
      </c>
      <c r="J587">
        <f>($B$1+Table4[[#This Row],[Home Differential]])-Table4[[#This Row],[Away Differential]]</f>
        <v>0.27542452342908708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0.57168084840181277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0.49679678069457273</v>
      </c>
      <c r="H588" t="s">
        <v>15</v>
      </c>
      <c r="I588">
        <f>VLOOKUP(Table4[[#This Row],[Visitor]],'NHL Model'!$A$6:$B$38,2,FALSE)</f>
        <v>-0.2172114589315223</v>
      </c>
      <c r="J588">
        <f>($B$1+Table4[[#This Row],[Home Differential]])-Table4[[#This Row],[Away Differential]]</f>
        <v>0.76339465205271628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0.55382928255719954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-0.46454876921224991</v>
      </c>
      <c r="H589" t="s">
        <v>21</v>
      </c>
      <c r="I589">
        <f>VLOOKUP(Table4[[#This Row],[Visitor]],'NHL Model'!$A$6:$B$38,2,FALSE)</f>
        <v>-0.24831960772154485</v>
      </c>
      <c r="J589">
        <f>($B$1+Table4[[#This Row],[Home Differential]])-Table4[[#This Row],[Away Differential]]</f>
        <v>-0.16684274906408378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0.4690689242011391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0.4370463247440865</v>
      </c>
      <c r="H590" t="s">
        <v>26</v>
      </c>
      <c r="I590">
        <f>VLOOKUP(Table4[[#This Row],[Visitor]],'NHL Model'!$A$6:$B$38,2,FALSE)</f>
        <v>-0.80014284799340474</v>
      </c>
      <c r="J590">
        <f>($B$1+Table4[[#This Row],[Home Differential]])-Table4[[#This Row],[Away Differential]]</f>
        <v>1.2865755851641125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0.73970499910823839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-1.2021149591105404</v>
      </c>
      <c r="H591" t="s">
        <v>17</v>
      </c>
      <c r="I591">
        <f>VLOOKUP(Table4[[#This Row],[Visitor]],'NHL Model'!$A$6:$B$38,2,FALSE)</f>
        <v>-0.82464120527377915</v>
      </c>
      <c r="J591">
        <f>($B$1+Table4[[#This Row],[Home Differential]])-Table4[[#This Row],[Away Differential]]</f>
        <v>-0.32808734141014007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0.49773841630498306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0.36815457830954207</v>
      </c>
      <c r="H592" t="s">
        <v>10</v>
      </c>
      <c r="I592">
        <f>VLOOKUP(Table4[[#This Row],[Visitor]],'NHL Model'!$A$6:$B$38,2,FALSE)</f>
        <v>-0.21549764750433295</v>
      </c>
      <c r="J592">
        <f>($B$1+Table4[[#This Row],[Home Differential]])-Table4[[#This Row],[Away Differential]]</f>
        <v>0.63303863824049633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0.64506166291234679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-0.51447808915301396</v>
      </c>
      <c r="H593" t="s">
        <v>37</v>
      </c>
      <c r="I593">
        <f>VLOOKUP(Table4[[#This Row],[Visitor]],'NHL Model'!$A$6:$B$38,2,FALSE)</f>
        <v>0.46523362857782063</v>
      </c>
      <c r="J593">
        <f>($B$1+Table4[[#This Row],[Home Differential]])-Table4[[#This Row],[Away Differential]]</f>
        <v>-0.93032530530421331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0.63963431900388734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-0.36690387823407311</v>
      </c>
      <c r="H594" t="s">
        <v>31</v>
      </c>
      <c r="I594">
        <f>VLOOKUP(Table4[[#This Row],[Visitor]],'NHL Model'!$A$6:$B$38,2,FALSE)</f>
        <v>0.18193976369097953</v>
      </c>
      <c r="J594">
        <f>($B$1+Table4[[#This Row],[Home Differential]])-Table4[[#This Row],[Away Differential]]</f>
        <v>-0.49945722949843135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0.53821955717418202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1.5071179757482971E-3</v>
      </c>
      <c r="H595" t="s">
        <v>22</v>
      </c>
      <c r="I595">
        <f>VLOOKUP(Table4[[#This Row],[Visitor]],'NHL Model'!$A$6:$B$38,2,FALSE)</f>
        <v>0.49679678069457273</v>
      </c>
      <c r="J595">
        <f>($B$1+Table4[[#This Row],[Home Differential]])-Table4[[#This Row],[Away Differential]]</f>
        <v>-0.44590325029220312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0.48879025222047812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-0.16042088891566345</v>
      </c>
      <c r="H596" t="s">
        <v>15</v>
      </c>
      <c r="I596">
        <f>VLOOKUP(Table4[[#This Row],[Visitor]],'NHL Model'!$A$6:$B$38,2,FALSE)</f>
        <v>-0.2172114589315223</v>
      </c>
      <c r="J596">
        <f>($B$1+Table4[[#This Row],[Home Differential]])-Table4[[#This Row],[Away Differential]]</f>
        <v>0.10617698244248017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0.45213159598089753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-1.3795663642467595</v>
      </c>
      <c r="H597" t="s">
        <v>29</v>
      </c>
      <c r="I597">
        <f>VLOOKUP(Table4[[#This Row],[Visitor]],'NHL Model'!$A$6:$B$38,2,FALSE)</f>
        <v>-1.2257669814473033</v>
      </c>
      <c r="J597">
        <f>($B$1+Table4[[#This Row],[Home Differential]])-Table4[[#This Row],[Away Differential]]</f>
        <v>-0.10441297037283492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0.47201015597442408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-0.50406821212948805</v>
      </c>
      <c r="H598" t="s">
        <v>36</v>
      </c>
      <c r="I598">
        <f>VLOOKUP(Table4[[#This Row],[Visitor]],'NHL Model'!$A$6:$B$38,2,FALSE)</f>
        <v>-0.430694899721771</v>
      </c>
      <c r="J598">
        <f>($B$1+Table4[[#This Row],[Home Differential]])-Table4[[#This Row],[Away Differential]]</f>
        <v>-2.3986899981095766E-2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0.46633526452935981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-0.93150212402040711</v>
      </c>
      <c r="H599" t="s">
        <v>33</v>
      </c>
      <c r="I599">
        <f>VLOOKUP(Table4[[#This Row],[Visitor]],'NHL Model'!$A$6:$B$38,2,FALSE)</f>
        <v>-0.44540084513285771</v>
      </c>
      <c r="J599">
        <f>($B$1+Table4[[#This Row],[Home Differential]])-Table4[[#This Row],[Away Differential]]</f>
        <v>-0.43671486646092805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0.51023335361322231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-0.21936273413039192</v>
      </c>
      <c r="H600" t="s">
        <v>12</v>
      </c>
      <c r="I600">
        <f>VLOOKUP(Table4[[#This Row],[Visitor]],'NHL Model'!$A$6:$B$38,2,FALSE)</f>
        <v>1.6140407860044261</v>
      </c>
      <c r="J600">
        <f>($B$1+Table4[[#This Row],[Home Differential]])-Table4[[#This Row],[Away Differential]]</f>
        <v>-1.7840171077081968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0.73783066055367774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-0.30901762292301305</v>
      </c>
      <c r="H601" t="s">
        <v>34</v>
      </c>
      <c r="I601">
        <f>VLOOKUP(Table4[[#This Row],[Visitor]],'NHL Model'!$A$6:$B$38,2,FALSE)</f>
        <v>-3.2419815263072818E-2</v>
      </c>
      <c r="J601">
        <f>($B$1+Table4[[#This Row],[Home Differential]])-Table4[[#This Row],[Away Differential]]</f>
        <v>-0.22721139523331896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0.54291363185984709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-0.56850564030144513</v>
      </c>
      <c r="H602" t="s">
        <v>30</v>
      </c>
      <c r="I602">
        <f>VLOOKUP(Table4[[#This Row],[Visitor]],'NHL Model'!$A$6:$B$38,2,FALSE)</f>
        <v>-0.16042088891566345</v>
      </c>
      <c r="J602">
        <f>($B$1+Table4[[#This Row],[Home Differential]])-Table4[[#This Row],[Away Differential]]</f>
        <v>-0.35869833895916037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0.5738826312540185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-0.21549764750433295</v>
      </c>
      <c r="H603" t="s">
        <v>14</v>
      </c>
      <c r="I603">
        <f>VLOOKUP(Table4[[#This Row],[Visitor]],'NHL Model'!$A$6:$B$38,2,FALSE)</f>
        <v>-0.10735719588407502</v>
      </c>
      <c r="J603">
        <f>($B$1+Table4[[#This Row],[Home Differential]])-Table4[[#This Row],[Away Differential]]</f>
        <v>-5.8754039193636615E-2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0.50604494701496117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-0.80014284799340474</v>
      </c>
      <c r="H604" t="s">
        <v>19</v>
      </c>
      <c r="I604">
        <f>VLOOKUP(Table4[[#This Row],[Visitor]],'NHL Model'!$A$6:$B$38,2,FALSE)</f>
        <v>-0.50406821212948805</v>
      </c>
      <c r="J604">
        <f>($B$1+Table4[[#This Row],[Home Differential]])-Table4[[#This Row],[Away Differential]]</f>
        <v>-0.24668822343729535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0.47825319122897997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-0.63765723729815182</v>
      </c>
      <c r="H605" t="s">
        <v>27</v>
      </c>
      <c r="I605">
        <f>VLOOKUP(Table4[[#This Row],[Visitor]],'NHL Model'!$A$6:$B$38,2,FALSE)</f>
        <v>-0.36903552884843377</v>
      </c>
      <c r="J605">
        <f>($B$1+Table4[[#This Row],[Home Differential]])-Table4[[#This Row],[Away Differential]]</f>
        <v>-0.21923529602309672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0.52773021624289629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0.46523362857782063</v>
      </c>
      <c r="H606" t="s">
        <v>18</v>
      </c>
      <c r="I606">
        <f>VLOOKUP(Table4[[#This Row],[Visitor]],'NHL Model'!$A$6:$B$38,2,FALSE)</f>
        <v>-0.68642169651276408</v>
      </c>
      <c r="J606">
        <f>($B$1+Table4[[#This Row],[Home Differential]])-Table4[[#This Row],[Away Differential]]</f>
        <v>1.201041737517206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0.65151943162543147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0.18193976369097953</v>
      </c>
      <c r="H607" t="s">
        <v>33</v>
      </c>
      <c r="I607">
        <f>VLOOKUP(Table4[[#This Row],[Visitor]],'NHL Model'!$A$6:$B$38,2,FALSE)</f>
        <v>-0.44540084513285771</v>
      </c>
      <c r="J607">
        <f>($B$1+Table4[[#This Row],[Home Differential]])-Table4[[#This Row],[Away Differential]]</f>
        <v>0.67672702125045858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0.69767558672217489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0.4370463247440865</v>
      </c>
      <c r="H608" t="s">
        <v>15</v>
      </c>
      <c r="I608">
        <f>VLOOKUP(Table4[[#This Row],[Visitor]],'NHL Model'!$A$6:$B$38,2,FALSE)</f>
        <v>-0.2172114589315223</v>
      </c>
      <c r="J608">
        <f>($B$1+Table4[[#This Row],[Home Differential]])-Table4[[#This Row],[Away Differential]]</f>
        <v>0.70364419610223006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0.57324473025910649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-1.2021149591105404</v>
      </c>
      <c r="H609" t="s">
        <v>21</v>
      </c>
      <c r="I609">
        <f>VLOOKUP(Table4[[#This Row],[Visitor]],'NHL Model'!$A$6:$B$38,2,FALSE)</f>
        <v>-0.24831960772154485</v>
      </c>
      <c r="J609">
        <f>($B$1+Table4[[#This Row],[Home Differential]])-Table4[[#This Row],[Away Differential]]</f>
        <v>-0.9044089389623744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0.56403010643998952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1.6140407860044261</v>
      </c>
      <c r="H610" t="s">
        <v>13</v>
      </c>
      <c r="I610">
        <f>VLOOKUP(Table4[[#This Row],[Visitor]],'NHL Model'!$A$6:$B$38,2,FALSE)</f>
        <v>-0.36690387823407311</v>
      </c>
      <c r="J610">
        <f>($B$1+Table4[[#This Row],[Home Differential]])-Table4[[#This Row],[Away Differential]]</f>
        <v>2.0303310766651204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0.81864626622691206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-0.51447808915301396</v>
      </c>
      <c r="H611" t="s">
        <v>22</v>
      </c>
      <c r="I611">
        <f>VLOOKUP(Table4[[#This Row],[Visitor]],'NHL Model'!$A$6:$B$38,2,FALSE)</f>
        <v>0.49679678069457273</v>
      </c>
      <c r="J611">
        <f>($B$1+Table4[[#This Row],[Home Differential]])-Table4[[#This Row],[Away Differential]]</f>
        <v>-0.9618884574209654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0.62992955163721187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-0.430694899721771</v>
      </c>
      <c r="H612" t="s">
        <v>28</v>
      </c>
      <c r="I612">
        <f>VLOOKUP(Table4[[#This Row],[Visitor]],'NHL Model'!$A$6:$B$38,2,FALSE)</f>
        <v>-0.56850564030144513</v>
      </c>
      <c r="J612">
        <f>($B$1+Table4[[#This Row],[Home Differential]])-Table4[[#This Row],[Away Differential]]</f>
        <v>0.18719715300629541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0.56045460512996781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-0.63765723729815182</v>
      </c>
      <c r="H613" t="s">
        <v>38</v>
      </c>
      <c r="I613">
        <f>VLOOKUP(Table4[[#This Row],[Visitor]],'NHL Model'!$A$6:$B$38,2,FALSE)</f>
        <v>-0.93150212402040711</v>
      </c>
      <c r="J613">
        <f>($B$1+Table4[[#This Row],[Home Differential]])-Table4[[#This Row],[Away Differential]]</f>
        <v>0.34323129914887662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0.57948035788429886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-1.3795663642467595</v>
      </c>
      <c r="H614" t="s">
        <v>23</v>
      </c>
      <c r="I614">
        <f>VLOOKUP(Table4[[#This Row],[Visitor]],'NHL Model'!$A$6:$B$38,2,FALSE)</f>
        <v>-0.46454876921224991</v>
      </c>
      <c r="J614">
        <f>($B$1+Table4[[#This Row],[Home Differential]])-Table4[[#This Row],[Away Differential]]</f>
        <v>-0.86563118260788841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0.55956967493906984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-0.3968452829365326</v>
      </c>
      <c r="H615" t="s">
        <v>29</v>
      </c>
      <c r="I615">
        <f>VLOOKUP(Table4[[#This Row],[Visitor]],'NHL Model'!$A$6:$B$38,2,FALSE)</f>
        <v>-1.2257669814473033</v>
      </c>
      <c r="J615">
        <f>($B$1+Table4[[#This Row],[Home Differential]])-Table4[[#This Row],[Away Differential]]</f>
        <v>0.87830811093739203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0.68145902262944658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-0.21936273413039192</v>
      </c>
      <c r="H616" t="s">
        <v>34</v>
      </c>
      <c r="I616">
        <f>VLOOKUP(Table4[[#This Row],[Visitor]],'NHL Model'!$A$6:$B$38,2,FALSE)</f>
        <v>-3.2419815263072818E-2</v>
      </c>
      <c r="J616">
        <f>($B$1+Table4[[#This Row],[Home Differential]])-Table4[[#This Row],[Away Differential]]</f>
        <v>-0.13755650644069778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0.53511034219778686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-0.30901762292301305</v>
      </c>
      <c r="H617" t="s">
        <v>17</v>
      </c>
      <c r="I617">
        <f>VLOOKUP(Table4[[#This Row],[Visitor]],'NHL Model'!$A$6:$B$38,2,FALSE)</f>
        <v>-0.82464120527377915</v>
      </c>
      <c r="J617">
        <f>($B$1+Table4[[#This Row],[Home Differential]])-Table4[[#This Row],[Away Differential]]</f>
        <v>0.56500999477738745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0.60748604637386105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-0.21549764750433295</v>
      </c>
      <c r="H618" t="s">
        <v>30</v>
      </c>
      <c r="I618">
        <f>VLOOKUP(Table4[[#This Row],[Visitor]],'NHL Model'!$A$6:$B$38,2,FALSE)</f>
        <v>-0.16042088891566345</v>
      </c>
      <c r="J618">
        <f>($B$1+Table4[[#This Row],[Home Differential]])-Table4[[#This Row],[Away Differential]]</f>
        <v>-5.6903461620481932E-3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0.5332777041211848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-0.51447808915301396</v>
      </c>
      <c r="H619" t="s">
        <v>18</v>
      </c>
      <c r="I619">
        <f>VLOOKUP(Table4[[#This Row],[Visitor]],'NHL Model'!$A$6:$B$38,2,FALSE)</f>
        <v>-0.68642169651276408</v>
      </c>
      <c r="J619">
        <f>($B$1+Table4[[#This Row],[Home Differential]])-Table4[[#This Row],[Away Differential]]</f>
        <v>0.2213300197863714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0.50617076628629598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-0.10735719588407502</v>
      </c>
      <c r="H620" t="s">
        <v>25</v>
      </c>
      <c r="I620">
        <f>VLOOKUP(Table4[[#This Row],[Visitor]],'NHL Model'!$A$6:$B$38,2,FALSE)</f>
        <v>0.4370463247440865</v>
      </c>
      <c r="J620">
        <f>($B$1+Table4[[#This Row],[Home Differential]])-Table4[[#This Row],[Away Differential]]</f>
        <v>-0.49501710820154021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0.58956276826186726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-0.50406821212948805</v>
      </c>
      <c r="H621" t="s">
        <v>24</v>
      </c>
      <c r="I621">
        <f>VLOOKUP(Table4[[#This Row],[Visitor]],'NHL Model'!$A$6:$B$38,2,FALSE)</f>
        <v>1.5071179757482971E-3</v>
      </c>
      <c r="J621">
        <f>($B$1+Table4[[#This Row],[Home Differential]])-Table4[[#This Row],[Away Differential]]</f>
        <v>-0.45618891767861508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0.53324259720598632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-0.93150212402040711</v>
      </c>
      <c r="H622" t="s">
        <v>27</v>
      </c>
      <c r="I622">
        <f>VLOOKUP(Table4[[#This Row],[Visitor]],'NHL Model'!$A$6:$B$38,2,FALSE)</f>
        <v>-0.36903552884843377</v>
      </c>
      <c r="J622">
        <f>($B$1+Table4[[#This Row],[Home Differential]])-Table4[[#This Row],[Away Differential]]</f>
        <v>-0.51308018274535194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0.56152987646920305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0.18193976369097953</v>
      </c>
      <c r="H623" t="s">
        <v>37</v>
      </c>
      <c r="I623">
        <f>VLOOKUP(Table4[[#This Row],[Visitor]],'NHL Model'!$A$6:$B$38,2,FALSE)</f>
        <v>0.46523362857782063</v>
      </c>
      <c r="J623">
        <f>($B$1+Table4[[#This Row],[Home Differential]])-Table4[[#This Row],[Away Differential]]</f>
        <v>-0.23390745246021979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0.47760955117127268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-0.56850564030144513</v>
      </c>
      <c r="H624" t="s">
        <v>24</v>
      </c>
      <c r="I624">
        <f>VLOOKUP(Table4[[#This Row],[Visitor]],'NHL Model'!$A$6:$B$38,2,FALSE)</f>
        <v>1.5071179757482971E-3</v>
      </c>
      <c r="J624">
        <f>($B$1+Table4[[#This Row],[Home Differential]])-Table4[[#This Row],[Away Differential]]</f>
        <v>-0.5206263458505721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0.54065454574238481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-1.2021149591105404</v>
      </c>
      <c r="H625" t="s">
        <v>27</v>
      </c>
      <c r="I625">
        <f>VLOOKUP(Table4[[#This Row],[Visitor]],'NHL Model'!$A$6:$B$38,2,FALSE)</f>
        <v>-0.36903552884843377</v>
      </c>
      <c r="J625">
        <f>($B$1+Table4[[#This Row],[Home Differential]])-Table4[[#This Row],[Away Differential]]</f>
        <v>-0.78369301783548551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0.5926572579286925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1.6140407860044261</v>
      </c>
      <c r="H626" t="s">
        <v>35</v>
      </c>
      <c r="I626">
        <f>VLOOKUP(Table4[[#This Row],[Visitor]],'NHL Model'!$A$6:$B$38,2,FALSE)</f>
        <v>-1.3795663642467595</v>
      </c>
      <c r="J626">
        <f>($B$1+Table4[[#This Row],[Home Differential]])-Table4[[#This Row],[Away Differential]]</f>
        <v>3.0429935626778066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0.99784287582546183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0.36815457830954207</v>
      </c>
      <c r="H627" t="s">
        <v>23</v>
      </c>
      <c r="I627">
        <f>VLOOKUP(Table4[[#This Row],[Visitor]],'NHL Model'!$A$6:$B$38,2,FALSE)</f>
        <v>-0.46454876921224991</v>
      </c>
      <c r="J627">
        <f>($B$1+Table4[[#This Row],[Home Differential]])-Table4[[#This Row],[Away Differential]]</f>
        <v>0.88208975994841321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0.67370889712699145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-0.80014284799340474</v>
      </c>
      <c r="H628" t="s">
        <v>40</v>
      </c>
      <c r="I628">
        <f>VLOOKUP(Table4[[#This Row],[Visitor]],'NHL Model'!$A$6:$B$38,2,FALSE)</f>
        <v>-0.30901762292301305</v>
      </c>
      <c r="J628">
        <f>($B$1+Table4[[#This Row],[Home Differential]])-Table4[[#This Row],[Away Differential]]</f>
        <v>-0.44173881264377035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0.52139947091804795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-0.82464120527377915</v>
      </c>
      <c r="H629" t="s">
        <v>21</v>
      </c>
      <c r="I629">
        <f>VLOOKUP(Table4[[#This Row],[Visitor]],'NHL Model'!$A$6:$B$38,2,FALSE)</f>
        <v>-0.24831960772154485</v>
      </c>
      <c r="J629">
        <f>($B$1+Table4[[#This Row],[Home Differential]])-Table4[[#This Row],[Away Differential]]</f>
        <v>-0.52693518512561299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0.52061099247701448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-0.44540084513285771</v>
      </c>
      <c r="H630" t="s">
        <v>34</v>
      </c>
      <c r="I630">
        <f>VLOOKUP(Table4[[#This Row],[Visitor]],'NHL Model'!$A$6:$B$38,2,FALSE)</f>
        <v>-3.2419815263072818E-2</v>
      </c>
      <c r="J630">
        <f>($B$1+Table4[[#This Row],[Home Differential]])-Table4[[#This Row],[Away Differential]]</f>
        <v>-0.36359461744316363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0.55091356820462356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-0.21936273413039192</v>
      </c>
      <c r="H631" t="s">
        <v>29</v>
      </c>
      <c r="I631">
        <f>VLOOKUP(Table4[[#This Row],[Visitor]],'NHL Model'!$A$6:$B$38,2,FALSE)</f>
        <v>-1.2257669814473033</v>
      </c>
      <c r="J631">
        <f>($B$1+Table4[[#This Row],[Home Differential]])-Table4[[#This Row],[Away Differential]]</f>
        <v>1.0557906597435327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0.66144286724706491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0.49679678069457273</v>
      </c>
      <c r="H632" t="s">
        <v>15</v>
      </c>
      <c r="I632">
        <f>VLOOKUP(Table4[[#This Row],[Visitor]],'NHL Model'!$A$6:$B$38,2,FALSE)</f>
        <v>-0.2172114589315223</v>
      </c>
      <c r="J632">
        <f>($B$1+Table4[[#This Row],[Home Differential]])-Table4[[#This Row],[Away Differential]]</f>
        <v>0.76339465205271628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0.55382928255719954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0.4370463247440865</v>
      </c>
      <c r="H633" t="s">
        <v>18</v>
      </c>
      <c r="I633">
        <f>VLOOKUP(Table4[[#This Row],[Visitor]],'NHL Model'!$A$6:$B$38,2,FALSE)</f>
        <v>-0.68642169651276408</v>
      </c>
      <c r="J633">
        <f>($B$1+Table4[[#This Row],[Home Differential]])-Table4[[#This Row],[Away Differential]]</f>
        <v>1.1728544336834719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0.66824152178477592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-0.21549764750433295</v>
      </c>
      <c r="H634" t="s">
        <v>39</v>
      </c>
      <c r="I634">
        <f>VLOOKUP(Table4[[#This Row],[Visitor]],'NHL Model'!$A$6:$B$38,2,FALSE)</f>
        <v>0.36815457830954207</v>
      </c>
      <c r="J634">
        <f>($B$1+Table4[[#This Row],[Home Differential]])-Table4[[#This Row],[Away Differential]]</f>
        <v>-0.53426581338725376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0.60493246265763034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-0.36690387823407311</v>
      </c>
      <c r="H635" t="s">
        <v>37</v>
      </c>
      <c r="I635">
        <f>VLOOKUP(Table4[[#This Row],[Visitor]],'NHL Model'!$A$6:$B$38,2,FALSE)</f>
        <v>0.46523362857782063</v>
      </c>
      <c r="J635">
        <f>($B$1+Table4[[#This Row],[Home Differential]])-Table4[[#This Row],[Away Differential]]</f>
        <v>-0.78275109438527246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0.62265951898995953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-0.16042088891566345</v>
      </c>
      <c r="H636" t="s">
        <v>55</v>
      </c>
      <c r="I636">
        <f>VLOOKUP(Table4[[#This Row],[Visitor]],'NHL Model'!$A$6:$B$38,2,FALSE)</f>
        <v>-0.3968452829365326</v>
      </c>
      <c r="J636">
        <f>($B$1+Table4[[#This Row],[Home Differential]])-Table4[[#This Row],[Away Differential]]</f>
        <v>0.28581080644749046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0.57287553598325136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-0.430694899721771</v>
      </c>
      <c r="H637" t="s">
        <v>22</v>
      </c>
      <c r="I637">
        <f>VLOOKUP(Table4[[#This Row],[Visitor]],'NHL Model'!$A$6:$B$38,2,FALSE)</f>
        <v>0.49679678069457273</v>
      </c>
      <c r="J637">
        <f>($B$1+Table4[[#This Row],[Home Differential]])-Table4[[#This Row],[Away Differential]]</f>
        <v>-0.87810526798972244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0.61778303655820399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-0.10735719588407502</v>
      </c>
      <c r="H638" t="s">
        <v>26</v>
      </c>
      <c r="I638">
        <f>VLOOKUP(Table4[[#This Row],[Visitor]],'NHL Model'!$A$6:$B$38,2,FALSE)</f>
        <v>-0.80014284799340474</v>
      </c>
      <c r="J638">
        <f>($B$1+Table4[[#This Row],[Home Differential]])-Table4[[#This Row],[Away Differential]]</f>
        <v>0.74217206453595097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0.62536872596487447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-0.63765723729815182</v>
      </c>
      <c r="H639" t="s">
        <v>29</v>
      </c>
      <c r="I639">
        <f>VLOOKUP(Table4[[#This Row],[Visitor]],'NHL Model'!$A$6:$B$38,2,FALSE)</f>
        <v>-1.2257669814473033</v>
      </c>
      <c r="J639">
        <f>($B$1+Table4[[#This Row],[Home Differential]])-Table4[[#This Row],[Away Differential]]</f>
        <v>0.63749615657577285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0.6133283254583366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-0.50406821212948805</v>
      </c>
      <c r="H640" t="s">
        <v>40</v>
      </c>
      <c r="I640">
        <f>VLOOKUP(Table4[[#This Row],[Visitor]],'NHL Model'!$A$6:$B$38,2,FALSE)</f>
        <v>-0.30901762292301305</v>
      </c>
      <c r="J640">
        <f>($B$1+Table4[[#This Row],[Home Differential]])-Table4[[#This Row],[Away Differential]]</f>
        <v>-0.14566417677985372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0.49752432811743602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0.18193976369097953</v>
      </c>
      <c r="H641" t="s">
        <v>34</v>
      </c>
      <c r="I641">
        <f>VLOOKUP(Table4[[#This Row],[Visitor]],'NHL Model'!$A$6:$B$38,2,FALSE)</f>
        <v>-3.2419815263072818E-2</v>
      </c>
      <c r="J641">
        <f>($B$1+Table4[[#This Row],[Home Differential]])-Table4[[#This Row],[Away Differential]]</f>
        <v>0.26374599138067367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0.5928375192066665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-0.51447808915301396</v>
      </c>
      <c r="H642" t="s">
        <v>15</v>
      </c>
      <c r="I642">
        <f>VLOOKUP(Table4[[#This Row],[Visitor]],'NHL Model'!$A$6:$B$38,2,FALSE)</f>
        <v>-0.2172114589315223</v>
      </c>
      <c r="J642">
        <f>($B$1+Table4[[#This Row],[Home Differential]])-Table4[[#This Row],[Away Differential]]</f>
        <v>-0.24788021779487038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0.58859401678095136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-1.3795663642467595</v>
      </c>
      <c r="H643" t="s">
        <v>20</v>
      </c>
      <c r="I643">
        <f>VLOOKUP(Table4[[#This Row],[Visitor]],'NHL Model'!$A$6:$B$38,2,FALSE)</f>
        <v>-0.21936273413039192</v>
      </c>
      <c r="J643">
        <f>($B$1+Table4[[#This Row],[Home Differential]])-Table4[[#This Row],[Away Differential]]</f>
        <v>-1.1108172176897464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0.58777232556349701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-0.93150212402040711</v>
      </c>
      <c r="H644" t="s">
        <v>32</v>
      </c>
      <c r="I644">
        <f>VLOOKUP(Table4[[#This Row],[Visitor]],'NHL Model'!$A$6:$B$38,2,FALSE)</f>
        <v>-0.63765723729815182</v>
      </c>
      <c r="J644">
        <f>($B$1+Table4[[#This Row],[Home Differential]])-Table4[[#This Row],[Away Differential]]</f>
        <v>-0.24445847429563394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0.48811896256831477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0.4370463247440865</v>
      </c>
      <c r="H645" t="s">
        <v>12</v>
      </c>
      <c r="I645">
        <f>VLOOKUP(Table4[[#This Row],[Visitor]],'NHL Model'!$A$6:$B$38,2,FALSE)</f>
        <v>1.6140407860044261</v>
      </c>
      <c r="J645">
        <f>($B$1+Table4[[#This Row],[Home Differential]])-Table4[[#This Row],[Away Differential]]</f>
        <v>-1.1276080488337183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0.60970369960887894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-0.56850564030144513</v>
      </c>
      <c r="H646" t="s">
        <v>23</v>
      </c>
      <c r="I646">
        <f>VLOOKUP(Table4[[#This Row],[Visitor]],'NHL Model'!$A$6:$B$38,2,FALSE)</f>
        <v>-0.46454876921224991</v>
      </c>
      <c r="J646">
        <f>($B$1+Table4[[#This Row],[Home Differential]])-Table4[[#This Row],[Away Differential]]</f>
        <v>-5.4570458662573873E-2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0.466276995260197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-1.2021149591105404</v>
      </c>
      <c r="H647" t="s">
        <v>29</v>
      </c>
      <c r="I647">
        <f>VLOOKUP(Table4[[#This Row],[Visitor]],'NHL Model'!$A$6:$B$38,2,FALSE)</f>
        <v>-1.2257669814473033</v>
      </c>
      <c r="J647">
        <f>($B$1+Table4[[#This Row],[Home Differential]])-Table4[[#This Row],[Away Differential]]</f>
        <v>7.3038434763384119E-2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0.54840128377254049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-0.80014284799340474</v>
      </c>
      <c r="H648" t="s">
        <v>14</v>
      </c>
      <c r="I648">
        <f>VLOOKUP(Table4[[#This Row],[Visitor]],'NHL Model'!$A$6:$B$38,2,FALSE)</f>
        <v>-0.10735719588407502</v>
      </c>
      <c r="J648">
        <f>($B$1+Table4[[#This Row],[Home Differential]])-Table4[[#This Row],[Away Differential]]</f>
        <v>-0.6433992396827084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0.56309030008120475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-0.82464120527377915</v>
      </c>
      <c r="H649" t="s">
        <v>27</v>
      </c>
      <c r="I649">
        <f>VLOOKUP(Table4[[#This Row],[Visitor]],'NHL Model'!$A$6:$B$38,2,FALSE)</f>
        <v>-0.36903552884843377</v>
      </c>
      <c r="J649">
        <f>($B$1+Table4[[#This Row],[Home Differential]])-Table4[[#This Row],[Away Differential]]</f>
        <v>-0.40621926399872405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0.54923814396571746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-0.36690387823407311</v>
      </c>
      <c r="H650" t="s">
        <v>34</v>
      </c>
      <c r="I650">
        <f>VLOOKUP(Table4[[#This Row],[Visitor]],'NHL Model'!$A$6:$B$38,2,FALSE)</f>
        <v>-3.2419815263072818E-2</v>
      </c>
      <c r="J650">
        <f>($B$1+Table4[[#This Row],[Home Differential]])-Table4[[#This Row],[Away Differential]]</f>
        <v>-0.28509765054437902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0.55208133868416986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1.5071179757482971E-3</v>
      </c>
      <c r="H651" t="s">
        <v>55</v>
      </c>
      <c r="I651">
        <f>VLOOKUP(Table4[[#This Row],[Visitor]],'NHL Model'!$A$6:$B$38,2,FALSE)</f>
        <v>-0.3968452829365326</v>
      </c>
      <c r="J651">
        <f>($B$1+Table4[[#This Row],[Home Differential]])-Table4[[#This Row],[Away Differential]]</f>
        <v>0.4477388133389022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0.67133609955404472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-0.16042088891566345</v>
      </c>
      <c r="H652" t="s">
        <v>19</v>
      </c>
      <c r="I652">
        <f>VLOOKUP(Table4[[#This Row],[Visitor]],'NHL Model'!$A$6:$B$38,2,FALSE)</f>
        <v>-0.50406821212948805</v>
      </c>
      <c r="J652">
        <f>($B$1+Table4[[#This Row],[Home Differential]])-Table4[[#This Row],[Away Differential]]</f>
        <v>0.39303373564044591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0.58520890892574795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-0.430694899721771</v>
      </c>
      <c r="H653" t="s">
        <v>40</v>
      </c>
      <c r="I653">
        <f>VLOOKUP(Table4[[#This Row],[Visitor]],'NHL Model'!$A$6:$B$38,2,FALSE)</f>
        <v>-0.30901762292301305</v>
      </c>
      <c r="J653">
        <f>($B$1+Table4[[#This Row],[Home Differential]])-Table4[[#This Row],[Away Differential]]</f>
        <v>-7.2290864372136665E-2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0.48657616366646811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-0.44540084513285771</v>
      </c>
      <c r="H654" t="s">
        <v>37</v>
      </c>
      <c r="I654">
        <f>VLOOKUP(Table4[[#This Row],[Visitor]],'NHL Model'!$A$6:$B$38,2,FALSE)</f>
        <v>0.46523362857782063</v>
      </c>
      <c r="J654">
        <f>($B$1+Table4[[#This Row],[Home Differential]])-Table4[[#This Row],[Away Differential]]</f>
        <v>-0.86124806128405706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0.62151448373137796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-1.3795663642467595</v>
      </c>
      <c r="H655" t="s">
        <v>18</v>
      </c>
      <c r="I655">
        <f>VLOOKUP(Table4[[#This Row],[Visitor]],'NHL Model'!$A$6:$B$38,2,FALSE)</f>
        <v>-0.68642169651276408</v>
      </c>
      <c r="J655">
        <f>($B$1+Table4[[#This Row],[Home Differential]])-Table4[[#This Row],[Away Differential]]</f>
        <v>-0.64375825530737418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0.59333646043488231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-0.93150212402040711</v>
      </c>
      <c r="H656" t="s">
        <v>21</v>
      </c>
      <c r="I656">
        <f>VLOOKUP(Table4[[#This Row],[Visitor]],'NHL Model'!$A$6:$B$38,2,FALSE)</f>
        <v>-0.24831960772154485</v>
      </c>
      <c r="J656">
        <f>($B$1+Table4[[#This Row],[Home Differential]])-Table4[[#This Row],[Away Differential]]</f>
        <v>-0.63379610387224095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0.53290272498050018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0.49679678069457273</v>
      </c>
      <c r="H657" t="s">
        <v>10</v>
      </c>
      <c r="I657">
        <f>VLOOKUP(Table4[[#This Row],[Visitor]],'NHL Model'!$A$6:$B$38,2,FALSE)</f>
        <v>-0.21549764750433295</v>
      </c>
      <c r="J657">
        <f>($B$1+Table4[[#This Row],[Home Differential]])-Table4[[#This Row],[Away Differential]]</f>
        <v>0.76168084062552699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0.65365046888383116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-0.56850564030144513</v>
      </c>
      <c r="H658" t="s">
        <v>14</v>
      </c>
      <c r="I658">
        <f>VLOOKUP(Table4[[#This Row],[Visitor]],'NHL Model'!$A$6:$B$38,2,FALSE)</f>
        <v>-0.10735719588407502</v>
      </c>
      <c r="J658">
        <f>($B$1+Table4[[#This Row],[Home Differential]])-Table4[[#This Row],[Away Differential]]</f>
        <v>-0.41176203199074879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0.54664987414779487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-0.21549764750433295</v>
      </c>
      <c r="H659" t="s">
        <v>20</v>
      </c>
      <c r="I659">
        <f>VLOOKUP(Table4[[#This Row],[Visitor]],'NHL Model'!$A$6:$B$38,2,FALSE)</f>
        <v>-0.21936273413039192</v>
      </c>
      <c r="J659">
        <f>($B$1+Table4[[#This Row],[Home Differential]])-Table4[[#This Row],[Away Differential]]</f>
        <v>5.3251499052680284E-2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0.54612528124820958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0.36815457830954207</v>
      </c>
      <c r="H660" t="s">
        <v>18</v>
      </c>
      <c r="I660">
        <f>VLOOKUP(Table4[[#This Row],[Visitor]],'NHL Model'!$A$6:$B$38,2,FALSE)</f>
        <v>-0.68642169651276408</v>
      </c>
      <c r="J660">
        <f>($B$1+Table4[[#This Row],[Home Differential]])-Table4[[#This Row],[Away Differential]]</f>
        <v>1.1039626872489274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0.64035286360799371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-0.51447808915301396</v>
      </c>
      <c r="H661" t="s">
        <v>12</v>
      </c>
      <c r="I661">
        <f>VLOOKUP(Table4[[#This Row],[Visitor]],'NHL Model'!$A$6:$B$38,2,FALSE)</f>
        <v>1.6140407860044261</v>
      </c>
      <c r="J661">
        <f>($B$1+Table4[[#This Row],[Home Differential]])-Table4[[#This Row],[Away Differential]]</f>
        <v>-2.079132462730819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0.77177645705398845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1.5071179757482971E-3</v>
      </c>
      <c r="H662" t="s">
        <v>25</v>
      </c>
      <c r="I662">
        <f>VLOOKUP(Table4[[#This Row],[Visitor]],'NHL Model'!$A$6:$B$38,2,FALSE)</f>
        <v>0.4370463247440865</v>
      </c>
      <c r="J662">
        <f>($B$1+Table4[[#This Row],[Home Differential]])-Table4[[#This Row],[Away Differential]]</f>
        <v>-0.3861527943417169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0.49512165044253348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-1.2021149591105404</v>
      </c>
      <c r="H663" t="s">
        <v>32</v>
      </c>
      <c r="I663">
        <f>VLOOKUP(Table4[[#This Row],[Visitor]],'NHL Model'!$A$6:$B$38,2,FALSE)</f>
        <v>-0.63765723729815182</v>
      </c>
      <c r="J663">
        <f>($B$1+Table4[[#This Row],[Home Differential]])-Table4[[#This Row],[Away Differential]]</f>
        <v>-0.5150713093857674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0.51924634402780423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-0.36690387823407311</v>
      </c>
      <c r="H664" t="s">
        <v>34</v>
      </c>
      <c r="I664">
        <f>VLOOKUP(Table4[[#This Row],[Visitor]],'NHL Model'!$A$6:$B$38,2,FALSE)</f>
        <v>-3.2419815263072818E-2</v>
      </c>
      <c r="J664">
        <f>($B$1+Table4[[#This Row],[Home Differential]])-Table4[[#This Row],[Away Differential]]</f>
        <v>-0.28509765054437902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0.55208133868416986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-0.2172114589315223</v>
      </c>
      <c r="H665" t="s">
        <v>55</v>
      </c>
      <c r="I665">
        <f>VLOOKUP(Table4[[#This Row],[Visitor]],'NHL Model'!$A$6:$B$38,2,FALSE)</f>
        <v>-0.3968452829365326</v>
      </c>
      <c r="J665">
        <f>($B$1+Table4[[#This Row],[Home Differential]])-Table4[[#This Row],[Away Differential]]</f>
        <v>0.22902023643163161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0.56634317126523381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-0.430694899721771</v>
      </c>
      <c r="H666" t="s">
        <v>26</v>
      </c>
      <c r="I666">
        <f>VLOOKUP(Table4[[#This Row],[Visitor]],'NHL Model'!$A$6:$B$38,2,FALSE)</f>
        <v>-0.80014284799340474</v>
      </c>
      <c r="J666">
        <f>($B$1+Table4[[#This Row],[Home Differential]])-Table4[[#This Row],[Away Differential]]</f>
        <v>0.41883436069825503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0.59067211838501166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0.49679678069457273</v>
      </c>
      <c r="H667" t="s">
        <v>31</v>
      </c>
      <c r="I667">
        <f>VLOOKUP(Table4[[#This Row],[Visitor]],'NHL Model'!$A$6:$B$38,2,FALSE)</f>
        <v>0.18193976369097953</v>
      </c>
      <c r="J667">
        <f>($B$1+Table4[[#This Row],[Home Differential]])-Table4[[#This Row],[Away Differential]]</f>
        <v>0.36424342943021448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0.58735183450297712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-0.46454876921224991</v>
      </c>
      <c r="H668" t="s">
        <v>38</v>
      </c>
      <c r="I668">
        <f>VLOOKUP(Table4[[#This Row],[Visitor]],'NHL Model'!$A$6:$B$38,2,FALSE)</f>
        <v>-0.93150212402040711</v>
      </c>
      <c r="J668">
        <f>($B$1+Table4[[#This Row],[Home Differential]])-Table4[[#This Row],[Away Differential]]</f>
        <v>0.51633976723477848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0.60951449843735306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0.4370463247440865</v>
      </c>
      <c r="H669" t="s">
        <v>39</v>
      </c>
      <c r="I669">
        <f>VLOOKUP(Table4[[#This Row],[Visitor]],'NHL Model'!$A$6:$B$38,2,FALSE)</f>
        <v>0.36815457830954207</v>
      </c>
      <c r="J669">
        <f>($B$1+Table4[[#This Row],[Home Differential]])-Table4[[#This Row],[Away Differential]]</f>
        <v>0.11827815886116572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0.52269591554956918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-0.82464120527377915</v>
      </c>
      <c r="H670" t="s">
        <v>29</v>
      </c>
      <c r="I670">
        <f>VLOOKUP(Table4[[#This Row],[Visitor]],'NHL Model'!$A$6:$B$38,2,FALSE)</f>
        <v>-1.2257669814473033</v>
      </c>
      <c r="J670">
        <f>($B$1+Table4[[#This Row],[Home Differential]])-Table4[[#This Row],[Away Differential]]</f>
        <v>0.45051218860014552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0.59182039773551554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-0.16042088891566345</v>
      </c>
      <c r="H671" t="s">
        <v>24</v>
      </c>
      <c r="I671">
        <f>VLOOKUP(Table4[[#This Row],[Visitor]],'NHL Model'!$A$6:$B$38,2,FALSE)</f>
        <v>1.5071179757482971E-3</v>
      </c>
      <c r="J671">
        <f>($B$1+Table4[[#This Row],[Home Differential]])-Table4[[#This Row],[Away Differential]]</f>
        <v>-0.11254159446479044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0.49371438593823042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-0.36903552884843377</v>
      </c>
      <c r="H672" t="s">
        <v>31</v>
      </c>
      <c r="I672">
        <f>VLOOKUP(Table4[[#This Row],[Visitor]],'NHL Model'!$A$6:$B$38,2,FALSE)</f>
        <v>0.18193976369097953</v>
      </c>
      <c r="J672">
        <f>($B$1+Table4[[#This Row],[Home Differential]])-Table4[[#This Row],[Away Differential]]</f>
        <v>-0.50158888011279201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0.52436218728714534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-0.63765723729815182</v>
      </c>
      <c r="H673" t="s">
        <v>21</v>
      </c>
      <c r="I673">
        <f>VLOOKUP(Table4[[#This Row],[Visitor]],'NHL Model'!$A$6:$B$38,2,FALSE)</f>
        <v>-0.24831960772154485</v>
      </c>
      <c r="J673">
        <f>($B$1+Table4[[#This Row],[Home Differential]])-Table4[[#This Row],[Away Differential]]</f>
        <v>-0.33995121714998566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0.49910306475419336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-0.44540084513285771</v>
      </c>
      <c r="H674" t="s">
        <v>28</v>
      </c>
      <c r="I674">
        <f>VLOOKUP(Table4[[#This Row],[Visitor]],'NHL Model'!$A$6:$B$38,2,FALSE)</f>
        <v>-0.56850564030144513</v>
      </c>
      <c r="J674">
        <f>($B$1+Table4[[#This Row],[Home Differential]])-Table4[[#This Row],[Away Differential]]</f>
        <v>0.1724912075952087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0.56639959491022873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0.46523362857782063</v>
      </c>
      <c r="H675" t="s">
        <v>12</v>
      </c>
      <c r="I675">
        <f>VLOOKUP(Table4[[#This Row],[Visitor]],'NHL Model'!$A$6:$B$38,2,FALSE)</f>
        <v>1.6140407860044261</v>
      </c>
      <c r="J675">
        <f>($B$1+Table4[[#This Row],[Home Differential]])-Table4[[#This Row],[Away Differential]]</f>
        <v>-1.0994207449999842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0.62646144039210916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-0.50406821212948805</v>
      </c>
      <c r="H676" t="s">
        <v>11</v>
      </c>
      <c r="I676">
        <f>VLOOKUP(Table4[[#This Row],[Visitor]],'NHL Model'!$A$6:$B$38,2,FALSE)</f>
        <v>-0.51447808915301396</v>
      </c>
      <c r="J676">
        <f>($B$1+Table4[[#This Row],[Home Differential]])-Table4[[#This Row],[Away Differential]]</f>
        <v>5.97962894501472E-2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0.54687809915208507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-0.30901762292301305</v>
      </c>
      <c r="H677" t="s">
        <v>20</v>
      </c>
      <c r="I677">
        <f>VLOOKUP(Table4[[#This Row],[Visitor]],'NHL Model'!$A$6:$B$38,2,FALSE)</f>
        <v>-0.21936273413039192</v>
      </c>
      <c r="J677">
        <f>($B$1+Table4[[#This Row],[Home Differential]])-Table4[[#This Row],[Away Differential]]</f>
        <v>-4.0268476365999839E-2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0.46213642313768838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-0.21549764750433295</v>
      </c>
      <c r="H678" t="s">
        <v>35</v>
      </c>
      <c r="I678">
        <f>VLOOKUP(Table4[[#This Row],[Visitor]],'NHL Model'!$A$6:$B$38,2,FALSE)</f>
        <v>-1.3795663642467595</v>
      </c>
      <c r="J678">
        <f>($B$1+Table4[[#This Row],[Home Differential]])-Table4[[#This Row],[Away Differential]]</f>
        <v>1.2134551291690479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0.67957830446969858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-0.36690387823407311</v>
      </c>
      <c r="H679" t="s">
        <v>33</v>
      </c>
      <c r="I679">
        <f>VLOOKUP(Table4[[#This Row],[Visitor]],'NHL Model'!$A$6:$B$38,2,FALSE)</f>
        <v>-0.44540084513285771</v>
      </c>
      <c r="J679">
        <f>($B$1+Table4[[#This Row],[Home Differential]])-Table4[[#This Row],[Away Differential]]</f>
        <v>0.12788337932540589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0.55470985191542987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-0.68642169651276408</v>
      </c>
      <c r="H680" t="s">
        <v>16</v>
      </c>
      <c r="I680">
        <f>VLOOKUP(Table4[[#This Row],[Visitor]],'NHL Model'!$A$6:$B$38,2,FALSE)</f>
        <v>-1.2021149591105404</v>
      </c>
      <c r="J680">
        <f>($B$1+Table4[[#This Row],[Home Differential]])-Table4[[#This Row],[Away Differential]]</f>
        <v>0.56507967502439771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0.60499858217600877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-0.3968452829365326</v>
      </c>
      <c r="H681" t="s">
        <v>36</v>
      </c>
      <c r="I681">
        <f>VLOOKUP(Table4[[#This Row],[Visitor]],'NHL Model'!$A$6:$B$38,2,FALSE)</f>
        <v>-0.430694899721771</v>
      </c>
      <c r="J681">
        <f>($B$1+Table4[[#This Row],[Home Differential]])-Table4[[#This Row],[Away Differential]]</f>
        <v>8.3236029211859686E-2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0.58649734427661093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0.49679678069457273</v>
      </c>
      <c r="H682" t="s">
        <v>39</v>
      </c>
      <c r="I682">
        <f>VLOOKUP(Table4[[#This Row],[Visitor]],'NHL Model'!$A$6:$B$38,2,FALSE)</f>
        <v>0.36815457830954207</v>
      </c>
      <c r="J682">
        <f>($B$1+Table4[[#This Row],[Home Differential]])-Table4[[#This Row],[Away Differential]]</f>
        <v>0.17802861481165194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0.5032364542783726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-0.24831960772154485</v>
      </c>
      <c r="H683" t="s">
        <v>16</v>
      </c>
      <c r="I683">
        <f>VLOOKUP(Table4[[#This Row],[Visitor]],'NHL Model'!$A$6:$B$38,2,FALSE)</f>
        <v>-1.2021149591105404</v>
      </c>
      <c r="J683">
        <f>($B$1+Table4[[#This Row],[Home Differential]])-Table4[[#This Row],[Away Differential]]</f>
        <v>1.0031817638156169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0.69829305616011861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0.4370463247440865</v>
      </c>
      <c r="H684" t="s">
        <v>31</v>
      </c>
      <c r="I684">
        <f>VLOOKUP(Table4[[#This Row],[Visitor]],'NHL Model'!$A$6:$B$38,2,FALSE)</f>
        <v>0.18193976369097953</v>
      </c>
      <c r="J684">
        <f>($B$1+Table4[[#This Row],[Home Differential]])-Table4[[#This Row],[Away Differential]]</f>
        <v>0.30449297347972826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0.60645303334694589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1.6140407860044261</v>
      </c>
      <c r="H685" t="s">
        <v>36</v>
      </c>
      <c r="I685">
        <f>VLOOKUP(Table4[[#This Row],[Visitor]],'NHL Model'!$A$6:$B$38,2,FALSE)</f>
        <v>-0.430694899721771</v>
      </c>
      <c r="J685">
        <f>($B$1+Table4[[#This Row],[Home Differential]])-Table4[[#This Row],[Away Differential]]</f>
        <v>2.0941220981528184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0.88540872852106878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-0.80014284799340474</v>
      </c>
      <c r="H686" t="s">
        <v>38</v>
      </c>
      <c r="I686">
        <f>VLOOKUP(Table4[[#This Row],[Visitor]],'NHL Model'!$A$6:$B$38,2,FALSE)</f>
        <v>-0.93150212402040711</v>
      </c>
      <c r="J686">
        <f>($B$1+Table4[[#This Row],[Home Differential]])-Table4[[#This Row],[Away Differential]]</f>
        <v>0.18074568845362371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0.57091261577983754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-0.68642169651276408</v>
      </c>
      <c r="H687" t="s">
        <v>11</v>
      </c>
      <c r="I687">
        <f>VLOOKUP(Table4[[#This Row],[Visitor]],'NHL Model'!$A$6:$B$38,2,FALSE)</f>
        <v>-0.51447808915301396</v>
      </c>
      <c r="J687">
        <f>($B$1+Table4[[#This Row],[Home Differential]])-Table4[[#This Row],[Away Differential]]</f>
        <v>-0.12255719493312878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0.47409720479820511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-1.2257669814473033</v>
      </c>
      <c r="H688" t="s">
        <v>30</v>
      </c>
      <c r="I688">
        <f>VLOOKUP(Table4[[#This Row],[Visitor]],'NHL Model'!$A$6:$B$38,2,FALSE)</f>
        <v>-0.16042088891566345</v>
      </c>
      <c r="J688">
        <f>($B$1+Table4[[#This Row],[Home Differential]])-Table4[[#This Row],[Away Differential]]</f>
        <v>-1.0159596801050186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0.64948445730047522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-0.2172114589315223</v>
      </c>
      <c r="H689" t="s">
        <v>23</v>
      </c>
      <c r="I689">
        <f>VLOOKUP(Table4[[#This Row],[Visitor]],'NHL Model'!$A$6:$B$38,2,FALSE)</f>
        <v>-0.46454876921224991</v>
      </c>
      <c r="J689">
        <f>($B$1+Table4[[#This Row],[Home Differential]])-Table4[[#This Row],[Away Differential]]</f>
        <v>0.29672372270734892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0.57413079982593984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-0.36903552884843377</v>
      </c>
      <c r="H690" t="s">
        <v>19</v>
      </c>
      <c r="I690">
        <f>VLOOKUP(Table4[[#This Row],[Visitor]],'NHL Model'!$A$6:$B$38,2,FALSE)</f>
        <v>-0.50406821212948805</v>
      </c>
      <c r="J690">
        <f>($B$1+Table4[[#This Row],[Home Differential]])-Table4[[#This Row],[Away Differential]]</f>
        <v>0.18441909570767556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0.57522952246091441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-0.10735719588407502</v>
      </c>
      <c r="H691" t="s">
        <v>24</v>
      </c>
      <c r="I691">
        <f>VLOOKUP(Table4[[#This Row],[Visitor]],'NHL Model'!$A$6:$B$38,2,FALSE)</f>
        <v>1.5071179757482971E-3</v>
      </c>
      <c r="J691">
        <f>($B$1+Table4[[#This Row],[Home Differential]])-Table4[[#This Row],[Away Differential]]</f>
        <v>-5.9477901433202016E-2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0.48761070717482896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-0.63765723729815182</v>
      </c>
      <c r="H692" t="s">
        <v>34</v>
      </c>
      <c r="I692">
        <f>VLOOKUP(Table4[[#This Row],[Visitor]],'NHL Model'!$A$6:$B$38,2,FALSE)</f>
        <v>-3.2419815263072818E-2</v>
      </c>
      <c r="J692">
        <f>($B$1+Table4[[#This Row],[Home Differential]])-Table4[[#This Row],[Away Differential]]</f>
        <v>-0.55585100960845768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0.58322488398651517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-0.21936273413039192</v>
      </c>
      <c r="H693" t="s">
        <v>28</v>
      </c>
      <c r="I693">
        <f>VLOOKUP(Table4[[#This Row],[Visitor]],'NHL Model'!$A$6:$B$38,2,FALSE)</f>
        <v>-0.56850564030144513</v>
      </c>
      <c r="J693">
        <f>($B$1+Table4[[#This Row],[Home Differential]])-Table4[[#This Row],[Away Differential]]</f>
        <v>0.39852931859767449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0.58226488226021089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-0.30901762292301305</v>
      </c>
      <c r="H694" t="s">
        <v>17</v>
      </c>
      <c r="I694">
        <f>VLOOKUP(Table4[[#This Row],[Visitor]],'NHL Model'!$A$6:$B$38,2,FALSE)</f>
        <v>-0.82464120527377915</v>
      </c>
      <c r="J694">
        <f>($B$1+Table4[[#This Row],[Home Differential]])-Table4[[#This Row],[Away Differential]]</f>
        <v>0.56500999477738745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0.60748604637386105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-0.21549764750433295</v>
      </c>
      <c r="H695" t="s">
        <v>22</v>
      </c>
      <c r="I695">
        <f>VLOOKUP(Table4[[#This Row],[Visitor]],'NHL Model'!$A$6:$B$38,2,FALSE)</f>
        <v>0.49679678069457273</v>
      </c>
      <c r="J695">
        <f>($B$1+Table4[[#This Row],[Home Differential]])-Table4[[#This Row],[Away Differential]]</f>
        <v>-0.66290801577228442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0.59553917154668368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-0.3968452829365326</v>
      </c>
      <c r="H696" t="s">
        <v>35</v>
      </c>
      <c r="I696">
        <f>VLOOKUP(Table4[[#This Row],[Visitor]],'NHL Model'!$A$6:$B$38,2,FALSE)</f>
        <v>-1.3795663642467595</v>
      </c>
      <c r="J696">
        <f>($B$1+Table4[[#This Row],[Home Differential]])-Table4[[#This Row],[Away Differential]]</f>
        <v>1.0321074937368482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0.69914987626186265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-0.30901762292301305</v>
      </c>
      <c r="H697" t="s">
        <v>13</v>
      </c>
      <c r="I697">
        <f>VLOOKUP(Table4[[#This Row],[Visitor]],'NHL Model'!$A$6:$B$38,2,FALSE)</f>
        <v>-0.36690387823407311</v>
      </c>
      <c r="J697">
        <f>($B$1+Table4[[#This Row],[Home Differential]])-Table4[[#This Row],[Away Differential]]</f>
        <v>0.10727266773768135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0.48852957033483074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-0.24831960772154485</v>
      </c>
      <c r="H698" t="s">
        <v>15</v>
      </c>
      <c r="I698">
        <f>VLOOKUP(Table4[[#This Row],[Visitor]],'NHL Model'!$A$6:$B$38,2,FALSE)</f>
        <v>-0.2172114589315223</v>
      </c>
      <c r="J698">
        <f>($B$1+Table4[[#This Row],[Home Differential]])-Table4[[#This Row],[Away Differential]]</f>
        <v>1.8278263636598763E-2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0.48532394324799566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-0.46454876921224991</v>
      </c>
      <c r="H699" t="s">
        <v>31</v>
      </c>
      <c r="I699">
        <f>VLOOKUP(Table4[[#This Row],[Visitor]],'NHL Model'!$A$6:$B$38,2,FALSE)</f>
        <v>0.18193976369097953</v>
      </c>
      <c r="J699">
        <f>($B$1+Table4[[#This Row],[Home Differential]])-Table4[[#This Row],[Away Differential]]</f>
        <v>-0.59710212047660816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0.5392702158371131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0.4370463247440865</v>
      </c>
      <c r="H700" t="s">
        <v>32</v>
      </c>
      <c r="I700">
        <f>VLOOKUP(Table4[[#This Row],[Visitor]],'NHL Model'!$A$6:$B$38,2,FALSE)</f>
        <v>-0.63765723729815182</v>
      </c>
      <c r="J700">
        <f>($B$1+Table4[[#This Row],[Home Differential]])-Table4[[#This Row],[Away Differential]]</f>
        <v>1.1240899744688595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0.72101500761502391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1.6140407860044261</v>
      </c>
      <c r="H701" t="s">
        <v>28</v>
      </c>
      <c r="I701">
        <f>VLOOKUP(Table4[[#This Row],[Visitor]],'NHL Model'!$A$6:$B$38,2,FALSE)</f>
        <v>-0.56850564030144513</v>
      </c>
      <c r="J701">
        <f>($B$1+Table4[[#This Row],[Home Differential]])-Table4[[#This Row],[Away Differential]]</f>
        <v>2.2319328387324924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0.90126048030442185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-0.82464120527377915</v>
      </c>
      <c r="H702" t="s">
        <v>13</v>
      </c>
      <c r="I702">
        <f>VLOOKUP(Table4[[#This Row],[Visitor]],'NHL Model'!$A$6:$B$38,2,FALSE)</f>
        <v>-0.36690387823407311</v>
      </c>
      <c r="J702">
        <f>($B$1+Table4[[#This Row],[Home Differential]])-Table4[[#This Row],[Away Differential]]</f>
        <v>-0.4083509146130847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0.5732865648408586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-3.2419815263072818E-2</v>
      </c>
      <c r="H703" t="s">
        <v>30</v>
      </c>
      <c r="I703">
        <f>VLOOKUP(Table4[[#This Row],[Visitor]],'NHL Model'!$A$6:$B$38,2,FALSE)</f>
        <v>-0.16042088891566345</v>
      </c>
      <c r="J703">
        <f>($B$1+Table4[[#This Row],[Home Differential]])-Table4[[#This Row],[Away Differential]]</f>
        <v>0.17738748607921193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0.48778091831648351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-0.68642169651276408</v>
      </c>
      <c r="H704" t="s">
        <v>26</v>
      </c>
      <c r="I704">
        <f>VLOOKUP(Table4[[#This Row],[Visitor]],'NHL Model'!$A$6:$B$38,2,FALSE)</f>
        <v>-0.80014284799340474</v>
      </c>
      <c r="J704">
        <f>($B$1+Table4[[#This Row],[Home Differential]])-Table4[[#This Row],[Away Differential]]</f>
        <v>0.163107563907262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0.55876153198342704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-1.2257669814473033</v>
      </c>
      <c r="H705" t="s">
        <v>10</v>
      </c>
      <c r="I705">
        <f>VLOOKUP(Table4[[#This Row],[Visitor]],'NHL Model'!$A$6:$B$38,2,FALSE)</f>
        <v>-0.21549764750433295</v>
      </c>
      <c r="J705">
        <f>($B$1+Table4[[#This Row],[Home Differential]])-Table4[[#This Row],[Away Differential]]</f>
        <v>-0.96088292151634913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0.57052605552129831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-0.430694899721771</v>
      </c>
      <c r="H706" t="s">
        <v>11</v>
      </c>
      <c r="I706">
        <f>VLOOKUP(Table4[[#This Row],[Visitor]],'NHL Model'!$A$6:$B$38,2,FALSE)</f>
        <v>-0.51447808915301396</v>
      </c>
      <c r="J706">
        <f>($B$1+Table4[[#This Row],[Home Differential]])-Table4[[#This Row],[Away Differential]]</f>
        <v>0.13316960185786425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0.55781338160337957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-0.36903552884843377</v>
      </c>
      <c r="H707" t="s">
        <v>37</v>
      </c>
      <c r="I707">
        <f>VLOOKUP(Table4[[#This Row],[Visitor]],'NHL Model'!$A$6:$B$38,2,FALSE)</f>
        <v>0.46523362857782063</v>
      </c>
      <c r="J707">
        <f>($B$1+Table4[[#This Row],[Home Differential]])-Table4[[#This Row],[Away Differential]]</f>
        <v>-0.78488274499963318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0.60880006261614927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-0.10735719588407502</v>
      </c>
      <c r="H708" t="s">
        <v>16</v>
      </c>
      <c r="I708">
        <f>VLOOKUP(Table4[[#This Row],[Visitor]],'NHL Model'!$A$6:$B$38,2,FALSE)</f>
        <v>-1.2021149591105404</v>
      </c>
      <c r="J708">
        <f>($B$1+Table4[[#This Row],[Home Differential]])-Table4[[#This Row],[Away Differential]]</f>
        <v>1.1441441756530868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0.6716057761574562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-0.44540084513285771</v>
      </c>
      <c r="H709" t="s">
        <v>39</v>
      </c>
      <c r="I709">
        <f>VLOOKUP(Table4[[#This Row],[Visitor]],'NHL Model'!$A$6:$B$38,2,FALSE)</f>
        <v>0.36815457830954207</v>
      </c>
      <c r="J709">
        <f>($B$1+Table4[[#This Row],[Home Differential]])-Table4[[#This Row],[Away Differential]]</f>
        <v>-0.7641690110157785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0.62123226945543675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-0.50406821212948805</v>
      </c>
      <c r="H710" t="s">
        <v>38</v>
      </c>
      <c r="I710">
        <f>VLOOKUP(Table4[[#This Row],[Visitor]],'NHL Model'!$A$6:$B$38,2,FALSE)</f>
        <v>-0.93150212402040711</v>
      </c>
      <c r="J710">
        <f>($B$1+Table4[[#This Row],[Home Differential]])-Table4[[#This Row],[Away Differential]]</f>
        <v>0.47682032431754034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0.59484650466680944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-0.21936273413039192</v>
      </c>
      <c r="H711" t="s">
        <v>35</v>
      </c>
      <c r="I711">
        <f>VLOOKUP(Table4[[#This Row],[Visitor]],'NHL Model'!$A$6:$B$38,2,FALSE)</f>
        <v>-1.3795663642467595</v>
      </c>
      <c r="J711">
        <f>($B$1+Table4[[#This Row],[Home Differential]])-Table4[[#This Row],[Away Differential]]</f>
        <v>1.2095900425429889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0.6791337208794811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-0.24831960772154485</v>
      </c>
      <c r="H712" t="s">
        <v>14</v>
      </c>
      <c r="I712">
        <f>VLOOKUP(Table4[[#This Row],[Visitor]],'NHL Model'!$A$6:$B$38,2,FALSE)</f>
        <v>-0.10735719588407502</v>
      </c>
      <c r="J712">
        <f>($B$1+Table4[[#This Row],[Home Differential]])-Table4[[#This Row],[Away Differential]]</f>
        <v>-9.1575999410848513E-2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0.46634753023186254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-1.2257669814473033</v>
      </c>
      <c r="H713" t="s">
        <v>22</v>
      </c>
      <c r="I713">
        <f>VLOOKUP(Table4[[#This Row],[Visitor]],'NHL Model'!$A$6:$B$38,2,FALSE)</f>
        <v>0.49679678069457273</v>
      </c>
      <c r="J713">
        <f>($B$1+Table4[[#This Row],[Home Differential]])-Table4[[#This Row],[Away Differential]]</f>
        <v>-1.6731773497152549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0.71174592472597409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-0.44540084513285771</v>
      </c>
      <c r="H714" t="s">
        <v>20</v>
      </c>
      <c r="I714">
        <f>VLOOKUP(Table4[[#This Row],[Visitor]],'NHL Model'!$A$6:$B$38,2,FALSE)</f>
        <v>-0.21936273413039192</v>
      </c>
      <c r="J714">
        <f>($B$1+Table4[[#This Row],[Home Differential]])-Table4[[#This Row],[Away Differential]]</f>
        <v>-0.17665169857584451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0.47019720369707563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-0.3968452829365326</v>
      </c>
      <c r="H715" t="s">
        <v>28</v>
      </c>
      <c r="I715">
        <f>VLOOKUP(Table4[[#This Row],[Visitor]],'NHL Model'!$A$6:$B$38,2,FALSE)</f>
        <v>-0.56850564030144513</v>
      </c>
      <c r="J715">
        <f>($B$1+Table4[[#This Row],[Home Differential]])-Table4[[#This Row],[Away Differential]]</f>
        <v>0.22104676979153381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0.60234909605996401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-0.30901762292301305</v>
      </c>
      <c r="H716" t="s">
        <v>24</v>
      </c>
      <c r="I716">
        <f>VLOOKUP(Table4[[#This Row],[Visitor]],'NHL Model'!$A$6:$B$38,2,FALSE)</f>
        <v>1.5071179757482971E-3</v>
      </c>
      <c r="J716">
        <f>($B$1+Table4[[#This Row],[Home Differential]])-Table4[[#This Row],[Away Differential]]</f>
        <v>-0.26113832847214008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0.50829844099577559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-0.46454876921224991</v>
      </c>
      <c r="H717" t="s">
        <v>11</v>
      </c>
      <c r="I717">
        <f>VLOOKUP(Table4[[#This Row],[Visitor]],'NHL Model'!$A$6:$B$38,2,FALSE)</f>
        <v>-0.51447808915301396</v>
      </c>
      <c r="J717">
        <f>($B$1+Table4[[#This Row],[Home Differential]])-Table4[[#This Row],[Away Differential]]</f>
        <v>9.9315732367385334E-2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0.56154609292262869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-0.21549764750433295</v>
      </c>
      <c r="H718" t="s">
        <v>17</v>
      </c>
      <c r="I718">
        <f>VLOOKUP(Table4[[#This Row],[Visitor]],'NHL Model'!$A$6:$B$38,2,FALSE)</f>
        <v>-0.82464120527377915</v>
      </c>
      <c r="J718">
        <f>($B$1+Table4[[#This Row],[Home Differential]])-Table4[[#This Row],[Away Differential]]</f>
        <v>0.65852997019606752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0.61574775075975907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1.6140407860044261</v>
      </c>
      <c r="H719" t="s">
        <v>19</v>
      </c>
      <c r="I719">
        <f>VLOOKUP(Table4[[#This Row],[Visitor]],'NHL Model'!$A$6:$B$38,2,FALSE)</f>
        <v>-0.50406821212948805</v>
      </c>
      <c r="J719">
        <f>($B$1+Table4[[#This Row],[Home Differential]])-Table4[[#This Row],[Away Differential]]</f>
        <v>2.1674954105605355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0.89713824761019056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-0.80014284799340474</v>
      </c>
      <c r="H720" t="s">
        <v>25</v>
      </c>
      <c r="I720">
        <f>VLOOKUP(Table4[[#This Row],[Visitor]],'NHL Model'!$A$6:$B$38,2,FALSE)</f>
        <v>0.4370463247440865</v>
      </c>
      <c r="J720">
        <f>($B$1+Table4[[#This Row],[Home Differential]])-Table4[[#This Row],[Away Differential]]</f>
        <v>-1.1878027603108698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0.65907660705273019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-0.36690387823407311</v>
      </c>
      <c r="H721" t="s">
        <v>39</v>
      </c>
      <c r="I721">
        <f>VLOOKUP(Table4[[#This Row],[Visitor]],'NHL Model'!$A$6:$B$38,2,FALSE)</f>
        <v>0.36815457830954207</v>
      </c>
      <c r="J721">
        <f>($B$1+Table4[[#This Row],[Home Differential]])-Table4[[#This Row],[Away Differential]]</f>
        <v>-0.6856720441169939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0.62234804273423083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-3.2419815263072818E-2</v>
      </c>
      <c r="H722" t="s">
        <v>24</v>
      </c>
      <c r="I722">
        <f>VLOOKUP(Table4[[#This Row],[Visitor]],'NHL Model'!$A$6:$B$38,2,FALSE)</f>
        <v>1.5071179757482971E-3</v>
      </c>
      <c r="J722">
        <f>($B$1+Table4[[#This Row],[Home Differential]])-Table4[[#This Row],[Away Differential]]</f>
        <v>1.545947918780019E-2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0.52100900382811721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-0.68642169651276408</v>
      </c>
      <c r="H723" t="s">
        <v>38</v>
      </c>
      <c r="I723">
        <f>VLOOKUP(Table4[[#This Row],[Visitor]],'NHL Model'!$A$6:$B$38,2,FALSE)</f>
        <v>-0.93150212402040711</v>
      </c>
      <c r="J723">
        <f>($B$1+Table4[[#This Row],[Home Differential]])-Table4[[#This Row],[Away Differential]]</f>
        <v>0.29446683993426437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0.57387120071651943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-0.2172114589315223</v>
      </c>
      <c r="H724" t="s">
        <v>32</v>
      </c>
      <c r="I724">
        <f>VLOOKUP(Table4[[#This Row],[Visitor]],'NHL Model'!$A$6:$B$38,2,FALSE)</f>
        <v>-0.63765723729815182</v>
      </c>
      <c r="J724">
        <f>($B$1+Table4[[#This Row],[Home Differential]])-Table4[[#This Row],[Away Differential]]</f>
        <v>0.46983219079325084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0.5940426909902411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-0.36903552884843377</v>
      </c>
      <c r="H725" t="s">
        <v>37</v>
      </c>
      <c r="I725">
        <f>VLOOKUP(Table4[[#This Row],[Visitor]],'NHL Model'!$A$6:$B$38,2,FALSE)</f>
        <v>0.46523362857782063</v>
      </c>
      <c r="J725">
        <f>($B$1+Table4[[#This Row],[Home Differential]])-Table4[[#This Row],[Away Differential]]</f>
        <v>-0.78488274499963318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0.60880006261614927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0.18193976369097953</v>
      </c>
      <c r="H726" t="s">
        <v>39</v>
      </c>
      <c r="I726">
        <f>VLOOKUP(Table4[[#This Row],[Visitor]],'NHL Model'!$A$6:$B$38,2,FALSE)</f>
        <v>0.36815457830954207</v>
      </c>
      <c r="J726">
        <f>($B$1+Table4[[#This Row],[Home Differential]])-Table4[[#This Row],[Away Differential]]</f>
        <v>-0.13682840219194123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0.4772772193401838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-0.24831960772154485</v>
      </c>
      <c r="H727" t="s">
        <v>26</v>
      </c>
      <c r="I727">
        <f>VLOOKUP(Table4[[#This Row],[Visitor]],'NHL Model'!$A$6:$B$38,2,FALSE)</f>
        <v>-0.80014284799340474</v>
      </c>
      <c r="J727">
        <f>($B$1+Table4[[#This Row],[Home Differential]])-Table4[[#This Row],[Away Differential]]</f>
        <v>0.60120965269848115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0.65205600596753688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-0.56850564030144513</v>
      </c>
      <c r="H728" t="s">
        <v>16</v>
      </c>
      <c r="I728">
        <f>VLOOKUP(Table4[[#This Row],[Visitor]],'NHL Model'!$A$6:$B$38,2,FALSE)</f>
        <v>-1.2021149591105404</v>
      </c>
      <c r="J728">
        <f>($B$1+Table4[[#This Row],[Home Differential]])-Table4[[#This Row],[Away Differential]]</f>
        <v>0.68299573123571666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0.61856193758990041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-1.2257669814473033</v>
      </c>
      <c r="H729" t="s">
        <v>17</v>
      </c>
      <c r="I729">
        <f>VLOOKUP(Table4[[#This Row],[Visitor]],'NHL Model'!$A$6:$B$38,2,FALSE)</f>
        <v>-0.82464120527377915</v>
      </c>
      <c r="J729">
        <f>($B$1+Table4[[#This Row],[Home Differential]])-Table4[[#This Row],[Away Differential]]</f>
        <v>-0.35173936374690296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0.50045900241953145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-0.430694899721771</v>
      </c>
      <c r="H730" t="s">
        <v>38</v>
      </c>
      <c r="I730">
        <f>VLOOKUP(Table4[[#This Row],[Visitor]],'NHL Model'!$A$6:$B$38,2,FALSE)</f>
        <v>-0.93150212402040711</v>
      </c>
      <c r="J730">
        <f>($B$1+Table4[[#This Row],[Home Differential]])-Table4[[#This Row],[Away Differential]]</f>
        <v>0.55019363672525734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0.60578178711810393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-0.10735719588407502</v>
      </c>
      <c r="H731" t="s">
        <v>37</v>
      </c>
      <c r="I731">
        <f>VLOOKUP(Table4[[#This Row],[Visitor]],'NHL Model'!$A$6:$B$38,2,FALSE)</f>
        <v>0.46523362857782063</v>
      </c>
      <c r="J731">
        <f>($B$1+Table4[[#This Row],[Home Differential]])-Table4[[#This Row],[Away Differential]]</f>
        <v>-0.52320441203527435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0.59280502747863706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-1.3795663642467595</v>
      </c>
      <c r="H732" t="s">
        <v>25</v>
      </c>
      <c r="I732">
        <f>VLOOKUP(Table4[[#This Row],[Visitor]],'NHL Model'!$A$6:$B$38,2,FALSE)</f>
        <v>0.4370463247440865</v>
      </c>
      <c r="J732">
        <f>($B$1+Table4[[#This Row],[Home Differential]])-Table4[[#This Row],[Away Differential]]</f>
        <v>-1.7672262765642248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0.73589928650829595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-0.3968452829365326</v>
      </c>
      <c r="H733" t="s">
        <v>19</v>
      </c>
      <c r="I733">
        <f>VLOOKUP(Table4[[#This Row],[Visitor]],'NHL Model'!$A$6:$B$38,2,FALSE)</f>
        <v>-0.50406821212948805</v>
      </c>
      <c r="J733">
        <f>($B$1+Table4[[#This Row],[Home Differential]])-Table4[[#This Row],[Away Differential]]</f>
        <v>0.15660934161957674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0.59844524804659138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-0.30901762292301305</v>
      </c>
      <c r="H734" t="s">
        <v>30</v>
      </c>
      <c r="I734">
        <f>VLOOKUP(Table4[[#This Row],[Visitor]],'NHL Model'!$A$6:$B$38,2,FALSE)</f>
        <v>-0.16042088891566345</v>
      </c>
      <c r="J734">
        <f>($B$1+Table4[[#This Row],[Home Differential]])-Table4[[#This Row],[Away Differential]]</f>
        <v>-9.9210321580728317E-2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0.54153220053127737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0.49679678069457273</v>
      </c>
      <c r="H735" t="s">
        <v>18</v>
      </c>
      <c r="I735">
        <f>VLOOKUP(Table4[[#This Row],[Visitor]],'NHL Model'!$A$6:$B$38,2,FALSE)</f>
        <v>-0.68642169651276408</v>
      </c>
      <c r="J735">
        <f>($B$1+Table4[[#This Row],[Home Differential]])-Table4[[#This Row],[Away Differential]]</f>
        <v>1.2326048896339581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0.64882326910262667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-0.46454876921224991</v>
      </c>
      <c r="H736" t="s">
        <v>27</v>
      </c>
      <c r="I736">
        <f>VLOOKUP(Table4[[#This Row],[Visitor]],'NHL Model'!$A$6:$B$38,2,FALSE)</f>
        <v>-0.36903552884843377</v>
      </c>
      <c r="J736">
        <f>($B$1+Table4[[#This Row],[Home Differential]])-Table4[[#This Row],[Away Differential]]</f>
        <v>-4.6126827937194859E-2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0.49761345457221706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-0.36690387823407311</v>
      </c>
      <c r="H737" t="s">
        <v>20</v>
      </c>
      <c r="I737">
        <f>VLOOKUP(Table4[[#This Row],[Visitor]],'NHL Model'!$A$6:$B$38,2,FALSE)</f>
        <v>-0.21936273413039192</v>
      </c>
      <c r="J737">
        <f>($B$1+Table4[[#This Row],[Home Differential]])-Table4[[#This Row],[Away Differential]]</f>
        <v>-9.8154731677059903E-2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0.47129029882839091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1.5071179757482971E-3</v>
      </c>
      <c r="H738" t="s">
        <v>32</v>
      </c>
      <c r="I738">
        <f>VLOOKUP(Table4[[#This Row],[Visitor]],'NHL Model'!$A$6:$B$38,2,FALSE)</f>
        <v>-0.63765723729815182</v>
      </c>
      <c r="J738">
        <f>($B$1+Table4[[#This Row],[Home Differential]])-Table4[[#This Row],[Away Differential]]</f>
        <v>0.68855076770052137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0.699035619279052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-0.2172114589315223</v>
      </c>
      <c r="H739" t="s">
        <v>36</v>
      </c>
      <c r="I739">
        <f>VLOOKUP(Table4[[#This Row],[Visitor]],'NHL Model'!$A$6:$B$38,2,FALSE)</f>
        <v>-0.430694899721771</v>
      </c>
      <c r="J739">
        <f>($B$1+Table4[[#This Row],[Home Differential]])-Table4[[#This Row],[Away Differential]]</f>
        <v>0.26286985321687001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0.56666058202037839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-0.24831960772154485</v>
      </c>
      <c r="H740" t="s">
        <v>32</v>
      </c>
      <c r="I740">
        <f>VLOOKUP(Table4[[#This Row],[Visitor]],'NHL Model'!$A$6:$B$38,2,FALSE)</f>
        <v>-0.63765723729815182</v>
      </c>
      <c r="J740">
        <f>($B$1+Table4[[#This Row],[Home Differential]])-Table4[[#This Row],[Away Differential]]</f>
        <v>0.43872404200322829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0.6333660144743225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-0.46454876921224991</v>
      </c>
      <c r="H741" t="s">
        <v>18</v>
      </c>
      <c r="I741">
        <f>VLOOKUP(Table4[[#This Row],[Visitor]],'NHL Model'!$A$6:$B$38,2,FALSE)</f>
        <v>-0.68642169651276408</v>
      </c>
      <c r="J741">
        <f>($B$1+Table4[[#This Row],[Home Differential]])-Table4[[#This Row],[Away Differential]]</f>
        <v>0.27125933972713545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0.5221108368991636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-0.56850564030144513</v>
      </c>
      <c r="H742" t="s">
        <v>38</v>
      </c>
      <c r="I742">
        <f>VLOOKUP(Table4[[#This Row],[Visitor]],'NHL Model'!$A$6:$B$38,2,FALSE)</f>
        <v>-0.93150212402040711</v>
      </c>
      <c r="J742">
        <f>($B$1+Table4[[#This Row],[Home Differential]])-Table4[[#This Row],[Away Differential]]</f>
        <v>0.41238289614558332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0.58743455613041107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-0.21549764750433295</v>
      </c>
      <c r="H743" t="s">
        <v>16</v>
      </c>
      <c r="I743">
        <f>VLOOKUP(Table4[[#This Row],[Visitor]],'NHL Model'!$A$6:$B$38,2,FALSE)</f>
        <v>-1.2021149591105404</v>
      </c>
      <c r="J743">
        <f>($B$1+Table4[[#This Row],[Home Differential]])-Table4[[#This Row],[Away Differential]]</f>
        <v>1.0360037240328288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0.65916686472273411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-0.82464120527377915</v>
      </c>
      <c r="H744" t="s">
        <v>30</v>
      </c>
      <c r="I744">
        <f>VLOOKUP(Table4[[#This Row],[Visitor]],'NHL Model'!$A$6:$B$38,2,FALSE)</f>
        <v>-0.16042088891566345</v>
      </c>
      <c r="J744">
        <f>($B$1+Table4[[#This Row],[Home Differential]])-Table4[[#This Row],[Away Differential]]</f>
        <v>-0.6148339039314944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0.60334475722295178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-3.2419815263072818E-2</v>
      </c>
      <c r="H745" t="s">
        <v>40</v>
      </c>
      <c r="I745">
        <f>VLOOKUP(Table4[[#This Row],[Visitor]],'NHL Model'!$A$6:$B$38,2,FALSE)</f>
        <v>-0.30901762292301305</v>
      </c>
      <c r="J745">
        <f>($B$1+Table4[[#This Row],[Home Differential]])-Table4[[#This Row],[Away Differential]]</f>
        <v>0.32598422008656153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0.55672727291666746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-0.10735719588407502</v>
      </c>
      <c r="H746" t="s">
        <v>27</v>
      </c>
      <c r="I746">
        <f>VLOOKUP(Table4[[#This Row],[Visitor]],'NHL Model'!$A$6:$B$38,2,FALSE)</f>
        <v>-0.36903552884843377</v>
      </c>
      <c r="J746">
        <f>($B$1+Table4[[#This Row],[Home Differential]])-Table4[[#This Row],[Away Differential]]</f>
        <v>0.31106474539098006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0.53326782057077171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-0.3968452829365326</v>
      </c>
      <c r="H747" t="s">
        <v>39</v>
      </c>
      <c r="I747">
        <f>VLOOKUP(Table4[[#This Row],[Visitor]],'NHL Model'!$A$6:$B$38,2,FALSE)</f>
        <v>0.36815457830954207</v>
      </c>
      <c r="J747">
        <f>($B$1+Table4[[#This Row],[Home Differential]])-Table4[[#This Row],[Away Differential]]</f>
        <v>-0.71561344881945343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0.58485187850799358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-0.21936273413039192</v>
      </c>
      <c r="H748" t="s">
        <v>19</v>
      </c>
      <c r="I748">
        <f>VLOOKUP(Table4[[#This Row],[Visitor]],'NHL Model'!$A$6:$B$38,2,FALSE)</f>
        <v>-0.50406821212948805</v>
      </c>
      <c r="J748">
        <f>($B$1+Table4[[#This Row],[Home Differential]])-Table4[[#This Row],[Away Differential]]</f>
        <v>0.33409189042571741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0.57842909266420983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0.49679678069457273</v>
      </c>
      <c r="H749" t="s">
        <v>33</v>
      </c>
      <c r="I749">
        <f>VLOOKUP(Table4[[#This Row],[Visitor]],'NHL Model'!$A$6:$B$38,2,FALSE)</f>
        <v>-0.44540084513285771</v>
      </c>
      <c r="J749">
        <f>($B$1+Table4[[#This Row],[Home Differential]])-Table4[[#This Row],[Away Differential]]</f>
        <v>0.99158403825405173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0.68009520321786943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0.4370463247440865</v>
      </c>
      <c r="H750" t="s">
        <v>11</v>
      </c>
      <c r="I750">
        <f>VLOOKUP(Table4[[#This Row],[Visitor]],'NHL Model'!$A$6:$B$38,2,FALSE)</f>
        <v>-0.51447808915301396</v>
      </c>
      <c r="J750">
        <f>($B$1+Table4[[#This Row],[Home Differential]])-Table4[[#This Row],[Away Differential]]</f>
        <v>1.0009108263237216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0.7068462623266063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1.6140407860044261</v>
      </c>
      <c r="H751" t="s">
        <v>29</v>
      </c>
      <c r="I751">
        <f>VLOOKUP(Table4[[#This Row],[Visitor]],'NHL Model'!$A$6:$B$38,2,FALSE)</f>
        <v>-1.2257669814473033</v>
      </c>
      <c r="J751">
        <f>($B$1+Table4[[#This Row],[Home Differential]])-Table4[[#This Row],[Away Differential]]</f>
        <v>2.8891941798783507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0.98015202219304576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-0.80014284799340474</v>
      </c>
      <c r="H752" t="s">
        <v>33</v>
      </c>
      <c r="I752">
        <f>VLOOKUP(Table4[[#This Row],[Visitor]],'NHL Model'!$A$6:$B$38,2,FALSE)</f>
        <v>-0.44540084513285771</v>
      </c>
      <c r="J752">
        <f>($B$1+Table4[[#This Row],[Home Differential]])-Table4[[#This Row],[Away Differential]]</f>
        <v>-0.30535559043392568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0.48500143549137692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-0.36690387823407311</v>
      </c>
      <c r="H753" t="s">
        <v>31</v>
      </c>
      <c r="I753">
        <f>VLOOKUP(Table4[[#This Row],[Visitor]],'NHL Model'!$A$6:$B$38,2,FALSE)</f>
        <v>0.18193976369097953</v>
      </c>
      <c r="J753">
        <f>($B$1+Table4[[#This Row],[Home Differential]])-Table4[[#This Row],[Away Differential]]</f>
        <v>-0.49945722949843135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0.53821955717418202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-1.3795663642467595</v>
      </c>
      <c r="H754" t="s">
        <v>37</v>
      </c>
      <c r="I754">
        <f>VLOOKUP(Table4[[#This Row],[Visitor]],'NHL Model'!$A$6:$B$38,2,FALSE)</f>
        <v>0.46523362857782063</v>
      </c>
      <c r="J754">
        <f>($B$1+Table4[[#This Row],[Home Differential]])-Table4[[#This Row],[Away Differential]]</f>
        <v>-1.795413580397959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0.73914154572506563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0.18193976369097953</v>
      </c>
      <c r="H755" t="s">
        <v>13</v>
      </c>
      <c r="I755">
        <f>VLOOKUP(Table4[[#This Row],[Visitor]],'NHL Model'!$A$6:$B$38,2,FALSE)</f>
        <v>-0.36690387823407311</v>
      </c>
      <c r="J755">
        <f>($B$1+Table4[[#This Row],[Home Differential]])-Table4[[#This Row],[Away Differential]]</f>
        <v>0.59823005435167398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0.62436727727649088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-0.46454876921224991</v>
      </c>
      <c r="H756" t="s">
        <v>34</v>
      </c>
      <c r="I756">
        <f>VLOOKUP(Table4[[#This Row],[Visitor]],'NHL Model'!$A$6:$B$38,2,FALSE)</f>
        <v>-3.2419815263072818E-2</v>
      </c>
      <c r="J756">
        <f>($B$1+Table4[[#This Row],[Home Differential]])-Table4[[#This Row],[Away Differential]]</f>
        <v>-0.38274254152255582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0.55311606808522995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-1.2021149591105404</v>
      </c>
      <c r="H757" t="s">
        <v>30</v>
      </c>
      <c r="I757">
        <f>VLOOKUP(Table4[[#This Row],[Visitor]],'NHL Model'!$A$6:$B$38,2,FALSE)</f>
        <v>-0.16042088891566345</v>
      </c>
      <c r="J757">
        <f>($B$1+Table4[[#This Row],[Home Differential]])-Table4[[#This Row],[Away Differential]]</f>
        <v>-0.9923076577682558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0.64676387118592693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-0.21549764750433295</v>
      </c>
      <c r="H758" t="s">
        <v>21</v>
      </c>
      <c r="I758">
        <f>VLOOKUP(Table4[[#This Row],[Visitor]],'NHL Model'!$A$6:$B$38,2,FALSE)</f>
        <v>-0.24831960772154485</v>
      </c>
      <c r="J758">
        <f>($B$1+Table4[[#This Row],[Home Differential]])-Table4[[#This Row],[Away Differential]]</f>
        <v>8.2208372643833211E-2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0.5494560606247525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1.5071179757482971E-3</v>
      </c>
      <c r="H759" t="s">
        <v>25</v>
      </c>
      <c r="I759">
        <f>VLOOKUP(Table4[[#This Row],[Visitor]],'NHL Model'!$A$6:$B$38,2,FALSE)</f>
        <v>0.4370463247440865</v>
      </c>
      <c r="J759">
        <f>($B$1+Table4[[#This Row],[Home Differential]])-Table4[[#This Row],[Away Differential]]</f>
        <v>-0.3861527943417169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0.49512165044253348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-0.430694899721771</v>
      </c>
      <c r="H760" t="s">
        <v>18</v>
      </c>
      <c r="I760">
        <f>VLOOKUP(Table4[[#This Row],[Visitor]],'NHL Model'!$A$6:$B$38,2,FALSE)</f>
        <v>-0.68642169651276408</v>
      </c>
      <c r="J760">
        <f>($B$1+Table4[[#This Row],[Home Differential]])-Table4[[#This Row],[Away Differential]]</f>
        <v>0.30511320921761437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0.51831728136530375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-0.36903552884843377</v>
      </c>
      <c r="H761" t="s">
        <v>15</v>
      </c>
      <c r="I761">
        <f>VLOOKUP(Table4[[#This Row],[Visitor]],'NHL Model'!$A$6:$B$38,2,FALSE)</f>
        <v>-0.2172114589315223</v>
      </c>
      <c r="J761">
        <f>($B$1+Table4[[#This Row],[Home Differential]])-Table4[[#This Row],[Away Differential]]</f>
        <v>-0.10243765749029018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0.55788223536758075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-0.10735719588407502</v>
      </c>
      <c r="H762" t="s">
        <v>28</v>
      </c>
      <c r="I762">
        <f>VLOOKUP(Table4[[#This Row],[Visitor]],'NHL Model'!$A$6:$B$38,2,FALSE)</f>
        <v>-0.56850564030144513</v>
      </c>
      <c r="J762">
        <f>($B$1+Table4[[#This Row],[Home Differential]])-Table4[[#This Row],[Away Differential]]</f>
        <v>0.51053485684399136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0.59514837728515046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-0.3968452829365326</v>
      </c>
      <c r="H763" t="s">
        <v>32</v>
      </c>
      <c r="I763">
        <f>VLOOKUP(Table4[[#This Row],[Visitor]],'NHL Model'!$A$6:$B$38,2,FALSE)</f>
        <v>-0.63765723729815182</v>
      </c>
      <c r="J763">
        <f>($B$1+Table4[[#This Row],[Home Differential]])-Table4[[#This Row],[Away Differential]]</f>
        <v>0.29019836678824051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0.61381139482910196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-0.93150212402040711</v>
      </c>
      <c r="H764" t="s">
        <v>17</v>
      </c>
      <c r="I764">
        <f>VLOOKUP(Table4[[#This Row],[Visitor]],'NHL Model'!$A$6:$B$38,2,FALSE)</f>
        <v>-0.82464120527377915</v>
      </c>
      <c r="J764">
        <f>($B$1+Table4[[#This Row],[Home Differential]])-Table4[[#This Row],[Away Differential]]</f>
        <v>-5.7474506320006613E-2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0.4666110348454936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-0.21936273413039192</v>
      </c>
      <c r="H765" t="s">
        <v>29</v>
      </c>
      <c r="I765">
        <f>VLOOKUP(Table4[[#This Row],[Visitor]],'NHL Model'!$A$6:$B$38,2,FALSE)</f>
        <v>-1.2257669814473033</v>
      </c>
      <c r="J765">
        <f>($B$1+Table4[[#This Row],[Home Differential]])-Table4[[#This Row],[Away Differential]]</f>
        <v>1.0557906597435327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0.66144286724706491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-0.30901762292301305</v>
      </c>
      <c r="H766" t="s">
        <v>19</v>
      </c>
      <c r="I766">
        <f>VLOOKUP(Table4[[#This Row],[Visitor]],'NHL Model'!$A$6:$B$38,2,FALSE)</f>
        <v>-0.50406821212948805</v>
      </c>
      <c r="J766">
        <f>($B$1+Table4[[#This Row],[Home Differential]])-Table4[[#This Row],[Away Differential]]</f>
        <v>0.24443700163309628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0.5706119718685293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0.49679678069457273</v>
      </c>
      <c r="H767" t="s">
        <v>11</v>
      </c>
      <c r="I767">
        <f>VLOOKUP(Table4[[#This Row],[Visitor]],'NHL Model'!$A$6:$B$38,2,FALSE)</f>
        <v>-0.51447808915301396</v>
      </c>
      <c r="J767">
        <f>($B$1+Table4[[#This Row],[Home Differential]])-Table4[[#This Row],[Away Differential]]</f>
        <v>1.0606612822742081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0.68804084897435946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0.36815457830954207</v>
      </c>
      <c r="H768" t="s">
        <v>37</v>
      </c>
      <c r="I768">
        <f>VLOOKUP(Table4[[#This Row],[Visitor]],'NHL Model'!$A$6:$B$38,2,FALSE)</f>
        <v>0.46523362857782063</v>
      </c>
      <c r="J768">
        <f>($B$1+Table4[[#This Row],[Home Differential]])-Table4[[#This Row],[Away Differential]]</f>
        <v>-4.7692637841657282E-2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0.50548587035944581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-0.80014284799340474</v>
      </c>
      <c r="H769" t="s">
        <v>36</v>
      </c>
      <c r="I769">
        <f>VLOOKUP(Table4[[#This Row],[Visitor]],'NHL Model'!$A$6:$B$38,2,FALSE)</f>
        <v>-0.430694899721771</v>
      </c>
      <c r="J769">
        <f>($B$1+Table4[[#This Row],[Home Differential]])-Table4[[#This Row],[Away Differential]]</f>
        <v>-0.3200615358450124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0.49025653941124625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-0.82464120527377915</v>
      </c>
      <c r="H770" t="s">
        <v>35</v>
      </c>
      <c r="I770">
        <f>VLOOKUP(Table4[[#This Row],[Visitor]],'NHL Model'!$A$6:$B$38,2,FALSE)</f>
        <v>-1.3795663642467595</v>
      </c>
      <c r="J770">
        <f>($B$1+Table4[[#This Row],[Home Differential]])-Table4[[#This Row],[Away Differential]]</f>
        <v>0.60431157139960168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0.60951125136793161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0.18193976369097953</v>
      </c>
      <c r="H771" t="s">
        <v>15</v>
      </c>
      <c r="I771">
        <f>VLOOKUP(Table4[[#This Row],[Visitor]],'NHL Model'!$A$6:$B$38,2,FALSE)</f>
        <v>-0.2172114589315223</v>
      </c>
      <c r="J771">
        <f>($B$1+Table4[[#This Row],[Home Differential]])-Table4[[#This Row],[Away Differential]]</f>
        <v>0.44853763504912314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0.57333240412581443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0.4370463247440865</v>
      </c>
      <c r="H772" t="s">
        <v>23</v>
      </c>
      <c r="I772">
        <f>VLOOKUP(Table4[[#This Row],[Visitor]],'NHL Model'!$A$6:$B$38,2,FALSE)</f>
        <v>-0.46454876921224991</v>
      </c>
      <c r="J772">
        <f>($B$1+Table4[[#This Row],[Home Differential]])-Table4[[#This Row],[Away Differential]]</f>
        <v>0.95098150638295764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0.70110311645072276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-1.2021149591105404</v>
      </c>
      <c r="H773" t="s">
        <v>24</v>
      </c>
      <c r="I773">
        <f>VLOOKUP(Table4[[#This Row],[Visitor]],'NHL Model'!$A$6:$B$38,2,FALSE)</f>
        <v>1.5071179757482971E-3</v>
      </c>
      <c r="J773">
        <f>($B$1+Table4[[#This Row],[Home Differential]])-Table4[[#This Row],[Away Differential]]</f>
        <v>-1.1542356646596674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0.61353578567429312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-0.21549764750433295</v>
      </c>
      <c r="H774" t="s">
        <v>40</v>
      </c>
      <c r="I774">
        <f>VLOOKUP(Table4[[#This Row],[Visitor]],'NHL Model'!$A$6:$B$38,2,FALSE)</f>
        <v>-0.30901762292301305</v>
      </c>
      <c r="J774">
        <f>($B$1+Table4[[#This Row],[Home Differential]])-Table4[[#This Row],[Away Differential]]</f>
        <v>0.14290638784530141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0.53566865047899914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1.6140407860044261</v>
      </c>
      <c r="H775" t="s">
        <v>22</v>
      </c>
      <c r="I775">
        <f>VLOOKUP(Table4[[#This Row],[Visitor]],'NHL Model'!$A$6:$B$38,2,FALSE)</f>
        <v>0.49679678069457273</v>
      </c>
      <c r="J775">
        <f>($B$1+Table4[[#This Row],[Home Differential]])-Table4[[#This Row],[Away Differential]]</f>
        <v>1.1666304177364746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0.7261205189158817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-0.51447808915301396</v>
      </c>
      <c r="H776" t="s">
        <v>33</v>
      </c>
      <c r="I776">
        <f>VLOOKUP(Table4[[#This Row],[Visitor]],'NHL Model'!$A$6:$B$38,2,FALSE)</f>
        <v>-0.44540084513285771</v>
      </c>
      <c r="J776">
        <f>($B$1+Table4[[#This Row],[Home Differential]])-Table4[[#This Row],[Away Differential]]</f>
        <v>-1.9690831593534963E-2</v>
      </c>
      <c r="K776" t="str">
        <f>IF(Table4[[#This Row],[HomeIce Differential]]&gt;0,Table4[[#This Row],[Home]],Table4[[#This Row],[Visitor]])</f>
        <v>San Jose Sharks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0.46226494809849794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-0.63765723729815182</v>
      </c>
      <c r="H777" t="s">
        <v>14</v>
      </c>
      <c r="I777">
        <f>VLOOKUP(Table4[[#This Row],[Visitor]],'NHL Model'!$A$6:$B$38,2,FALSE)</f>
        <v>-0.10735719588407502</v>
      </c>
      <c r="J777">
        <f>($B$1+Table4[[#This Row],[Home Differential]])-Table4[[#This Row],[Away Differential]]</f>
        <v>-0.48091362898745549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0.55460407239390697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-0.50406821212948805</v>
      </c>
      <c r="H778" t="s">
        <v>34</v>
      </c>
      <c r="I778">
        <f>VLOOKUP(Table4[[#This Row],[Visitor]],'NHL Model'!$A$6:$B$38,2,FALSE)</f>
        <v>-3.2419815263072818E-2</v>
      </c>
      <c r="J778">
        <f>($B$1+Table4[[#This Row],[Home Differential]])-Table4[[#This Row],[Away Differential]]</f>
        <v>-0.42226198443979396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0.56785873720400459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-0.93150212402040711</v>
      </c>
      <c r="H779" t="s">
        <v>30</v>
      </c>
      <c r="I779">
        <f>VLOOKUP(Table4[[#This Row],[Visitor]],'NHL Model'!$A$6:$B$38,2,FALSE)</f>
        <v>-0.16042088891566345</v>
      </c>
      <c r="J779">
        <f>($B$1+Table4[[#This Row],[Home Differential]])-Table4[[#This Row],[Away Differential]]</f>
        <v>-0.72169482267812235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0.61563648972643747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-0.21936273413039192</v>
      </c>
      <c r="H780" t="s">
        <v>27</v>
      </c>
      <c r="I780">
        <f>VLOOKUP(Table4[[#This Row],[Visitor]],'NHL Model'!$A$6:$B$38,2,FALSE)</f>
        <v>-0.36903552884843377</v>
      </c>
      <c r="J780">
        <f>($B$1+Table4[[#This Row],[Home Differential]])-Table4[[#This Row],[Away Differential]]</f>
        <v>0.19905920714466316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0.52038432554583203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-0.56850564030144513</v>
      </c>
      <c r="H781" t="s">
        <v>36</v>
      </c>
      <c r="I781">
        <f>VLOOKUP(Table4[[#This Row],[Visitor]],'NHL Model'!$A$6:$B$38,2,FALSE)</f>
        <v>-0.430694899721771</v>
      </c>
      <c r="J781">
        <f>($B$1+Table4[[#This Row],[Home Differential]])-Table4[[#This Row],[Away Differential]]</f>
        <v>-8.8424328153052789E-2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0.47374721306575829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0.36815457830954207</v>
      </c>
      <c r="H782" t="s">
        <v>21</v>
      </c>
      <c r="I782">
        <f>VLOOKUP(Table4[[#This Row],[Visitor]],'NHL Model'!$A$6:$B$38,2,FALSE)</f>
        <v>-0.24831960772154485</v>
      </c>
      <c r="J782">
        <f>($B$1+Table4[[#This Row],[Home Differential]])-Table4[[#This Row],[Away Differential]]</f>
        <v>0.66586059845770817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0.64883702587910719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-0.82464120527377915</v>
      </c>
      <c r="H783" t="s">
        <v>24</v>
      </c>
      <c r="I783">
        <f>VLOOKUP(Table4[[#This Row],[Visitor]],'NHL Model'!$A$6:$B$38,2,FALSE)</f>
        <v>1.5071179757482971E-3</v>
      </c>
      <c r="J783">
        <f>($B$1+Table4[[#This Row],[Home Differential]])-Table4[[#This Row],[Away Differential]]</f>
        <v>-0.77676191082290613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0.57011667171131808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-0.36690387823407311</v>
      </c>
      <c r="H784" t="s">
        <v>15</v>
      </c>
      <c r="I784">
        <f>VLOOKUP(Table4[[#This Row],[Visitor]],'NHL Model'!$A$6:$B$38,2,FALSE)</f>
        <v>-0.2172114589315223</v>
      </c>
      <c r="J784">
        <f>($B$1+Table4[[#This Row],[Home Differential]])-Table4[[#This Row],[Away Differential]]</f>
        <v>-0.10030600687592953</v>
      </c>
      <c r="K784" t="str">
        <f>IF(Table4[[#This Row],[HomeIce Differential]]&gt;0,Table4[[#This Row],[Home]],Table4[[#This Row],[Visitor]])</f>
        <v>New York Rangers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0.57161921676702354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-0.68642169651276408</v>
      </c>
      <c r="H785" t="s">
        <v>34</v>
      </c>
      <c r="I785">
        <f>VLOOKUP(Table4[[#This Row],[Visitor]],'NHL Model'!$A$6:$B$38,2,FALSE)</f>
        <v>-3.2419815263072818E-2</v>
      </c>
      <c r="J785">
        <f>($B$1+Table4[[#This Row],[Home Differential]])-Table4[[#This Row],[Away Differential]]</f>
        <v>-0.60461546882306993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0.58883404115429472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-1.2257669814473033</v>
      </c>
      <c r="H786" t="s">
        <v>23</v>
      </c>
      <c r="I786">
        <f>VLOOKUP(Table4[[#This Row],[Visitor]],'NHL Model'!$A$6:$B$38,2,FALSE)</f>
        <v>-0.46454876921224991</v>
      </c>
      <c r="J786">
        <f>($B$1+Table4[[#This Row],[Home Differential]])-Table4[[#This Row],[Away Differential]]</f>
        <v>-0.71183179980843225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0.54187882130665377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0.46523362857782063</v>
      </c>
      <c r="H787" t="s">
        <v>33</v>
      </c>
      <c r="I787">
        <f>VLOOKUP(Table4[[#This Row],[Visitor]],'NHL Model'!$A$6:$B$38,2,FALSE)</f>
        <v>-0.44540084513285771</v>
      </c>
      <c r="J787">
        <f>($B$1+Table4[[#This Row],[Home Differential]])-Table4[[#This Row],[Away Differential]]</f>
        <v>0.96002088613729963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0.68267296526382282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-0.30901762292301305</v>
      </c>
      <c r="H788" t="s">
        <v>35</v>
      </c>
      <c r="I788">
        <f>VLOOKUP(Table4[[#This Row],[Visitor]],'NHL Model'!$A$6:$B$38,2,FALSE)</f>
        <v>-1.3795663642467595</v>
      </c>
      <c r="J788">
        <f>($B$1+Table4[[#This Row],[Home Differential]])-Table4[[#This Row],[Away Differential]]</f>
        <v>1.1199351537503677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0.67131660008380067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-1.2021149591105404</v>
      </c>
      <c r="H789" t="s">
        <v>14</v>
      </c>
      <c r="I789">
        <f>VLOOKUP(Table4[[#This Row],[Visitor]],'NHL Model'!$A$6:$B$38,2,FALSE)</f>
        <v>-0.10735719588407502</v>
      </c>
      <c r="J789">
        <f>($B$1+Table4[[#This Row],[Home Differential]])-Table4[[#This Row],[Away Differential]]</f>
        <v>-1.0453713507998441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0.61953111407970318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1.6140407860044261</v>
      </c>
      <c r="H790" t="s">
        <v>31</v>
      </c>
      <c r="I790">
        <f>VLOOKUP(Table4[[#This Row],[Visitor]],'NHL Model'!$A$6:$B$38,2,FALSE)</f>
        <v>0.18193976369097953</v>
      </c>
      <c r="J790">
        <f>($B$1+Table4[[#This Row],[Home Differential]])-Table4[[#This Row],[Away Differential]]</f>
        <v>1.4814874347400679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0.79898028775667385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-0.63765723729815182</v>
      </c>
      <c r="H791" t="s">
        <v>30</v>
      </c>
      <c r="I791">
        <f>VLOOKUP(Table4[[#This Row],[Visitor]],'NHL Model'!$A$6:$B$38,2,FALSE)</f>
        <v>-0.16042088891566345</v>
      </c>
      <c r="J791">
        <f>($B$1+Table4[[#This Row],[Home Differential]])-Table4[[#This Row],[Away Differential]]</f>
        <v>-0.42784993595586707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0.58183682950013071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-0.50406821212948805</v>
      </c>
      <c r="H792" t="s">
        <v>26</v>
      </c>
      <c r="I792">
        <f>VLOOKUP(Table4[[#This Row],[Visitor]],'NHL Model'!$A$6:$B$38,2,FALSE)</f>
        <v>-0.80014284799340474</v>
      </c>
      <c r="J792">
        <f>($B$1+Table4[[#This Row],[Home Differential]])-Table4[[#This Row],[Away Differential]]</f>
        <v>0.34546104829053798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0.57973683593371717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-0.3968452829365326</v>
      </c>
      <c r="H793" t="s">
        <v>27</v>
      </c>
      <c r="I793">
        <f>VLOOKUP(Table4[[#This Row],[Visitor]],'NHL Model'!$A$6:$B$38,2,FALSE)</f>
        <v>-0.36903552884843377</v>
      </c>
      <c r="J793">
        <f>($B$1+Table4[[#This Row],[Home Differential]])-Table4[[#This Row],[Away Differential]]</f>
        <v>2.1576658338522459E-2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0.54094340475771985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-0.93150212402040711</v>
      </c>
      <c r="H794" t="s">
        <v>22</v>
      </c>
      <c r="I794">
        <f>VLOOKUP(Table4[[#This Row],[Visitor]],'NHL Model'!$A$6:$B$38,2,FALSE)</f>
        <v>0.49679678069457273</v>
      </c>
      <c r="J794">
        <f>($B$1+Table4[[#This Row],[Home Differential]])-Table4[[#This Row],[Away Differential]]</f>
        <v>-1.3789124922883584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0.67789795715193624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-0.24831960772154485</v>
      </c>
      <c r="H795" t="s">
        <v>20</v>
      </c>
      <c r="I795">
        <f>VLOOKUP(Table4[[#This Row],[Visitor]],'NHL Model'!$A$6:$B$38,2,FALSE)</f>
        <v>-0.21936273413039192</v>
      </c>
      <c r="J795">
        <f>($B$1+Table4[[#This Row],[Home Differential]])-Table4[[#This Row],[Away Differential]]</f>
        <v>2.0429538835468386E-2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0.58525147268559419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0.4370463247440865</v>
      </c>
      <c r="H796" t="s">
        <v>10</v>
      </c>
      <c r="I796">
        <f>VLOOKUP(Table4[[#This Row],[Visitor]],'NHL Model'!$A$6:$B$38,2,FALSE)</f>
        <v>-0.21549764750433295</v>
      </c>
      <c r="J796">
        <f>($B$1+Table4[[#This Row],[Home Differential]])-Table4[[#This Row],[Away Differential]]</f>
        <v>0.70193038467504076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0.67245588223607811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-0.56850564030144513</v>
      </c>
      <c r="H797" t="s">
        <v>39</v>
      </c>
      <c r="I797">
        <f>VLOOKUP(Table4[[#This Row],[Visitor]],'NHL Model'!$A$6:$B$38,2,FALSE)</f>
        <v>0.36815457830954207</v>
      </c>
      <c r="J797">
        <f>($B$1+Table4[[#This Row],[Home Differential]])-Table4[[#This Row],[Away Differential]]</f>
        <v>-0.88727380618436591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0.64553738979046404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-0.82464120527377915</v>
      </c>
      <c r="H798" t="s">
        <v>14</v>
      </c>
      <c r="I798">
        <f>VLOOKUP(Table4[[#This Row],[Visitor]],'NHL Model'!$A$6:$B$38,2,FALSE)</f>
        <v>-0.10735719588407502</v>
      </c>
      <c r="J798">
        <f>($B$1+Table4[[#This Row],[Home Differential]])-Table4[[#This Row],[Away Differential]]</f>
        <v>-0.66789759696308282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0.57611200011672814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-3.2419815263072818E-2</v>
      </c>
      <c r="H799" t="s">
        <v>26</v>
      </c>
      <c r="I799">
        <f>VLOOKUP(Table4[[#This Row],[Visitor]],'NHL Model'!$A$6:$B$38,2,FALSE)</f>
        <v>-0.80014284799340474</v>
      </c>
      <c r="J799">
        <f>($B$1+Table4[[#This Row],[Home Differential]])-Table4[[#This Row],[Away Differential]]</f>
        <v>0.81710944515695327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0.63398843696782059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-0.68642169651276408</v>
      </c>
      <c r="H800" t="s">
        <v>23</v>
      </c>
      <c r="I800">
        <f>VLOOKUP(Table4[[#This Row],[Visitor]],'NHL Model'!$A$6:$B$38,2,FALSE)</f>
        <v>-0.46454876921224991</v>
      </c>
      <c r="J800">
        <f>($B$1+Table4[[#This Row],[Home Differential]])-Table4[[#This Row],[Away Differential]]</f>
        <v>-0.17248651487389283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0.47984035067408864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-1.2257669814473033</v>
      </c>
      <c r="H801" t="s">
        <v>36</v>
      </c>
      <c r="I801">
        <f>VLOOKUP(Table4[[#This Row],[Visitor]],'NHL Model'!$A$6:$B$38,2,FALSE)</f>
        <v>-0.430694899721771</v>
      </c>
      <c r="J801">
        <f>($B$1+Table4[[#This Row],[Home Differential]])-Table4[[#This Row],[Away Differential]]</f>
        <v>-0.74568566929891111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0.549349039112215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-0.30901762292301305</v>
      </c>
      <c r="H802" t="s">
        <v>11</v>
      </c>
      <c r="I802">
        <f>VLOOKUP(Table4[[#This Row],[Visitor]],'NHL Model'!$A$6:$B$38,2,FALSE)</f>
        <v>-0.51447808915301396</v>
      </c>
      <c r="J802">
        <f>($B$1+Table4[[#This Row],[Home Differential]])-Table4[[#This Row],[Away Differential]]</f>
        <v>0.2548468786566222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0.57180937336262228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-1.2021149591105404</v>
      </c>
      <c r="H803" t="s">
        <v>22</v>
      </c>
      <c r="I803">
        <f>VLOOKUP(Table4[[#This Row],[Visitor]],'NHL Model'!$A$6:$B$38,2,FALSE)</f>
        <v>0.49679678069457273</v>
      </c>
      <c r="J803">
        <f>($B$1+Table4[[#This Row],[Home Differential]])-Table4[[#This Row],[Away Differential]]</f>
        <v>-1.649525327378492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0.70902533861142569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-0.21549764750433295</v>
      </c>
      <c r="H804" t="s">
        <v>37</v>
      </c>
      <c r="I804">
        <f>VLOOKUP(Table4[[#This Row],[Visitor]],'NHL Model'!$A$6:$B$38,2,FALSE)</f>
        <v>0.46523362857782063</v>
      </c>
      <c r="J804">
        <f>($B$1+Table4[[#This Row],[Home Differential]])-Table4[[#This Row],[Away Differential]]</f>
        <v>-0.63134486365553233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0.60524393891335915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1.6140407860044261</v>
      </c>
      <c r="H805" t="s">
        <v>27</v>
      </c>
      <c r="I805">
        <f>VLOOKUP(Table4[[#This Row],[Visitor]],'NHL Model'!$A$6:$B$38,2,FALSE)</f>
        <v>-0.36903552884843377</v>
      </c>
      <c r="J805">
        <f>($B$1+Table4[[#This Row],[Home Differential]])-Table4[[#This Row],[Away Differential]]</f>
        <v>2.0324627272794813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0.84182527846874111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0.36815457830954207</v>
      </c>
      <c r="H806" t="s">
        <v>35</v>
      </c>
      <c r="I806">
        <f>VLOOKUP(Table4[[#This Row],[Visitor]],'NHL Model'!$A$6:$B$38,2,FALSE)</f>
        <v>-1.3795663642467595</v>
      </c>
      <c r="J806">
        <f>($B$1+Table4[[#This Row],[Home Differential]])-Table4[[#This Row],[Away Differential]]</f>
        <v>1.7971073549829228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0.77895926972405327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-0.63765723729815182</v>
      </c>
      <c r="H807" t="s">
        <v>31</v>
      </c>
      <c r="I807">
        <f>VLOOKUP(Table4[[#This Row],[Visitor]],'NHL Model'!$A$6:$B$38,2,FALSE)</f>
        <v>0.18193976369097953</v>
      </c>
      <c r="J807">
        <f>($B$1+Table4[[#This Row],[Home Differential]])-Table4[[#This Row],[Away Differential]]</f>
        <v>-0.77021058856251001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0.56936310247652744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-0.44540084513285771</v>
      </c>
      <c r="H808" t="s">
        <v>15</v>
      </c>
      <c r="I808">
        <f>VLOOKUP(Table4[[#This Row],[Visitor]],'NHL Model'!$A$6:$B$38,2,FALSE)</f>
        <v>-0.2172114589315223</v>
      </c>
      <c r="J808">
        <f>($B$1+Table4[[#This Row],[Home Differential]])-Table4[[#This Row],[Away Differential]]</f>
        <v>-0.17880297377471413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0.57056690462934934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-0.50406821212948805</v>
      </c>
      <c r="H809" t="s">
        <v>20</v>
      </c>
      <c r="I809">
        <f>VLOOKUP(Table4[[#This Row],[Visitor]],'NHL Model'!$A$6:$B$38,2,FALSE)</f>
        <v>-0.21936273413039192</v>
      </c>
      <c r="J809">
        <f>($B$1+Table4[[#This Row],[Home Differential]])-Table4[[#This Row],[Away Differential]]</f>
        <v>-0.23531906557247484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0.48706769734822569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-0.93150212402040711</v>
      </c>
      <c r="H810" t="s">
        <v>24</v>
      </c>
      <c r="I810">
        <f>VLOOKUP(Table4[[#This Row],[Visitor]],'NHL Model'!$A$6:$B$38,2,FALSE)</f>
        <v>1.5071179757482971E-3</v>
      </c>
      <c r="J810">
        <f>($B$1+Table4[[#This Row],[Home Differential]])-Table4[[#This Row],[Away Differential]]</f>
        <v>-0.88362282956953409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0.58240840421480367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-0.24831960772154485</v>
      </c>
      <c r="H811" t="s">
        <v>18</v>
      </c>
      <c r="I811">
        <f>VLOOKUP(Table4[[#This Row],[Visitor]],'NHL Model'!$A$6:$B$38,2,FALSE)</f>
        <v>-0.68642169651276408</v>
      </c>
      <c r="J811">
        <f>($B$1+Table4[[#This Row],[Home Differential]])-Table4[[#This Row],[Away Differential]]</f>
        <v>0.48748850121784054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0.58034546189815106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-0.56850564030144513</v>
      </c>
      <c r="H812" t="s">
        <v>37</v>
      </c>
      <c r="I812">
        <f>VLOOKUP(Table4[[#This Row],[Visitor]],'NHL Model'!$A$6:$B$38,2,FALSE)</f>
        <v>0.46523362857782063</v>
      </c>
      <c r="J812">
        <f>($B$1+Table4[[#This Row],[Home Differential]])-Table4[[#This Row],[Away Differential]]</f>
        <v>-0.98435285645264448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0.64584886604619285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-0.82464120527377915</v>
      </c>
      <c r="H813" t="s">
        <v>22</v>
      </c>
      <c r="I813">
        <f>VLOOKUP(Table4[[#This Row],[Visitor]],'NHL Model'!$A$6:$B$38,2,FALSE)</f>
        <v>0.49679678069457273</v>
      </c>
      <c r="J813">
        <f>($B$1+Table4[[#This Row],[Home Differential]])-Table4[[#This Row],[Away Differential]]</f>
        <v>-1.2720515735417306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0.66560622464845065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-3.2419815263072818E-2</v>
      </c>
      <c r="H814" t="s">
        <v>11</v>
      </c>
      <c r="I814">
        <f>VLOOKUP(Table4[[#This Row],[Visitor]],'NHL Model'!$A$6:$B$38,2,FALSE)</f>
        <v>-0.51447808915301396</v>
      </c>
      <c r="J814">
        <f>($B$1+Table4[[#This Row],[Home Differential]])-Table4[[#This Row],[Away Differential]]</f>
        <v>0.5314446863165625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0.60112970018618861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-1.2257669814473033</v>
      </c>
      <c r="H815" t="s">
        <v>55</v>
      </c>
      <c r="I815">
        <f>VLOOKUP(Table4[[#This Row],[Visitor]],'NHL Model'!$A$6:$B$38,2,FALSE)</f>
        <v>-0.3968452829365326</v>
      </c>
      <c r="J815">
        <f>($B$1+Table4[[#This Row],[Home Differential]])-Table4[[#This Row],[Away Differential]]</f>
        <v>-0.77953528608414957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0.5496664498673598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-0.16042088891566345</v>
      </c>
      <c r="H816" t="s">
        <v>23</v>
      </c>
      <c r="I816">
        <f>VLOOKUP(Table4[[#This Row],[Visitor]],'NHL Model'!$A$6:$B$38,2,FALSE)</f>
        <v>-0.46454876921224991</v>
      </c>
      <c r="J816">
        <f>($B$1+Table4[[#This Row],[Home Differential]])-Table4[[#This Row],[Away Differential]]</f>
        <v>0.35351429272320778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0.58066316454395739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-0.430694899721771</v>
      </c>
      <c r="H817" t="s">
        <v>25</v>
      </c>
      <c r="I817">
        <f>VLOOKUP(Table4[[#This Row],[Visitor]],'NHL Model'!$A$6:$B$38,2,FALSE)</f>
        <v>0.4370463247440865</v>
      </c>
      <c r="J817">
        <f>($B$1+Table4[[#This Row],[Home Differential]])-Table4[[#This Row],[Away Differential]]</f>
        <v>-0.81835481203923621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0.62425216786592463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-1.3795663642467595</v>
      </c>
      <c r="H818" t="s">
        <v>13</v>
      </c>
      <c r="I818">
        <f>VLOOKUP(Table4[[#This Row],[Visitor]],'NHL Model'!$A$6:$B$38,2,FALSE)</f>
        <v>-0.36690387823407311</v>
      </c>
      <c r="J818">
        <f>($B$1+Table4[[#This Row],[Home Differential]])-Table4[[#This Row],[Away Differential]]</f>
        <v>-0.96327607358606515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0.63711711855079822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-0.30901762292301305</v>
      </c>
      <c r="H819" t="s">
        <v>26</v>
      </c>
      <c r="I819">
        <f>VLOOKUP(Table4[[#This Row],[Visitor]],'NHL Model'!$A$6:$B$38,2,FALSE)</f>
        <v>-0.80014284799340474</v>
      </c>
      <c r="J819">
        <f>($B$1+Table4[[#This Row],[Home Differential]])-Table4[[#This Row],[Away Differential]]</f>
        <v>0.54051163749701292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0.60466811014425437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-1.2021149591105404</v>
      </c>
      <c r="H820" t="s">
        <v>31</v>
      </c>
      <c r="I820">
        <f>VLOOKUP(Table4[[#This Row],[Visitor]],'NHL Model'!$A$6:$B$38,2,FALSE)</f>
        <v>0.18193976369097953</v>
      </c>
      <c r="J820">
        <f>($B$1+Table4[[#This Row],[Home Differential]])-Table4[[#This Row],[Away Differential]]</f>
        <v>-1.3346683103748989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0.63429014416232365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-0.21549764750433295</v>
      </c>
      <c r="H821" t="s">
        <v>11</v>
      </c>
      <c r="I821">
        <f>VLOOKUP(Table4[[#This Row],[Visitor]],'NHL Model'!$A$6:$B$38,2,FALSE)</f>
        <v>-0.51447808915301396</v>
      </c>
      <c r="J821">
        <f>($B$1+Table4[[#This Row],[Home Differential]])-Table4[[#This Row],[Away Differential]]</f>
        <v>0.34836685407530232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0.58007107774852029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-0.430694899721771</v>
      </c>
      <c r="H822" t="s">
        <v>20</v>
      </c>
      <c r="I822">
        <f>VLOOKUP(Table4[[#This Row],[Visitor]],'NHL Model'!$A$6:$B$38,2,FALSE)</f>
        <v>-0.21936273413039192</v>
      </c>
      <c r="J822">
        <f>($B$1+Table4[[#This Row],[Home Differential]])-Table4[[#This Row],[Away Differential]]</f>
        <v>-0.16194575316475779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0.47613241489693114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-0.63765723729815182</v>
      </c>
      <c r="H823" t="s">
        <v>24</v>
      </c>
      <c r="I823">
        <f>VLOOKUP(Table4[[#This Row],[Visitor]],'NHL Model'!$A$6:$B$38,2,FALSE)</f>
        <v>1.5071179757482971E-3</v>
      </c>
      <c r="J823">
        <f>($B$1+Table4[[#This Row],[Home Differential]])-Table4[[#This Row],[Away Differential]]</f>
        <v>-0.5897779428472788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0.54860874398849691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-0.50406821212948805</v>
      </c>
      <c r="H824" t="s">
        <v>12</v>
      </c>
      <c r="I824">
        <f>VLOOKUP(Table4[[#This Row],[Visitor]],'NHL Model'!$A$6:$B$38,2,FALSE)</f>
        <v>1.6140407860044261</v>
      </c>
      <c r="J824">
        <f>($B$1+Table4[[#This Row],[Home Differential]])-Table4[[#This Row],[Away Differential]]</f>
        <v>-2.0687225857072931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0.77057905555989548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-0.93150212402040711</v>
      </c>
      <c r="H825" t="s">
        <v>14</v>
      </c>
      <c r="I825">
        <f>VLOOKUP(Table4[[#This Row],[Visitor]],'NHL Model'!$A$6:$B$38,2,FALSE)</f>
        <v>-0.10735719588407502</v>
      </c>
      <c r="J825">
        <f>($B$1+Table4[[#This Row],[Home Differential]])-Table4[[#This Row],[Away Differential]]</f>
        <v>-0.77475851570971077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0.58840373262021384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-0.56850564030144513</v>
      </c>
      <c r="H826" t="s">
        <v>13</v>
      </c>
      <c r="I826">
        <f>VLOOKUP(Table4[[#This Row],[Visitor]],'NHL Model'!$A$6:$B$38,2,FALSE)</f>
        <v>-0.36690387823407311</v>
      </c>
      <c r="J826">
        <f>($B$1+Table4[[#This Row],[Home Differential]])-Table4[[#This Row],[Away Differential]]</f>
        <v>-0.15221534964075067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0.54382443887192533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-0.82464120527377915</v>
      </c>
      <c r="H827" t="s">
        <v>31</v>
      </c>
      <c r="I827">
        <f>VLOOKUP(Table4[[#This Row],[Visitor]],'NHL Model'!$A$6:$B$38,2,FALSE)</f>
        <v>0.18193976369097953</v>
      </c>
      <c r="J827">
        <f>($B$1+Table4[[#This Row],[Home Differential]])-Table4[[#This Row],[Away Differential]]</f>
        <v>-0.95719455653813734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0.5908710301993485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-0.2172114589315223</v>
      </c>
      <c r="H828" t="s">
        <v>21</v>
      </c>
      <c r="I828">
        <f>VLOOKUP(Table4[[#This Row],[Visitor]],'NHL Model'!$A$6:$B$38,2,FALSE)</f>
        <v>-0.24831960772154485</v>
      </c>
      <c r="J828">
        <f>($B$1+Table4[[#This Row],[Home Differential]])-Table4[[#This Row],[Away Differential]]</f>
        <v>8.0494561216643862E-2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0.54925892857805569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-0.36903552884843377</v>
      </c>
      <c r="H829" t="s">
        <v>30</v>
      </c>
      <c r="I829">
        <f>VLOOKUP(Table4[[#This Row],[Visitor]],'NHL Model'!$A$6:$B$38,2,FALSE)</f>
        <v>-0.16042088891566345</v>
      </c>
      <c r="J829">
        <f>($B$1+Table4[[#This Row],[Home Differential]])-Table4[[#This Row],[Away Differential]]</f>
        <v>-0.15922822750614904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0.53683382782397504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0.46523362857782063</v>
      </c>
      <c r="H830" t="s">
        <v>55</v>
      </c>
      <c r="I830">
        <f>VLOOKUP(Table4[[#This Row],[Visitor]],'NHL Model'!$A$6:$B$38,2,FALSE)</f>
        <v>-0.3968452829365326</v>
      </c>
      <c r="J830">
        <f>($B$1+Table4[[#This Row],[Home Differential]])-Table4[[#This Row],[Away Differential]]</f>
        <v>0.91146532394097446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0.67708783658372318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-0.24831960772154485</v>
      </c>
      <c r="H831" t="s">
        <v>29</v>
      </c>
      <c r="I831">
        <f>VLOOKUP(Table4[[#This Row],[Visitor]],'NHL Model'!$A$6:$B$38,2,FALSE)</f>
        <v>-1.2257669814473033</v>
      </c>
      <c r="J831">
        <f>($B$1+Table4[[#This Row],[Home Differential]])-Table4[[#This Row],[Away Differential]]</f>
        <v>1.0268337861523797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0.701013642274667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-0.80014284799340474</v>
      </c>
      <c r="H832" t="s">
        <v>13</v>
      </c>
      <c r="I832">
        <f>VLOOKUP(Table4[[#This Row],[Visitor]],'NHL Model'!$A$6:$B$38,2,FALSE)</f>
        <v>-0.36690387823407311</v>
      </c>
      <c r="J832">
        <f>($B$1+Table4[[#This Row],[Home Differential]])-Table4[[#This Row],[Away Differential]]</f>
        <v>-0.38385255733271029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0.56028187139563224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-0.51447808915301396</v>
      </c>
      <c r="H833" t="s">
        <v>55</v>
      </c>
      <c r="I833">
        <f>VLOOKUP(Table4[[#This Row],[Visitor]],'NHL Model'!$A$6:$B$38,2,FALSE)</f>
        <v>-0.3968452829365326</v>
      </c>
      <c r="J833">
        <f>($B$1+Table4[[#This Row],[Home Differential]])-Table4[[#This Row],[Away Differential]]</f>
        <v>-6.8246393789860083E-2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0.46785007677859758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-3.2419815263072818E-2</v>
      </c>
      <c r="H834" t="s">
        <v>10</v>
      </c>
      <c r="I834">
        <f>VLOOKUP(Table4[[#This Row],[Visitor]],'NHL Model'!$A$6:$B$38,2,FALSE)</f>
        <v>-0.21549764750433295</v>
      </c>
      <c r="J834">
        <f>($B$1+Table4[[#This Row],[Home Differential]])-Table4[[#This Row],[Away Differential]]</f>
        <v>0.23246424466788143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0.56673932009566041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-0.68642169651276408</v>
      </c>
      <c r="H835" t="s">
        <v>20</v>
      </c>
      <c r="I835">
        <f>VLOOKUP(Table4[[#This Row],[Visitor]],'NHL Model'!$A$6:$B$38,2,FALSE)</f>
        <v>-0.21936273413039192</v>
      </c>
      <c r="J835">
        <f>($B$1+Table4[[#This Row],[Home Differential]])-Table4[[#This Row],[Away Differential]]</f>
        <v>-0.41767254995575082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0.50804300129851576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1.5071179757482971E-3</v>
      </c>
      <c r="H836" t="s">
        <v>40</v>
      </c>
      <c r="I836">
        <f>VLOOKUP(Table4[[#This Row],[Visitor]],'NHL Model'!$A$6:$B$38,2,FALSE)</f>
        <v>-0.30901762292301305</v>
      </c>
      <c r="J836">
        <f>($B$1+Table4[[#This Row],[Home Differential]])-Table4[[#This Row],[Away Differential]]</f>
        <v>0.35991115332538265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0.64139896674654229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-0.63765723729815182</v>
      </c>
      <c r="H837" t="s">
        <v>22</v>
      </c>
      <c r="I837">
        <f>VLOOKUP(Table4[[#This Row],[Visitor]],'NHL Model'!$A$6:$B$38,2,FALSE)</f>
        <v>0.49679678069457273</v>
      </c>
      <c r="J837">
        <f>($B$1+Table4[[#This Row],[Home Differential]])-Table4[[#This Row],[Away Differential]]</f>
        <v>-1.0850676055661033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0.64409829692562948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-1.3795663642467595</v>
      </c>
      <c r="H838" t="s">
        <v>39</v>
      </c>
      <c r="I838">
        <f>VLOOKUP(Table4[[#This Row],[Visitor]],'NHL Model'!$A$6:$B$38,2,FALSE)</f>
        <v>0.36815457830954207</v>
      </c>
      <c r="J838">
        <f>($B$1+Table4[[#This Row],[Home Differential]])-Table4[[#This Row],[Away Differential]]</f>
        <v>-1.6983345301296804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0.73883006946933694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-0.50406821212948805</v>
      </c>
      <c r="H839" t="s">
        <v>23</v>
      </c>
      <c r="I839">
        <f>VLOOKUP(Table4[[#This Row],[Visitor]],'NHL Model'!$A$6:$B$38,2,FALSE)</f>
        <v>-0.46454876921224991</v>
      </c>
      <c r="J839">
        <f>($B$1+Table4[[#This Row],[Home Differential]])-Table4[[#This Row],[Away Differential]]</f>
        <v>9.86696950938315E-3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0.54113495327620154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-0.93150212402040711</v>
      </c>
      <c r="H840" t="s">
        <v>33</v>
      </c>
      <c r="I840">
        <f>VLOOKUP(Table4[[#This Row],[Visitor]],'NHL Model'!$A$6:$B$38,2,FALSE)</f>
        <v>-0.44540084513285771</v>
      </c>
      <c r="J840">
        <f>($B$1+Table4[[#This Row],[Home Differential]])-Table4[[#This Row],[Away Differential]]</f>
        <v>-0.43671486646092805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0.51023335361322231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-0.56850564030144513</v>
      </c>
      <c r="H841" t="s">
        <v>27</v>
      </c>
      <c r="I841">
        <f>VLOOKUP(Table4[[#This Row],[Visitor]],'NHL Model'!$A$6:$B$38,2,FALSE)</f>
        <v>-0.36903552884843377</v>
      </c>
      <c r="J841">
        <f>($B$1+Table4[[#This Row],[Home Differential]])-Table4[[#This Row],[Away Differential]]</f>
        <v>-0.15008369902639002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0.51977601799678408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-0.16042088891566345</v>
      </c>
      <c r="H842" t="s">
        <v>15</v>
      </c>
      <c r="I842">
        <f>VLOOKUP(Table4[[#This Row],[Visitor]],'NHL Model'!$A$6:$B$38,2,FALSE)</f>
        <v>-0.2172114589315223</v>
      </c>
      <c r="J842">
        <f>($B$1+Table4[[#This Row],[Home Differential]])-Table4[[#This Row],[Away Differential]]</f>
        <v>0.10617698244248017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0.45213159598089753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-0.430694899721771</v>
      </c>
      <c r="H843" t="s">
        <v>12</v>
      </c>
      <c r="I843">
        <f>VLOOKUP(Table4[[#This Row],[Visitor]],'NHL Model'!$A$6:$B$38,2,FALSE)</f>
        <v>1.6140407860044261</v>
      </c>
      <c r="J843">
        <f>($B$1+Table4[[#This Row],[Home Differential]])-Table4[[#This Row],[Away Differential]]</f>
        <v>-1.9953492732995759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0.75963656513279554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-0.24831960772154485</v>
      </c>
      <c r="H844" t="s">
        <v>27</v>
      </c>
      <c r="I844">
        <f>VLOOKUP(Table4[[#This Row],[Visitor]],'NHL Model'!$A$6:$B$38,2,FALSE)</f>
        <v>-0.36903552884843377</v>
      </c>
      <c r="J844">
        <f>($B$1+Table4[[#This Row],[Home Differential]])-Table4[[#This Row],[Away Differential]]</f>
        <v>0.17010233355351023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0.56054971554073652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-0.46454876921224991</v>
      </c>
      <c r="H845" t="s">
        <v>13</v>
      </c>
      <c r="I845">
        <f>VLOOKUP(Table4[[#This Row],[Visitor]],'NHL Model'!$A$6:$B$38,2,FALSE)</f>
        <v>-0.36690387823407311</v>
      </c>
      <c r="J845">
        <f>($B$1+Table4[[#This Row],[Home Differential]])-Table4[[#This Row],[Away Differential]]</f>
        <v>-4.8258478551555517E-2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0.52167998873811661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0.4370463247440865</v>
      </c>
      <c r="H846" t="s">
        <v>55</v>
      </c>
      <c r="I846">
        <f>VLOOKUP(Table4[[#This Row],[Visitor]],'NHL Model'!$A$6:$B$38,2,FALSE)</f>
        <v>-0.3968452829365326</v>
      </c>
      <c r="J846">
        <f>($B$1+Table4[[#This Row],[Home Differential]])-Table4[[#This Row],[Away Differential]]</f>
        <v>0.88327802010724032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0.69331548789001674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-0.80014284799340474</v>
      </c>
      <c r="H847" t="s">
        <v>22</v>
      </c>
      <c r="I847">
        <f>VLOOKUP(Table4[[#This Row],[Visitor]],'NHL Model'!$A$6:$B$38,2,FALSE)</f>
        <v>0.49679678069457273</v>
      </c>
      <c r="J847">
        <f>($B$1+Table4[[#This Row],[Home Differential]])-Table4[[#This Row],[Away Differential]]</f>
        <v>-1.2475532162613561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0.65259136368185977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-0.82464120527377915</v>
      </c>
      <c r="H848" t="s">
        <v>33</v>
      </c>
      <c r="I848">
        <f>VLOOKUP(Table4[[#This Row],[Visitor]],'NHL Model'!$A$6:$B$38,2,FALSE)</f>
        <v>-0.44540084513285771</v>
      </c>
      <c r="J848">
        <f>($B$1+Table4[[#This Row],[Home Differential]])-Table4[[#This Row],[Away Differential]]</f>
        <v>-0.3298539477143001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0.49794162110973672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-3.2419815263072818E-2</v>
      </c>
      <c r="H849" t="s">
        <v>16</v>
      </c>
      <c r="I849">
        <f>VLOOKUP(Table4[[#This Row],[Visitor]],'NHL Model'!$A$6:$B$38,2,FALSE)</f>
        <v>-1.2021149591105404</v>
      </c>
      <c r="J849">
        <f>($B$1+Table4[[#This Row],[Home Differential]])-Table4[[#This Row],[Away Differential]]</f>
        <v>1.2190815562740889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0.68022548716040243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-0.68642169651276408</v>
      </c>
      <c r="H850" t="s">
        <v>12</v>
      </c>
      <c r="I850">
        <f>VLOOKUP(Table4[[#This Row],[Visitor]],'NHL Model'!$A$6:$B$38,2,FALSE)</f>
        <v>1.6140407860044261</v>
      </c>
      <c r="J850">
        <f>($B$1+Table4[[#This Row],[Home Differential]])-Table4[[#This Row],[Away Differential]]</f>
        <v>-2.2510760700905688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0.7915543595101856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1.5071179757482971E-3</v>
      </c>
      <c r="H851" t="s">
        <v>29</v>
      </c>
      <c r="I851">
        <f>VLOOKUP(Table4[[#This Row],[Visitor]],'NHL Model'!$A$6:$B$38,2,FALSE)</f>
        <v>-1.2257669814473033</v>
      </c>
      <c r="J851">
        <f>($B$1+Table4[[#This Row],[Home Differential]])-Table4[[#This Row],[Away Differential]]</f>
        <v>1.276660511849673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0.7666832470793965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-0.2172114589315223</v>
      </c>
      <c r="H852" t="s">
        <v>30</v>
      </c>
      <c r="I852">
        <f>VLOOKUP(Table4[[#This Row],[Visitor]],'NHL Model'!$A$6:$B$38,2,FALSE)</f>
        <v>-0.16042088891566345</v>
      </c>
      <c r="J852">
        <f>($B$1+Table4[[#This Row],[Home Differential]])-Table4[[#This Row],[Away Differential]]</f>
        <v>-7.4041575892375422E-3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0.53347483616788172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-0.10735719588407502</v>
      </c>
      <c r="H853" t="s">
        <v>10</v>
      </c>
      <c r="I853">
        <f>VLOOKUP(Table4[[#This Row],[Visitor]],'NHL Model'!$A$6:$B$38,2,FALSE)</f>
        <v>-0.21549764750433295</v>
      </c>
      <c r="J853">
        <f>($B$1+Table4[[#This Row],[Home Differential]])-Table4[[#This Row],[Away Differential]]</f>
        <v>0.15752686404687924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0.55811960909271419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-0.63765723729815182</v>
      </c>
      <c r="H854" t="s">
        <v>19</v>
      </c>
      <c r="I854">
        <f>VLOOKUP(Table4[[#This Row],[Visitor]],'NHL Model'!$A$6:$B$38,2,FALSE)</f>
        <v>-0.50406821212948805</v>
      </c>
      <c r="J854">
        <f>($B$1+Table4[[#This Row],[Home Differential]])-Table4[[#This Row],[Away Differential]]</f>
        <v>-8.4202612742042438E-2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0.46968544912451859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-1.3795663642467595</v>
      </c>
      <c r="H855" t="s">
        <v>11</v>
      </c>
      <c r="I855">
        <f>VLOOKUP(Table4[[#This Row],[Visitor]],'NHL Model'!$A$6:$B$38,2,FALSE)</f>
        <v>-0.51447808915301396</v>
      </c>
      <c r="J855">
        <f>($B$1+Table4[[#This Row],[Home Differential]])-Table4[[#This Row],[Away Differential]]</f>
        <v>-0.8157018626671243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0.5538265290631863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0.46523362857782063</v>
      </c>
      <c r="H856" t="s">
        <v>40</v>
      </c>
      <c r="I856">
        <f>VLOOKUP(Table4[[#This Row],[Visitor]],'NHL Model'!$A$6:$B$38,2,FALSE)</f>
        <v>-0.30901762292301305</v>
      </c>
      <c r="J856">
        <f>($B$1+Table4[[#This Row],[Home Differential]])-Table4[[#This Row],[Away Differential]]</f>
        <v>0.82363766392745497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0.64646348664275932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-0.93150212402040711</v>
      </c>
      <c r="H857" t="s">
        <v>31</v>
      </c>
      <c r="I857">
        <f>VLOOKUP(Table4[[#This Row],[Visitor]],'NHL Model'!$A$6:$B$38,2,FALSE)</f>
        <v>0.18193976369097953</v>
      </c>
      <c r="J857">
        <f>($B$1+Table4[[#This Row],[Home Differential]])-Table4[[#This Row],[Away Differential]]</f>
        <v>-1.0640554752847653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0.6031627627028342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-0.21936273413039192</v>
      </c>
      <c r="H858" t="s">
        <v>39</v>
      </c>
      <c r="I858">
        <f>VLOOKUP(Table4[[#This Row],[Visitor]],'NHL Model'!$A$6:$B$38,2,FALSE)</f>
        <v>0.36815457830954207</v>
      </c>
      <c r="J858">
        <f>($B$1+Table4[[#This Row],[Home Differential]])-Table4[[#This Row],[Away Differential]]</f>
        <v>-0.53813090001331265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0.60537704624784783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-0.21549764750433295</v>
      </c>
      <c r="H859" t="s">
        <v>28</v>
      </c>
      <c r="I859">
        <f>VLOOKUP(Table4[[#This Row],[Visitor]],'NHL Model'!$A$6:$B$38,2,FALSE)</f>
        <v>-0.56850564030144513</v>
      </c>
      <c r="J859">
        <f>($B$1+Table4[[#This Row],[Home Differential]])-Table4[[#This Row],[Away Differential]]</f>
        <v>0.40239440522373349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0.58270946585042838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-0.46454876921224991</v>
      </c>
      <c r="H860" t="s">
        <v>18</v>
      </c>
      <c r="I860">
        <f>VLOOKUP(Table4[[#This Row],[Visitor]],'NHL Model'!$A$6:$B$38,2,FALSE)</f>
        <v>-0.68642169651276408</v>
      </c>
      <c r="J860">
        <f>($B$1+Table4[[#This Row],[Home Differential]])-Table4[[#This Row],[Away Differential]]</f>
        <v>0.27125933972713545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0.5221108368991636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-1.2021149591105404</v>
      </c>
      <c r="H861" t="s">
        <v>33</v>
      </c>
      <c r="I861">
        <f>VLOOKUP(Table4[[#This Row],[Visitor]],'NHL Model'!$A$6:$B$38,2,FALSE)</f>
        <v>-0.44540084513285771</v>
      </c>
      <c r="J861">
        <f>($B$1+Table4[[#This Row],[Home Differential]])-Table4[[#This Row],[Away Differential]]</f>
        <v>-0.70732770155106151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0.54136073507271176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-0.80014284799340474</v>
      </c>
      <c r="H862" t="s">
        <v>12</v>
      </c>
      <c r="I862">
        <f>VLOOKUP(Table4[[#This Row],[Visitor]],'NHL Model'!$A$6:$B$38,2,FALSE)</f>
        <v>1.6140407860044261</v>
      </c>
      <c r="J862">
        <f>($B$1+Table4[[#This Row],[Home Differential]])-Table4[[#This Row],[Away Differential]]</f>
        <v>-2.3647972215712096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0.79446100431960109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-0.82464120527377915</v>
      </c>
      <c r="H863" t="s">
        <v>34</v>
      </c>
      <c r="I863">
        <f>VLOOKUP(Table4[[#This Row],[Visitor]],'NHL Model'!$A$6:$B$38,2,FALSE)</f>
        <v>-3.2419815263072818E-2</v>
      </c>
      <c r="J863">
        <f>($B$1+Table4[[#This Row],[Home Differential]])-Table4[[#This Row],[Away Differential]]</f>
        <v>-0.74283497758408501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0.60473281170933635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-0.51447808915301396</v>
      </c>
      <c r="H864" t="s">
        <v>40</v>
      </c>
      <c r="I864">
        <f>VLOOKUP(Table4[[#This Row],[Visitor]],'NHL Model'!$A$6:$B$38,2,FALSE)</f>
        <v>-0.30901762292301305</v>
      </c>
      <c r="J864">
        <f>($B$1+Table4[[#This Row],[Home Differential]])-Table4[[#This Row],[Away Differential]]</f>
        <v>-0.15607405380337963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0.498721729611529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-0.16042088891566345</v>
      </c>
      <c r="H865" t="s">
        <v>29</v>
      </c>
      <c r="I865">
        <f>VLOOKUP(Table4[[#This Row],[Visitor]],'NHL Model'!$A$6:$B$38,2,FALSE)</f>
        <v>-1.2257669814473033</v>
      </c>
      <c r="J865">
        <f>($B$1+Table4[[#This Row],[Home Differential]])-Table4[[#This Row],[Away Differential]]</f>
        <v>1.1147325049582613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0.66822268350860314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-0.430694899721771</v>
      </c>
      <c r="H866" t="s">
        <v>24</v>
      </c>
      <c r="I866">
        <f>VLOOKUP(Table4[[#This Row],[Visitor]],'NHL Model'!$A$6:$B$38,2,FALSE)</f>
        <v>1.5071179757482971E-3</v>
      </c>
      <c r="J866">
        <f>($B$1+Table4[[#This Row],[Home Differential]])-Table4[[#This Row],[Away Differential]]</f>
        <v>-0.38281560527089803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0.5222944327550183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-0.36903552884843377</v>
      </c>
      <c r="H867" t="s">
        <v>13</v>
      </c>
      <c r="I867">
        <f>VLOOKUP(Table4[[#This Row],[Visitor]],'NHL Model'!$A$6:$B$38,2,FALSE)</f>
        <v>-0.36690387823407311</v>
      </c>
      <c r="J867">
        <f>($B$1+Table4[[#This Row],[Home Differential]])-Table4[[#This Row],[Away Differential]]</f>
        <v>4.7254761812260626E-2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0.49324038149124522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-0.10735719588407502</v>
      </c>
      <c r="H868" t="s">
        <v>15</v>
      </c>
      <c r="I868">
        <f>VLOOKUP(Table4[[#This Row],[Visitor]],'NHL Model'!$A$6:$B$38,2,FALSE)</f>
        <v>-0.2172114589315223</v>
      </c>
      <c r="J868">
        <f>($B$1+Table4[[#This Row],[Home Differential]])-Table4[[#This Row],[Away Differential]]</f>
        <v>0.15924067547406859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0.45823527474429898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-1.3795663642467595</v>
      </c>
      <c r="H869" t="s">
        <v>28</v>
      </c>
      <c r="I869">
        <f>VLOOKUP(Table4[[#This Row],[Visitor]],'NHL Model'!$A$6:$B$38,2,FALSE)</f>
        <v>-0.56850564030144513</v>
      </c>
      <c r="J869">
        <f>($B$1+Table4[[#This Row],[Home Differential]])-Table4[[#This Row],[Away Differential]]</f>
        <v>-0.76167431151869314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0.55118814096127799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-0.3968452829365326</v>
      </c>
      <c r="H870" t="s">
        <v>39</v>
      </c>
      <c r="I870">
        <f>VLOOKUP(Table4[[#This Row],[Visitor]],'NHL Model'!$A$6:$B$38,2,FALSE)</f>
        <v>0.36815457830954207</v>
      </c>
      <c r="J870">
        <f>($B$1+Table4[[#This Row],[Home Differential]])-Table4[[#This Row],[Away Differential]]</f>
        <v>-0.71561344881945343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0.58485187850799358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-0.93150212402040711</v>
      </c>
      <c r="H871" t="s">
        <v>19</v>
      </c>
      <c r="I871">
        <f>VLOOKUP(Table4[[#This Row],[Visitor]],'NHL Model'!$A$6:$B$38,2,FALSE)</f>
        <v>-0.50406821212948805</v>
      </c>
      <c r="J871">
        <f>($B$1+Table4[[#This Row],[Home Differential]])-Table4[[#This Row],[Away Differential]]</f>
        <v>-0.37804749946429772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0.50348510935082536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-0.21936273413039192</v>
      </c>
      <c r="H872" t="s">
        <v>32</v>
      </c>
      <c r="I872">
        <f>VLOOKUP(Table4[[#This Row],[Visitor]],'NHL Model'!$A$6:$B$38,2,FALSE)</f>
        <v>-0.63765723729815182</v>
      </c>
      <c r="J872">
        <f>($B$1+Table4[[#This Row],[Home Differential]])-Table4[[#This Row],[Away Differential]]</f>
        <v>0.46768091559438119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0.59379523944672041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0.49679678069457273</v>
      </c>
      <c r="H873" t="s">
        <v>25</v>
      </c>
      <c r="I873">
        <f>VLOOKUP(Table4[[#This Row],[Visitor]],'NHL Model'!$A$6:$B$38,2,FALSE)</f>
        <v>0.4370463247440865</v>
      </c>
      <c r="J873">
        <f>($B$1+Table4[[#This Row],[Home Differential]])-Table4[[#This Row],[Away Differential]]</f>
        <v>0.10913686837710751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0.50622441086399872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0.18193976369097953</v>
      </c>
      <c r="H874" t="s">
        <v>20</v>
      </c>
      <c r="I874">
        <f>VLOOKUP(Table4[[#This Row],[Visitor]],'NHL Model'!$A$6:$B$38,2,FALSE)</f>
        <v>-0.21936273413039192</v>
      </c>
      <c r="J874">
        <f>($B$1+Table4[[#This Row],[Home Differential]])-Table4[[#This Row],[Away Differential]]</f>
        <v>0.45068891024799274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0.67167543597835411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0.4370463247440865</v>
      </c>
      <c r="H875" t="s">
        <v>13</v>
      </c>
      <c r="I875">
        <f>VLOOKUP(Table4[[#This Row],[Visitor]],'NHL Model'!$A$6:$B$38,2,FALSE)</f>
        <v>-0.36690387823407311</v>
      </c>
      <c r="J875">
        <f>($B$1+Table4[[#This Row],[Home Differential]])-Table4[[#This Row],[Away Differential]]</f>
        <v>0.8533366154047809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0.62447127545500192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0.46523362857782063</v>
      </c>
      <c r="H876" t="s">
        <v>21</v>
      </c>
      <c r="I876">
        <f>VLOOKUP(Table4[[#This Row],[Visitor]],'NHL Model'!$A$6:$B$38,2,FALSE)</f>
        <v>-0.24831960772154485</v>
      </c>
      <c r="J876">
        <f>($B$1+Table4[[#This Row],[Home Differential]])-Table4[[#This Row],[Away Differential]]</f>
        <v>0.76293964872598674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0.66000359389654506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-1.2021149591105404</v>
      </c>
      <c r="H877" t="s">
        <v>19</v>
      </c>
      <c r="I877">
        <f>VLOOKUP(Table4[[#This Row],[Visitor]],'NHL Model'!$A$6:$B$38,2,FALSE)</f>
        <v>-0.50406821212948805</v>
      </c>
      <c r="J877">
        <f>($B$1+Table4[[#This Row],[Home Differential]])-Table4[[#This Row],[Away Differential]]</f>
        <v>-0.64866033455443117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0.53461249081031481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-0.21549764750433295</v>
      </c>
      <c r="H878" t="s">
        <v>33</v>
      </c>
      <c r="I878">
        <f>VLOOKUP(Table4[[#This Row],[Visitor]],'NHL Model'!$A$6:$B$38,2,FALSE)</f>
        <v>-0.44540084513285771</v>
      </c>
      <c r="J878">
        <f>($B$1+Table4[[#This Row],[Home Differential]])-Table4[[#This Row],[Away Differential]]</f>
        <v>0.27928961005514608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0.57212543199203036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1.6140407860044261</v>
      </c>
      <c r="H879" t="s">
        <v>26</v>
      </c>
      <c r="I879">
        <f>VLOOKUP(Table4[[#This Row],[Visitor]],'NHL Model'!$A$6:$B$38,2,FALSE)</f>
        <v>-0.80014284799340474</v>
      </c>
      <c r="J879">
        <f>($B$1+Table4[[#This Row],[Home Differential]])-Table4[[#This Row],[Away Differential]]</f>
        <v>2.4635700464244521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0.93119438588591552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0.36815457830954207</v>
      </c>
      <c r="H880" t="s">
        <v>40</v>
      </c>
      <c r="I880">
        <f>VLOOKUP(Table4[[#This Row],[Visitor]],'NHL Model'!$A$6:$B$38,2,FALSE)</f>
        <v>-0.30901762292301305</v>
      </c>
      <c r="J880">
        <f>($B$1+Table4[[#This Row],[Home Differential]])-Table4[[#This Row],[Away Differential]]</f>
        <v>0.7265586136591764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0.63529691862532156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-0.51447808915301396</v>
      </c>
      <c r="H881" t="s">
        <v>23</v>
      </c>
      <c r="I881">
        <f>VLOOKUP(Table4[[#This Row],[Visitor]],'NHL Model'!$A$6:$B$38,2,FALSE)</f>
        <v>-0.46454876921224991</v>
      </c>
      <c r="J881">
        <f>($B$1+Table4[[#This Row],[Home Differential]])-Table4[[#This Row],[Away Differential]]</f>
        <v>-5.4290751414276528E-4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0.4600624482178915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-3.2419815263072818E-2</v>
      </c>
      <c r="H882" t="s">
        <v>18</v>
      </c>
      <c r="I882">
        <f>VLOOKUP(Table4[[#This Row],[Visitor]],'NHL Model'!$A$6:$B$38,2,FALSE)</f>
        <v>-0.68642169651276408</v>
      </c>
      <c r="J882">
        <f>($B$1+Table4[[#This Row],[Home Differential]])-Table4[[#This Row],[Away Differential]]</f>
        <v>0.70338829367631261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0.56161976881449238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-1.2257669814473033</v>
      </c>
      <c r="H883" t="s">
        <v>35</v>
      </c>
      <c r="I883">
        <f>VLOOKUP(Table4[[#This Row],[Visitor]],'NHL Model'!$A$6:$B$38,2,FALSE)</f>
        <v>-1.3795663642467595</v>
      </c>
      <c r="J883">
        <f>($B$1+Table4[[#This Row],[Home Differential]])-Table4[[#This Row],[Away Differential]]</f>
        <v>0.20318579522607738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0.56337155129040817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-0.10735719588407502</v>
      </c>
      <c r="H884" t="s">
        <v>36</v>
      </c>
      <c r="I884">
        <f>VLOOKUP(Table4[[#This Row],[Visitor]],'NHL Model'!$A$6:$B$38,2,FALSE)</f>
        <v>-0.430694899721771</v>
      </c>
      <c r="J884">
        <f>($B$1+Table4[[#This Row],[Home Differential]])-Table4[[#This Row],[Away Differential]]</f>
        <v>0.37272411626431728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0.57929662550179739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-0.3968452829365326</v>
      </c>
      <c r="H885" t="s">
        <v>38</v>
      </c>
      <c r="I885">
        <f>VLOOKUP(Table4[[#This Row],[Visitor]],'NHL Model'!$A$6:$B$38,2,FALSE)</f>
        <v>-0.93150212402040711</v>
      </c>
      <c r="J885">
        <f>($B$1+Table4[[#This Row],[Home Differential]])-Table4[[#This Row],[Away Differential]]</f>
        <v>0.5840432535104958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0.64761105505540884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0.49679678069457273</v>
      </c>
      <c r="H886" t="s">
        <v>30</v>
      </c>
      <c r="I886">
        <f>VLOOKUP(Table4[[#This Row],[Visitor]],'NHL Model'!$A$6:$B$38,2,FALSE)</f>
        <v>-0.16042088891566345</v>
      </c>
      <c r="J886">
        <f>($B$1+Table4[[#This Row],[Home Differential]])-Table4[[#This Row],[Away Differential]]</f>
        <v>0.70660408203685743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0.57494838643940327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0.18193976369097953</v>
      </c>
      <c r="H887" t="s">
        <v>32</v>
      </c>
      <c r="I887">
        <f>VLOOKUP(Table4[[#This Row],[Visitor]],'NHL Model'!$A$6:$B$38,2,FALSE)</f>
        <v>-0.63765723729815182</v>
      </c>
      <c r="J887">
        <f>($B$1+Table4[[#This Row],[Home Differential]])-Table4[[#This Row],[Away Differential]]</f>
        <v>0.86898341341575269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0.71978997776708253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0.4370463247440865</v>
      </c>
      <c r="H888" t="s">
        <v>36</v>
      </c>
      <c r="I888">
        <f>VLOOKUP(Table4[[#This Row],[Visitor]],'NHL Model'!$A$6:$B$38,2,FALSE)</f>
        <v>-0.430694899721771</v>
      </c>
      <c r="J888">
        <f>($B$1+Table4[[#This Row],[Home Differential]])-Table4[[#This Row],[Away Differential]]</f>
        <v>0.91712763689247878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0.69372837537184495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-0.82464120527377915</v>
      </c>
      <c r="H889" t="s">
        <v>19</v>
      </c>
      <c r="I889">
        <f>VLOOKUP(Table4[[#This Row],[Visitor]],'NHL Model'!$A$6:$B$38,2,FALSE)</f>
        <v>-0.50406821212948805</v>
      </c>
      <c r="J889">
        <f>($B$1+Table4[[#This Row],[Home Differential]])-Table4[[#This Row],[Away Differential]]</f>
        <v>-0.27118658071766977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0.49119337684733971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1.5071179757482971E-3</v>
      </c>
      <c r="H890" t="s">
        <v>28</v>
      </c>
      <c r="I890">
        <f>VLOOKUP(Table4[[#This Row],[Visitor]],'NHL Model'!$A$6:$B$38,2,FALSE)</f>
        <v>-0.56850564030144513</v>
      </c>
      <c r="J890">
        <f>($B$1+Table4[[#This Row],[Home Differential]])-Table4[[#This Row],[Away Differential]]</f>
        <v>0.61939917070381467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0.68768506645352157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-0.16042088891566345</v>
      </c>
      <c r="H891" t="s">
        <v>14</v>
      </c>
      <c r="I891">
        <f>VLOOKUP(Table4[[#This Row],[Visitor]],'NHL Model'!$A$6:$B$38,2,FALSE)</f>
        <v>-0.10735719588407502</v>
      </c>
      <c r="J891">
        <f>($B$1+Table4[[#This Row],[Home Differential]])-Table4[[#This Row],[Away Differential]]</f>
        <v>-3.6772806049671092E-3</v>
      </c>
      <c r="K891" t="str">
        <f>IF(Table4[[#This Row],[HomeIce Differential]]&gt;0,Table4[[#This Row],[Home]],Table4[[#This Row],[Visitor]])</f>
        <v>Pittsburgh Penguins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0.49970971434364053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-0.36903552884843377</v>
      </c>
      <c r="H892" t="s">
        <v>22</v>
      </c>
      <c r="I892">
        <f>VLOOKUP(Table4[[#This Row],[Visitor]],'NHL Model'!$A$6:$B$38,2,FALSE)</f>
        <v>0.49679678069457273</v>
      </c>
      <c r="J892">
        <f>($B$1+Table4[[#This Row],[Home Differential]])-Table4[[#This Row],[Away Differential]]</f>
        <v>-0.81644589711638527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0.59906675118617614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0.46523362857782063</v>
      </c>
      <c r="H893" t="s">
        <v>23</v>
      </c>
      <c r="I893">
        <f>VLOOKUP(Table4[[#This Row],[Visitor]],'NHL Model'!$A$6:$B$38,2,FALSE)</f>
        <v>-0.46454876921224991</v>
      </c>
      <c r="J893">
        <f>($B$1+Table4[[#This Row],[Home Differential]])-Table4[[#This Row],[Away Differential]]</f>
        <v>0.97916881021669178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0.68487546514442921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-0.56850564030144513</v>
      </c>
      <c r="H894" t="s">
        <v>10</v>
      </c>
      <c r="I894">
        <f>VLOOKUP(Table4[[#This Row],[Visitor]],'NHL Model'!$A$6:$B$38,2,FALSE)</f>
        <v>-0.21549764750433295</v>
      </c>
      <c r="J894">
        <f>($B$1+Table4[[#This Row],[Home Differential]])-Table4[[#This Row],[Away Differential]]</f>
        <v>-0.30362158037049081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0.49492422947484166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-1.2021149591105404</v>
      </c>
      <c r="H895" t="s">
        <v>17</v>
      </c>
      <c r="I895">
        <f>VLOOKUP(Table4[[#This Row],[Visitor]],'NHL Model'!$A$6:$B$38,2,FALSE)</f>
        <v>-0.82464120527377915</v>
      </c>
      <c r="J895">
        <f>($B$1+Table4[[#This Row],[Home Differential]])-Table4[[#This Row],[Away Differential]]</f>
        <v>-0.32808734141014007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0.49773841630498306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1.6140407860044261</v>
      </c>
      <c r="H896" t="s">
        <v>33</v>
      </c>
      <c r="I896">
        <f>VLOOKUP(Table4[[#This Row],[Visitor]],'NHL Model'!$A$6:$B$38,2,FALSE)</f>
        <v>-0.44540084513285771</v>
      </c>
      <c r="J896">
        <f>($B$1+Table4[[#This Row],[Home Differential]])-Table4[[#This Row],[Away Differential]]</f>
        <v>2.1088280435639053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0.89039000334779361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0.36815457830954207</v>
      </c>
      <c r="H897" t="s">
        <v>35</v>
      </c>
      <c r="I897">
        <f>VLOOKUP(Table4[[#This Row],[Visitor]],'NHL Model'!$A$6:$B$38,2,FALSE)</f>
        <v>-1.3795663642467595</v>
      </c>
      <c r="J897">
        <f>($B$1+Table4[[#This Row],[Home Differential]])-Table4[[#This Row],[Away Differential]]</f>
        <v>1.7971073549829228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0.77895926972405327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-0.51447808915301396</v>
      </c>
      <c r="H898" t="s">
        <v>21</v>
      </c>
      <c r="I898">
        <f>VLOOKUP(Table4[[#This Row],[Visitor]],'NHL Model'!$A$6:$B$38,2,FALSE)</f>
        <v>-0.24831960772154485</v>
      </c>
      <c r="J898">
        <f>($B$1+Table4[[#This Row],[Home Differential]])-Table4[[#This Row],[Away Differential]]</f>
        <v>-0.21677206900484783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0.4849343194657757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-0.36690387823407311</v>
      </c>
      <c r="H899" t="s">
        <v>32</v>
      </c>
      <c r="I899">
        <f>VLOOKUP(Table4[[#This Row],[Visitor]],'NHL Model'!$A$6:$B$38,2,FALSE)</f>
        <v>-0.63765723729815182</v>
      </c>
      <c r="J899">
        <f>($B$1+Table4[[#This Row],[Home Differential]])-Table4[[#This Row],[Away Differential]]</f>
        <v>0.3201397714907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0.57682424296033741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-1.2257669814473033</v>
      </c>
      <c r="H900" t="s">
        <v>34</v>
      </c>
      <c r="I900">
        <f>VLOOKUP(Table4[[#This Row],[Visitor]],'NHL Model'!$A$6:$B$38,2,FALSE)</f>
        <v>-3.2419815263072818E-2</v>
      </c>
      <c r="J900">
        <f>($B$1+Table4[[#This Row],[Home Differential]])-Table4[[#This Row],[Away Differential]]</f>
        <v>-1.1439607537576093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0.65087251178685979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-0.3968452829365326</v>
      </c>
      <c r="H901" t="s">
        <v>26</v>
      </c>
      <c r="I901">
        <f>VLOOKUP(Table4[[#This Row],[Visitor]],'NHL Model'!$A$6:$B$38,2,FALSE)</f>
        <v>-0.80014284799340474</v>
      </c>
      <c r="J901">
        <f>($B$1+Table4[[#This Row],[Home Differential]])-Table4[[#This Row],[Away Differential]]</f>
        <v>0.45268397748349343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0.63250138632231645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-0.21936273413039192</v>
      </c>
      <c r="H902" t="s">
        <v>38</v>
      </c>
      <c r="I902">
        <f>VLOOKUP(Table4[[#This Row],[Visitor]],'NHL Model'!$A$6:$B$38,2,FALSE)</f>
        <v>-0.93150212402040711</v>
      </c>
      <c r="J902">
        <f>($B$1+Table4[[#This Row],[Home Differential]])-Table4[[#This Row],[Away Differential]]</f>
        <v>0.76152580231663647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0.62759489967302717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-0.30901762292301305</v>
      </c>
      <c r="H903" t="s">
        <v>18</v>
      </c>
      <c r="I903">
        <f>VLOOKUP(Table4[[#This Row],[Visitor]],'NHL Model'!$A$6:$B$38,2,FALSE)</f>
        <v>-0.68642169651276408</v>
      </c>
      <c r="J903">
        <f>($B$1+Table4[[#This Row],[Home Differential]])-Table4[[#This Row],[Away Differential]]</f>
        <v>0.42679048601637232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0.53231327312454657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-0.46454876921224991</v>
      </c>
      <c r="H904" t="s">
        <v>14</v>
      </c>
      <c r="I904">
        <f>VLOOKUP(Table4[[#This Row],[Visitor]],'NHL Model'!$A$6:$B$38,2,FALSE)</f>
        <v>-0.10735719588407502</v>
      </c>
      <c r="J904">
        <f>($B$1+Table4[[#This Row],[Home Differential]])-Table4[[#This Row],[Away Differential]]</f>
        <v>-0.30780516090155363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0.52448841742368912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1.5071179757482971E-3</v>
      </c>
      <c r="H905" t="s">
        <v>30</v>
      </c>
      <c r="I905">
        <f>VLOOKUP(Table4[[#This Row],[Visitor]],'NHL Model'!$A$6:$B$38,2,FALSE)</f>
        <v>-0.16042088891566345</v>
      </c>
      <c r="J905">
        <f>($B$1+Table4[[#This Row],[Home Differential]])-Table4[[#This Row],[Away Differential]]</f>
        <v>0.21131441931803305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0.57360232513287102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-0.2172114589315223</v>
      </c>
      <c r="H906" t="s">
        <v>25</v>
      </c>
      <c r="I906">
        <f>VLOOKUP(Table4[[#This Row],[Visitor]],'NHL Model'!$A$6:$B$38,2,FALSE)</f>
        <v>0.4370463247440865</v>
      </c>
      <c r="J906">
        <f>($B$1+Table4[[#This Row],[Home Differential]])-Table4[[#This Row],[Away Differential]]</f>
        <v>-0.60487137124898749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0.60219881174328627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-0.36903552884843377</v>
      </c>
      <c r="H907" t="s">
        <v>36</v>
      </c>
      <c r="I907">
        <f>VLOOKUP(Table4[[#This Row],[Visitor]],'NHL Model'!$A$6:$B$38,2,FALSE)</f>
        <v>-0.430694899721771</v>
      </c>
      <c r="J907">
        <f>($B$1+Table4[[#This Row],[Home Differential]])-Table4[[#This Row],[Away Differential]]</f>
        <v>0.11104578329995851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0.56323181431167513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0.46523362857782063</v>
      </c>
      <c r="H908" t="s">
        <v>11</v>
      </c>
      <c r="I908">
        <f>VLOOKUP(Table4[[#This Row],[Visitor]],'NHL Model'!$A$6:$B$38,2,FALSE)</f>
        <v>-0.51447808915301396</v>
      </c>
      <c r="J908">
        <f>($B$1+Table4[[#This Row],[Home Differential]])-Table4[[#This Row],[Away Differential]]</f>
        <v>1.0290981301574558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0.69061861102031274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-0.21936273413039192</v>
      </c>
      <c r="H909" t="s">
        <v>13</v>
      </c>
      <c r="I909">
        <f>VLOOKUP(Table4[[#This Row],[Visitor]],'NHL Model'!$A$6:$B$38,2,FALSE)</f>
        <v>-0.36690387823407311</v>
      </c>
      <c r="J909">
        <f>($B$1+Table4[[#This Row],[Home Differential]])-Table4[[#This Row],[Away Differential]]</f>
        <v>0.1969275565303025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0.49633590467069078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0.49679678069457273</v>
      </c>
      <c r="H910" t="s">
        <v>29</v>
      </c>
      <c r="I910">
        <f>VLOOKUP(Table4[[#This Row],[Visitor]],'NHL Model'!$A$6:$B$38,2,FALSE)</f>
        <v>-1.2257669814473033</v>
      </c>
      <c r="J910">
        <f>($B$1+Table4[[#This Row],[Home Differential]])-Table4[[#This Row],[Away Differential]]</f>
        <v>1.7719501745684973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0.76985722206312157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0.18193976369097953</v>
      </c>
      <c r="H911" t="s">
        <v>17</v>
      </c>
      <c r="I911">
        <f>VLOOKUP(Table4[[#This Row],[Visitor]],'NHL Model'!$A$6:$B$38,2,FALSE)</f>
        <v>-0.82464120527377915</v>
      </c>
      <c r="J911">
        <f>($B$1+Table4[[#This Row],[Home Differential]])-Table4[[#This Row],[Away Differential]]</f>
        <v>1.0559673813913799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0.7412979054899036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0.36815457830954207</v>
      </c>
      <c r="H912" t="s">
        <v>32</v>
      </c>
      <c r="I912">
        <f>VLOOKUP(Table4[[#This Row],[Visitor]],'NHL Model'!$A$6:$B$38,2,FALSE)</f>
        <v>-0.63765723729815182</v>
      </c>
      <c r="J912">
        <f>($B$1+Table4[[#This Row],[Home Differential]])-Table4[[#This Row],[Away Differential]]</f>
        <v>1.0551982280343153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0.69362078829129259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-0.36690387823407311</v>
      </c>
      <c r="H913" t="s">
        <v>20</v>
      </c>
      <c r="I913">
        <f>VLOOKUP(Table4[[#This Row],[Visitor]],'NHL Model'!$A$6:$B$38,2,FALSE)</f>
        <v>-0.21936273413039192</v>
      </c>
      <c r="J913">
        <f>($B$1+Table4[[#This Row],[Home Differential]])-Table4[[#This Row],[Away Differential]]</f>
        <v>-9.8154731677059903E-2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0.47129029882839091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1.5071179757482971E-3</v>
      </c>
      <c r="H914" t="s">
        <v>23</v>
      </c>
      <c r="I914">
        <f>VLOOKUP(Table4[[#This Row],[Visitor]],'NHL Model'!$A$6:$B$38,2,FALSE)</f>
        <v>-0.46454876921224991</v>
      </c>
      <c r="J914">
        <f>($B$1+Table4[[#This Row],[Home Differential]])-Table4[[#This Row],[Away Differential]]</f>
        <v>0.51544229961461951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0.67912372811475075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0.46523362857782063</v>
      </c>
      <c r="H915" t="s">
        <v>19</v>
      </c>
      <c r="I915">
        <f>VLOOKUP(Table4[[#This Row],[Visitor]],'NHL Model'!$A$6:$B$38,2,FALSE)</f>
        <v>-0.50406821212948805</v>
      </c>
      <c r="J915">
        <f>($B$1+Table4[[#This Row],[Home Differential]])-Table4[[#This Row],[Away Differential]]</f>
        <v>1.0186882531339299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0.68942120952621977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-0.3968452829365326</v>
      </c>
      <c r="H916" t="s">
        <v>12</v>
      </c>
      <c r="I916">
        <f>VLOOKUP(Table4[[#This Row],[Visitor]],'NHL Model'!$A$6:$B$38,2,FALSE)</f>
        <v>1.6140407860044261</v>
      </c>
      <c r="J916">
        <f>($B$1+Table4[[#This Row],[Home Differential]])-Table4[[#This Row],[Away Differential]]</f>
        <v>-1.9614996565143374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0.71724262524138627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-0.93150212402040711</v>
      </c>
      <c r="H917" t="s">
        <v>40</v>
      </c>
      <c r="I917">
        <f>VLOOKUP(Table4[[#This Row],[Visitor]],'NHL Model'!$A$6:$B$38,2,FALSE)</f>
        <v>-0.30901762292301305</v>
      </c>
      <c r="J917">
        <f>($B$1+Table4[[#This Row],[Home Differential]])-Table4[[#This Row],[Away Differential]]</f>
        <v>-0.57309808867077272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0.54669013512625342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0.49679678069457273</v>
      </c>
      <c r="H918" t="s">
        <v>27</v>
      </c>
      <c r="I918">
        <f>VLOOKUP(Table4[[#This Row],[Visitor]],'NHL Model'!$A$6:$B$38,2,FALSE)</f>
        <v>-0.36903552884843377</v>
      </c>
      <c r="J918">
        <f>($B$1+Table4[[#This Row],[Home Differential]])-Table4[[#This Row],[Away Differential]]</f>
        <v>0.91521872196962772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0.62908303113642616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-0.24831960772154485</v>
      </c>
      <c r="H919" t="s">
        <v>28</v>
      </c>
      <c r="I919">
        <f>VLOOKUP(Table4[[#This Row],[Visitor]],'NHL Model'!$A$6:$B$38,2,FALSE)</f>
        <v>-0.56850564030144513</v>
      </c>
      <c r="J919">
        <f>($B$1+Table4[[#This Row],[Home Differential]])-Table4[[#This Row],[Away Differential]]</f>
        <v>0.36957244500652159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0.62190940345496659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0.4370463247440865</v>
      </c>
      <c r="H920" t="s">
        <v>37</v>
      </c>
      <c r="I920">
        <f>VLOOKUP(Table4[[#This Row],[Visitor]],'NHL Model'!$A$6:$B$38,2,FALSE)</f>
        <v>0.46523362857782063</v>
      </c>
      <c r="J920">
        <f>($B$1+Table4[[#This Row],[Home Differential]])-Table4[[#This Row],[Away Differential]]</f>
        <v>2.119910859288715E-2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0.52243843844122229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1.6140407860044261</v>
      </c>
      <c r="H921" t="s">
        <v>34</v>
      </c>
      <c r="I921">
        <f>VLOOKUP(Table4[[#This Row],[Visitor]],'NHL Model'!$A$6:$B$38,2,FALSE)</f>
        <v>-3.2419815263072818E-2</v>
      </c>
      <c r="J921">
        <f>($B$1+Table4[[#This Row],[Home Differential]])-Table4[[#This Row],[Away Differential]]</f>
        <v>1.6958470136941202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0.786993931854996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-0.51447808915301396</v>
      </c>
      <c r="H922" t="s">
        <v>19</v>
      </c>
      <c r="I922">
        <f>VLOOKUP(Table4[[#This Row],[Visitor]],'NHL Model'!$A$6:$B$38,2,FALSE)</f>
        <v>-0.50406821212948805</v>
      </c>
      <c r="J922">
        <f>($B$1+Table4[[#This Row],[Home Differential]])-Table4[[#This Row],[Away Differential]]</f>
        <v>3.8976535403095369E-2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0.54448329616389912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-0.36690387823407311</v>
      </c>
      <c r="H923" t="s">
        <v>17</v>
      </c>
      <c r="I923">
        <f>VLOOKUP(Table4[[#This Row],[Visitor]],'NHL Model'!$A$6:$B$38,2,FALSE)</f>
        <v>-0.82464120527377915</v>
      </c>
      <c r="J923">
        <f>($B$1+Table4[[#This Row],[Home Differential]])-Table4[[#This Row],[Away Differential]]</f>
        <v>0.50712373946632727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0.59833217068315858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-0.68642169651276408</v>
      </c>
      <c r="H924" t="s">
        <v>30</v>
      </c>
      <c r="I924">
        <f>VLOOKUP(Table4[[#This Row],[Visitor]],'NHL Model'!$A$6:$B$38,2,FALSE)</f>
        <v>-0.16042088891566345</v>
      </c>
      <c r="J924">
        <f>($B$1+Table4[[#This Row],[Home Differential]])-Table4[[#This Row],[Away Differential]]</f>
        <v>-0.47661439517047932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0.58744598666791015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-1.2257669814473033</v>
      </c>
      <c r="H925" t="s">
        <v>10</v>
      </c>
      <c r="I925">
        <f>VLOOKUP(Table4[[#This Row],[Visitor]],'NHL Model'!$A$6:$B$38,2,FALSE)</f>
        <v>-0.21549764750433295</v>
      </c>
      <c r="J925">
        <f>($B$1+Table4[[#This Row],[Home Differential]])-Table4[[#This Row],[Away Differential]]</f>
        <v>-0.96088292151634913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0.57052605552129831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-0.2172114589315223</v>
      </c>
      <c r="H926" t="s">
        <v>27</v>
      </c>
      <c r="I926">
        <f>VLOOKUP(Table4[[#This Row],[Visitor]],'NHL Model'!$A$6:$B$38,2,FALSE)</f>
        <v>-0.36903552884843377</v>
      </c>
      <c r="J926">
        <f>($B$1+Table4[[#This Row],[Home Differential]])-Table4[[#This Row],[Away Differential]]</f>
        <v>0.20121048234353278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0.52063177708935271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-0.430694899721771</v>
      </c>
      <c r="H927" t="s">
        <v>26</v>
      </c>
      <c r="I927">
        <f>VLOOKUP(Table4[[#This Row],[Visitor]],'NHL Model'!$A$6:$B$38,2,FALSE)</f>
        <v>-0.80014284799340474</v>
      </c>
      <c r="J927">
        <f>($B$1+Table4[[#This Row],[Home Differential]])-Table4[[#This Row],[Away Differential]]</f>
        <v>0.41883436069825503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0.59067211838501166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-0.10735719588407502</v>
      </c>
      <c r="H928" t="s">
        <v>24</v>
      </c>
      <c r="I928">
        <f>VLOOKUP(Table4[[#This Row],[Visitor]],'NHL Model'!$A$6:$B$38,2,FALSE)</f>
        <v>1.5071179757482971E-3</v>
      </c>
      <c r="J928">
        <f>($B$1+Table4[[#This Row],[Home Differential]])-Table4[[#This Row],[Away Differential]]</f>
        <v>-5.9477901433202016E-2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0.48761070717482896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-0.44540084513285771</v>
      </c>
      <c r="H929" t="s">
        <v>16</v>
      </c>
      <c r="I929">
        <f>VLOOKUP(Table4[[#This Row],[Visitor]],'NHL Model'!$A$6:$B$38,2,FALSE)</f>
        <v>-1.2021149591105404</v>
      </c>
      <c r="J929">
        <f>($B$1+Table4[[#This Row],[Home Differential]])-Table4[[#This Row],[Away Differential]]</f>
        <v>0.80610052640430396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0.6428443797774489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-1.3795663642467595</v>
      </c>
      <c r="H930" t="s">
        <v>32</v>
      </c>
      <c r="I930">
        <f>VLOOKUP(Table4[[#This Row],[Visitor]],'NHL Model'!$A$6:$B$38,2,FALSE)</f>
        <v>-0.63765723729815182</v>
      </c>
      <c r="J930">
        <f>($B$1+Table4[[#This Row],[Home Differential]])-Table4[[#This Row],[Away Differential]]</f>
        <v>-0.69252271452198644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0.5396577837747687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0.18193976369097953</v>
      </c>
      <c r="H931" t="s">
        <v>40</v>
      </c>
      <c r="I931">
        <f>VLOOKUP(Table4[[#This Row],[Visitor]],'NHL Model'!$A$6:$B$38,2,FALSE)</f>
        <v>-0.30901762292301305</v>
      </c>
      <c r="J931">
        <f>($B$1+Table4[[#This Row],[Home Differential]])-Table4[[#This Row],[Away Differential]]</f>
        <v>0.54034379904061391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0.66215332523457282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-0.51447808915301396</v>
      </c>
      <c r="H932" t="s">
        <v>23</v>
      </c>
      <c r="I932">
        <f>VLOOKUP(Table4[[#This Row],[Visitor]],'NHL Model'!$A$6:$B$38,2,FALSE)</f>
        <v>-0.46454876921224991</v>
      </c>
      <c r="J932">
        <f>($B$1+Table4[[#This Row],[Home Differential]])-Table4[[#This Row],[Away Differential]]</f>
        <v>-5.4290751414276528E-4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0.4600624482178915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-0.3968452829365326</v>
      </c>
      <c r="H933" t="s">
        <v>34</v>
      </c>
      <c r="I933">
        <f>VLOOKUP(Table4[[#This Row],[Visitor]],'NHL Model'!$A$6:$B$38,2,FALSE)</f>
        <v>-3.2419815263072818E-2</v>
      </c>
      <c r="J933">
        <f>($B$1+Table4[[#This Row],[Home Differential]])-Table4[[#This Row],[Away Differential]]</f>
        <v>-0.31503905524683851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0.51449839999883229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0.49679678069457273</v>
      </c>
      <c r="H934" t="s">
        <v>20</v>
      </c>
      <c r="I934">
        <f>VLOOKUP(Table4[[#This Row],[Visitor]],'NHL Model'!$A$6:$B$38,2,FALSE)</f>
        <v>-0.21936273413039192</v>
      </c>
      <c r="J934">
        <f>($B$1+Table4[[#This Row],[Home Differential]])-Table4[[#This Row],[Away Differential]]</f>
        <v>0.76554592725158588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0.65409505247404875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0.4370463247440865</v>
      </c>
      <c r="H935" t="s">
        <v>26</v>
      </c>
      <c r="I935">
        <f>VLOOKUP(Table4[[#This Row],[Visitor]],'NHL Model'!$A$6:$B$38,2,FALSE)</f>
        <v>-0.80014284799340474</v>
      </c>
      <c r="J935">
        <f>($B$1+Table4[[#This Row],[Home Differential]])-Table4[[#This Row],[Away Differential]]</f>
        <v>1.2865755851641125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0.73970499910823839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-0.56850564030144513</v>
      </c>
      <c r="H936" t="s">
        <v>30</v>
      </c>
      <c r="I936">
        <f>VLOOKUP(Table4[[#This Row],[Visitor]],'NHL Model'!$A$6:$B$38,2,FALSE)</f>
        <v>-0.16042088891566345</v>
      </c>
      <c r="J936">
        <f>($B$1+Table4[[#This Row],[Home Differential]])-Table4[[#This Row],[Away Differential]]</f>
        <v>-0.35869833895916037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0.5738826312540185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1.6140407860044261</v>
      </c>
      <c r="H937" t="s">
        <v>10</v>
      </c>
      <c r="I937">
        <f>VLOOKUP(Table4[[#This Row],[Visitor]],'NHL Model'!$A$6:$B$38,2,FALSE)</f>
        <v>-0.21549764750433295</v>
      </c>
      <c r="J937">
        <f>($B$1+Table4[[#This Row],[Home Differential]])-Table4[[#This Row],[Away Differential]]</f>
        <v>1.8789248459353802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0.86394526901375535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0.36815457830954207</v>
      </c>
      <c r="H938" t="s">
        <v>29</v>
      </c>
      <c r="I938">
        <f>VLOOKUP(Table4[[#This Row],[Visitor]],'NHL Model'!$A$6:$B$38,2,FALSE)</f>
        <v>-1.2257669814473033</v>
      </c>
      <c r="J938">
        <f>($B$1+Table4[[#This Row],[Home Differential]])-Table4[[#This Row],[Away Differential]]</f>
        <v>1.6433079721834667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0.7612684160916372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-0.36690387823407311</v>
      </c>
      <c r="H939" t="s">
        <v>16</v>
      </c>
      <c r="I939">
        <f>VLOOKUP(Table4[[#This Row],[Visitor]],'NHL Model'!$A$6:$B$38,2,FALSE)</f>
        <v>-1.2021149591105404</v>
      </c>
      <c r="J939">
        <f>($B$1+Table4[[#This Row],[Home Differential]])-Table4[[#This Row],[Away Differential]]</f>
        <v>0.88459749330308868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0.64175128464613362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-0.68642169651276408</v>
      </c>
      <c r="H940" t="s">
        <v>22</v>
      </c>
      <c r="I940">
        <f>VLOOKUP(Table4[[#This Row],[Visitor]],'NHL Model'!$A$6:$B$38,2,FALSE)</f>
        <v>0.49679678069457273</v>
      </c>
      <c r="J940">
        <f>($B$1+Table4[[#This Row],[Home Differential]])-Table4[[#This Row],[Away Differential]]</f>
        <v>-1.1338320647807154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0.64970745409340891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-0.2172114589315223</v>
      </c>
      <c r="H941" t="s">
        <v>14</v>
      </c>
      <c r="I941">
        <f>VLOOKUP(Table4[[#This Row],[Visitor]],'NHL Model'!$A$6:$B$38,2,FALSE)</f>
        <v>-0.10735719588407502</v>
      </c>
      <c r="J941">
        <f>($B$1+Table4[[#This Row],[Home Differential]])-Table4[[#This Row],[Away Differential]]</f>
        <v>-6.0467850620825964E-2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0.50624207906165808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-0.36903552884843377</v>
      </c>
      <c r="H942" t="s">
        <v>21</v>
      </c>
      <c r="I942">
        <f>VLOOKUP(Table4[[#This Row],[Visitor]],'NHL Model'!$A$6:$B$38,2,FALSE)</f>
        <v>-0.24831960772154485</v>
      </c>
      <c r="J942">
        <f>($B$1+Table4[[#This Row],[Home Differential]])-Table4[[#This Row],[Away Differential]]</f>
        <v>-7.1329508700267635E-2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0.45418809316876041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-0.63765723729815182</v>
      </c>
      <c r="H943" t="s">
        <v>38</v>
      </c>
      <c r="I943">
        <f>VLOOKUP(Table4[[#This Row],[Visitor]],'NHL Model'!$A$6:$B$38,2,FALSE)</f>
        <v>-0.93150212402040711</v>
      </c>
      <c r="J943">
        <f>($B$1+Table4[[#This Row],[Home Differential]])-Table4[[#This Row],[Away Differential]]</f>
        <v>0.34323129914887662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0.57948035788429886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-0.44540084513285771</v>
      </c>
      <c r="H944" t="s">
        <v>17</v>
      </c>
      <c r="I944">
        <f>VLOOKUP(Table4[[#This Row],[Visitor]],'NHL Model'!$A$6:$B$38,2,FALSE)</f>
        <v>-0.82464120527377915</v>
      </c>
      <c r="J944">
        <f>($B$1+Table4[[#This Row],[Home Differential]])-Table4[[#This Row],[Away Differential]]</f>
        <v>0.42862677256754272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0.59942526581447386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-1.3795663642467595</v>
      </c>
      <c r="H945" t="s">
        <v>24</v>
      </c>
      <c r="I945">
        <f>VLOOKUP(Table4[[#This Row],[Visitor]],'NHL Model'!$A$6:$B$38,2,FALSE)</f>
        <v>1.5071179757482971E-3</v>
      </c>
      <c r="J945">
        <f>($B$1+Table4[[#This Row],[Home Differential]])-Table4[[#This Row],[Away Differential]]</f>
        <v>-1.3316870697958865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0.63394722542125759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0.46523362857782063</v>
      </c>
      <c r="H946" t="s">
        <v>23</v>
      </c>
      <c r="I946">
        <f>VLOOKUP(Table4[[#This Row],[Visitor]],'NHL Model'!$A$6:$B$38,2,FALSE)</f>
        <v>-0.46454876921224991</v>
      </c>
      <c r="J946">
        <f>($B$1+Table4[[#This Row],[Home Differential]])-Table4[[#This Row],[Away Differential]]</f>
        <v>0.97916881021669178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0.68487546514442921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-0.50406821212948805</v>
      </c>
      <c r="H947" t="s">
        <v>36</v>
      </c>
      <c r="I947">
        <f>VLOOKUP(Table4[[#This Row],[Visitor]],'NHL Model'!$A$6:$B$38,2,FALSE)</f>
        <v>-0.430694899721771</v>
      </c>
      <c r="J947">
        <f>($B$1+Table4[[#This Row],[Home Differential]])-Table4[[#This Row],[Away Differential]]</f>
        <v>-2.3986899981095766E-2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0.46633526452935981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0.18193976369097953</v>
      </c>
      <c r="H948" t="s">
        <v>16</v>
      </c>
      <c r="I948">
        <f>VLOOKUP(Table4[[#This Row],[Visitor]],'NHL Model'!$A$6:$B$38,2,FALSE)</f>
        <v>-1.2021149591105404</v>
      </c>
      <c r="J948">
        <f>($B$1+Table4[[#This Row],[Home Differential]])-Table4[[#This Row],[Away Differential]]</f>
        <v>1.4334411352281413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0.78471701945287875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-3.2419815263072818E-2</v>
      </c>
      <c r="H949" t="s">
        <v>35</v>
      </c>
      <c r="I949">
        <f>VLOOKUP(Table4[[#This Row],[Visitor]],'NHL Model'!$A$6:$B$38,2,FALSE)</f>
        <v>-1.3795663642467595</v>
      </c>
      <c r="J949">
        <f>($B$1+Table4[[#This Row],[Home Differential]])-Table4[[#This Row],[Away Differential]]</f>
        <v>1.3965329614103079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0.7006369269073669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-0.16042088891566345</v>
      </c>
      <c r="H950" t="s">
        <v>11</v>
      </c>
      <c r="I950">
        <f>VLOOKUP(Table4[[#This Row],[Visitor]],'NHL Model'!$A$6:$B$38,2,FALSE)</f>
        <v>-0.51447808915301396</v>
      </c>
      <c r="J950">
        <f>($B$1+Table4[[#This Row],[Home Differential]])-Table4[[#This Row],[Away Differential]]</f>
        <v>0.40344361266397183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0.58640631041984093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-0.10735719588407502</v>
      </c>
      <c r="H951" t="s">
        <v>20</v>
      </c>
      <c r="I951">
        <f>VLOOKUP(Table4[[#This Row],[Visitor]],'NHL Model'!$A$6:$B$38,2,FALSE)</f>
        <v>-0.21936273413039192</v>
      </c>
      <c r="J951">
        <f>($B$1+Table4[[#This Row],[Home Differential]])-Table4[[#This Row],[Away Differential]]</f>
        <v>0.16139195067293821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0.55856419268293167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-0.44540084513285771</v>
      </c>
      <c r="H952" t="s">
        <v>40</v>
      </c>
      <c r="I952">
        <f>VLOOKUP(Table4[[#This Row],[Visitor]],'NHL Model'!$A$6:$B$38,2,FALSE)</f>
        <v>-0.30901762292301305</v>
      </c>
      <c r="J952">
        <f>($B$1+Table4[[#This Row],[Home Differential]])-Table4[[#This Row],[Away Differential]]</f>
        <v>-8.6996809783223383E-2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0.48059508837992593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-0.3968452829365326</v>
      </c>
      <c r="H953" t="s">
        <v>10</v>
      </c>
      <c r="I953">
        <f>VLOOKUP(Table4[[#This Row],[Visitor]],'NHL Model'!$A$6:$B$38,2,FALSE)</f>
        <v>-0.21549764750433295</v>
      </c>
      <c r="J953">
        <f>($B$1+Table4[[#This Row],[Home Differential]])-Table4[[#This Row],[Away Differential]]</f>
        <v>-0.13196122300557836</v>
      </c>
      <c r="K953" t="str">
        <f>IF(Table4[[#This Row],[HomeIce Differential]]&gt;0,Table4[[#This Row],[Home]],Table4[[#This Row],[Visitor]])</f>
        <v>Chicago Blackhawks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0.43474773054984373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-0.36690387823407311</v>
      </c>
      <c r="H954" t="s">
        <v>12</v>
      </c>
      <c r="I954">
        <f>VLOOKUP(Table4[[#This Row],[Visitor]],'NHL Model'!$A$6:$B$38,2,FALSE)</f>
        <v>1.6140407860044261</v>
      </c>
      <c r="J954">
        <f>($B$1+Table4[[#This Row],[Home Differential]])-Table4[[#This Row],[Away Differential]]</f>
        <v>-1.9315582518118779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0.75480165704006075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-1.2257669814473033</v>
      </c>
      <c r="H955" t="s">
        <v>26</v>
      </c>
      <c r="I955">
        <f>VLOOKUP(Table4[[#This Row],[Visitor]],'NHL Model'!$A$6:$B$38,2,FALSE)</f>
        <v>-0.80014284799340474</v>
      </c>
      <c r="J955">
        <f>($B$1+Table4[[#This Row],[Home Differential]])-Table4[[#This Row],[Away Differential]]</f>
        <v>-0.37623772102727737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0.50327693864913814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-0.2172114589315223</v>
      </c>
      <c r="H956" t="s">
        <v>28</v>
      </c>
      <c r="I956">
        <f>VLOOKUP(Table4[[#This Row],[Visitor]],'NHL Model'!$A$6:$B$38,2,FALSE)</f>
        <v>-0.56850564030144513</v>
      </c>
      <c r="J956">
        <f>($B$1+Table4[[#This Row],[Home Differential]])-Table4[[#This Row],[Away Differential]]</f>
        <v>0.40068059379654414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0.58251233380373146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-0.63765723729815182</v>
      </c>
      <c r="H957" t="s">
        <v>25</v>
      </c>
      <c r="I957">
        <f>VLOOKUP(Table4[[#This Row],[Visitor]],'NHL Model'!$A$6:$B$38,2,FALSE)</f>
        <v>0.4370463247440865</v>
      </c>
      <c r="J957">
        <f>($B$1+Table4[[#This Row],[Home Differential]])-Table4[[#This Row],[Away Differential]]</f>
        <v>-1.025317149615617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0.65056080507553526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-0.50406821212948805</v>
      </c>
      <c r="H958" t="s">
        <v>27</v>
      </c>
      <c r="I958">
        <f>VLOOKUP(Table4[[#This Row],[Visitor]],'NHL Model'!$A$6:$B$38,2,FALSE)</f>
        <v>-0.36903552884843377</v>
      </c>
      <c r="J958">
        <f>($B$1+Table4[[#This Row],[Home Differential]])-Table4[[#This Row],[Away Differential]]</f>
        <v>-8.5646270854432993E-2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0.5123640694603856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-0.93150212402040711</v>
      </c>
      <c r="H959" t="s">
        <v>39</v>
      </c>
      <c r="I959">
        <f>VLOOKUP(Table4[[#This Row],[Visitor]],'NHL Model'!$A$6:$B$38,2,FALSE)</f>
        <v>0.36815457830954207</v>
      </c>
      <c r="J959">
        <f>($B$1+Table4[[#This Row],[Home Differential]])-Table4[[#This Row],[Away Differential]]</f>
        <v>-1.2502702899033278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0.68729124826288301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0.18193976369097953</v>
      </c>
      <c r="H960" t="s">
        <v>12</v>
      </c>
      <c r="I960">
        <f>VLOOKUP(Table4[[#This Row],[Visitor]],'NHL Model'!$A$6:$B$38,2,FALSE)</f>
        <v>1.6140407860044261</v>
      </c>
      <c r="J960">
        <f>($B$1+Table4[[#This Row],[Home Differential]])-Table4[[#This Row],[Away Differential]]</f>
        <v>-1.3827146098868253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0.60975168922137379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-0.24831960772154485</v>
      </c>
      <c r="H961" t="s">
        <v>14</v>
      </c>
      <c r="I961">
        <f>VLOOKUP(Table4[[#This Row],[Visitor]],'NHL Model'!$A$6:$B$38,2,FALSE)</f>
        <v>-0.10735719588407502</v>
      </c>
      <c r="J961">
        <f>($B$1+Table4[[#This Row],[Home Differential]])-Table4[[#This Row],[Away Differential]]</f>
        <v>-9.1575999410848513E-2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0.46634753023186254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-0.46454876921224991</v>
      </c>
      <c r="H962" t="s">
        <v>20</v>
      </c>
      <c r="I962">
        <f>VLOOKUP(Table4[[#This Row],[Visitor]],'NHL Model'!$A$6:$B$38,2,FALSE)</f>
        <v>-0.21936273413039192</v>
      </c>
      <c r="J962">
        <f>($B$1+Table4[[#This Row],[Home Differential]])-Table4[[#This Row],[Away Differential]]</f>
        <v>-0.1957996226552367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0.47239970357768207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-0.56850564030144513</v>
      </c>
      <c r="H963" t="s">
        <v>29</v>
      </c>
      <c r="I963">
        <f>VLOOKUP(Table4[[#This Row],[Visitor]],'NHL Model'!$A$6:$B$38,2,FALSE)</f>
        <v>-1.2257669814473033</v>
      </c>
      <c r="J963">
        <f>($B$1+Table4[[#This Row],[Home Differential]])-Table4[[#This Row],[Away Differential]]</f>
        <v>0.70664775357247955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0.62128252370444881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-1.2021149591105404</v>
      </c>
      <c r="H964" t="s">
        <v>39</v>
      </c>
      <c r="I964">
        <f>VLOOKUP(Table4[[#This Row],[Visitor]],'NHL Model'!$A$6:$B$38,2,FALSE)</f>
        <v>0.36815457830954207</v>
      </c>
      <c r="J964">
        <f>($B$1+Table4[[#This Row],[Home Differential]])-Table4[[#This Row],[Away Differential]]</f>
        <v>-1.5208831249934613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0.71841862972237247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-0.82464120527377915</v>
      </c>
      <c r="H965" t="s">
        <v>36</v>
      </c>
      <c r="I965">
        <f>VLOOKUP(Table4[[#This Row],[Visitor]],'NHL Model'!$A$6:$B$38,2,FALSE)</f>
        <v>-0.430694899721771</v>
      </c>
      <c r="J965">
        <f>($B$1+Table4[[#This Row],[Home Differential]])-Table4[[#This Row],[Away Differential]]</f>
        <v>-0.34455989312538682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0.50320933903469156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-3.2419815263072818E-2</v>
      </c>
      <c r="H966" t="s">
        <v>37</v>
      </c>
      <c r="I966">
        <f>VLOOKUP(Table4[[#This Row],[Visitor]],'NHL Model'!$A$6:$B$38,2,FALSE)</f>
        <v>0.46523362857782063</v>
      </c>
      <c r="J966">
        <f>($B$1+Table4[[#This Row],[Home Differential]])-Table4[[#This Row],[Away Differential]]</f>
        <v>-0.44826703141427215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0.58418531647569083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1.5071179757482971E-3</v>
      </c>
      <c r="H967" t="s">
        <v>11</v>
      </c>
      <c r="I967">
        <f>VLOOKUP(Table4[[#This Row],[Visitor]],'NHL Model'!$A$6:$B$38,2,FALSE)</f>
        <v>-0.51447808915301396</v>
      </c>
      <c r="J967">
        <f>($B$1+Table4[[#This Row],[Home Differential]])-Table4[[#This Row],[Away Differential]]</f>
        <v>0.56537161955538351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0.68486687399063428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-0.44540084513285771</v>
      </c>
      <c r="H968" t="s">
        <v>18</v>
      </c>
      <c r="I968">
        <f>VLOOKUP(Table4[[#This Row],[Visitor]],'NHL Model'!$A$6:$B$38,2,FALSE)</f>
        <v>-0.68642169651276408</v>
      </c>
      <c r="J968">
        <f>($B$1+Table4[[#This Row],[Home Differential]])-Table4[[#This Row],[Away Differential]]</f>
        <v>0.29040726380652765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0.52431333677976999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-0.30901762292301305</v>
      </c>
      <c r="H969" t="s">
        <v>10</v>
      </c>
      <c r="I969">
        <f>VLOOKUP(Table4[[#This Row],[Visitor]],'NHL Model'!$A$6:$B$38,2,FALSE)</f>
        <v>-0.21549764750433295</v>
      </c>
      <c r="J969">
        <f>($B$1+Table4[[#This Row],[Home Differential]])-Table4[[#This Row],[Away Differential]]</f>
        <v>-4.4133562992058811E-2</v>
      </c>
      <c r="K969" t="str">
        <f>IF(Table4[[#This Row],[HomeIce Differential]]&gt;0,Table4[[#This Row],[Home]],Table4[[#This Row],[Visitor]])</f>
        <v>Chicago Blackhawks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0.46258100672790586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0.49679678069457273</v>
      </c>
      <c r="H970" t="s">
        <v>55</v>
      </c>
      <c r="I970">
        <f>VLOOKUP(Table4[[#This Row],[Visitor]],'NHL Model'!$A$6:$B$38,2,FALSE)</f>
        <v>-0.3968452829365326</v>
      </c>
      <c r="J970">
        <f>($B$1+Table4[[#This Row],[Home Differential]])-Table4[[#This Row],[Away Differential]]</f>
        <v>0.94302847605772655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0.67451007453776979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0.18193976369097953</v>
      </c>
      <c r="H971" t="s">
        <v>30</v>
      </c>
      <c r="I971">
        <f>VLOOKUP(Table4[[#This Row],[Visitor]],'NHL Model'!$A$6:$B$38,2,FALSE)</f>
        <v>-0.16042088891566345</v>
      </c>
      <c r="J971">
        <f>($B$1+Table4[[#This Row],[Home Differential]])-Table4[[#This Row],[Away Differential]]</f>
        <v>0.39174706503326429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0.59435668362090155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-0.80014284799340474</v>
      </c>
      <c r="H972" t="s">
        <v>20</v>
      </c>
      <c r="I972">
        <f>VLOOKUP(Table4[[#This Row],[Visitor]],'NHL Model'!$A$6:$B$38,2,FALSE)</f>
        <v>-0.21936273413039192</v>
      </c>
      <c r="J972">
        <f>($B$1+Table4[[#This Row],[Home Differential]])-Table4[[#This Row],[Away Differential]]</f>
        <v>-0.53139370143639142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0.51100158623519765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1.5071179757482971E-3</v>
      </c>
      <c r="H973" t="s">
        <v>19</v>
      </c>
      <c r="I973">
        <f>VLOOKUP(Table4[[#This Row],[Visitor]],'NHL Model'!$A$6:$B$38,2,FALSE)</f>
        <v>-0.50406821212948805</v>
      </c>
      <c r="J973">
        <f>($B$1+Table4[[#This Row],[Home Differential]])-Table4[[#This Row],[Away Differential]]</f>
        <v>0.55496174253185759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0.68366947249654131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-0.63765723729815182</v>
      </c>
      <c r="H974" t="s">
        <v>35</v>
      </c>
      <c r="I974">
        <f>VLOOKUP(Table4[[#This Row],[Visitor]],'NHL Model'!$A$6:$B$38,2,FALSE)</f>
        <v>-1.3795663642467595</v>
      </c>
      <c r="J974">
        <f>($B$1+Table4[[#This Row],[Home Differential]])-Table4[[#This Row],[Away Differential]]</f>
        <v>0.79129553937522901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0.63101917909075278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-0.93150212402040711</v>
      </c>
      <c r="H975" t="s">
        <v>25</v>
      </c>
      <c r="I975">
        <f>VLOOKUP(Table4[[#This Row],[Visitor]],'NHL Model'!$A$6:$B$38,2,FALSE)</f>
        <v>0.4370463247440865</v>
      </c>
      <c r="J975">
        <f>($B$1+Table4[[#This Row],[Home Differential]])-Table4[[#This Row],[Away Differential]]</f>
        <v>-1.3191620363378722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0.68436046530184202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-0.56850564030144513</v>
      </c>
      <c r="H976" t="s">
        <v>11</v>
      </c>
      <c r="I976">
        <f>VLOOKUP(Table4[[#This Row],[Visitor]],'NHL Model'!$A$6:$B$38,2,FALSE)</f>
        <v>-0.51447808915301396</v>
      </c>
      <c r="J976">
        <f>($B$1+Table4[[#This Row],[Home Differential]])-Table4[[#This Row],[Away Differential]]</f>
        <v>-4.6411387218098232E-3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0.46053384938431347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-1.2021149591105404</v>
      </c>
      <c r="H977" t="s">
        <v>36</v>
      </c>
      <c r="I977">
        <f>VLOOKUP(Table4[[#This Row],[Visitor]],'NHL Model'!$A$6:$B$38,2,FALSE)</f>
        <v>-0.430694899721771</v>
      </c>
      <c r="J977">
        <f>($B$1+Table4[[#This Row],[Home Differential]])-Table4[[#This Row],[Away Differential]]</f>
        <v>-0.72203364696214822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0.5466284529976666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-0.36690387823407311</v>
      </c>
      <c r="H978" t="s">
        <v>30</v>
      </c>
      <c r="I978">
        <f>VLOOKUP(Table4[[#This Row],[Visitor]],'NHL Model'!$A$6:$B$38,2,FALSE)</f>
        <v>-0.16042088891566345</v>
      </c>
      <c r="J978">
        <f>($B$1+Table4[[#This Row],[Home Differential]])-Table4[[#This Row],[Away Differential]]</f>
        <v>-0.15709657689178838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0.55069328419778529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-1.2257669814473033</v>
      </c>
      <c r="H979" t="s">
        <v>21</v>
      </c>
      <c r="I979">
        <f>VLOOKUP(Table4[[#This Row],[Visitor]],'NHL Model'!$A$6:$B$38,2,FALSE)</f>
        <v>-0.24831960772154485</v>
      </c>
      <c r="J979">
        <f>($B$1+Table4[[#This Row],[Home Differential]])-Table4[[#This Row],[Away Differential]]</f>
        <v>-0.92806096129913729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0.56675069255453792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-0.2172114589315223</v>
      </c>
      <c r="H980" t="s">
        <v>19</v>
      </c>
      <c r="I980">
        <f>VLOOKUP(Table4[[#This Row],[Visitor]],'NHL Model'!$A$6:$B$38,2,FALSE)</f>
        <v>-0.50406821212948805</v>
      </c>
      <c r="J980">
        <f>($B$1+Table4[[#This Row],[Home Differential]])-Table4[[#This Row],[Away Differential]]</f>
        <v>0.33624316562458706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0.5786765442077304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-0.36903552884843377</v>
      </c>
      <c r="H981" t="s">
        <v>55</v>
      </c>
      <c r="I981">
        <f>VLOOKUP(Table4[[#This Row],[Visitor]],'NHL Model'!$A$6:$B$38,2,FALSE)</f>
        <v>-0.3968452829365326</v>
      </c>
      <c r="J981">
        <f>($B$1+Table4[[#This Row],[Home Differential]])-Table4[[#This Row],[Away Differential]]</f>
        <v>7.719616651472011E-2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0.56289614951841782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-0.10735719588407502</v>
      </c>
      <c r="H982" t="s">
        <v>23</v>
      </c>
      <c r="I982">
        <f>VLOOKUP(Table4[[#This Row],[Visitor]],'NHL Model'!$A$6:$B$38,2,FALSE)</f>
        <v>-0.46454876921224991</v>
      </c>
      <c r="J982">
        <f>($B$1+Table4[[#This Row],[Home Differential]])-Table4[[#This Row],[Away Differential]]</f>
        <v>0.4065779857547962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0.58676684330735884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-0.30901762292301305</v>
      </c>
      <c r="H983" t="s">
        <v>37</v>
      </c>
      <c r="I983">
        <f>VLOOKUP(Table4[[#This Row],[Visitor]],'NHL Model'!$A$6:$B$38,2,FALSE)</f>
        <v>0.46523362857782063</v>
      </c>
      <c r="J983">
        <f>($B$1+Table4[[#This Row],[Home Differential]])-Table4[[#This Row],[Away Differential]]</f>
        <v>-0.7248648390742124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0.61349843532345161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0.18193976369097953</v>
      </c>
      <c r="H984" t="s">
        <v>18</v>
      </c>
      <c r="I984">
        <f>VLOOKUP(Table4[[#This Row],[Visitor]],'NHL Model'!$A$6:$B$38,2,FALSE)</f>
        <v>-0.68642169651276408</v>
      </c>
      <c r="J984">
        <f>($B$1+Table4[[#This Row],[Home Differential]])-Table4[[#This Row],[Away Differential]]</f>
        <v>0.91774787263036495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0.66806442419106016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-0.21549764750433295</v>
      </c>
      <c r="H985" t="s">
        <v>38</v>
      </c>
      <c r="I985">
        <f>VLOOKUP(Table4[[#This Row],[Visitor]],'NHL Model'!$A$6:$B$38,2,FALSE)</f>
        <v>-0.93150212402040711</v>
      </c>
      <c r="J985">
        <f>($B$1+Table4[[#This Row],[Home Differential]])-Table4[[#This Row],[Away Differential]]</f>
        <v>0.76539088894269547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0.62803948326324466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0.36815457830954207</v>
      </c>
      <c r="H986" t="s">
        <v>12</v>
      </c>
      <c r="I986">
        <f>VLOOKUP(Table4[[#This Row],[Visitor]],'NHL Model'!$A$6:$B$38,2,FALSE)</f>
        <v>1.6140407860044261</v>
      </c>
      <c r="J986">
        <f>($B$1+Table4[[#This Row],[Home Differential]])-Table4[[#This Row],[Away Differential]]</f>
        <v>-1.1964997952682628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0.63762800840954692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-0.80014284799340474</v>
      </c>
      <c r="H987" t="s">
        <v>11</v>
      </c>
      <c r="I987">
        <f>VLOOKUP(Table4[[#This Row],[Visitor]],'NHL Model'!$A$6:$B$38,2,FALSE)</f>
        <v>-0.51447808915301396</v>
      </c>
      <c r="J987">
        <f>($B$1+Table4[[#This Row],[Home Differential]])-Table4[[#This Row],[Away Differential]]</f>
        <v>-0.23627834641376944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0.47705578973488699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-0.82464120527377915</v>
      </c>
      <c r="H988" t="s">
        <v>25</v>
      </c>
      <c r="I988">
        <f>VLOOKUP(Table4[[#This Row],[Visitor]],'NHL Model'!$A$6:$B$38,2,FALSE)</f>
        <v>0.4370463247440865</v>
      </c>
      <c r="J988">
        <f>($B$1+Table4[[#This Row],[Home Differential]])-Table4[[#This Row],[Away Differential]]</f>
        <v>-1.2123011175912444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0.67206873279835633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-0.44540084513285771</v>
      </c>
      <c r="H989" t="s">
        <v>35</v>
      </c>
      <c r="I989">
        <f>VLOOKUP(Table4[[#This Row],[Visitor]],'NHL Model'!$A$6:$B$38,2,FALSE)</f>
        <v>-1.3795663642467595</v>
      </c>
      <c r="J989">
        <f>($B$1+Table4[[#This Row],[Home Differential]])-Table4[[#This Row],[Away Differential]]</f>
        <v>0.98355193154052301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0.66325581952441337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-0.21936273413039192</v>
      </c>
      <c r="H990" t="s">
        <v>34</v>
      </c>
      <c r="I990">
        <f>VLOOKUP(Table4[[#This Row],[Visitor]],'NHL Model'!$A$6:$B$38,2,FALSE)</f>
        <v>-3.2419815263072818E-2</v>
      </c>
      <c r="J990">
        <f>($B$1+Table4[[#This Row],[Home Differential]])-Table4[[#This Row],[Away Differential]]</f>
        <v>-0.13755650644069778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0.53511034219778686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-0.24831960772154485</v>
      </c>
      <c r="H991" t="s">
        <v>22</v>
      </c>
      <c r="I991">
        <f>VLOOKUP(Table4[[#This Row],[Visitor]],'NHL Model'!$A$6:$B$38,2,FALSE)</f>
        <v>0.49679678069457273</v>
      </c>
      <c r="J991">
        <f>($B$1+Table4[[#This Row],[Home Differential]])-Table4[[#This Row],[Away Differential]]</f>
        <v>-0.69572997598949626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0.55575485602535679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-0.46454876921224991</v>
      </c>
      <c r="H992" t="s">
        <v>29</v>
      </c>
      <c r="I992">
        <f>VLOOKUP(Table4[[#This Row],[Visitor]],'NHL Model'!$A$6:$B$38,2,FALSE)</f>
        <v>-1.2257669814473033</v>
      </c>
      <c r="J992">
        <f>($B$1+Table4[[#This Row],[Home Differential]])-Table4[[#This Row],[Away Differential]]</f>
        <v>0.81060462466167471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0.64336246601139091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-0.56850564030144513</v>
      </c>
      <c r="H993" t="s">
        <v>55</v>
      </c>
      <c r="I993">
        <f>VLOOKUP(Table4[[#This Row],[Visitor]],'NHL Model'!$A$6:$B$38,2,FALSE)</f>
        <v>-0.3968452829365326</v>
      </c>
      <c r="J993">
        <f>($B$1+Table4[[#This Row],[Home Differential]])-Table4[[#This Row],[Away Differential]]</f>
        <v>-0.12227394493829119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0.47406462382090309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-1.2021149591105404</v>
      </c>
      <c r="H994" t="s">
        <v>25</v>
      </c>
      <c r="I994">
        <f>VLOOKUP(Table4[[#This Row],[Visitor]],'NHL Model'!$A$6:$B$38,2,FALSE)</f>
        <v>0.4370463247440865</v>
      </c>
      <c r="J994">
        <f>($B$1+Table4[[#This Row],[Home Differential]])-Table4[[#This Row],[Away Differential]]</f>
        <v>-1.5897748714280058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0.71548784676133148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-0.36690387823407311</v>
      </c>
      <c r="H995" t="s">
        <v>18</v>
      </c>
      <c r="I995">
        <f>VLOOKUP(Table4[[#This Row],[Visitor]],'NHL Model'!$A$6:$B$38,2,FALSE)</f>
        <v>-0.68642169651276408</v>
      </c>
      <c r="J995">
        <f>($B$1+Table4[[#This Row],[Home Differential]])-Table4[[#This Row],[Away Differential]]</f>
        <v>0.36890423070531225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0.52314556630022369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1.5071179757482971E-3</v>
      </c>
      <c r="H996" t="s">
        <v>15</v>
      </c>
      <c r="I996">
        <f>VLOOKUP(Table4[[#This Row],[Visitor]],'NHL Model'!$A$6:$B$38,2,FALSE)</f>
        <v>-0.2172114589315223</v>
      </c>
      <c r="J996">
        <f>($B$1+Table4[[#This Row],[Home Differential]])-Table4[[#This Row],[Away Differential]]</f>
        <v>0.26810498933389193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0.5525780456377839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-0.10735719588407502</v>
      </c>
      <c r="H997" t="s">
        <v>27</v>
      </c>
      <c r="I997">
        <f>VLOOKUP(Table4[[#This Row],[Visitor]],'NHL Model'!$A$6:$B$38,2,FALSE)</f>
        <v>-0.36903552884843377</v>
      </c>
      <c r="J997">
        <f>($B$1+Table4[[#This Row],[Home Differential]])-Table4[[#This Row],[Away Differential]]</f>
        <v>0.31106474539098006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0.53326782057077171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-0.63765723729815182</v>
      </c>
      <c r="H998" t="s">
        <v>36</v>
      </c>
      <c r="I998">
        <f>VLOOKUP(Table4[[#This Row],[Visitor]],'NHL Model'!$A$6:$B$38,2,FALSE)</f>
        <v>-0.430694899721771</v>
      </c>
      <c r="J998">
        <f>($B$1+Table4[[#This Row],[Home Differential]])-Table4[[#This Row],[Away Differential]]</f>
        <v>-0.15757592514975949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0.48170141131187044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-0.44540084513285771</v>
      </c>
      <c r="H999" t="s">
        <v>30</v>
      </c>
      <c r="I999">
        <f>VLOOKUP(Table4[[#This Row],[Visitor]],'NHL Model'!$A$6:$B$38,2,FALSE)</f>
        <v>-0.16042088891566345</v>
      </c>
      <c r="J999">
        <f>($B$1+Table4[[#This Row],[Home Differential]])-Table4[[#This Row],[Away Differential]]</f>
        <v>-0.23559354379057298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0.54954824893920362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-0.50406821212948805</v>
      </c>
      <c r="H1000" t="s">
        <v>37</v>
      </c>
      <c r="I1000">
        <f>VLOOKUP(Table4[[#This Row],[Visitor]],'NHL Model'!$A$6:$B$38,2,FALSE)</f>
        <v>0.46523362857782063</v>
      </c>
      <c r="J1000">
        <f>($B$1+Table4[[#This Row],[Home Differential]])-Table4[[#This Row],[Away Differential]]</f>
        <v>-0.9199154282806874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0.63843691750979437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-0.30901762292301305</v>
      </c>
      <c r="H1001" t="s">
        <v>38</v>
      </c>
      <c r="I1001">
        <f>VLOOKUP(Table4[[#This Row],[Visitor]],'NHL Model'!$A$6:$B$38,2,FALSE)</f>
        <v>-0.93150212402040711</v>
      </c>
      <c r="J1001">
        <f>($B$1+Table4[[#This Row],[Home Differential]])-Table4[[#This Row],[Away Differential]]</f>
        <v>0.67187091352401529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0.61977777887734675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0.18193976369097953</v>
      </c>
      <c r="H1002" t="s">
        <v>35</v>
      </c>
      <c r="I1002">
        <f>VLOOKUP(Table4[[#This Row],[Visitor]],'NHL Model'!$A$6:$B$38,2,FALSE)</f>
        <v>-1.3795663642467595</v>
      </c>
      <c r="J1002">
        <f>($B$1+Table4[[#This Row],[Home Differential]])-Table4[[#This Row],[Away Differential]]</f>
        <v>1.6108925403643604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0.80512845919984311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-0.46454876921224991</v>
      </c>
      <c r="H1003" t="s">
        <v>37</v>
      </c>
      <c r="I1003">
        <f>VLOOKUP(Table4[[#This Row],[Visitor]],'NHL Model'!$A$6:$B$38,2,FALSE)</f>
        <v>0.46523362857782063</v>
      </c>
      <c r="J1003">
        <f>($B$1+Table4[[#This Row],[Home Differential]])-Table4[[#This Row],[Away Differential]]</f>
        <v>-0.88039598536344932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0.62371698361198435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1.6140407860044261</v>
      </c>
      <c r="H1004" t="s">
        <v>34</v>
      </c>
      <c r="I1004">
        <f>VLOOKUP(Table4[[#This Row],[Visitor]],'NHL Model'!$A$6:$B$38,2,FALSE)</f>
        <v>-3.2419815263072818E-2</v>
      </c>
      <c r="J1004">
        <f>($B$1+Table4[[#This Row],[Home Differential]])-Table4[[#This Row],[Away Differential]]</f>
        <v>1.6958470136941202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0.786993931854996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0.36815457830954207</v>
      </c>
      <c r="H1005" t="s">
        <v>10</v>
      </c>
      <c r="I1005">
        <f>VLOOKUP(Table4[[#This Row],[Visitor]],'NHL Model'!$A$6:$B$38,2,FALSE)</f>
        <v>-0.21549764750433295</v>
      </c>
      <c r="J1005">
        <f>($B$1+Table4[[#This Row],[Home Differential]])-Table4[[#This Row],[Away Differential]]</f>
        <v>0.63303863824049633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0.64506166291234679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1.5071179757482971E-3</v>
      </c>
      <c r="H1006" t="s">
        <v>26</v>
      </c>
      <c r="I1006">
        <f>VLOOKUP(Table4[[#This Row],[Visitor]],'NHL Model'!$A$6:$B$38,2,FALSE)</f>
        <v>-0.80014284799340474</v>
      </c>
      <c r="J1006">
        <f>($B$1+Table4[[#This Row],[Home Differential]])-Table4[[#This Row],[Away Differential]]</f>
        <v>0.8510363783957744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0.71772561077226638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-0.10735719588407502</v>
      </c>
      <c r="H1007" t="s">
        <v>21</v>
      </c>
      <c r="I1007">
        <f>VLOOKUP(Table4[[#This Row],[Visitor]],'NHL Model'!$A$6:$B$38,2,FALSE)</f>
        <v>-0.24831960772154485</v>
      </c>
      <c r="J1007">
        <f>($B$1+Table4[[#This Row],[Home Differential]])-Table4[[#This Row],[Away Differential]]</f>
        <v>0.19034882426409114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0.5618949720594747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-0.21936273413039192</v>
      </c>
      <c r="H1008" t="s">
        <v>17</v>
      </c>
      <c r="I1008">
        <f>VLOOKUP(Table4[[#This Row],[Visitor]],'NHL Model'!$A$6:$B$38,2,FALSE)</f>
        <v>-0.82464120527377915</v>
      </c>
      <c r="J1008">
        <f>($B$1+Table4[[#This Row],[Home Differential]])-Table4[[#This Row],[Away Differential]]</f>
        <v>0.65466488357000852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0.61530316716954159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-0.21549764750433295</v>
      </c>
      <c r="H1009" t="s">
        <v>55</v>
      </c>
      <c r="I1009">
        <f>VLOOKUP(Table4[[#This Row],[Visitor]],'NHL Model'!$A$6:$B$38,2,FALSE)</f>
        <v>-0.3968452829365326</v>
      </c>
      <c r="J1009">
        <f>($B$1+Table4[[#This Row],[Home Differential]])-Table4[[#This Row],[Away Differential]]</f>
        <v>0.23073404785882096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0.56654030331193073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-0.36903552884843377</v>
      </c>
      <c r="H1010" t="s">
        <v>15</v>
      </c>
      <c r="I1010">
        <f>VLOOKUP(Table4[[#This Row],[Visitor]],'NHL Model'!$A$6:$B$38,2,FALSE)</f>
        <v>-0.2172114589315223</v>
      </c>
      <c r="J1010">
        <f>($B$1+Table4[[#This Row],[Home Differential]])-Table4[[#This Row],[Away Differential]]</f>
        <v>-0.10243765749029018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0.55788223536758075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-0.93150212402040711</v>
      </c>
      <c r="H1011" t="s">
        <v>36</v>
      </c>
      <c r="I1011">
        <f>VLOOKUP(Table4[[#This Row],[Visitor]],'NHL Model'!$A$6:$B$38,2,FALSE)</f>
        <v>-0.430694899721771</v>
      </c>
      <c r="J1011">
        <f>($B$1+Table4[[#This Row],[Home Differential]])-Table4[[#This Row],[Away Differential]]</f>
        <v>-0.45142081187201477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0.51550107153817726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0.49679678069457273</v>
      </c>
      <c r="H1012" t="s">
        <v>16</v>
      </c>
      <c r="I1012">
        <f>VLOOKUP(Table4[[#This Row],[Visitor]],'NHL Model'!$A$6:$B$38,2,FALSE)</f>
        <v>-1.2021149591105404</v>
      </c>
      <c r="J1012">
        <f>($B$1+Table4[[#This Row],[Home Differential]])-Table4[[#This Row],[Away Differential]]</f>
        <v>1.7482981522317345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0.76713663594857318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-0.24831960772154485</v>
      </c>
      <c r="H1013" t="s">
        <v>13</v>
      </c>
      <c r="I1013">
        <f>VLOOKUP(Table4[[#This Row],[Visitor]],'NHL Model'!$A$6:$B$38,2,FALSE)</f>
        <v>-0.36690387823407311</v>
      </c>
      <c r="J1013">
        <f>($B$1+Table4[[#This Row],[Home Differential]])-Table4[[#This Row],[Away Differential]]</f>
        <v>0.16797068293914957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0.5365622940781769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-0.46454876921224991</v>
      </c>
      <c r="H1014" t="s">
        <v>33</v>
      </c>
      <c r="I1014">
        <f>VLOOKUP(Table4[[#This Row],[Visitor]],'NHL Model'!$A$6:$B$38,2,FALSE)</f>
        <v>-0.44540084513285771</v>
      </c>
      <c r="J1014">
        <f>($B$1+Table4[[#This Row],[Home Differential]])-Table4[[#This Row],[Away Differential]]</f>
        <v>3.0238488347229087E-2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0.55360044716613876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0.4370463247440865</v>
      </c>
      <c r="H1015" t="s">
        <v>14</v>
      </c>
      <c r="I1015">
        <f>VLOOKUP(Table4[[#This Row],[Visitor]],'NHL Model'!$A$6:$B$38,2,FALSE)</f>
        <v>-0.10735719588407502</v>
      </c>
      <c r="J1015">
        <f>($B$1+Table4[[#This Row],[Home Differential]])-Table4[[#This Row],[Away Differential]]</f>
        <v>0.59378993305478278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0.62149248383169731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1.6140407860044261</v>
      </c>
      <c r="H1016" t="s">
        <v>17</v>
      </c>
      <c r="I1016">
        <f>VLOOKUP(Table4[[#This Row],[Visitor]],'NHL Model'!$A$6:$B$38,2,FALSE)</f>
        <v>-0.82464120527377915</v>
      </c>
      <c r="J1016">
        <f>($B$1+Table4[[#This Row],[Home Differential]])-Table4[[#This Row],[Away Differential]]</f>
        <v>2.4880684037048266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0.93401232211552232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0.36815457830954207</v>
      </c>
      <c r="H1017" t="s">
        <v>20</v>
      </c>
      <c r="I1017">
        <f>VLOOKUP(Table4[[#This Row],[Visitor]],'NHL Model'!$A$6:$B$38,2,FALSE)</f>
        <v>-0.21936273413039192</v>
      </c>
      <c r="J1017">
        <f>($B$1+Table4[[#This Row],[Home Differential]])-Table4[[#This Row],[Away Differential]]</f>
        <v>0.63690372486655522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0.64550624650256427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-0.51447808915301396</v>
      </c>
      <c r="H1018" t="s">
        <v>26</v>
      </c>
      <c r="I1018">
        <f>VLOOKUP(Table4[[#This Row],[Visitor]],'NHL Model'!$A$6:$B$38,2,FALSE)</f>
        <v>-0.80014284799340474</v>
      </c>
      <c r="J1018">
        <f>($B$1+Table4[[#This Row],[Home Differential]])-Table4[[#This Row],[Away Differential]]</f>
        <v>0.33505117126701206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0.57853943443962419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-3.2419815263072818E-2</v>
      </c>
      <c r="H1019" t="s">
        <v>55</v>
      </c>
      <c r="I1019">
        <f>VLOOKUP(Table4[[#This Row],[Visitor]],'NHL Model'!$A$6:$B$38,2,FALSE)</f>
        <v>-0.3968452829365326</v>
      </c>
      <c r="J1019">
        <f>($B$1+Table4[[#This Row],[Home Differential]])-Table4[[#This Row],[Away Differential]]</f>
        <v>0.41381188010008108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0.58759892574959893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-0.68642169651276408</v>
      </c>
      <c r="H1020" t="s">
        <v>19</v>
      </c>
      <c r="I1020">
        <f>VLOOKUP(Table4[[#This Row],[Visitor]],'NHL Model'!$A$6:$B$38,2,FALSE)</f>
        <v>-0.50406821212948805</v>
      </c>
      <c r="J1020">
        <f>($B$1+Table4[[#This Row],[Home Differential]])-Table4[[#This Row],[Away Differential]]</f>
        <v>-0.13296707195665469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0.47529460629229808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-0.2172114589315223</v>
      </c>
      <c r="H1021" t="s">
        <v>16</v>
      </c>
      <c r="I1021">
        <f>VLOOKUP(Table4[[#This Row],[Visitor]],'NHL Model'!$A$6:$B$38,2,FALSE)</f>
        <v>-1.2021149591105404</v>
      </c>
      <c r="J1021">
        <f>($B$1+Table4[[#This Row],[Home Differential]])-Table4[[#This Row],[Away Differential]]</f>
        <v>1.0342899126056395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0.65896973267603731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-0.63765723729815182</v>
      </c>
      <c r="H1022" t="s">
        <v>29</v>
      </c>
      <c r="I1022">
        <f>VLOOKUP(Table4[[#This Row],[Visitor]],'NHL Model'!$A$6:$B$38,2,FALSE)</f>
        <v>-1.2257669814473033</v>
      </c>
      <c r="J1022">
        <f>($B$1+Table4[[#This Row],[Home Differential]])-Table4[[#This Row],[Away Differential]]</f>
        <v>0.63749615657577285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0.6133283254583366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-1.3795663642467595</v>
      </c>
      <c r="H1023" t="s">
        <v>30</v>
      </c>
      <c r="I1023">
        <f>VLOOKUP(Table4[[#This Row],[Visitor]],'NHL Model'!$A$6:$B$38,2,FALSE)</f>
        <v>-0.16042088891566345</v>
      </c>
      <c r="J1023">
        <f>($B$1+Table4[[#This Row],[Home Differential]])-Table4[[#This Row],[Away Differential]]</f>
        <v>-1.1697590629044747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0.66717531093289129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0.46523362857782063</v>
      </c>
      <c r="H1024" t="s">
        <v>28</v>
      </c>
      <c r="I1024">
        <f>VLOOKUP(Table4[[#This Row],[Visitor]],'NHL Model'!$A$6:$B$38,2,FALSE)</f>
        <v>-0.56850564030144513</v>
      </c>
      <c r="J1024">
        <f>($B$1+Table4[[#This Row],[Home Differential]])-Table4[[#This Row],[Away Differential]]</f>
        <v>1.0831256813058872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0.69330747140124016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-0.30901762292301305</v>
      </c>
      <c r="H1025" t="s">
        <v>31</v>
      </c>
      <c r="I1025">
        <f>VLOOKUP(Table4[[#This Row],[Visitor]],'NHL Model'!$A$6:$B$38,2,FALSE)</f>
        <v>0.18193976369097953</v>
      </c>
      <c r="J1025">
        <f>($B$1+Table4[[#This Row],[Home Differential]])-Table4[[#This Row],[Away Differential]]</f>
        <v>-0.44157097418737129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0.52905279948380612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-0.430694899721771</v>
      </c>
      <c r="H1026" t="s">
        <v>18</v>
      </c>
      <c r="I1026">
        <f>VLOOKUP(Table4[[#This Row],[Visitor]],'NHL Model'!$A$6:$B$38,2,FALSE)</f>
        <v>-0.68642169651276408</v>
      </c>
      <c r="J1026">
        <f>($B$1+Table4[[#This Row],[Home Differential]])-Table4[[#This Row],[Away Differential]]</f>
        <v>0.30511320921761437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0.51831728136530375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-0.36903552884843377</v>
      </c>
      <c r="H1027" t="s">
        <v>22</v>
      </c>
      <c r="I1027">
        <f>VLOOKUP(Table4[[#This Row],[Visitor]],'NHL Model'!$A$6:$B$38,2,FALSE)</f>
        <v>0.49679678069457273</v>
      </c>
      <c r="J1027">
        <f>($B$1+Table4[[#This Row],[Home Differential]])-Table4[[#This Row],[Away Differential]]</f>
        <v>-0.81644589711638527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0.59906675118617614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-0.24831960772154485</v>
      </c>
      <c r="H1028" t="s">
        <v>33</v>
      </c>
      <c r="I1028">
        <f>VLOOKUP(Table4[[#This Row],[Visitor]],'NHL Model'!$A$6:$B$38,2,FALSE)</f>
        <v>-0.44540084513285771</v>
      </c>
      <c r="J1028">
        <f>($B$1+Table4[[#This Row],[Home Differential]])-Table4[[#This Row],[Away Differential]]</f>
        <v>0.24646764983793418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0.61125162342941486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-0.46454876921224991</v>
      </c>
      <c r="H1029" t="s">
        <v>22</v>
      </c>
      <c r="I1029">
        <f>VLOOKUP(Table4[[#This Row],[Visitor]],'NHL Model'!$A$6:$B$38,2,FALSE)</f>
        <v>0.49679678069457273</v>
      </c>
      <c r="J1029">
        <f>($B$1+Table4[[#This Row],[Home Differential]])-Table4[[#This Row],[Away Differential]]</f>
        <v>-0.91195913748020141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0.61398948102434425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0.4370463247440865</v>
      </c>
      <c r="H1030" t="s">
        <v>35</v>
      </c>
      <c r="I1030">
        <f>VLOOKUP(Table4[[#This Row],[Visitor]],'NHL Model'!$A$6:$B$38,2,FALSE)</f>
        <v>-1.3795663642467595</v>
      </c>
      <c r="J1030">
        <f>($B$1+Table4[[#This Row],[Home Differential]])-Table4[[#This Row],[Away Differential]]</f>
        <v>1.8659991014174673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0.80635348904778459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0.36815457830954207</v>
      </c>
      <c r="H1031" t="s">
        <v>17</v>
      </c>
      <c r="I1031">
        <f>VLOOKUP(Table4[[#This Row],[Visitor]],'NHL Model'!$A$6:$B$38,2,FALSE)</f>
        <v>-0.82464120527377915</v>
      </c>
      <c r="J1031">
        <f>($B$1+Table4[[#This Row],[Home Differential]])-Table4[[#This Row],[Away Differential]]</f>
        <v>1.2421821960099426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0.71512871601411376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-0.51447808915301396</v>
      </c>
      <c r="H1032" t="s">
        <v>28</v>
      </c>
      <c r="I1032">
        <f>VLOOKUP(Table4[[#This Row],[Visitor]],'NHL Model'!$A$6:$B$38,2,FALSE)</f>
        <v>-0.56850564030144513</v>
      </c>
      <c r="J1032">
        <f>($B$1+Table4[[#This Row],[Home Differential]])-Table4[[#This Row],[Away Differential]]</f>
        <v>0.10341396357505245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0.54831908575990018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-3.2419815263072818E-2</v>
      </c>
      <c r="H1033" t="s">
        <v>27</v>
      </c>
      <c r="I1033">
        <f>VLOOKUP(Table4[[#This Row],[Visitor]],'NHL Model'!$A$6:$B$38,2,FALSE)</f>
        <v>-0.36903552884843377</v>
      </c>
      <c r="J1033">
        <f>($B$1+Table4[[#This Row],[Home Differential]])-Table4[[#This Row],[Away Differential]]</f>
        <v>0.38600212601198225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0.54188753157371783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1.5071179757482971E-3</v>
      </c>
      <c r="H1034" t="s">
        <v>16</v>
      </c>
      <c r="I1034">
        <f>VLOOKUP(Table4[[#This Row],[Visitor]],'NHL Model'!$A$6:$B$38,2,FALSE)</f>
        <v>-1.2021149591105404</v>
      </c>
      <c r="J1034">
        <f>($B$1+Table4[[#This Row],[Home Differential]])-Table4[[#This Row],[Away Differential]]</f>
        <v>1.2530084895129101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0.76396266096484822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-0.63765723729815182</v>
      </c>
      <c r="H1035" t="s">
        <v>12</v>
      </c>
      <c r="I1035">
        <f>VLOOKUP(Table4[[#This Row],[Visitor]],'NHL Model'!$A$6:$B$38,2,FALSE)</f>
        <v>1.6140407860044261</v>
      </c>
      <c r="J1035">
        <f>($B$1+Table4[[#This Row],[Home Differential]])-Table4[[#This Row],[Away Differential]]</f>
        <v>-2.2023116108759568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0.78594520234240606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0.46523362857782063</v>
      </c>
      <c r="H1036" t="s">
        <v>26</v>
      </c>
      <c r="I1036">
        <f>VLOOKUP(Table4[[#This Row],[Visitor]],'NHL Model'!$A$6:$B$38,2,FALSE)</f>
        <v>-0.80014284799340474</v>
      </c>
      <c r="J1036">
        <f>($B$1+Table4[[#This Row],[Home Differential]])-Table4[[#This Row],[Away Differential]]</f>
        <v>1.3147628889978467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0.72347734780194484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-0.50406821212948805</v>
      </c>
      <c r="H1037" t="s">
        <v>31</v>
      </c>
      <c r="I1037">
        <f>VLOOKUP(Table4[[#This Row],[Visitor]],'NHL Model'!$A$6:$B$38,2,FALSE)</f>
        <v>0.18193976369097953</v>
      </c>
      <c r="J1037">
        <f>($B$1+Table4[[#This Row],[Home Differential]])-Table4[[#This Row],[Away Differential]]</f>
        <v>-0.63662156339384635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0.55399695569401675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-0.3968452829365326</v>
      </c>
      <c r="H1038" t="s">
        <v>10</v>
      </c>
      <c r="I1038">
        <f>VLOOKUP(Table4[[#This Row],[Visitor]],'NHL Model'!$A$6:$B$38,2,FALSE)</f>
        <v>-0.21549764750433295</v>
      </c>
      <c r="J1038">
        <f>($B$1+Table4[[#This Row],[Home Differential]])-Table4[[#This Row],[Away Differential]]</f>
        <v>-0.13196122300557836</v>
      </c>
      <c r="K1038" t="str">
        <f>IF(Table4[[#This Row],[HomeIce Differential]]&gt;0,Table4[[#This Row],[Home]],Table4[[#This Row],[Visitor]])</f>
        <v>Chicago Blackhawks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0.43474773054984373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-0.93150212402040711</v>
      </c>
      <c r="H1039" t="s">
        <v>29</v>
      </c>
      <c r="I1039">
        <f>VLOOKUP(Table4[[#This Row],[Visitor]],'NHL Model'!$A$6:$B$38,2,FALSE)</f>
        <v>-1.2257669814473033</v>
      </c>
      <c r="J1039">
        <f>($B$1+Table4[[#This Row],[Home Differential]])-Table4[[#This Row],[Away Differential]]</f>
        <v>0.34365126985351757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0.57952866523202984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-0.21936273413039192</v>
      </c>
      <c r="H1040" t="s">
        <v>14</v>
      </c>
      <c r="I1040">
        <f>VLOOKUP(Table4[[#This Row],[Visitor]],'NHL Model'!$A$6:$B$38,2,FALSE)</f>
        <v>-0.10735719588407502</v>
      </c>
      <c r="J1040">
        <f>($B$1+Table4[[#This Row],[Home Differential]])-Table4[[#This Row],[Away Differential]]</f>
        <v>-6.2619125819695587E-2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0.50648953060517865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-0.30901762292301305</v>
      </c>
      <c r="H1041" t="s">
        <v>15</v>
      </c>
      <c r="I1041">
        <f>VLOOKUP(Table4[[#This Row],[Visitor]],'NHL Model'!$A$6:$B$38,2,FALSE)</f>
        <v>-0.2172114589315223</v>
      </c>
      <c r="J1041">
        <f>($B$1+Table4[[#This Row],[Home Differential]])-Table4[[#This Row],[Away Differential]]</f>
        <v>-4.2419751564869462E-2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0.56248304052149367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-0.16042088891566345</v>
      </c>
      <c r="H1042" t="s">
        <v>13</v>
      </c>
      <c r="I1042">
        <f>VLOOKUP(Table4[[#This Row],[Visitor]],'NHL Model'!$A$6:$B$38,2,FALSE)</f>
        <v>-0.36690387823407311</v>
      </c>
      <c r="J1042">
        <f>($B$1+Table4[[#This Row],[Home Differential]])-Table4[[#This Row],[Away Differential]]</f>
        <v>0.25586940174503098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0.50311572093222889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-1.3795663642467595</v>
      </c>
      <c r="H1043" t="s">
        <v>17</v>
      </c>
      <c r="I1043">
        <f>VLOOKUP(Table4[[#This Row],[Visitor]],'NHL Model'!$A$6:$B$38,2,FALSE)</f>
        <v>-0.82464120527377915</v>
      </c>
      <c r="J1043">
        <f>($B$1+Table4[[#This Row],[Home Differential]])-Table4[[#This Row],[Away Differential]]</f>
        <v>-0.50553874654635911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0.51814985605194752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-0.46454876921224991</v>
      </c>
      <c r="H1044" t="s">
        <v>19</v>
      </c>
      <c r="I1044">
        <f>VLOOKUP(Table4[[#This Row],[Visitor]],'NHL Model'!$A$6:$B$38,2,FALSE)</f>
        <v>-0.50406821212948805</v>
      </c>
      <c r="J1044">
        <f>($B$1+Table4[[#This Row],[Home Differential]])-Table4[[#This Row],[Away Differential]]</f>
        <v>8.8905855343859419E-2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0.56034869142853572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0.36815457830954207</v>
      </c>
      <c r="H1045" t="s">
        <v>26</v>
      </c>
      <c r="I1045">
        <f>VLOOKUP(Table4[[#This Row],[Visitor]],'NHL Model'!$A$6:$B$38,2,FALSE)</f>
        <v>-0.80014284799340474</v>
      </c>
      <c r="J1045">
        <f>($B$1+Table4[[#This Row],[Home Differential]])-Table4[[#This Row],[Away Differential]]</f>
        <v>1.2176838387295681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0.71231077978450708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-3.2419815263072818E-2</v>
      </c>
      <c r="H1046" t="s">
        <v>15</v>
      </c>
      <c r="I1046">
        <f>VLOOKUP(Table4[[#This Row],[Visitor]],'NHL Model'!$A$6:$B$38,2,FALSE)</f>
        <v>-0.2172114589315223</v>
      </c>
      <c r="J1046">
        <f>($B$1+Table4[[#This Row],[Home Differential]])-Table4[[#This Row],[Away Differential]]</f>
        <v>0.23417805609507078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0.46685498574724515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-0.68642169651276408</v>
      </c>
      <c r="H1047" t="s">
        <v>33</v>
      </c>
      <c r="I1047">
        <f>VLOOKUP(Table4[[#This Row],[Visitor]],'NHL Model'!$A$6:$B$38,2,FALSE)</f>
        <v>-0.44540084513285771</v>
      </c>
      <c r="J1047">
        <f>($B$1+Table4[[#This Row],[Home Differential]])-Table4[[#This Row],[Away Differential]]</f>
        <v>-0.19163443895328502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0.48204285055469503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1.5071179757482971E-3</v>
      </c>
      <c r="H1048" t="s">
        <v>13</v>
      </c>
      <c r="I1048">
        <f>VLOOKUP(Table4[[#This Row],[Visitor]],'NHL Model'!$A$6:$B$38,2,FALSE)</f>
        <v>-0.36690387823407311</v>
      </c>
      <c r="J1048">
        <f>($B$1+Table4[[#This Row],[Home Differential]])-Table4[[#This Row],[Away Differential]]</f>
        <v>0.41779740863644271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0.60361291878846035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-0.16042088891566345</v>
      </c>
      <c r="H1049" t="s">
        <v>16</v>
      </c>
      <c r="I1049">
        <f>VLOOKUP(Table4[[#This Row],[Visitor]],'NHL Model'!$A$6:$B$38,2,FALSE)</f>
        <v>-1.2021149591105404</v>
      </c>
      <c r="J1049">
        <f>($B$1+Table4[[#This Row],[Home Differential]])-Table4[[#This Row],[Away Differential]]</f>
        <v>1.0910804826214984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0.66550209739405486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-0.430694899721771</v>
      </c>
      <c r="H1050" t="s">
        <v>31</v>
      </c>
      <c r="I1050">
        <f>VLOOKUP(Table4[[#This Row],[Visitor]],'NHL Model'!$A$6:$B$38,2,FALSE)</f>
        <v>0.18193976369097953</v>
      </c>
      <c r="J1050">
        <f>($B$1+Table4[[#This Row],[Home Differential]])-Table4[[#This Row],[Away Differential]]</f>
        <v>-0.56324825098612918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0.54304879124304883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-0.36903552884843377</v>
      </c>
      <c r="H1051" t="s">
        <v>28</v>
      </c>
      <c r="I1051">
        <f>VLOOKUP(Table4[[#This Row],[Visitor]],'NHL Model'!$A$6:$B$38,2,FALSE)</f>
        <v>-0.56850564030144513</v>
      </c>
      <c r="J1051">
        <f>($B$1+Table4[[#This Row],[Home Differential]])-Table4[[#This Row],[Away Differential]]</f>
        <v>0.24885652387963264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0.5790835660950282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0.46523362857782063</v>
      </c>
      <c r="H1052" t="s">
        <v>25</v>
      </c>
      <c r="I1052">
        <f>VLOOKUP(Table4[[#This Row],[Visitor]],'NHL Model'!$A$6:$B$38,2,FALSE)</f>
        <v>0.4370463247440865</v>
      </c>
      <c r="J1052">
        <f>($B$1+Table4[[#This Row],[Home Differential]])-Table4[[#This Row],[Away Differential]]</f>
        <v>7.7573716260355419E-2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0.50892295687476174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-0.3968452829365326</v>
      </c>
      <c r="H1053" t="s">
        <v>14</v>
      </c>
      <c r="I1053">
        <f>VLOOKUP(Table4[[#This Row],[Visitor]],'NHL Model'!$A$6:$B$38,2,FALSE)</f>
        <v>-0.10735719588407502</v>
      </c>
      <c r="J1053">
        <f>($B$1+Table4[[#This Row],[Home Differential]])-Table4[[#This Row],[Away Differential]]</f>
        <v>-0.24010167462583629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0.48595115276400197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-0.93150212402040711</v>
      </c>
      <c r="H1054" t="s">
        <v>32</v>
      </c>
      <c r="I1054">
        <f>VLOOKUP(Table4[[#This Row],[Visitor]],'NHL Model'!$A$6:$B$38,2,FALSE)</f>
        <v>-0.63765723729815182</v>
      </c>
      <c r="J1054">
        <f>($B$1+Table4[[#This Row],[Home Differential]])-Table4[[#This Row],[Away Differential]]</f>
        <v>-0.24445847429563394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0.48811896256831477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-0.21936273413039192</v>
      </c>
      <c r="H1055" t="s">
        <v>10</v>
      </c>
      <c r="I1055">
        <f>VLOOKUP(Table4[[#This Row],[Visitor]],'NHL Model'!$A$6:$B$38,2,FALSE)</f>
        <v>-0.21549764750433295</v>
      </c>
      <c r="J1055">
        <f>($B$1+Table4[[#This Row],[Home Differential]])-Table4[[#This Row],[Away Differential]]</f>
        <v>4.552132580056234E-2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0.54523611406777461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-0.30901762292301305</v>
      </c>
      <c r="H1056" t="s">
        <v>12</v>
      </c>
      <c r="I1056">
        <f>VLOOKUP(Table4[[#This Row],[Visitor]],'NHL Model'!$A$6:$B$38,2,FALSE)</f>
        <v>1.6140407860044261</v>
      </c>
      <c r="J1056">
        <f>($B$1+Table4[[#This Row],[Home Differential]])-Table4[[#This Row],[Away Differential]]</f>
        <v>-1.8736719965008179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0.74564057337355283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0.49679678069457273</v>
      </c>
      <c r="H1057" t="s">
        <v>21</v>
      </c>
      <c r="I1057">
        <f>VLOOKUP(Table4[[#This Row],[Visitor]],'NHL Model'!$A$6:$B$38,2,FALSE)</f>
        <v>-0.24831960772154485</v>
      </c>
      <c r="J1057">
        <f>($B$1+Table4[[#This Row],[Home Differential]])-Table4[[#This Row],[Away Differential]]</f>
        <v>0.79450280084273883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0.65742583185059167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-0.82464120527377915</v>
      </c>
      <c r="H1058" t="s">
        <v>29</v>
      </c>
      <c r="I1058">
        <f>VLOOKUP(Table4[[#This Row],[Visitor]],'NHL Model'!$A$6:$B$38,2,FALSE)</f>
        <v>-1.2257669814473033</v>
      </c>
      <c r="J1058">
        <f>($B$1+Table4[[#This Row],[Home Differential]])-Table4[[#This Row],[Away Differential]]</f>
        <v>0.45051218860014552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0.59182039773551554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-3.2419815263072818E-2</v>
      </c>
      <c r="H1059" t="s">
        <v>19</v>
      </c>
      <c r="I1059">
        <f>VLOOKUP(Table4[[#This Row],[Visitor]],'NHL Model'!$A$6:$B$38,2,FALSE)</f>
        <v>-0.50406821212948805</v>
      </c>
      <c r="J1059">
        <f>($B$1+Table4[[#This Row],[Home Differential]])-Table4[[#This Row],[Away Differential]]</f>
        <v>0.52103480929303658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0.59993229869209563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-0.68642169651276408</v>
      </c>
      <c r="H1060" t="s">
        <v>31</v>
      </c>
      <c r="I1060">
        <f>VLOOKUP(Table4[[#This Row],[Visitor]],'NHL Model'!$A$6:$B$38,2,FALSE)</f>
        <v>0.18193976369097953</v>
      </c>
      <c r="J1060">
        <f>($B$1+Table4[[#This Row],[Home Differential]])-Table4[[#This Row],[Away Differential]]</f>
        <v>-0.81897504777712227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0.57497225964430687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-0.430694899721771</v>
      </c>
      <c r="H1061" t="s">
        <v>33</v>
      </c>
      <c r="I1061">
        <f>VLOOKUP(Table4[[#This Row],[Visitor]],'NHL Model'!$A$6:$B$38,2,FALSE)</f>
        <v>-0.44540084513285771</v>
      </c>
      <c r="J1061">
        <f>($B$1+Table4[[#This Row],[Home Differential]])-Table4[[#This Row],[Away Differential]]</f>
        <v>6.4092357837708003E-2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0.54986773584688964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-0.63765723729815182</v>
      </c>
      <c r="H1062" t="s">
        <v>11</v>
      </c>
      <c r="I1062">
        <f>VLOOKUP(Table4[[#This Row],[Visitor]],'NHL Model'!$A$6:$B$38,2,FALSE)</f>
        <v>-0.51447808915301396</v>
      </c>
      <c r="J1062">
        <f>($B$1+Table4[[#This Row],[Home Differential]])-Table4[[#This Row],[Away Differential]]</f>
        <v>-7.3792735718516522E-2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0.46848804763042562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-0.30901762292301305</v>
      </c>
      <c r="H1063" t="s">
        <v>35</v>
      </c>
      <c r="I1063">
        <f>VLOOKUP(Table4[[#This Row],[Visitor]],'NHL Model'!$A$6:$B$38,2,FALSE)</f>
        <v>-1.3795663642467595</v>
      </c>
      <c r="J1063">
        <f>($B$1+Table4[[#This Row],[Home Differential]])-Table4[[#This Row],[Away Differential]]</f>
        <v>1.1199351537503677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0.67131660008380067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1.6140407860044261</v>
      </c>
      <c r="H1064" t="s">
        <v>14</v>
      </c>
      <c r="I1064">
        <f>VLOOKUP(Table4[[#This Row],[Visitor]],'NHL Model'!$A$6:$B$38,2,FALSE)</f>
        <v>-0.10735719588407502</v>
      </c>
      <c r="J1064">
        <f>($B$1+Table4[[#This Row],[Home Differential]])-Table4[[#This Row],[Away Differential]]</f>
        <v>1.7707843943151225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0.81479650284797722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0.36815457830954207</v>
      </c>
      <c r="H1065" t="s">
        <v>55</v>
      </c>
      <c r="I1065">
        <f>VLOOKUP(Table4[[#This Row],[Visitor]],'NHL Model'!$A$6:$B$38,2,FALSE)</f>
        <v>-0.3968452829365326</v>
      </c>
      <c r="J1065">
        <f>($B$1+Table4[[#This Row],[Home Differential]])-Table4[[#This Row],[Away Differential]]</f>
        <v>0.81438627367269589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0.66592126856628542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-0.80014284799340474</v>
      </c>
      <c r="H1066" t="s">
        <v>16</v>
      </c>
      <c r="I1066">
        <f>VLOOKUP(Table4[[#This Row],[Visitor]],'NHL Model'!$A$6:$B$38,2,FALSE)</f>
        <v>-1.2021149591105404</v>
      </c>
      <c r="J1066">
        <f>($B$1+Table4[[#This Row],[Home Differential]])-Table4[[#This Row],[Away Differential]]</f>
        <v>0.45135852354375705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0.60203999723932689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1.5071179757482971E-3</v>
      </c>
      <c r="H1067" t="s">
        <v>21</v>
      </c>
      <c r="I1067">
        <f>VLOOKUP(Table4[[#This Row],[Visitor]],'NHL Model'!$A$6:$B$38,2,FALSE)</f>
        <v>-0.24831960772154485</v>
      </c>
      <c r="J1067">
        <f>($B$1+Table4[[#This Row],[Home Differential]])-Table4[[#This Row],[Away Differential]]</f>
        <v>0.29921313812391448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0.6542518568668666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-0.2172114589315223</v>
      </c>
      <c r="H1068" t="s">
        <v>13</v>
      </c>
      <c r="I1068">
        <f>VLOOKUP(Table4[[#This Row],[Visitor]],'NHL Model'!$A$6:$B$38,2,FALSE)</f>
        <v>-0.36690387823407311</v>
      </c>
      <c r="J1068">
        <f>($B$1+Table4[[#This Row],[Home Differential]])-Table4[[#This Row],[Away Differential]]</f>
        <v>0.19907883172917212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0.4965833562142114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-0.56850564030144513</v>
      </c>
      <c r="H1069" t="s">
        <v>25</v>
      </c>
      <c r="I1069">
        <f>VLOOKUP(Table4[[#This Row],[Visitor]],'NHL Model'!$A$6:$B$38,2,FALSE)</f>
        <v>0.4370463247440865</v>
      </c>
      <c r="J1069">
        <f>($B$1+Table4[[#This Row],[Home Differential]])-Table4[[#This Row],[Away Differential]]</f>
        <v>-0.95616555261891034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0.64260660682942305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-0.21549764750433295</v>
      </c>
      <c r="H1070" t="s">
        <v>34</v>
      </c>
      <c r="I1070">
        <f>VLOOKUP(Table4[[#This Row],[Visitor]],'NHL Model'!$A$6:$B$38,2,FALSE)</f>
        <v>-3.2419815263072818E-2</v>
      </c>
      <c r="J1070">
        <f>($B$1+Table4[[#This Row],[Home Differential]])-Table4[[#This Row],[Away Differential]]</f>
        <v>-0.13369141981463883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0.53466575860756937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-0.82464120527377915</v>
      </c>
      <c r="H1071" t="s">
        <v>33</v>
      </c>
      <c r="I1071">
        <f>VLOOKUP(Table4[[#This Row],[Visitor]],'NHL Model'!$A$6:$B$38,2,FALSE)</f>
        <v>-0.44540084513285771</v>
      </c>
      <c r="J1071">
        <f>($B$1+Table4[[#This Row],[Home Differential]])-Table4[[#This Row],[Away Differential]]</f>
        <v>-0.3298539477143001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0.49794162110973672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-0.68642169651276408</v>
      </c>
      <c r="H1072" t="s">
        <v>21</v>
      </c>
      <c r="I1072">
        <f>VLOOKUP(Table4[[#This Row],[Visitor]],'NHL Model'!$A$6:$B$38,2,FALSE)</f>
        <v>-0.24831960772154485</v>
      </c>
      <c r="J1072">
        <f>($B$1+Table4[[#This Row],[Home Differential]])-Table4[[#This Row],[Away Differential]]</f>
        <v>-0.38871567636459792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0.50471222192197285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-0.63765723729815182</v>
      </c>
      <c r="H1073" t="s">
        <v>37</v>
      </c>
      <c r="I1073">
        <f>VLOOKUP(Table4[[#This Row],[Visitor]],'NHL Model'!$A$6:$B$38,2,FALSE)</f>
        <v>0.46523362857782063</v>
      </c>
      <c r="J1073">
        <f>($B$1+Table4[[#This Row],[Home Differential]])-Table4[[#This Row],[Away Differential]]</f>
        <v>-1.0535044534493512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0.65380306429230495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-0.50406821212948805</v>
      </c>
      <c r="H1074" t="s">
        <v>30</v>
      </c>
      <c r="I1074">
        <f>VLOOKUP(Table4[[#This Row],[Visitor]],'NHL Model'!$A$6:$B$38,2,FALSE)</f>
        <v>-0.16042088891566345</v>
      </c>
      <c r="J1074">
        <f>($B$1+Table4[[#This Row],[Home Differential]])-Table4[[#This Row],[Away Differential]]</f>
        <v>-0.29426091078720329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0.56647068271762002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-0.93150212402040711</v>
      </c>
      <c r="H1075" t="s">
        <v>11</v>
      </c>
      <c r="I1075">
        <f>VLOOKUP(Table4[[#This Row],[Visitor]],'NHL Model'!$A$6:$B$38,2,FALSE)</f>
        <v>-0.51447808915301396</v>
      </c>
      <c r="J1075">
        <f>($B$1+Table4[[#This Row],[Home Differential]])-Table4[[#This Row],[Away Differential]]</f>
        <v>-0.36763762244077181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0.50228770785673238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-0.21936273413039192</v>
      </c>
      <c r="H1076" t="s">
        <v>23</v>
      </c>
      <c r="I1076">
        <f>VLOOKUP(Table4[[#This Row],[Visitor]],'NHL Model'!$A$6:$B$38,2,FALSE)</f>
        <v>-0.46454876921224991</v>
      </c>
      <c r="J1076">
        <f>($B$1+Table4[[#This Row],[Home Differential]])-Table4[[#This Row],[Away Differential]]</f>
        <v>0.29457244750847933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0.57388334828241927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-0.30901762292301305</v>
      </c>
      <c r="H1077" t="s">
        <v>29</v>
      </c>
      <c r="I1077">
        <f>VLOOKUP(Table4[[#This Row],[Visitor]],'NHL Model'!$A$6:$B$38,2,FALSE)</f>
        <v>-1.2257669814473033</v>
      </c>
      <c r="J1077">
        <f>($B$1+Table4[[#This Row],[Home Differential]])-Table4[[#This Row],[Away Differential]]</f>
        <v>0.96613577095091152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0.65362574645138449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0.18193976369097953</v>
      </c>
      <c r="H1078" t="s">
        <v>27</v>
      </c>
      <c r="I1078">
        <f>VLOOKUP(Table4[[#This Row],[Visitor]],'NHL Model'!$A$6:$B$38,2,FALSE)</f>
        <v>-0.36903552884843377</v>
      </c>
      <c r="J1078">
        <f>($B$1+Table4[[#This Row],[Home Differential]])-Table4[[#This Row],[Away Differential]]</f>
        <v>0.60036170496603458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0.64800428435751545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0.4370463247440865</v>
      </c>
      <c r="H1079" t="s">
        <v>14</v>
      </c>
      <c r="I1079">
        <f>VLOOKUP(Table4[[#This Row],[Visitor]],'NHL Model'!$A$6:$B$38,2,FALSE)</f>
        <v>-0.10735719588407502</v>
      </c>
      <c r="J1079">
        <f>($B$1+Table4[[#This Row],[Home Differential]])-Table4[[#This Row],[Away Differential]]</f>
        <v>0.59378993305478278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0.62149248383169731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-1.2021149591105404</v>
      </c>
      <c r="H1080" t="s">
        <v>35</v>
      </c>
      <c r="I1080">
        <f>VLOOKUP(Table4[[#This Row],[Visitor]],'NHL Model'!$A$6:$B$38,2,FALSE)</f>
        <v>-1.3795663642467595</v>
      </c>
      <c r="J1080">
        <f>($B$1+Table4[[#This Row],[Home Differential]])-Table4[[#This Row],[Away Differential]]</f>
        <v>0.22683781756284027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0.56609213740495656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1.6140407860044261</v>
      </c>
      <c r="H1081" t="s">
        <v>39</v>
      </c>
      <c r="I1081">
        <f>VLOOKUP(Table4[[#This Row],[Visitor]],'NHL Model'!$A$6:$B$38,2,FALSE)</f>
        <v>0.36815457830954207</v>
      </c>
      <c r="J1081">
        <f>($B$1+Table4[[#This Row],[Home Differential]])-Table4[[#This Row],[Away Differential]]</f>
        <v>1.2952726201215052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0.71725508638235758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-0.2172114589315223</v>
      </c>
      <c r="H1082" t="s">
        <v>24</v>
      </c>
      <c r="I1082">
        <f>VLOOKUP(Table4[[#This Row],[Visitor]],'NHL Model'!$A$6:$B$38,2,FALSE)</f>
        <v>1.5071179757482971E-3</v>
      </c>
      <c r="J1082">
        <f>($B$1+Table4[[#This Row],[Home Differential]])-Table4[[#This Row],[Away Differential]]</f>
        <v>-0.16933216448064928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0.50024675065624791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0.49679678069457273</v>
      </c>
      <c r="H1083" t="s">
        <v>36</v>
      </c>
      <c r="I1083">
        <f>VLOOKUP(Table4[[#This Row],[Visitor]],'NHL Model'!$A$6:$B$38,2,FALSE)</f>
        <v>-0.430694899721771</v>
      </c>
      <c r="J1083">
        <f>($B$1+Table4[[#This Row],[Home Differential]])-Table4[[#This Row],[Away Differential]]</f>
        <v>0.97687809284296501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0.6748659083842552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-0.24831960772154485</v>
      </c>
      <c r="H1084" t="s">
        <v>40</v>
      </c>
      <c r="I1084">
        <f>VLOOKUP(Table4[[#This Row],[Visitor]],'NHL Model'!$A$6:$B$38,2,FALSE)</f>
        <v>-0.30901762292301305</v>
      </c>
      <c r="J1084">
        <f>($B$1+Table4[[#This Row],[Home Differential]])-Table4[[#This Row],[Away Differential]]</f>
        <v>0.11008442762808951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0.57516251828146958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-0.56850564030144513</v>
      </c>
      <c r="H1085" t="s">
        <v>15</v>
      </c>
      <c r="I1085">
        <f>VLOOKUP(Table4[[#This Row],[Visitor]],'NHL Model'!$A$6:$B$38,2,FALSE)</f>
        <v>-0.2172114589315223</v>
      </c>
      <c r="J1085">
        <f>($B$1+Table4[[#This Row],[Home Differential]])-Table4[[#This Row],[Away Differential]]</f>
        <v>-0.30190776894330151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0.59480856382325675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-0.80014284799340474</v>
      </c>
      <c r="H1086" t="s">
        <v>18</v>
      </c>
      <c r="I1086">
        <f>VLOOKUP(Table4[[#This Row],[Visitor]],'NHL Model'!$A$6:$B$38,2,FALSE)</f>
        <v>-0.68642169651276408</v>
      </c>
      <c r="J1086">
        <f>($B$1+Table4[[#This Row],[Home Differential]])-Table4[[#This Row],[Away Differential]]</f>
        <v>-6.4334739054019319E-2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0.51649104575835192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-0.82464120527377915</v>
      </c>
      <c r="H1087" t="s">
        <v>11</v>
      </c>
      <c r="I1087">
        <f>VLOOKUP(Table4[[#This Row],[Visitor]],'NHL Model'!$A$6:$B$38,2,FALSE)</f>
        <v>-0.51447808915301396</v>
      </c>
      <c r="J1087">
        <f>($B$1+Table4[[#This Row],[Home Differential]])-Table4[[#This Row],[Away Differential]]</f>
        <v>-0.26077670369414385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0.48999597535324674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-0.36690387823407311</v>
      </c>
      <c r="H1088" t="s">
        <v>27</v>
      </c>
      <c r="I1088">
        <f>VLOOKUP(Table4[[#This Row],[Visitor]],'NHL Model'!$A$6:$B$38,2,FALSE)</f>
        <v>-0.36903552884843377</v>
      </c>
      <c r="J1088">
        <f>($B$1+Table4[[#This Row],[Home Differential]])-Table4[[#This Row],[Away Differential]]</f>
        <v>5.1518063040981943E-2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0.50341332905944913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-3.2419815263072818E-2</v>
      </c>
      <c r="H1089" t="s">
        <v>10</v>
      </c>
      <c r="I1089">
        <f>VLOOKUP(Table4[[#This Row],[Visitor]],'NHL Model'!$A$6:$B$38,2,FALSE)</f>
        <v>-0.21549764750433295</v>
      </c>
      <c r="J1089">
        <f>($B$1+Table4[[#This Row],[Home Differential]])-Table4[[#This Row],[Away Differential]]</f>
        <v>0.23246424466788143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0.56673932009566041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-1.2257669814473033</v>
      </c>
      <c r="H1090" t="s">
        <v>32</v>
      </c>
      <c r="I1090">
        <f>VLOOKUP(Table4[[#This Row],[Visitor]],'NHL Model'!$A$6:$B$38,2,FALSE)</f>
        <v>-0.63765723729815182</v>
      </c>
      <c r="J1090">
        <f>($B$1+Table4[[#This Row],[Home Differential]])-Table4[[#This Row],[Away Differential]]</f>
        <v>-0.53872333172253029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0.52196693014235251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-0.430694899721771</v>
      </c>
      <c r="H1091" t="s">
        <v>30</v>
      </c>
      <c r="I1091">
        <f>VLOOKUP(Table4[[#This Row],[Visitor]],'NHL Model'!$A$6:$B$38,2,FALSE)</f>
        <v>-0.16042088891566345</v>
      </c>
      <c r="J1091">
        <f>($B$1+Table4[[#This Row],[Home Differential]])-Table4[[#This Row],[Away Differential]]</f>
        <v>-0.22088759837948627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0.55552819229052008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-0.44540084513285771</v>
      </c>
      <c r="H1092" t="s">
        <v>23</v>
      </c>
      <c r="I1092">
        <f>VLOOKUP(Table4[[#This Row],[Visitor]],'NHL Model'!$A$6:$B$38,2,FALSE)</f>
        <v>-0.46454876921224991</v>
      </c>
      <c r="J1092">
        <f>($B$1+Table4[[#This Row],[Home Differential]])-Table4[[#This Row],[Away Differential]]</f>
        <v>6.8534336506013482E-2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0.55800544692735154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-0.93150212402040711</v>
      </c>
      <c r="H1093" t="s">
        <v>37</v>
      </c>
      <c r="I1093">
        <f>VLOOKUP(Table4[[#This Row],[Visitor]],'NHL Model'!$A$6:$B$38,2,FALSE)</f>
        <v>0.46523362857782063</v>
      </c>
      <c r="J1093">
        <f>($B$1+Table4[[#This Row],[Home Differential]])-Table4[[#This Row],[Away Differential]]</f>
        <v>-1.3473493401716063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0.68760272451861171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-0.21936273413039192</v>
      </c>
      <c r="H1094" t="s">
        <v>55</v>
      </c>
      <c r="I1094">
        <f>VLOOKUP(Table4[[#This Row],[Visitor]],'NHL Model'!$A$6:$B$38,2,FALSE)</f>
        <v>-0.3968452829365326</v>
      </c>
      <c r="J1094">
        <f>($B$1+Table4[[#This Row],[Home Differential]])-Table4[[#This Row],[Away Differential]]</f>
        <v>0.22686896123276198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0.56609571972171313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-1.2021149591105404</v>
      </c>
      <c r="H1095" t="s">
        <v>11</v>
      </c>
      <c r="I1095">
        <f>VLOOKUP(Table4[[#This Row],[Visitor]],'NHL Model'!$A$6:$B$38,2,FALSE)</f>
        <v>-0.51447808915301396</v>
      </c>
      <c r="J1095">
        <f>($B$1+Table4[[#This Row],[Home Differential]])-Table4[[#This Row],[Away Differential]]</f>
        <v>-0.63825045753090526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0.53341508931622184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-0.21549764750433295</v>
      </c>
      <c r="H1096" t="s">
        <v>12</v>
      </c>
      <c r="I1096">
        <f>VLOOKUP(Table4[[#This Row],[Visitor]],'NHL Model'!$A$6:$B$38,2,FALSE)</f>
        <v>1.6140407860044261</v>
      </c>
      <c r="J1096">
        <f>($B$1+Table4[[#This Row],[Home Differential]])-Table4[[#This Row],[Away Differential]]</f>
        <v>-1.7801520210821378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0.73738607696346026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-0.50406821212948805</v>
      </c>
      <c r="H1097" t="s">
        <v>25</v>
      </c>
      <c r="I1097">
        <f>VLOOKUP(Table4[[#This Row],[Visitor]],'NHL Model'!$A$6:$B$38,2,FALSE)</f>
        <v>0.4370463247440865</v>
      </c>
      <c r="J1097">
        <f>($B$1+Table4[[#This Row],[Home Differential]])-Table4[[#This Row],[Away Differential]]</f>
        <v>-0.89172812444695326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0.63519465829302457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-0.3968452829365326</v>
      </c>
      <c r="H1098" t="s">
        <v>31</v>
      </c>
      <c r="I1098">
        <f>VLOOKUP(Table4[[#This Row],[Visitor]],'NHL Model'!$A$6:$B$38,2,FALSE)</f>
        <v>0.18193976369097953</v>
      </c>
      <c r="J1098">
        <f>($B$1+Table4[[#This Row],[Home Differential]])-Table4[[#This Row],[Away Differential]]</f>
        <v>-0.52939863420089084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0.50089435198228949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0.49679678069457273</v>
      </c>
      <c r="H1099" t="s">
        <v>24</v>
      </c>
      <c r="I1099">
        <f>VLOOKUP(Table4[[#This Row],[Visitor]],'NHL Model'!$A$6:$B$38,2,FALSE)</f>
        <v>1.5071179757482971E-3</v>
      </c>
      <c r="J1099">
        <f>($B$1+Table4[[#This Row],[Home Differential]])-Table4[[#This Row],[Away Differential]]</f>
        <v>0.54467607514544569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0.60810619299100765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-0.56850564030144513</v>
      </c>
      <c r="H1100" t="s">
        <v>32</v>
      </c>
      <c r="I1100">
        <f>VLOOKUP(Table4[[#This Row],[Visitor]],'NHL Model'!$A$6:$B$38,2,FALSE)</f>
        <v>-0.63765723729815182</v>
      </c>
      <c r="J1100">
        <f>($B$1+Table4[[#This Row],[Home Differential]])-Table4[[#This Row],[Away Differential]]</f>
        <v>0.11853800942332804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0.5536348959041042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-0.80014284799340474</v>
      </c>
      <c r="H1101" t="s">
        <v>21</v>
      </c>
      <c r="I1101">
        <f>VLOOKUP(Table4[[#This Row],[Visitor]],'NHL Model'!$A$6:$B$38,2,FALSE)</f>
        <v>-0.24831960772154485</v>
      </c>
      <c r="J1101">
        <f>($B$1+Table4[[#This Row],[Home Differential]])-Table4[[#This Row],[Away Differential]]</f>
        <v>-0.50243682784523858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0.50767080685865473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-0.82464120527377915</v>
      </c>
      <c r="H1102" t="s">
        <v>37</v>
      </c>
      <c r="I1102">
        <f>VLOOKUP(Table4[[#This Row],[Visitor]],'NHL Model'!$A$6:$B$38,2,FALSE)</f>
        <v>0.46523362857782063</v>
      </c>
      <c r="J1102">
        <f>($B$1+Table4[[#This Row],[Home Differential]])-Table4[[#This Row],[Away Differential]]</f>
        <v>-1.2404884214249785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0.67531099201512612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-0.36690387823407311</v>
      </c>
      <c r="H1103" t="s">
        <v>23</v>
      </c>
      <c r="I1103">
        <f>VLOOKUP(Table4[[#This Row],[Visitor]],'NHL Model'!$A$6:$B$38,2,FALSE)</f>
        <v>-0.46454876921224991</v>
      </c>
      <c r="J1103">
        <f>($B$1+Table4[[#This Row],[Home Differential]])-Table4[[#This Row],[Away Differential]]</f>
        <v>0.14703130340479809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0.55691235179603626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-3.2419815263072818E-2</v>
      </c>
      <c r="H1104" t="s">
        <v>39</v>
      </c>
      <c r="I1104">
        <f>VLOOKUP(Table4[[#This Row],[Visitor]],'NHL Model'!$A$6:$B$38,2,FALSE)</f>
        <v>0.36815457830954207</v>
      </c>
      <c r="J1104">
        <f>($B$1+Table4[[#This Row],[Home Differential]])-Table4[[#This Row],[Away Differential]]</f>
        <v>-0.35118798114599359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0.58387384021996214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-0.68642169651276408</v>
      </c>
      <c r="H1105" t="s">
        <v>30</v>
      </c>
      <c r="I1105">
        <f>VLOOKUP(Table4[[#This Row],[Visitor]],'NHL Model'!$A$6:$B$38,2,FALSE)</f>
        <v>-0.16042088891566345</v>
      </c>
      <c r="J1105">
        <f>($B$1+Table4[[#This Row],[Home Differential]])-Table4[[#This Row],[Away Differential]]</f>
        <v>-0.47661439517047932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0.58744598666791015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-1.2257669814473033</v>
      </c>
      <c r="H1106" t="s">
        <v>20</v>
      </c>
      <c r="I1106">
        <f>VLOOKUP(Table4[[#This Row],[Visitor]],'NHL Model'!$A$6:$B$38,2,FALSE)</f>
        <v>-0.21936273413039192</v>
      </c>
      <c r="J1106">
        <f>($B$1+Table4[[#This Row],[Home Differential]])-Table4[[#This Row],[Away Differential]]</f>
        <v>-0.95701783489029024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0.57008147193108083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-0.430694899721771</v>
      </c>
      <c r="H1107" t="s">
        <v>19</v>
      </c>
      <c r="I1107">
        <f>VLOOKUP(Table4[[#This Row],[Visitor]],'NHL Model'!$A$6:$B$38,2,FALSE)</f>
        <v>-0.50406821212948805</v>
      </c>
      <c r="J1107">
        <f>($B$1+Table4[[#This Row],[Home Differential]])-Table4[[#This Row],[Away Differential]]</f>
        <v>0.12275972483433834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0.55661598010928659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-0.10735719588407502</v>
      </c>
      <c r="H1108" t="s">
        <v>40</v>
      </c>
      <c r="I1108">
        <f>VLOOKUP(Table4[[#This Row],[Visitor]],'NHL Model'!$A$6:$B$38,2,FALSE)</f>
        <v>-0.30901762292301305</v>
      </c>
      <c r="J1108">
        <f>($B$1+Table4[[#This Row],[Home Differential]])-Table4[[#This Row],[Away Differential]]</f>
        <v>0.25104683946555933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0.54810756191372134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-0.44540084513285771</v>
      </c>
      <c r="H1109" t="s">
        <v>27</v>
      </c>
      <c r="I1109">
        <f>VLOOKUP(Table4[[#This Row],[Visitor]],'NHL Model'!$A$6:$B$38,2,FALSE)</f>
        <v>-0.36903552884843377</v>
      </c>
      <c r="J1109">
        <f>($B$1+Table4[[#This Row],[Home Differential]])-Table4[[#This Row],[Away Differential]]</f>
        <v>-2.6978903857802661E-2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0.49541095469161062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-0.93150212402040711</v>
      </c>
      <c r="H1110" t="s">
        <v>35</v>
      </c>
      <c r="I1110">
        <f>VLOOKUP(Table4[[#This Row],[Visitor]],'NHL Model'!$A$6:$B$38,2,FALSE)</f>
        <v>-1.3795663642467595</v>
      </c>
      <c r="J1110">
        <f>($B$1+Table4[[#This Row],[Home Differential]])-Table4[[#This Row],[Away Differential]]</f>
        <v>0.49745065265297372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0.59721951886444602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0.18193976369097953</v>
      </c>
      <c r="H1111" t="s">
        <v>23</v>
      </c>
      <c r="I1111">
        <f>VLOOKUP(Table4[[#This Row],[Visitor]],'NHL Model'!$A$6:$B$38,2,FALSE)</f>
        <v>-0.46454876921224991</v>
      </c>
      <c r="J1111">
        <f>($B$1+Table4[[#This Row],[Home Differential]])-Table4[[#This Row],[Away Differential]]</f>
        <v>0.69587494532985072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0.69987808660278128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-1.2021149591105404</v>
      </c>
      <c r="H1112" t="s">
        <v>37</v>
      </c>
      <c r="I1112">
        <f>VLOOKUP(Table4[[#This Row],[Visitor]],'NHL Model'!$A$6:$B$38,2,FALSE)</f>
        <v>0.46523362857782063</v>
      </c>
      <c r="J1112">
        <f>($B$1+Table4[[#This Row],[Home Differential]])-Table4[[#This Row],[Away Differential]]</f>
        <v>-1.6179621752617399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0.71873010597810116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-0.21549764750433295</v>
      </c>
      <c r="H1113" t="s">
        <v>29</v>
      </c>
      <c r="I1113">
        <f>VLOOKUP(Table4[[#This Row],[Visitor]],'NHL Model'!$A$6:$B$38,2,FALSE)</f>
        <v>-1.2257669814473033</v>
      </c>
      <c r="J1113">
        <f>($B$1+Table4[[#This Row],[Home Differential]])-Table4[[#This Row],[Away Differential]]</f>
        <v>1.0596557463695917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0.66188745083728251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0.36815457830954207</v>
      </c>
      <c r="H1114" t="s">
        <v>20</v>
      </c>
      <c r="I1114">
        <f>VLOOKUP(Table4[[#This Row],[Visitor]],'NHL Model'!$A$6:$B$38,2,FALSE)</f>
        <v>-0.21936273413039192</v>
      </c>
      <c r="J1114">
        <f>($B$1+Table4[[#This Row],[Home Differential]])-Table4[[#This Row],[Away Differential]]</f>
        <v>0.63690372486655522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0.64550624650256427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-0.16042088891566345</v>
      </c>
      <c r="H1115" t="s">
        <v>28</v>
      </c>
      <c r="I1115">
        <f>VLOOKUP(Table4[[#This Row],[Visitor]],'NHL Model'!$A$6:$B$38,2,FALSE)</f>
        <v>-0.56850564030144513</v>
      </c>
      <c r="J1115">
        <f>($B$1+Table4[[#This Row],[Home Differential]])-Table4[[#This Row],[Away Differential]]</f>
        <v>0.45747116381240299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0.58904469852174901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-0.2172114589315223</v>
      </c>
      <c r="H1116" t="s">
        <v>40</v>
      </c>
      <c r="I1116">
        <f>VLOOKUP(Table4[[#This Row],[Visitor]],'NHL Model'!$A$6:$B$38,2,FALSE)</f>
        <v>-0.30901762292301305</v>
      </c>
      <c r="J1116">
        <f>($B$1+Table4[[#This Row],[Home Differential]])-Table4[[#This Row],[Away Differential]]</f>
        <v>0.14119257641811206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0.53547151843230234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-0.10735719588407502</v>
      </c>
      <c r="H1117" t="s">
        <v>25</v>
      </c>
      <c r="I1117">
        <f>VLOOKUP(Table4[[#This Row],[Visitor]],'NHL Model'!$A$6:$B$38,2,FALSE)</f>
        <v>0.4370463247440865</v>
      </c>
      <c r="J1117">
        <f>($B$1+Table4[[#This Row],[Home Differential]])-Table4[[#This Row],[Away Differential]]</f>
        <v>-0.49501710820154021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0.58956276826186726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-0.3968452829365326</v>
      </c>
      <c r="H1118" t="s">
        <v>13</v>
      </c>
      <c r="I1118">
        <f>VLOOKUP(Table4[[#This Row],[Visitor]],'NHL Model'!$A$6:$B$38,2,FALSE)</f>
        <v>-0.36690387823407311</v>
      </c>
      <c r="J1118">
        <f>($B$1+Table4[[#This Row],[Home Differential]])-Table4[[#This Row],[Away Differential]]</f>
        <v>1.94450077241618E-2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0.51694255443359516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0.49679678069457273</v>
      </c>
      <c r="H1119" t="s">
        <v>12</v>
      </c>
      <c r="I1119">
        <f>VLOOKUP(Table4[[#This Row],[Visitor]],'NHL Model'!$A$6:$B$38,2,FALSE)</f>
        <v>1.6140407860044261</v>
      </c>
      <c r="J1119">
        <f>($B$1+Table4[[#This Row],[Home Differential]])-Table4[[#This Row],[Away Differential]]</f>
        <v>-1.0678575928832321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0.62915998640287207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-0.2172114589315223</v>
      </c>
      <c r="H1120" t="s">
        <v>36</v>
      </c>
      <c r="I1120">
        <f>VLOOKUP(Table4[[#This Row],[Visitor]],'NHL Model'!$A$6:$B$38,2,FALSE)</f>
        <v>-0.430694899721771</v>
      </c>
      <c r="J1120">
        <f>($B$1+Table4[[#This Row],[Home Differential]])-Table4[[#This Row],[Away Differential]]</f>
        <v>0.26286985321687001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0.56666058202037839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-0.24831960772154485</v>
      </c>
      <c r="H1121" t="s">
        <v>19</v>
      </c>
      <c r="I1121">
        <f>VLOOKUP(Table4[[#This Row],[Visitor]],'NHL Model'!$A$6:$B$38,2,FALSE)</f>
        <v>-0.50406821212948805</v>
      </c>
      <c r="J1121">
        <f>($B$1+Table4[[#This Row],[Home Differential]])-Table4[[#This Row],[Away Differential]]</f>
        <v>0.30513501683456451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0.61799986769181181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-1.2021149591105404</v>
      </c>
      <c r="H1122" t="s">
        <v>13</v>
      </c>
      <c r="I1122">
        <f>VLOOKUP(Table4[[#This Row],[Visitor]],'NHL Model'!$A$6:$B$38,2,FALSE)</f>
        <v>-0.36690387823407311</v>
      </c>
      <c r="J1122">
        <f>($B$1+Table4[[#This Row],[Home Differential]])-Table4[[#This Row],[Away Differential]]</f>
        <v>-0.78582466844984611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0.61670567880383376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0.36815457830954207</v>
      </c>
      <c r="H1123" t="s">
        <v>24</v>
      </c>
      <c r="I1123">
        <f>VLOOKUP(Table4[[#This Row],[Visitor]],'NHL Model'!$A$6:$B$38,2,FALSE)</f>
        <v>1.5071179757482971E-3</v>
      </c>
      <c r="J1123">
        <f>($B$1+Table4[[#This Row],[Home Differential]])-Table4[[#This Row],[Away Differential]]</f>
        <v>0.41603387276041504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0.59957864953677131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-0.80014284799340474</v>
      </c>
      <c r="H1124" t="s">
        <v>36</v>
      </c>
      <c r="I1124">
        <f>VLOOKUP(Table4[[#This Row],[Visitor]],'NHL Model'!$A$6:$B$38,2,FALSE)</f>
        <v>-0.430694899721771</v>
      </c>
      <c r="J1124">
        <f>($B$1+Table4[[#This Row],[Home Differential]])-Table4[[#This Row],[Away Differential]]</f>
        <v>-0.3200615358450124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0.49025653941124625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-0.51447808915301396</v>
      </c>
      <c r="H1125" t="s">
        <v>32</v>
      </c>
      <c r="I1125">
        <f>VLOOKUP(Table4[[#This Row],[Visitor]],'NHL Model'!$A$6:$B$38,2,FALSE)</f>
        <v>-0.63765723729815182</v>
      </c>
      <c r="J1125">
        <f>($B$1+Table4[[#This Row],[Home Differential]])-Table4[[#This Row],[Away Differential]]</f>
        <v>0.17256556057175915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0.5598494429464097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-0.68642169651276408</v>
      </c>
      <c r="H1126" t="s">
        <v>25</v>
      </c>
      <c r="I1126">
        <f>VLOOKUP(Table4[[#This Row],[Visitor]],'NHL Model'!$A$6:$B$38,2,FALSE)</f>
        <v>0.4370463247440865</v>
      </c>
      <c r="J1126">
        <f>($B$1+Table4[[#This Row],[Home Differential]])-Table4[[#This Row],[Away Differential]]</f>
        <v>-1.0740816088302292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0.6561699622433147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-1.2257669814473033</v>
      </c>
      <c r="H1127" t="s">
        <v>33</v>
      </c>
      <c r="I1127">
        <f>VLOOKUP(Table4[[#This Row],[Visitor]],'NHL Model'!$A$6:$B$38,2,FALSE)</f>
        <v>-0.44540084513285771</v>
      </c>
      <c r="J1127">
        <f>($B$1+Table4[[#This Row],[Home Differential]])-Table4[[#This Row],[Away Differential]]</f>
        <v>-0.7309797238878244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0.54408132118726016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-0.16042088891566345</v>
      </c>
      <c r="H1128" t="s">
        <v>10</v>
      </c>
      <c r="I1128">
        <f>VLOOKUP(Table4[[#This Row],[Visitor]],'NHL Model'!$A$6:$B$38,2,FALSE)</f>
        <v>-0.21549764750433295</v>
      </c>
      <c r="J1128">
        <f>($B$1+Table4[[#This Row],[Home Differential]])-Table4[[#This Row],[Away Differential]]</f>
        <v>0.10446317101529082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0.55201593032931273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-0.36903552884843377</v>
      </c>
      <c r="H1129" t="s">
        <v>28</v>
      </c>
      <c r="I1129">
        <f>VLOOKUP(Table4[[#This Row],[Visitor]],'NHL Model'!$A$6:$B$38,2,FALSE)</f>
        <v>-0.56850564030144513</v>
      </c>
      <c r="J1129">
        <f>($B$1+Table4[[#This Row],[Home Differential]])-Table4[[#This Row],[Away Differential]]</f>
        <v>0.24885652387963264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0.5790835660950282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-0.10735719588407502</v>
      </c>
      <c r="H1130" t="s">
        <v>12</v>
      </c>
      <c r="I1130">
        <f>VLOOKUP(Table4[[#This Row],[Visitor]],'NHL Model'!$A$6:$B$38,2,FALSE)</f>
        <v>1.6140407860044261</v>
      </c>
      <c r="J1130">
        <f>($B$1+Table4[[#This Row],[Home Differential]])-Table4[[#This Row],[Away Differential]]</f>
        <v>-1.6720115694618798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0.72494716552873817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-1.3795663642467595</v>
      </c>
      <c r="H1131" t="s">
        <v>22</v>
      </c>
      <c r="I1131">
        <f>VLOOKUP(Table4[[#This Row],[Visitor]],'NHL Model'!$A$6:$B$38,2,FALSE)</f>
        <v>0.49679678069457273</v>
      </c>
      <c r="J1131">
        <f>($B$1+Table4[[#This Row],[Home Differential]])-Table4[[#This Row],[Away Differential]]</f>
        <v>-1.826976732514711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0.72943677835839016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0.46523362857782063</v>
      </c>
      <c r="H1132" t="s">
        <v>34</v>
      </c>
      <c r="I1132">
        <f>VLOOKUP(Table4[[#This Row],[Visitor]],'NHL Model'!$A$6:$B$38,2,FALSE)</f>
        <v>-3.2419815263072818E-2</v>
      </c>
      <c r="J1132">
        <f>($B$1+Table4[[#This Row],[Home Differential]])-Table4[[#This Row],[Away Differential]]</f>
        <v>0.54703985626751472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0.57629252664103792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-0.3968452829365326</v>
      </c>
      <c r="H1133" t="s">
        <v>17</v>
      </c>
      <c r="I1133">
        <f>VLOOKUP(Table4[[#This Row],[Visitor]],'NHL Model'!$A$6:$B$38,2,FALSE)</f>
        <v>-0.82464120527377915</v>
      </c>
      <c r="J1133">
        <f>($B$1+Table4[[#This Row],[Home Differential]])-Table4[[#This Row],[Away Differential]]</f>
        <v>0.47718233476386784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0.63531932255192314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-0.93150212402040711</v>
      </c>
      <c r="H1134" t="s">
        <v>31</v>
      </c>
      <c r="I1134">
        <f>VLOOKUP(Table4[[#This Row],[Visitor]],'NHL Model'!$A$6:$B$38,2,FALSE)</f>
        <v>0.18193976369097953</v>
      </c>
      <c r="J1134">
        <f>($B$1+Table4[[#This Row],[Home Differential]])-Table4[[#This Row],[Away Differential]]</f>
        <v>-1.0640554752847653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0.6031627627028342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-0.30901762292301305</v>
      </c>
      <c r="H1135" t="s">
        <v>20</v>
      </c>
      <c r="I1135">
        <f>VLOOKUP(Table4[[#This Row],[Visitor]],'NHL Model'!$A$6:$B$38,2,FALSE)</f>
        <v>-0.21936273413039192</v>
      </c>
      <c r="J1135">
        <f>($B$1+Table4[[#This Row],[Home Differential]])-Table4[[#This Row],[Away Differential]]</f>
        <v>-4.0268476365999839E-2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0.46213642313768838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-0.46454876921224991</v>
      </c>
      <c r="H1136" t="s">
        <v>21</v>
      </c>
      <c r="I1136">
        <f>VLOOKUP(Table4[[#This Row],[Visitor]],'NHL Model'!$A$6:$B$38,2,FALSE)</f>
        <v>-0.24831960772154485</v>
      </c>
      <c r="J1136">
        <f>($B$1+Table4[[#This Row],[Home Differential]])-Table4[[#This Row],[Away Differential]]</f>
        <v>-0.16684274906408378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0.4690689242011391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-0.50406821212948805</v>
      </c>
      <c r="H1137" t="s">
        <v>15</v>
      </c>
      <c r="I1137">
        <f>VLOOKUP(Table4[[#This Row],[Visitor]],'NHL Model'!$A$6:$B$38,2,FALSE)</f>
        <v>-0.2172114589315223</v>
      </c>
      <c r="J1137">
        <f>($B$1+Table4[[#This Row],[Home Differential]])-Table4[[#This Row],[Away Differential]]</f>
        <v>-0.23747034077134446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0.58739661528685838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-1.2021149591105404</v>
      </c>
      <c r="H1138" t="s">
        <v>31</v>
      </c>
      <c r="I1138">
        <f>VLOOKUP(Table4[[#This Row],[Visitor]],'NHL Model'!$A$6:$B$38,2,FALSE)</f>
        <v>0.18193976369097953</v>
      </c>
      <c r="J1138">
        <f>($B$1+Table4[[#This Row],[Home Differential]])-Table4[[#This Row],[Away Differential]]</f>
        <v>-1.3346683103748989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0.63429014416232365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-0.51447808915301396</v>
      </c>
      <c r="H1139" t="s">
        <v>34</v>
      </c>
      <c r="I1139">
        <f>VLOOKUP(Table4[[#This Row],[Visitor]],'NHL Model'!$A$6:$B$38,2,FALSE)</f>
        <v>-3.2419815263072818E-2</v>
      </c>
      <c r="J1139">
        <f>($B$1+Table4[[#This Row],[Home Differential]])-Table4[[#This Row],[Away Differential]]</f>
        <v>-0.43267186146331987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0.56905613869809757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-0.68642169651276408</v>
      </c>
      <c r="H1140" t="s">
        <v>28</v>
      </c>
      <c r="I1140">
        <f>VLOOKUP(Table4[[#This Row],[Visitor]],'NHL Model'!$A$6:$B$38,2,FALSE)</f>
        <v>-0.56850564030144513</v>
      </c>
      <c r="J1140">
        <f>($B$1+Table4[[#This Row],[Home Differential]])-Table4[[#This Row],[Away Differential]]</f>
        <v>-6.8529643784697614E-2</v>
      </c>
      <c r="K1140" t="str">
        <f>IF(Table4[[#This Row],[HomeIce Differential]]&gt;0,Table4[[#This Row],[Home]],Table4[[#This Row],[Visitor]])</f>
        <v>Columbus Blue Jackets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0.47145881669629686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-1.2257669814473033</v>
      </c>
      <c r="H1141" t="s">
        <v>24</v>
      </c>
      <c r="I1141">
        <f>VLOOKUP(Table4[[#This Row],[Visitor]],'NHL Model'!$A$6:$B$38,2,FALSE)</f>
        <v>1.5071179757482971E-3</v>
      </c>
      <c r="J1141">
        <f>($B$1+Table4[[#This Row],[Home Differential]])-Table4[[#This Row],[Away Differential]]</f>
        <v>-1.1778876869964303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0.61625637178884141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-0.16042088891566345</v>
      </c>
      <c r="H1142" t="s">
        <v>39</v>
      </c>
      <c r="I1142">
        <f>VLOOKUP(Table4[[#This Row],[Visitor]],'NHL Model'!$A$6:$B$38,2,FALSE)</f>
        <v>0.36815457830954207</v>
      </c>
      <c r="J1142">
        <f>($B$1+Table4[[#This Row],[Home Differential]])-Table4[[#This Row],[Away Differential]]</f>
        <v>-0.4791890547985842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0.59859722998630971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-0.430694899721771</v>
      </c>
      <c r="H1143" t="s">
        <v>14</v>
      </c>
      <c r="I1143">
        <f>VLOOKUP(Table4[[#This Row],[Visitor]],'NHL Model'!$A$6:$B$38,2,FALSE)</f>
        <v>-0.10735719588407502</v>
      </c>
      <c r="J1143">
        <f>($B$1+Table4[[#This Row],[Home Differential]])-Table4[[#This Row],[Away Differential]]</f>
        <v>-0.27395129141107466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0.5282855826745978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-0.36903552884843377</v>
      </c>
      <c r="H1144" t="s">
        <v>10</v>
      </c>
      <c r="I1144">
        <f>VLOOKUP(Table4[[#This Row],[Visitor]],'NHL Model'!$A$6:$B$38,2,FALSE)</f>
        <v>-0.21549764750433295</v>
      </c>
      <c r="J1144">
        <f>($B$1+Table4[[#This Row],[Home Differential]])-Table4[[#This Row],[Away Differential]]</f>
        <v>-0.10415146891747953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0.45796345613552086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-1.3795663642467595</v>
      </c>
      <c r="H1145" t="s">
        <v>33</v>
      </c>
      <c r="I1145">
        <f>VLOOKUP(Table4[[#This Row],[Visitor]],'NHL Model'!$A$6:$B$38,2,FALSE)</f>
        <v>-0.44540084513285771</v>
      </c>
      <c r="J1145">
        <f>($B$1+Table4[[#This Row],[Home Differential]])-Table4[[#This Row],[Away Differential]]</f>
        <v>-0.88477910668728055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0.56177217481967623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0.46523362857782063</v>
      </c>
      <c r="H1146" t="s">
        <v>32</v>
      </c>
      <c r="I1146">
        <f>VLOOKUP(Table4[[#This Row],[Visitor]],'NHL Model'!$A$6:$B$38,2,FALSE)</f>
        <v>-0.63765723729815182</v>
      </c>
      <c r="J1146">
        <f>($B$1+Table4[[#This Row],[Home Differential]])-Table4[[#This Row],[Away Differential]]</f>
        <v>1.1522772783025936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0.70478735630873046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-0.3968452829365326</v>
      </c>
      <c r="H1147" t="s">
        <v>22</v>
      </c>
      <c r="I1147">
        <f>VLOOKUP(Table4[[#This Row],[Visitor]],'NHL Model'!$A$6:$B$38,2,FALSE)</f>
        <v>0.49679678069457273</v>
      </c>
      <c r="J1147">
        <f>($B$1+Table4[[#This Row],[Home Differential]])-Table4[[#This Row],[Away Differential]]</f>
        <v>-0.84425565120448409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0.57537181293794648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-0.93150212402040711</v>
      </c>
      <c r="H1148" t="s">
        <v>13</v>
      </c>
      <c r="I1148">
        <f>VLOOKUP(Table4[[#This Row],[Visitor]],'NHL Model'!$A$6:$B$38,2,FALSE)</f>
        <v>-0.36690387823407311</v>
      </c>
      <c r="J1148">
        <f>($B$1+Table4[[#This Row],[Home Differential]])-Table4[[#This Row],[Away Differential]]</f>
        <v>-0.51521183335971266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0.5855782973443443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-0.21936273413039192</v>
      </c>
      <c r="H1149" t="s">
        <v>17</v>
      </c>
      <c r="I1149">
        <f>VLOOKUP(Table4[[#This Row],[Visitor]],'NHL Model'!$A$6:$B$38,2,FALSE)</f>
        <v>-0.82464120527377915</v>
      </c>
      <c r="J1149">
        <f>($B$1+Table4[[#This Row],[Home Differential]])-Table4[[#This Row],[Away Differential]]</f>
        <v>0.65466488357000852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0.61530316716954159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-0.30901762292301305</v>
      </c>
      <c r="H1150" t="s">
        <v>12</v>
      </c>
      <c r="I1150">
        <f>VLOOKUP(Table4[[#This Row],[Visitor]],'NHL Model'!$A$6:$B$38,2,FALSE)</f>
        <v>1.6140407860044261</v>
      </c>
      <c r="J1150">
        <f>($B$1+Table4[[#This Row],[Home Differential]])-Table4[[#This Row],[Away Differential]]</f>
        <v>-1.8736719965008179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0.74564057337355283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-0.46454876921224991</v>
      </c>
      <c r="H1151" t="s">
        <v>26</v>
      </c>
      <c r="I1151">
        <f>VLOOKUP(Table4[[#This Row],[Visitor]],'NHL Model'!$A$6:$B$38,2,FALSE)</f>
        <v>-0.80014284799340474</v>
      </c>
      <c r="J1151">
        <f>($B$1+Table4[[#This Row],[Home Differential]])-Table4[[#This Row],[Away Differential]]</f>
        <v>0.38498049120777611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0.59440482970426078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-0.2172114589315223</v>
      </c>
      <c r="H1152" t="s">
        <v>10</v>
      </c>
      <c r="I1152">
        <f>VLOOKUP(Table4[[#This Row],[Visitor]],'NHL Model'!$A$6:$B$38,2,FALSE)</f>
        <v>-0.21549764750433295</v>
      </c>
      <c r="J1152">
        <f>($B$1+Table4[[#This Row],[Home Differential]])-Table4[[#This Row],[Away Differential]]</f>
        <v>4.7672600999431963E-2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0.54548356561129518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-0.24831960772154485</v>
      </c>
      <c r="H1153" t="s">
        <v>34</v>
      </c>
      <c r="I1153">
        <f>VLOOKUP(Table4[[#This Row],[Visitor]],'NHL Model'!$A$6:$B$38,2,FALSE)</f>
        <v>-3.2419815263072818E-2</v>
      </c>
      <c r="J1153">
        <f>($B$1+Table4[[#This Row],[Home Differential]])-Table4[[#This Row],[Away Differential]]</f>
        <v>-0.16651338003185073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0.49488144308624255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-0.46454876921224991</v>
      </c>
      <c r="H1154" t="s">
        <v>32</v>
      </c>
      <c r="I1154">
        <f>VLOOKUP(Table4[[#This Row],[Visitor]],'NHL Model'!$A$6:$B$38,2,FALSE)</f>
        <v>-0.63765723729815182</v>
      </c>
      <c r="J1154">
        <f>($B$1+Table4[[#This Row],[Home Differential]])-Table4[[#This Row],[Away Differential]]</f>
        <v>0.2224948805125232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0.5757148382110463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0.4370463247440865</v>
      </c>
      <c r="H1155" t="s">
        <v>24</v>
      </c>
      <c r="I1155">
        <f>VLOOKUP(Table4[[#This Row],[Visitor]],'NHL Model'!$A$6:$B$38,2,FALSE)</f>
        <v>1.5071179757482971E-3</v>
      </c>
      <c r="J1155">
        <f>($B$1+Table4[[#This Row],[Home Differential]])-Table4[[#This Row],[Away Differential]]</f>
        <v>0.48492561919495947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0.62720739183497642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-0.56850564030144513</v>
      </c>
      <c r="H1156" t="s">
        <v>33</v>
      </c>
      <c r="I1156">
        <f>VLOOKUP(Table4[[#This Row],[Visitor]],'NHL Model'!$A$6:$B$38,2,FALSE)</f>
        <v>-0.44540084513285771</v>
      </c>
      <c r="J1156">
        <f>($B$1+Table4[[#This Row],[Home Differential]])-Table4[[#This Row],[Away Differential]]</f>
        <v>-7.3718382741966071E-2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0.46847949514080345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-1.2021149591105404</v>
      </c>
      <c r="H1157" t="s">
        <v>38</v>
      </c>
      <c r="I1157">
        <f>VLOOKUP(Table4[[#This Row],[Visitor]],'NHL Model'!$A$6:$B$38,2,FALSE)</f>
        <v>-0.93150212402040711</v>
      </c>
      <c r="J1157">
        <f>($B$1+Table4[[#This Row],[Home Differential]])-Table4[[#This Row],[Away Differential]]</f>
        <v>-0.22122642266351211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0.48544668380149741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1.6140407860044261</v>
      </c>
      <c r="H1158" t="s">
        <v>40</v>
      </c>
      <c r="I1158">
        <f>VLOOKUP(Table4[[#This Row],[Visitor]],'NHL Model'!$A$6:$B$38,2,FALSE)</f>
        <v>-0.30901762292301305</v>
      </c>
      <c r="J1158">
        <f>($B$1+Table4[[#This Row],[Home Differential]])-Table4[[#This Row],[Away Differential]]</f>
        <v>1.9724448213540604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0.85545291533325463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-0.80014284799340474</v>
      </c>
      <c r="H1159" t="s">
        <v>27</v>
      </c>
      <c r="I1159">
        <f>VLOOKUP(Table4[[#This Row],[Visitor]],'NHL Model'!$A$6:$B$38,2,FALSE)</f>
        <v>-0.36903552884843377</v>
      </c>
      <c r="J1159">
        <f>($B$1+Table4[[#This Row],[Home Differential]])-Table4[[#This Row],[Away Differential]]</f>
        <v>-0.38172090671834963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0.53621533722973269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-0.82464120527377915</v>
      </c>
      <c r="H1160" t="s">
        <v>31</v>
      </c>
      <c r="I1160">
        <f>VLOOKUP(Table4[[#This Row],[Visitor]],'NHL Model'!$A$6:$B$38,2,FALSE)</f>
        <v>0.18193976369097953</v>
      </c>
      <c r="J1160">
        <f>($B$1+Table4[[#This Row],[Home Differential]])-Table4[[#This Row],[Away Differential]]</f>
        <v>-0.95719455653813734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0.5908710301993485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-0.36690387823407311</v>
      </c>
      <c r="H1161" t="s">
        <v>55</v>
      </c>
      <c r="I1161">
        <f>VLOOKUP(Table4[[#This Row],[Visitor]],'NHL Model'!$A$6:$B$38,2,FALSE)</f>
        <v>-0.3968452829365326</v>
      </c>
      <c r="J1161">
        <f>($B$1+Table4[[#This Row],[Home Differential]])-Table4[[#This Row],[Away Differential]]</f>
        <v>7.9327817129080769E-2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0.54912472323533024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-1.2257669814473033</v>
      </c>
      <c r="H1162" t="s">
        <v>18</v>
      </c>
      <c r="I1162">
        <f>VLOOKUP(Table4[[#This Row],[Visitor]],'NHL Model'!$A$6:$B$38,2,FALSE)</f>
        <v>-0.68642169651276408</v>
      </c>
      <c r="J1162">
        <f>($B$1+Table4[[#This Row],[Home Differential]])-Table4[[#This Row],[Away Differential]]</f>
        <v>-0.48995887250791803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0.57564560680246613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-0.16042088891566345</v>
      </c>
      <c r="H1163" t="s">
        <v>11</v>
      </c>
      <c r="I1163">
        <f>VLOOKUP(Table4[[#This Row],[Visitor]],'NHL Model'!$A$6:$B$38,2,FALSE)</f>
        <v>-0.51447808915301396</v>
      </c>
      <c r="J1163">
        <f>($B$1+Table4[[#This Row],[Home Differential]])-Table4[[#This Row],[Away Differential]]</f>
        <v>0.40344361266397183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0.58640631041984093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-0.10735719588407502</v>
      </c>
      <c r="H1164" t="s">
        <v>39</v>
      </c>
      <c r="I1164">
        <f>VLOOKUP(Table4[[#This Row],[Visitor]],'NHL Model'!$A$6:$B$38,2,FALSE)</f>
        <v>0.36815457830954207</v>
      </c>
      <c r="J1164">
        <f>($B$1+Table4[[#This Row],[Home Differential]])-Table4[[#This Row],[Away Differential]]</f>
        <v>-0.42612536176699578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0.59249355122290825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-1.3795663642467595</v>
      </c>
      <c r="H1165" t="s">
        <v>19</v>
      </c>
      <c r="I1165">
        <f>VLOOKUP(Table4[[#This Row],[Visitor]],'NHL Model'!$A$6:$B$38,2,FALSE)</f>
        <v>-0.50406821212948805</v>
      </c>
      <c r="J1165">
        <f>($B$1+Table4[[#This Row],[Home Differential]])-Table4[[#This Row],[Away Differential]]</f>
        <v>-0.82611173969065022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0.55502393055727928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0.46523362857782063</v>
      </c>
      <c r="H1166" t="s">
        <v>36</v>
      </c>
      <c r="I1166">
        <f>VLOOKUP(Table4[[#This Row],[Visitor]],'NHL Model'!$A$6:$B$38,2,FALSE)</f>
        <v>-0.430694899721771</v>
      </c>
      <c r="J1166">
        <f>($B$1+Table4[[#This Row],[Home Differential]])-Table4[[#This Row],[Away Differential]]</f>
        <v>0.94531494072621292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0.67745571961788698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-0.21936273413039192</v>
      </c>
      <c r="H1167" t="s">
        <v>22</v>
      </c>
      <c r="I1167">
        <f>VLOOKUP(Table4[[#This Row],[Visitor]],'NHL Model'!$A$6:$B$38,2,FALSE)</f>
        <v>0.49679678069457273</v>
      </c>
      <c r="J1167">
        <f>($B$1+Table4[[#This Row],[Home Differential]])-Table4[[#This Row],[Away Differential]]</f>
        <v>-0.66677310239834331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0.59598375513690116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0.4370463247440865</v>
      </c>
      <c r="H1168" t="s">
        <v>18</v>
      </c>
      <c r="I1168">
        <f>VLOOKUP(Table4[[#This Row],[Visitor]],'NHL Model'!$A$6:$B$38,2,FALSE)</f>
        <v>-0.68642169651276408</v>
      </c>
      <c r="J1168">
        <f>($B$1+Table4[[#This Row],[Home Differential]])-Table4[[#This Row],[Away Differential]]</f>
        <v>1.1728544336834719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0.66824152178477592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-0.56850564030144513</v>
      </c>
      <c r="H1169" t="s">
        <v>21</v>
      </c>
      <c r="I1169">
        <f>VLOOKUP(Table4[[#This Row],[Visitor]],'NHL Model'!$A$6:$B$38,2,FALSE)</f>
        <v>-0.24831960772154485</v>
      </c>
      <c r="J1169">
        <f>($B$1+Table4[[#This Row],[Home Differential]])-Table4[[#This Row],[Away Differential]]</f>
        <v>-0.27079962015327896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0.49114886650808121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1.5071179757482971E-3</v>
      </c>
      <c r="H1170" t="s">
        <v>10</v>
      </c>
      <c r="I1170">
        <f>VLOOKUP(Table4[[#This Row],[Visitor]],'NHL Model'!$A$6:$B$38,2,FALSE)</f>
        <v>-0.21549764750433295</v>
      </c>
      <c r="J1170">
        <f>($B$1+Table4[[#This Row],[Home Differential]])-Table4[[#This Row],[Away Differential]]</f>
        <v>0.26639117790670253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0.65047649390010609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-0.2172114589315223</v>
      </c>
      <c r="H1171" t="s">
        <v>11</v>
      </c>
      <c r="I1171">
        <f>VLOOKUP(Table4[[#This Row],[Visitor]],'NHL Model'!$A$6:$B$38,2,FALSE)</f>
        <v>-0.51447808915301396</v>
      </c>
      <c r="J1171">
        <f>($B$1+Table4[[#This Row],[Home Differential]])-Table4[[#This Row],[Away Differential]]</f>
        <v>0.34665304264811297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0.57987394570182338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-0.36903552884843377</v>
      </c>
      <c r="H1172" t="s">
        <v>39</v>
      </c>
      <c r="I1172">
        <f>VLOOKUP(Table4[[#This Row],[Visitor]],'NHL Model'!$A$6:$B$38,2,FALSE)</f>
        <v>0.36815457830954207</v>
      </c>
      <c r="J1172">
        <f>($B$1+Table4[[#This Row],[Home Differential]])-Table4[[#This Row],[Away Differential]]</f>
        <v>-0.68780369473135461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0.60852674078607527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0.46523362857782063</v>
      </c>
      <c r="H1173" t="s">
        <v>29</v>
      </c>
      <c r="I1173">
        <f>VLOOKUP(Table4[[#This Row],[Visitor]],'NHL Model'!$A$6:$B$38,2,FALSE)</f>
        <v>-1.2257669814473033</v>
      </c>
      <c r="J1173">
        <f>($B$1+Table4[[#This Row],[Home Differential]])-Table4[[#This Row],[Away Differential]]</f>
        <v>1.7403870224517453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0.77243498410907496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0.18193976369097953</v>
      </c>
      <c r="H1174" t="s">
        <v>19</v>
      </c>
      <c r="I1174">
        <f>VLOOKUP(Table4[[#This Row],[Visitor]],'NHL Model'!$A$6:$B$38,2,FALSE)</f>
        <v>-0.50406821212948805</v>
      </c>
      <c r="J1174">
        <f>($B$1+Table4[[#This Row],[Home Differential]])-Table4[[#This Row],[Away Differential]]</f>
        <v>0.73539438824708891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0.70442383098457184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1.6140407860044261</v>
      </c>
      <c r="H1175" t="s">
        <v>16</v>
      </c>
      <c r="I1175">
        <f>VLOOKUP(Table4[[#This Row],[Visitor]],'NHL Model'!$A$6:$B$38,2,FALSE)</f>
        <v>-1.2021149591105404</v>
      </c>
      <c r="J1175">
        <f>($B$1+Table4[[#This Row],[Home Differential]])-Table4[[#This Row],[Away Differential]]</f>
        <v>2.8655421575415878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0.97743143607849736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-0.16042088891566345</v>
      </c>
      <c r="H1176" t="s">
        <v>14</v>
      </c>
      <c r="I1176">
        <f>VLOOKUP(Table4[[#This Row],[Visitor]],'NHL Model'!$A$6:$B$38,2,FALSE)</f>
        <v>-0.10735719588407502</v>
      </c>
      <c r="J1176">
        <f>($B$1+Table4[[#This Row],[Home Differential]])-Table4[[#This Row],[Away Differential]]</f>
        <v>-3.6772806049671092E-3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0.49970971434364053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-0.44540084513285771</v>
      </c>
      <c r="H1177" t="s">
        <v>35</v>
      </c>
      <c r="I1177">
        <f>VLOOKUP(Table4[[#This Row],[Visitor]],'NHL Model'!$A$6:$B$38,2,FALSE)</f>
        <v>-1.3795663642467595</v>
      </c>
      <c r="J1177">
        <f>($B$1+Table4[[#This Row],[Home Differential]])-Table4[[#This Row],[Away Differential]]</f>
        <v>0.98355193154052301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0.66325581952441337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-0.21936273413039192</v>
      </c>
      <c r="H1178" t="s">
        <v>38</v>
      </c>
      <c r="I1178">
        <f>VLOOKUP(Table4[[#This Row],[Visitor]],'NHL Model'!$A$6:$B$38,2,FALSE)</f>
        <v>-0.93150212402040711</v>
      </c>
      <c r="J1178">
        <f>($B$1+Table4[[#This Row],[Home Differential]])-Table4[[#This Row],[Away Differential]]</f>
        <v>0.76152580231663647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0.62759489967302717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-0.24831960772154485</v>
      </c>
      <c r="H1179" t="s">
        <v>39</v>
      </c>
      <c r="I1179">
        <f>VLOOKUP(Table4[[#This Row],[Visitor]],'NHL Model'!$A$6:$B$38,2,FALSE)</f>
        <v>0.36815457830954207</v>
      </c>
      <c r="J1179">
        <f>($B$1+Table4[[#This Row],[Home Differential]])-Table4[[#This Row],[Away Differential]]</f>
        <v>-0.56708777360446561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0.56522956475482555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-0.46454876921224991</v>
      </c>
      <c r="H1180" t="s">
        <v>30</v>
      </c>
      <c r="I1180">
        <f>VLOOKUP(Table4[[#This Row],[Visitor]],'NHL Model'!$A$6:$B$38,2,FALSE)</f>
        <v>-0.16042088891566345</v>
      </c>
      <c r="J1180">
        <f>($B$1+Table4[[#This Row],[Home Differential]])-Table4[[#This Row],[Away Differential]]</f>
        <v>-0.25474146786996521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0.55175074881981001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-0.56850564030144513</v>
      </c>
      <c r="H1181" t="s">
        <v>25</v>
      </c>
      <c r="I1181">
        <f>VLOOKUP(Table4[[#This Row],[Visitor]],'NHL Model'!$A$6:$B$38,2,FALSE)</f>
        <v>0.4370463247440865</v>
      </c>
      <c r="J1181">
        <f>($B$1+Table4[[#This Row],[Home Differential]])-Table4[[#This Row],[Away Differential]]</f>
        <v>-0.95616555261891034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0.64260660682942305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-0.21549764750433295</v>
      </c>
      <c r="H1182" t="s">
        <v>40</v>
      </c>
      <c r="I1182">
        <f>VLOOKUP(Table4[[#This Row],[Visitor]],'NHL Model'!$A$6:$B$38,2,FALSE)</f>
        <v>-0.30901762292301305</v>
      </c>
      <c r="J1182">
        <f>($B$1+Table4[[#This Row],[Home Differential]])-Table4[[#This Row],[Away Differential]]</f>
        <v>0.14290638784530141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0.53566865047899914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-0.82464120527377915</v>
      </c>
      <c r="H1183" t="s">
        <v>32</v>
      </c>
      <c r="I1183">
        <f>VLOOKUP(Table4[[#This Row],[Visitor]],'NHL Model'!$A$6:$B$38,2,FALSE)</f>
        <v>-0.63765723729815182</v>
      </c>
      <c r="J1183">
        <f>($B$1+Table4[[#This Row],[Home Differential]])-Table4[[#This Row],[Away Differential]]</f>
        <v>-0.13759755554900599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0.47582723006482913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-0.51447808915301396</v>
      </c>
      <c r="H1184" t="s">
        <v>36</v>
      </c>
      <c r="I1184">
        <f>VLOOKUP(Table4[[#This Row],[Visitor]],'NHL Model'!$A$6:$B$38,2,FALSE)</f>
        <v>-0.430694899721771</v>
      </c>
      <c r="J1184">
        <f>($B$1+Table4[[#This Row],[Home Differential]])-Table4[[#This Row],[Away Differential]]</f>
        <v>-3.4396777004621681E-2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0.46753266602345284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-0.2172114589315223</v>
      </c>
      <c r="H1185" t="s">
        <v>24</v>
      </c>
      <c r="I1185">
        <f>VLOOKUP(Table4[[#This Row],[Visitor]],'NHL Model'!$A$6:$B$38,2,FALSE)</f>
        <v>1.5071179757482971E-3</v>
      </c>
      <c r="J1185">
        <f>($B$1+Table4[[#This Row],[Home Differential]])-Table4[[#This Row],[Away Differential]]</f>
        <v>-0.16933216448064928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0.50024675065624791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-0.10735719588407502</v>
      </c>
      <c r="H1186" t="s">
        <v>26</v>
      </c>
      <c r="I1186">
        <f>VLOOKUP(Table4[[#This Row],[Visitor]],'NHL Model'!$A$6:$B$38,2,FALSE)</f>
        <v>-0.80014284799340474</v>
      </c>
      <c r="J1186">
        <f>($B$1+Table4[[#This Row],[Home Differential]])-Table4[[#This Row],[Away Differential]]</f>
        <v>0.74217206453595097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0.62536872596487447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0.46523362857782063</v>
      </c>
      <c r="H1187" t="s">
        <v>18</v>
      </c>
      <c r="I1187">
        <f>VLOOKUP(Table4[[#This Row],[Visitor]],'NHL Model'!$A$6:$B$38,2,FALSE)</f>
        <v>-0.68642169651276408</v>
      </c>
      <c r="J1187">
        <f>($B$1+Table4[[#This Row],[Home Differential]])-Table4[[#This Row],[Away Differential]]</f>
        <v>1.201041737517206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0.65151943162543147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0.49679678069457273</v>
      </c>
      <c r="H1188" t="s">
        <v>27</v>
      </c>
      <c r="I1188">
        <f>VLOOKUP(Table4[[#This Row],[Visitor]],'NHL Model'!$A$6:$B$38,2,FALSE)</f>
        <v>-0.36903552884843377</v>
      </c>
      <c r="J1188">
        <f>($B$1+Table4[[#This Row],[Home Differential]])-Table4[[#This Row],[Away Differential]]</f>
        <v>0.91521872196962772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0.62908303113642616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1.6140407860044261</v>
      </c>
      <c r="H1189" t="s">
        <v>38</v>
      </c>
      <c r="I1189">
        <f>VLOOKUP(Table4[[#This Row],[Visitor]],'NHL Model'!$A$6:$B$38,2,FALSE)</f>
        <v>-0.93150212402040711</v>
      </c>
      <c r="J1189">
        <f>($B$1+Table4[[#This Row],[Home Differential]])-Table4[[#This Row],[Away Differential]]</f>
        <v>2.5949293224514545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0.94630405461900802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-0.36690387823407311</v>
      </c>
      <c r="H1190" t="s">
        <v>35</v>
      </c>
      <c r="I1190">
        <f>VLOOKUP(Table4[[#This Row],[Visitor]],'NHL Model'!$A$6:$B$38,2,FALSE)</f>
        <v>-1.3795663642467595</v>
      </c>
      <c r="J1190">
        <f>($B$1+Table4[[#This Row],[Home Differential]])-Table4[[#This Row],[Away Differential]]</f>
        <v>1.0620488984393077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0.66216272439309809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-0.44540084513285771</v>
      </c>
      <c r="H1191" t="s">
        <v>31</v>
      </c>
      <c r="I1191">
        <f>VLOOKUP(Table4[[#This Row],[Visitor]],'NHL Model'!$A$6:$B$38,2,FALSE)</f>
        <v>0.18193976369097953</v>
      </c>
      <c r="J1191">
        <f>($B$1+Table4[[#This Row],[Home Differential]])-Table4[[#This Row],[Away Differential]]</f>
        <v>-0.5779541963972159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0.53706771595650671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0.4370463247440865</v>
      </c>
      <c r="H1192" t="s">
        <v>28</v>
      </c>
      <c r="I1192">
        <f>VLOOKUP(Table4[[#This Row],[Visitor]],'NHL Model'!$A$6:$B$38,2,FALSE)</f>
        <v>-0.56850564030144513</v>
      </c>
      <c r="J1192">
        <f>($B$1+Table4[[#This Row],[Home Differential]])-Table4[[#This Row],[Away Differential]]</f>
        <v>1.054938377472153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0.70958012715519803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0.36815457830954207</v>
      </c>
      <c r="H1193" t="s">
        <v>40</v>
      </c>
      <c r="I1193">
        <f>VLOOKUP(Table4[[#This Row],[Visitor]],'NHL Model'!$A$6:$B$38,2,FALSE)</f>
        <v>-0.30901762292301305</v>
      </c>
      <c r="J1193">
        <f>($B$1+Table4[[#This Row],[Home Differential]])-Table4[[#This Row],[Away Differential]]</f>
        <v>0.7265586136591764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0.63529691862532156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-0.82464120527377915</v>
      </c>
      <c r="H1194" t="s">
        <v>10</v>
      </c>
      <c r="I1194">
        <f>VLOOKUP(Table4[[#This Row],[Visitor]],'NHL Model'!$A$6:$B$38,2,FALSE)</f>
        <v>-0.21549764750433295</v>
      </c>
      <c r="J1194">
        <f>($B$1+Table4[[#This Row],[Home Differential]])-Table4[[#This Row],[Away Differential]]</f>
        <v>-0.55975714534282484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0.52438635544377488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-0.51447808915301396</v>
      </c>
      <c r="H1195" t="s">
        <v>21</v>
      </c>
      <c r="I1195">
        <f>VLOOKUP(Table4[[#This Row],[Visitor]],'NHL Model'!$A$6:$B$38,2,FALSE)</f>
        <v>-0.24831960772154485</v>
      </c>
      <c r="J1195">
        <f>($B$1+Table4[[#This Row],[Home Differential]])-Table4[[#This Row],[Away Differential]]</f>
        <v>-0.21677206900484783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0.4849343194657757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-0.36690387823407311</v>
      </c>
      <c r="H1196" t="s">
        <v>29</v>
      </c>
      <c r="I1196">
        <f>VLOOKUP(Table4[[#This Row],[Visitor]],'NHL Model'!$A$6:$B$38,2,FALSE)</f>
        <v>-1.2257669814473033</v>
      </c>
      <c r="J1196">
        <f>($B$1+Table4[[#This Row],[Home Differential]])-Table4[[#This Row],[Away Differential]]</f>
        <v>0.90824951563985157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0.64447187076068202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-3.2419815263072818E-2</v>
      </c>
      <c r="H1197" t="s">
        <v>38</v>
      </c>
      <c r="I1197">
        <f>VLOOKUP(Table4[[#This Row],[Visitor]],'NHL Model'!$A$6:$B$38,2,FALSE)</f>
        <v>-0.93150212402040711</v>
      </c>
      <c r="J1197">
        <f>($B$1+Table4[[#This Row],[Home Differential]])-Table4[[#This Row],[Away Differential]]</f>
        <v>0.94846872118395564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0.64909810570091298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1.5071179757482971E-3</v>
      </c>
      <c r="H1198" t="s">
        <v>22</v>
      </c>
      <c r="I1198">
        <f>VLOOKUP(Table4[[#This Row],[Visitor]],'NHL Model'!$A$6:$B$38,2,FALSE)</f>
        <v>0.49679678069457273</v>
      </c>
      <c r="J1198">
        <f>($B$1+Table4[[#This Row],[Home Differential]])-Table4[[#This Row],[Away Differential]]</f>
        <v>-0.44590325029220312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0.48879025222047812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-0.2172114589315223</v>
      </c>
      <c r="H1199" t="s">
        <v>18</v>
      </c>
      <c r="I1199">
        <f>VLOOKUP(Table4[[#This Row],[Visitor]],'NHL Model'!$A$6:$B$38,2,FALSE)</f>
        <v>-0.68642169651276408</v>
      </c>
      <c r="J1199">
        <f>($B$1+Table4[[#This Row],[Home Differential]])-Table4[[#This Row],[Away Differential]]</f>
        <v>0.51859665000786315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0.54036401433012726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-0.430694899721771</v>
      </c>
      <c r="H1200" t="s">
        <v>23</v>
      </c>
      <c r="I1200">
        <f>VLOOKUP(Table4[[#This Row],[Visitor]],'NHL Model'!$A$6:$B$38,2,FALSE)</f>
        <v>-0.46454876921224991</v>
      </c>
      <c r="J1200">
        <f>($B$1+Table4[[#This Row],[Home Differential]])-Table4[[#This Row],[Away Differential]]</f>
        <v>8.3240281917100201E-2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0.55207023572749603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-0.36903552884843377</v>
      </c>
      <c r="H1201" t="s">
        <v>26</v>
      </c>
      <c r="I1201">
        <f>VLOOKUP(Table4[[#This Row],[Visitor]],'NHL Model'!$A$6:$B$38,2,FALSE)</f>
        <v>-0.80014284799340474</v>
      </c>
      <c r="J1201">
        <f>($B$1+Table4[[#This Row],[Home Differential]])-Table4[[#This Row],[Away Differential]]</f>
        <v>0.48049373157159225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0.60928566073663948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-0.63765723729815182</v>
      </c>
      <c r="H1202" t="s">
        <v>55</v>
      </c>
      <c r="I1202">
        <f>VLOOKUP(Table4[[#This Row],[Visitor]],'NHL Model'!$A$6:$B$38,2,FALSE)</f>
        <v>-0.3968452829365326</v>
      </c>
      <c r="J1202">
        <f>($B$1+Table4[[#This Row],[Home Differential]])-Table4[[#This Row],[Away Differential]]</f>
        <v>-0.19142554193499789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0.48201882206701518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-0.44540084513285771</v>
      </c>
      <c r="H1203" t="s">
        <v>19</v>
      </c>
      <c r="I1203">
        <f>VLOOKUP(Table4[[#This Row],[Visitor]],'NHL Model'!$A$6:$B$38,2,FALSE)</f>
        <v>-0.50406821212948805</v>
      </c>
      <c r="J1203">
        <f>($B$1+Table4[[#This Row],[Home Differential]])-Table4[[#This Row],[Away Differential]]</f>
        <v>0.10805377942325162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0.56255119130914211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0.46523362857782063</v>
      </c>
      <c r="H1204" t="s">
        <v>14</v>
      </c>
      <c r="I1204">
        <f>VLOOKUP(Table4[[#This Row],[Visitor]],'NHL Model'!$A$6:$B$38,2,FALSE)</f>
        <v>-0.10735719588407502</v>
      </c>
      <c r="J1204">
        <f>($B$1+Table4[[#This Row],[Home Differential]])-Table4[[#This Row],[Away Differential]]</f>
        <v>0.62197723688851692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0.60487658702009828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-0.21936273413039192</v>
      </c>
      <c r="H1205" t="s">
        <v>16</v>
      </c>
      <c r="I1205">
        <f>VLOOKUP(Table4[[#This Row],[Visitor]],'NHL Model'!$A$6:$B$38,2,FALSE)</f>
        <v>-1.2021149591105404</v>
      </c>
      <c r="J1205">
        <f>($B$1+Table4[[#This Row],[Home Differential]])-Table4[[#This Row],[Away Differential]]</f>
        <v>1.0321386374067698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0.65872228113251663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0.18193976369097953</v>
      </c>
      <c r="H1206" t="s">
        <v>35</v>
      </c>
      <c r="I1206">
        <f>VLOOKUP(Table4[[#This Row],[Visitor]],'NHL Model'!$A$6:$B$38,2,FALSE)</f>
        <v>-1.3795663642467595</v>
      </c>
      <c r="J1206">
        <f>($B$1+Table4[[#This Row],[Home Differential]])-Table4[[#This Row],[Away Differential]]</f>
        <v>1.6108925403643604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0.80512845919984311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-0.16042088891566345</v>
      </c>
      <c r="H1207" t="s">
        <v>27</v>
      </c>
      <c r="I1207">
        <f>VLOOKUP(Table4[[#This Row],[Visitor]],'NHL Model'!$A$6:$B$38,2,FALSE)</f>
        <v>-0.36903552884843377</v>
      </c>
      <c r="J1207">
        <f>($B$1+Table4[[#This Row],[Home Differential]])-Table4[[#This Row],[Away Differential]]</f>
        <v>0.25800105235939164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0.52716414180737026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0.18193976369097953</v>
      </c>
      <c r="H1208" t="s">
        <v>16</v>
      </c>
      <c r="I1208">
        <f>VLOOKUP(Table4[[#This Row],[Visitor]],'NHL Model'!$A$6:$B$38,2,FALSE)</f>
        <v>-1.2021149591105404</v>
      </c>
      <c r="J1208">
        <f>($B$1+Table4[[#This Row],[Home Differential]])-Table4[[#This Row],[Away Differential]]</f>
        <v>1.4334411352281413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0.78471701945287875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0.4370463247440865</v>
      </c>
      <c r="H1209" t="s">
        <v>30</v>
      </c>
      <c r="I1209">
        <f>VLOOKUP(Table4[[#This Row],[Visitor]],'NHL Model'!$A$6:$B$38,2,FALSE)</f>
        <v>-0.16042088891566345</v>
      </c>
      <c r="J1209">
        <f>($B$1+Table4[[#This Row],[Home Differential]])-Table4[[#This Row],[Away Differential]]</f>
        <v>0.6468536260863712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0.59440467323339663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-0.56850564030144513</v>
      </c>
      <c r="H1210" t="s">
        <v>40</v>
      </c>
      <c r="I1210">
        <f>VLOOKUP(Table4[[#This Row],[Visitor]],'NHL Model'!$A$6:$B$38,2,FALSE)</f>
        <v>-0.30901762292301305</v>
      </c>
      <c r="J1210">
        <f>($B$1+Table4[[#This Row],[Home Differential]])-Table4[[#This Row],[Away Differential]]</f>
        <v>-0.21010160495181074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0.50493627665383445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0.36815457830954207</v>
      </c>
      <c r="H1211" t="s">
        <v>12</v>
      </c>
      <c r="I1211">
        <f>VLOOKUP(Table4[[#This Row],[Visitor]],'NHL Model'!$A$6:$B$38,2,FALSE)</f>
        <v>1.6140407860044261</v>
      </c>
      <c r="J1211">
        <f>($B$1+Table4[[#This Row],[Home Differential]])-Table4[[#This Row],[Away Differential]]</f>
        <v>-1.1964997952682628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0.63762800840954692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-0.82464120527377915</v>
      </c>
      <c r="H1212" t="s">
        <v>20</v>
      </c>
      <c r="I1212">
        <f>VLOOKUP(Table4[[#This Row],[Visitor]],'NHL Model'!$A$6:$B$38,2,FALSE)</f>
        <v>-0.21936273413039192</v>
      </c>
      <c r="J1212">
        <f>($B$1+Table4[[#This Row],[Home Differential]])-Table4[[#This Row],[Away Differential]]</f>
        <v>-0.55589205871676595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0.52394177185355739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-0.36690387823407311</v>
      </c>
      <c r="H1213" t="s">
        <v>19</v>
      </c>
      <c r="I1213">
        <f>VLOOKUP(Table4[[#This Row],[Visitor]],'NHL Model'!$A$6:$B$38,2,FALSE)</f>
        <v>-0.50406821212948805</v>
      </c>
      <c r="J1213">
        <f>($B$1+Table4[[#This Row],[Home Differential]])-Table4[[#This Row],[Away Differential]]</f>
        <v>0.18655074632203622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0.56145809617782683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1.5071179757482971E-3</v>
      </c>
      <c r="H1214" t="s">
        <v>18</v>
      </c>
      <c r="I1214">
        <f>VLOOKUP(Table4[[#This Row],[Visitor]],'NHL Model'!$A$6:$B$38,2,FALSE)</f>
        <v>-0.68642169651276408</v>
      </c>
      <c r="J1214">
        <f>($B$1+Table4[[#This Row],[Home Differential]])-Table4[[#This Row],[Away Differential]]</f>
        <v>0.73731522691513374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0.64731006570302962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-0.2172114589315223</v>
      </c>
      <c r="H1215" t="s">
        <v>26</v>
      </c>
      <c r="I1215">
        <f>VLOOKUP(Table4[[#This Row],[Visitor]],'NHL Model'!$A$6:$B$38,2,FALSE)</f>
        <v>-0.80014284799340474</v>
      </c>
      <c r="J1215">
        <f>($B$1+Table4[[#This Row],[Home Differential]])-Table4[[#This Row],[Away Differential]]</f>
        <v>0.63231780148850381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0.61273268248345547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-0.430694899721771</v>
      </c>
      <c r="H1216" t="s">
        <v>34</v>
      </c>
      <c r="I1216">
        <f>VLOOKUP(Table4[[#This Row],[Visitor]],'NHL Model'!$A$6:$B$38,2,FALSE)</f>
        <v>-3.2419815263072818E-2</v>
      </c>
      <c r="J1216">
        <f>($B$1+Table4[[#This Row],[Home Differential]])-Table4[[#This Row],[Away Differential]]</f>
        <v>-0.34888867203207691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0.5569096236190898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-0.10735719588407502</v>
      </c>
      <c r="H1217" t="s">
        <v>11</v>
      </c>
      <c r="I1217">
        <f>VLOOKUP(Table4[[#This Row],[Visitor]],'NHL Model'!$A$6:$B$38,2,FALSE)</f>
        <v>-0.51447808915301396</v>
      </c>
      <c r="J1217">
        <f>($B$1+Table4[[#This Row],[Home Differential]])-Table4[[#This Row],[Away Differential]]</f>
        <v>0.45650730569556025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0.59250998918324238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-0.63765723729815182</v>
      </c>
      <c r="H1218" t="s">
        <v>10</v>
      </c>
      <c r="I1218">
        <f>VLOOKUP(Table4[[#This Row],[Visitor]],'NHL Model'!$A$6:$B$38,2,FALSE)</f>
        <v>-0.21549764750433295</v>
      </c>
      <c r="J1218">
        <f>($B$1+Table4[[#This Row],[Home Differential]])-Table4[[#This Row],[Away Differential]]</f>
        <v>-0.37277317736719751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0.50287842772095381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-0.44540084513285771</v>
      </c>
      <c r="H1219" t="s">
        <v>29</v>
      </c>
      <c r="I1219">
        <f>VLOOKUP(Table4[[#This Row],[Visitor]],'NHL Model'!$A$6:$B$38,2,FALSE)</f>
        <v>-1.2257669814473033</v>
      </c>
      <c r="J1219">
        <f>($B$1+Table4[[#This Row],[Home Differential]])-Table4[[#This Row],[Away Differential]]</f>
        <v>0.82975254874106685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0.6455649658919973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0.46523362857782063</v>
      </c>
      <c r="H1220" t="s">
        <v>21</v>
      </c>
      <c r="I1220">
        <f>VLOOKUP(Table4[[#This Row],[Visitor]],'NHL Model'!$A$6:$B$38,2,FALSE)</f>
        <v>-0.24831960772154485</v>
      </c>
      <c r="J1220">
        <f>($B$1+Table4[[#This Row],[Home Differential]])-Table4[[#This Row],[Away Differential]]</f>
        <v>0.76293964872598674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0.66000359389654506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-0.93150212402040711</v>
      </c>
      <c r="H1221" t="s">
        <v>55</v>
      </c>
      <c r="I1221">
        <f>VLOOKUP(Table4[[#This Row],[Visitor]],'NHL Model'!$A$6:$B$38,2,FALSE)</f>
        <v>-0.3968452829365326</v>
      </c>
      <c r="J1221">
        <f>($B$1+Table4[[#This Row],[Home Differential]])-Table4[[#This Row],[Away Differential]]</f>
        <v>-0.48527042865725317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0.51581848229332194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0.49679678069457273</v>
      </c>
      <c r="H1222" t="s">
        <v>23</v>
      </c>
      <c r="I1222">
        <f>VLOOKUP(Table4[[#This Row],[Visitor]],'NHL Model'!$A$6:$B$38,2,FALSE)</f>
        <v>-0.46454876921224991</v>
      </c>
      <c r="J1222">
        <f>($B$1+Table4[[#This Row],[Home Differential]])-Table4[[#This Row],[Away Differential]]</f>
        <v>1.0107319623334439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0.68229770309847582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1.6140407860044261</v>
      </c>
      <c r="H1223" t="s">
        <v>35</v>
      </c>
      <c r="I1223">
        <f>VLOOKUP(Table4[[#This Row],[Visitor]],'NHL Model'!$A$6:$B$38,2,FALSE)</f>
        <v>-1.3795663642467595</v>
      </c>
      <c r="J1223">
        <f>($B$1+Table4[[#This Row],[Home Differential]])-Table4[[#This Row],[Away Differential]]</f>
        <v>3.0429935626778066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0.99784287582546183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-0.80014284799340474</v>
      </c>
      <c r="H1224" t="s">
        <v>34</v>
      </c>
      <c r="I1224">
        <f>VLOOKUP(Table4[[#This Row],[Visitor]],'NHL Model'!$A$6:$B$38,2,FALSE)</f>
        <v>-3.2419815263072818E-2</v>
      </c>
      <c r="J1224">
        <f>($B$1+Table4[[#This Row],[Home Differential]])-Table4[[#This Row],[Away Differential]]</f>
        <v>-0.71833662030371059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0.59171795074274558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-0.68642169651276408</v>
      </c>
      <c r="H1225" t="s">
        <v>24</v>
      </c>
      <c r="I1225">
        <f>VLOOKUP(Table4[[#This Row],[Visitor]],'NHL Model'!$A$6:$B$38,2,FALSE)</f>
        <v>1.5071179757482971E-3</v>
      </c>
      <c r="J1225">
        <f>($B$1+Table4[[#This Row],[Home Differential]])-Table4[[#This Row],[Away Differential]]</f>
        <v>-0.63854240206189106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0.55421790115627634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-0.2172114589315223</v>
      </c>
      <c r="H1226" t="s">
        <v>22</v>
      </c>
      <c r="I1226">
        <f>VLOOKUP(Table4[[#This Row],[Visitor]],'NHL Model'!$A$6:$B$38,2,FALSE)</f>
        <v>0.49679678069457273</v>
      </c>
      <c r="J1226">
        <f>($B$1+Table4[[#This Row],[Home Differential]])-Table4[[#This Row],[Away Differential]]</f>
        <v>-0.66462182719947371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0.59573630359338048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-0.430694899721771</v>
      </c>
      <c r="H1227" t="s">
        <v>25</v>
      </c>
      <c r="I1227">
        <f>VLOOKUP(Table4[[#This Row],[Visitor]],'NHL Model'!$A$6:$B$38,2,FALSE)</f>
        <v>0.4370463247440865</v>
      </c>
      <c r="J1227">
        <f>($B$1+Table4[[#This Row],[Home Differential]])-Table4[[#This Row],[Away Differential]]</f>
        <v>-0.81835481203923621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0.62425216786592463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-0.36903552884843377</v>
      </c>
      <c r="H1228" t="s">
        <v>21</v>
      </c>
      <c r="I1228">
        <f>VLOOKUP(Table4[[#This Row],[Visitor]],'NHL Model'!$A$6:$B$38,2,FALSE)</f>
        <v>-0.24831960772154485</v>
      </c>
      <c r="J1228">
        <f>($B$1+Table4[[#This Row],[Home Differential]])-Table4[[#This Row],[Away Differential]]</f>
        <v>-7.1329508700267635E-2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0.45418809316876041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-0.10735719588407502</v>
      </c>
      <c r="H1229" t="s">
        <v>11</v>
      </c>
      <c r="I1229">
        <f>VLOOKUP(Table4[[#This Row],[Visitor]],'NHL Model'!$A$6:$B$38,2,FALSE)</f>
        <v>-0.51447808915301396</v>
      </c>
      <c r="J1229">
        <f>($B$1+Table4[[#This Row],[Home Differential]])-Table4[[#This Row],[Away Differential]]</f>
        <v>0.45650730569556025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0.59250998918324238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-0.46454876921224991</v>
      </c>
      <c r="H1230" t="s">
        <v>37</v>
      </c>
      <c r="I1230">
        <f>VLOOKUP(Table4[[#This Row],[Visitor]],'NHL Model'!$A$6:$B$38,2,FALSE)</f>
        <v>0.46523362857782063</v>
      </c>
      <c r="J1230">
        <f>($B$1+Table4[[#This Row],[Home Differential]])-Table4[[#This Row],[Away Differential]]</f>
        <v>-0.88039598536344932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0.62371698361198435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-0.36690387823407311</v>
      </c>
      <c r="H1231" t="s">
        <v>29</v>
      </c>
      <c r="I1231">
        <f>VLOOKUP(Table4[[#This Row],[Visitor]],'NHL Model'!$A$6:$B$38,2,FALSE)</f>
        <v>-1.2257669814473033</v>
      </c>
      <c r="J1231">
        <f>($B$1+Table4[[#This Row],[Home Differential]])-Table4[[#This Row],[Away Differential]]</f>
        <v>0.90824951563985157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0.64447187076068202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-0.44540084513285771</v>
      </c>
      <c r="H1232" t="s">
        <v>10</v>
      </c>
      <c r="I1232">
        <f>VLOOKUP(Table4[[#This Row],[Visitor]],'NHL Model'!$A$6:$B$38,2,FALSE)</f>
        <v>-0.21549764750433295</v>
      </c>
      <c r="J1232">
        <f>($B$1+Table4[[#This Row],[Home Differential]])-Table4[[#This Row],[Away Differential]]</f>
        <v>-0.18051678520190348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0.47064178728729311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-0.30901762292301305</v>
      </c>
      <c r="H1233" t="s">
        <v>32</v>
      </c>
      <c r="I1233">
        <f>VLOOKUP(Table4[[#This Row],[Visitor]],'NHL Model'!$A$6:$B$38,2,FALSE)</f>
        <v>-0.63765723729815182</v>
      </c>
      <c r="J1233">
        <f>($B$1+Table4[[#This Row],[Home Differential]])-Table4[[#This Row],[Away Differential]]</f>
        <v>0.37802602680176006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0.58597811865103999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0.18193976369097953</v>
      </c>
      <c r="H1234" t="s">
        <v>29</v>
      </c>
      <c r="I1234">
        <f>VLOOKUP(Table4[[#This Row],[Visitor]],'NHL Model'!$A$6:$B$38,2,FALSE)</f>
        <v>-1.2257669814473033</v>
      </c>
      <c r="J1234">
        <f>($B$1+Table4[[#This Row],[Home Differential]])-Table4[[#This Row],[Away Differential]]</f>
        <v>1.4570931575649042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0.78743760556742703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0.4370463247440865</v>
      </c>
      <c r="H1235" t="s">
        <v>21</v>
      </c>
      <c r="I1235">
        <f>VLOOKUP(Table4[[#This Row],[Visitor]],'NHL Model'!$A$6:$B$38,2,FALSE)</f>
        <v>-0.24831960772154485</v>
      </c>
      <c r="J1235">
        <f>($B$1+Table4[[#This Row],[Home Differential]])-Table4[[#This Row],[Away Differential]]</f>
        <v>0.73475234489225261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0.67623124520283862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0.36815457830954207</v>
      </c>
      <c r="H1236" t="s">
        <v>16</v>
      </c>
      <c r="I1236">
        <f>VLOOKUP(Table4[[#This Row],[Visitor]],'NHL Model'!$A$6:$B$38,2,FALSE)</f>
        <v>-1.2021149591105404</v>
      </c>
      <c r="J1236">
        <f>($B$1+Table4[[#This Row],[Home Differential]])-Table4[[#This Row],[Away Differential]]</f>
        <v>1.6196559498467038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0.75854782997708881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-0.80014284799340474</v>
      </c>
      <c r="H1237" t="s">
        <v>28</v>
      </c>
      <c r="I1237">
        <f>VLOOKUP(Table4[[#This Row],[Visitor]],'NHL Model'!$A$6:$B$38,2,FALSE)</f>
        <v>-0.56850564030144513</v>
      </c>
      <c r="J1237">
        <f>($B$1+Table4[[#This Row],[Home Differential]])-Table4[[#This Row],[Away Differential]]</f>
        <v>-0.18225079526533827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0.47440478762789318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-3.2419815263072818E-2</v>
      </c>
      <c r="H1238" t="s">
        <v>32</v>
      </c>
      <c r="I1238">
        <f>VLOOKUP(Table4[[#This Row],[Visitor]],'NHL Model'!$A$6:$B$38,2,FALSE)</f>
        <v>-0.63765723729815182</v>
      </c>
      <c r="J1238">
        <f>($B$1+Table4[[#This Row],[Home Differential]])-Table4[[#This Row],[Away Differential]]</f>
        <v>0.65462383446170036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0.61529844547460621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-0.68642169651276408</v>
      </c>
      <c r="H1239" t="s">
        <v>11</v>
      </c>
      <c r="I1239">
        <f>VLOOKUP(Table4[[#This Row],[Visitor]],'NHL Model'!$A$6:$B$38,2,FALSE)</f>
        <v>-0.51447808915301396</v>
      </c>
      <c r="J1239">
        <f>($B$1+Table4[[#This Row],[Home Differential]])-Table4[[#This Row],[Away Differential]]</f>
        <v>-0.12255719493312878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0.47409720479820511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1.5071179757482971E-3</v>
      </c>
      <c r="H1240" t="s">
        <v>27</v>
      </c>
      <c r="I1240">
        <f>VLOOKUP(Table4[[#This Row],[Visitor]],'NHL Model'!$A$6:$B$38,2,FALSE)</f>
        <v>-0.36903552884843377</v>
      </c>
      <c r="J1240">
        <f>($B$1+Table4[[#This Row],[Home Differential]])-Table4[[#This Row],[Away Differential]]</f>
        <v>0.41992905925080337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0.62724992586948491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-0.430694899721771</v>
      </c>
      <c r="H1241" t="s">
        <v>37</v>
      </c>
      <c r="I1241">
        <f>VLOOKUP(Table4[[#This Row],[Visitor]],'NHL Model'!$A$6:$B$38,2,FALSE)</f>
        <v>0.46523362857782063</v>
      </c>
      <c r="J1241">
        <f>($B$1+Table4[[#This Row],[Home Differential]])-Table4[[#This Row],[Away Differential]]</f>
        <v>-0.84654211587297035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0.62749442708269443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-1.3795663642467595</v>
      </c>
      <c r="H1242" t="s">
        <v>12</v>
      </c>
      <c r="I1242">
        <f>VLOOKUP(Table4[[#This Row],[Visitor]],'NHL Model'!$A$6:$B$38,2,FALSE)</f>
        <v>1.6140407860044261</v>
      </c>
      <c r="J1242">
        <f>($B$1+Table4[[#This Row],[Home Differential]])-Table4[[#This Row],[Away Differential]]</f>
        <v>-2.9442207378245646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0.87128368377516674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-0.3968452829365326</v>
      </c>
      <c r="H1243" t="s">
        <v>17</v>
      </c>
      <c r="I1243">
        <f>VLOOKUP(Table4[[#This Row],[Visitor]],'NHL Model'!$A$6:$B$38,2,FALSE)</f>
        <v>-0.82464120527377915</v>
      </c>
      <c r="J1243">
        <f>($B$1+Table4[[#This Row],[Home Differential]])-Table4[[#This Row],[Away Differential]]</f>
        <v>0.47718233476386784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0.63531932255192314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-0.93150212402040711</v>
      </c>
      <c r="H1244" t="s">
        <v>20</v>
      </c>
      <c r="I1244">
        <f>VLOOKUP(Table4[[#This Row],[Visitor]],'NHL Model'!$A$6:$B$38,2,FALSE)</f>
        <v>-0.21936273413039192</v>
      </c>
      <c r="J1244">
        <f>($B$1+Table4[[#This Row],[Home Differential]])-Table4[[#This Row],[Away Differential]]</f>
        <v>-0.66275297746339379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0.53623350435704309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-0.2172114589315223</v>
      </c>
      <c r="H1245" t="s">
        <v>23</v>
      </c>
      <c r="I1245">
        <f>VLOOKUP(Table4[[#This Row],[Visitor]],'NHL Model'!$A$6:$B$38,2,FALSE)</f>
        <v>-0.46454876921224991</v>
      </c>
      <c r="J1245">
        <f>($B$1+Table4[[#This Row],[Home Differential]])-Table4[[#This Row],[Away Differential]]</f>
        <v>0.29672372270734892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0.57413079982593984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-0.44540084513285771</v>
      </c>
      <c r="H1246" t="s">
        <v>17</v>
      </c>
      <c r="I1246">
        <f>VLOOKUP(Table4[[#This Row],[Visitor]],'NHL Model'!$A$6:$B$38,2,FALSE)</f>
        <v>-0.82464120527377915</v>
      </c>
      <c r="J1246">
        <f>($B$1+Table4[[#This Row],[Home Differential]])-Table4[[#This Row],[Away Differential]]</f>
        <v>0.42862677256754272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0.59942526581447386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-0.50406821212948805</v>
      </c>
      <c r="H1247" t="s">
        <v>22</v>
      </c>
      <c r="I1247">
        <f>VLOOKUP(Table4[[#This Row],[Visitor]],'NHL Model'!$A$6:$B$38,2,FALSE)</f>
        <v>0.49679678069457273</v>
      </c>
      <c r="J1247">
        <f>($B$1+Table4[[#This Row],[Home Differential]])-Table4[[#This Row],[Away Differential]]</f>
        <v>-0.95147858039743949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0.6287321501431189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0.18193976369097953</v>
      </c>
      <c r="H1248" t="s">
        <v>33</v>
      </c>
      <c r="I1248">
        <f>VLOOKUP(Table4[[#This Row],[Visitor]],'NHL Model'!$A$6:$B$38,2,FALSE)</f>
        <v>-0.44540084513285771</v>
      </c>
      <c r="J1248">
        <f>($B$1+Table4[[#This Row],[Home Differential]])-Table4[[#This Row],[Away Differential]]</f>
        <v>0.67672702125045858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0.69767558672217489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-0.46454876921224991</v>
      </c>
      <c r="H1249" t="s">
        <v>28</v>
      </c>
      <c r="I1249">
        <f>VLOOKUP(Table4[[#This Row],[Visitor]],'NHL Model'!$A$6:$B$38,2,FALSE)</f>
        <v>-0.56850564030144513</v>
      </c>
      <c r="J1249">
        <f>($B$1+Table4[[#This Row],[Home Differential]])-Table4[[#This Row],[Away Differential]]</f>
        <v>0.1533432835158165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0.56419709502962234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-0.21549764750433295</v>
      </c>
      <c r="H1250" t="s">
        <v>25</v>
      </c>
      <c r="I1250">
        <f>VLOOKUP(Table4[[#This Row],[Visitor]],'NHL Model'!$A$6:$B$38,2,FALSE)</f>
        <v>0.4370463247440865</v>
      </c>
      <c r="J1250">
        <f>($B$1+Table4[[#This Row],[Home Differential]])-Table4[[#This Row],[Away Differential]]</f>
        <v>-0.60315755982179819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0.60200167969658946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1.6140407860044261</v>
      </c>
      <c r="H1251" t="s">
        <v>16</v>
      </c>
      <c r="I1251">
        <f>VLOOKUP(Table4[[#This Row],[Visitor]],'NHL Model'!$A$6:$B$38,2,FALSE)</f>
        <v>-1.2021149591105404</v>
      </c>
      <c r="J1251">
        <f>($B$1+Table4[[#This Row],[Home Differential]])-Table4[[#This Row],[Away Differential]]</f>
        <v>2.8655421575415878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0.97743143607849736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0.36815457830954207</v>
      </c>
      <c r="H1252" t="s">
        <v>34</v>
      </c>
      <c r="I1252">
        <f>VLOOKUP(Table4[[#This Row],[Visitor]],'NHL Model'!$A$6:$B$38,2,FALSE)</f>
        <v>-3.2419815263072818E-2</v>
      </c>
      <c r="J1252">
        <f>($B$1+Table4[[#This Row],[Home Differential]])-Table4[[#This Row],[Away Differential]]</f>
        <v>0.44996080599923616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0.56512595862360004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-0.80014284799340474</v>
      </c>
      <c r="H1253" t="s">
        <v>27</v>
      </c>
      <c r="I1253">
        <f>VLOOKUP(Table4[[#This Row],[Visitor]],'NHL Model'!$A$6:$B$38,2,FALSE)</f>
        <v>-0.36903552884843377</v>
      </c>
      <c r="J1253">
        <f>($B$1+Table4[[#This Row],[Home Differential]])-Table4[[#This Row],[Away Differential]]</f>
        <v>-0.38172090671834963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0.53621533722973269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-0.36690387823407311</v>
      </c>
      <c r="H1254" t="s">
        <v>38</v>
      </c>
      <c r="I1254">
        <f>VLOOKUP(Table4[[#This Row],[Visitor]],'NHL Model'!$A$6:$B$38,2,FALSE)</f>
        <v>-0.93150212402040711</v>
      </c>
      <c r="J1254">
        <f>($B$1+Table4[[#This Row],[Home Differential]])-Table4[[#This Row],[Away Differential]]</f>
        <v>0.61398465821295534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0.61062390318664428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-0.68642169651276408</v>
      </c>
      <c r="H1255" t="s">
        <v>37</v>
      </c>
      <c r="I1255">
        <f>VLOOKUP(Table4[[#This Row],[Visitor]],'NHL Model'!$A$6:$B$38,2,FALSE)</f>
        <v>0.46523362857782063</v>
      </c>
      <c r="J1255">
        <f>($B$1+Table4[[#This Row],[Home Differential]])-Table4[[#This Row],[Away Differential]]</f>
        <v>-1.1022689126639633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0.65941222146008438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1.5071179757482971E-3</v>
      </c>
      <c r="H1256" t="s">
        <v>14</v>
      </c>
      <c r="I1256">
        <f>VLOOKUP(Table4[[#This Row],[Visitor]],'NHL Model'!$A$6:$B$38,2,FALSE)</f>
        <v>-0.10735719588407502</v>
      </c>
      <c r="J1256">
        <f>($B$1+Table4[[#This Row],[Home Differential]])-Table4[[#This Row],[Away Differential]]</f>
        <v>0.15825072628644463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0.60029242396038829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-0.16042088891566345</v>
      </c>
      <c r="H1257" t="s">
        <v>19</v>
      </c>
      <c r="I1257">
        <f>VLOOKUP(Table4[[#This Row],[Visitor]],'NHL Model'!$A$6:$B$38,2,FALSE)</f>
        <v>-0.50406821212948805</v>
      </c>
      <c r="J1257">
        <f>($B$1+Table4[[#This Row],[Home Differential]])-Table4[[#This Row],[Away Differential]]</f>
        <v>0.39303373564044591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0.58520890892574795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-0.430694899721771</v>
      </c>
      <c r="H1258" t="s">
        <v>11</v>
      </c>
      <c r="I1258">
        <f>VLOOKUP(Table4[[#This Row],[Visitor]],'NHL Model'!$A$6:$B$38,2,FALSE)</f>
        <v>-0.51447808915301396</v>
      </c>
      <c r="J1258">
        <f>($B$1+Table4[[#This Row],[Home Differential]])-Table4[[#This Row],[Away Differential]]</f>
        <v>0.13316960185786425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0.55781338160337957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-0.63765723729815182</v>
      </c>
      <c r="H1259" t="s">
        <v>20</v>
      </c>
      <c r="I1259">
        <f>VLOOKUP(Table4[[#This Row],[Visitor]],'NHL Model'!$A$6:$B$38,2,FALSE)</f>
        <v>-0.21936273413039192</v>
      </c>
      <c r="J1259">
        <f>($B$1+Table4[[#This Row],[Home Differential]])-Table4[[#This Row],[Away Differential]]</f>
        <v>-0.36890809074113856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0.50243384413073633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-1.3795663642467595</v>
      </c>
      <c r="H1260" t="s">
        <v>40</v>
      </c>
      <c r="I1260">
        <f>VLOOKUP(Table4[[#This Row],[Visitor]],'NHL Model'!$A$6:$B$38,2,FALSE)</f>
        <v>-0.30901762292301305</v>
      </c>
      <c r="J1260">
        <f>($B$1+Table4[[#This Row],[Home Differential]])-Table4[[#This Row],[Away Differential]]</f>
        <v>-1.0211623288971252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0.59822895633270734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-0.3968452829365326</v>
      </c>
      <c r="H1261" t="s">
        <v>29</v>
      </c>
      <c r="I1261">
        <f>VLOOKUP(Table4[[#This Row],[Visitor]],'NHL Model'!$A$6:$B$38,2,FALSE)</f>
        <v>-1.2257669814473033</v>
      </c>
      <c r="J1261">
        <f>($B$1+Table4[[#This Row],[Home Differential]])-Table4[[#This Row],[Away Differential]]</f>
        <v>0.87830811093739203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0.68145902262944658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-0.24831960772154485</v>
      </c>
      <c r="H1262" t="s">
        <v>37</v>
      </c>
      <c r="I1262">
        <f>VLOOKUP(Table4[[#This Row],[Visitor]],'NHL Model'!$A$6:$B$38,2,FALSE)</f>
        <v>0.46523362857782063</v>
      </c>
      <c r="J1262">
        <f>($B$1+Table4[[#This Row],[Home Differential]])-Table4[[#This Row],[Away Differential]]</f>
        <v>-0.66416682387274417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0.56547910220457775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-0.21549764750433295</v>
      </c>
      <c r="H1263" t="s">
        <v>35</v>
      </c>
      <c r="I1263">
        <f>VLOOKUP(Table4[[#This Row],[Visitor]],'NHL Model'!$A$6:$B$38,2,FALSE)</f>
        <v>-1.3795663642467595</v>
      </c>
      <c r="J1263">
        <f>($B$1+Table4[[#This Row],[Home Differential]])-Table4[[#This Row],[Away Differential]]</f>
        <v>1.2134551291690479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0.67957830446969858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1.6140407860044261</v>
      </c>
      <c r="H1264" t="s">
        <v>20</v>
      </c>
      <c r="I1264">
        <f>VLOOKUP(Table4[[#This Row],[Visitor]],'NHL Model'!$A$6:$B$38,2,FALSE)</f>
        <v>-0.21936273413039192</v>
      </c>
      <c r="J1264">
        <f>($B$1+Table4[[#This Row],[Home Differential]])-Table4[[#This Row],[Away Differential]]</f>
        <v>1.8827899325614392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0.86438985260397283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0.36815457830954207</v>
      </c>
      <c r="H1265" t="s">
        <v>15</v>
      </c>
      <c r="I1265">
        <f>VLOOKUP(Table4[[#This Row],[Visitor]],'NHL Model'!$A$6:$B$38,2,FALSE)</f>
        <v>-0.2172114589315223</v>
      </c>
      <c r="J1265">
        <f>($B$1+Table4[[#This Row],[Home Differential]])-Table4[[#This Row],[Away Differential]]</f>
        <v>0.63475244966768563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0.54533745239797848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-0.80014284799340474</v>
      </c>
      <c r="H1266" t="s">
        <v>24</v>
      </c>
      <c r="I1266">
        <f>VLOOKUP(Table4[[#This Row],[Visitor]],'NHL Model'!$A$6:$B$38,2,FALSE)</f>
        <v>1.5071179757482971E-3</v>
      </c>
      <c r="J1266">
        <f>($B$1+Table4[[#This Row],[Home Differential]])-Table4[[#This Row],[Away Differential]]</f>
        <v>-0.75226355354253172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0.55711774000659819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-0.36690387823407311</v>
      </c>
      <c r="H1267" t="s">
        <v>17</v>
      </c>
      <c r="I1267">
        <f>VLOOKUP(Table4[[#This Row],[Visitor]],'NHL Model'!$A$6:$B$38,2,FALSE)</f>
        <v>-0.82464120527377915</v>
      </c>
      <c r="J1267">
        <f>($B$1+Table4[[#This Row],[Home Differential]])-Table4[[#This Row],[Away Differential]]</f>
        <v>0.50712373946632727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0.59833217068315858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-0.68642169651276408</v>
      </c>
      <c r="H1268" t="s">
        <v>28</v>
      </c>
      <c r="I1268">
        <f>VLOOKUP(Table4[[#This Row],[Visitor]],'NHL Model'!$A$6:$B$38,2,FALSE)</f>
        <v>-0.56850564030144513</v>
      </c>
      <c r="J1268">
        <f>($B$1+Table4[[#This Row],[Home Differential]])-Table4[[#This Row],[Away Differential]]</f>
        <v>-6.8529643784697614E-2</v>
      </c>
      <c r="K1268" t="str">
        <f>IF(Table4[[#This Row],[HomeIce Differential]]&gt;0,Table4[[#This Row],[Home]],Table4[[#This Row],[Visitor]])</f>
        <v>Columbus Blue Jackets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0.47145881669629686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-1.2257669814473033</v>
      </c>
      <c r="H1269" t="s">
        <v>34</v>
      </c>
      <c r="I1269">
        <f>VLOOKUP(Table4[[#This Row],[Visitor]],'NHL Model'!$A$6:$B$38,2,FALSE)</f>
        <v>-3.2419815263072818E-2</v>
      </c>
      <c r="J1269">
        <f>($B$1+Table4[[#This Row],[Home Differential]])-Table4[[#This Row],[Away Differential]]</f>
        <v>-1.1439607537576093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0.65087251178685979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-0.16042088891566345</v>
      </c>
      <c r="H1270" t="s">
        <v>36</v>
      </c>
      <c r="I1270">
        <f>VLOOKUP(Table4[[#This Row],[Visitor]],'NHL Model'!$A$6:$B$38,2,FALSE)</f>
        <v>-0.430694899721771</v>
      </c>
      <c r="J1270">
        <f>($B$1+Table4[[#This Row],[Home Differential]])-Table4[[#This Row],[Away Differential]]</f>
        <v>0.31966042323272886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0.57319294673839594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-0.10735719588407502</v>
      </c>
      <c r="H1271" t="s">
        <v>22</v>
      </c>
      <c r="I1271">
        <f>VLOOKUP(Table4[[#This Row],[Visitor]],'NHL Model'!$A$6:$B$38,2,FALSE)</f>
        <v>0.49679678069457273</v>
      </c>
      <c r="J1271">
        <f>($B$1+Table4[[#This Row],[Home Differential]])-Table4[[#This Row],[Away Differential]]</f>
        <v>-0.55476756415202644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0.58310026011196148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-0.63765723729815182</v>
      </c>
      <c r="H1272" t="s">
        <v>16</v>
      </c>
      <c r="I1272">
        <f>VLOOKUP(Table4[[#This Row],[Visitor]],'NHL Model'!$A$6:$B$38,2,FALSE)</f>
        <v>-1.2021149591105404</v>
      </c>
      <c r="J1272">
        <f>($B$1+Table4[[#This Row],[Home Differential]])-Table4[[#This Row],[Away Differential]]</f>
        <v>0.61384413423900996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0.61060773934378831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-0.44540084513285771</v>
      </c>
      <c r="H1273" t="s">
        <v>38</v>
      </c>
      <c r="I1273">
        <f>VLOOKUP(Table4[[#This Row],[Visitor]],'NHL Model'!$A$6:$B$38,2,FALSE)</f>
        <v>-0.93150212402040711</v>
      </c>
      <c r="J1273">
        <f>($B$1+Table4[[#This Row],[Home Differential]])-Table4[[#This Row],[Away Differential]]</f>
        <v>0.53548769131417062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0.61171699831795956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-0.50406821212948805</v>
      </c>
      <c r="H1274" t="s">
        <v>11</v>
      </c>
      <c r="I1274">
        <f>VLOOKUP(Table4[[#This Row],[Visitor]],'NHL Model'!$A$6:$B$38,2,FALSE)</f>
        <v>-0.51447808915301396</v>
      </c>
      <c r="J1274">
        <f>($B$1+Table4[[#This Row],[Home Differential]])-Table4[[#This Row],[Away Differential]]</f>
        <v>5.97962894501472E-2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0.54687809915208507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-0.3968452829365326</v>
      </c>
      <c r="H1275" t="s">
        <v>25</v>
      </c>
      <c r="I1275">
        <f>VLOOKUP(Table4[[#This Row],[Visitor]],'NHL Model'!$A$6:$B$38,2,FALSE)</f>
        <v>0.4370463247440865</v>
      </c>
      <c r="J1275">
        <f>($B$1+Table4[[#This Row],[Home Differential]])-Table4[[#This Row],[Away Differential]]</f>
        <v>-0.78450519525399787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0.58185822797451536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-0.30901762292301305</v>
      </c>
      <c r="H1276" t="s">
        <v>27</v>
      </c>
      <c r="I1276">
        <f>VLOOKUP(Table4[[#This Row],[Visitor]],'NHL Model'!$A$6:$B$38,2,FALSE)</f>
        <v>-0.36903552884843377</v>
      </c>
      <c r="J1276">
        <f>($B$1+Table4[[#This Row],[Home Differential]])-Table4[[#This Row],[Away Differential]]</f>
        <v>0.10940431835204201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0.51258428835988201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0.18193976369097953</v>
      </c>
      <c r="H1277" t="s">
        <v>38</v>
      </c>
      <c r="I1277">
        <f>VLOOKUP(Table4[[#This Row],[Visitor]],'NHL Model'!$A$6:$B$38,2,FALSE)</f>
        <v>-0.93150212402040711</v>
      </c>
      <c r="J1277">
        <f>($B$1+Table4[[#This Row],[Home Differential]])-Table4[[#This Row],[Away Differential]]</f>
        <v>1.162828300138008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0.75358963799338929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-0.56850564030144513</v>
      </c>
      <c r="H1278" t="s">
        <v>21</v>
      </c>
      <c r="I1278">
        <f>VLOOKUP(Table4[[#This Row],[Visitor]],'NHL Model'!$A$6:$B$38,2,FALSE)</f>
        <v>-0.24831960772154485</v>
      </c>
      <c r="J1278">
        <f>($B$1+Table4[[#This Row],[Home Differential]])-Table4[[#This Row],[Away Differential]]</f>
        <v>-0.27079962015327896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0.49114886650808121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-1.2021149591105404</v>
      </c>
      <c r="H1279" t="s">
        <v>55</v>
      </c>
      <c r="I1279">
        <f>VLOOKUP(Table4[[#This Row],[Visitor]],'NHL Model'!$A$6:$B$38,2,FALSE)</f>
        <v>-0.3968452829365326</v>
      </c>
      <c r="J1279">
        <f>($B$1+Table4[[#This Row],[Home Differential]])-Table4[[#This Row],[Away Differential]]</f>
        <v>-0.75588326374738668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0.5469458637528114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1.5071179757482971E-3</v>
      </c>
      <c r="H1280" t="s">
        <v>36</v>
      </c>
      <c r="I1280">
        <f>VLOOKUP(Table4[[#This Row],[Visitor]],'NHL Model'!$A$6:$B$38,2,FALSE)</f>
        <v>-0.430694899721771</v>
      </c>
      <c r="J1280">
        <f>($B$1+Table4[[#This Row],[Home Differential]])-Table4[[#This Row],[Away Differential]]</f>
        <v>0.4815884301241406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0.67183331467016849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-0.16042088891566345</v>
      </c>
      <c r="H1281" t="s">
        <v>18</v>
      </c>
      <c r="I1281">
        <f>VLOOKUP(Table4[[#This Row],[Visitor]],'NHL Model'!$A$6:$B$38,2,FALSE)</f>
        <v>-0.68642169651276408</v>
      </c>
      <c r="J1281">
        <f>($B$1+Table4[[#This Row],[Home Differential]])-Table4[[#This Row],[Away Differential]]</f>
        <v>0.575387220023722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0.54689637904814481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0.49679678069457273</v>
      </c>
      <c r="H1282" t="s">
        <v>14</v>
      </c>
      <c r="I1282">
        <f>VLOOKUP(Table4[[#This Row],[Visitor]],'NHL Model'!$A$6:$B$38,2,FALSE)</f>
        <v>-0.10735719588407502</v>
      </c>
      <c r="J1282">
        <f>($B$1+Table4[[#This Row],[Home Differential]])-Table4[[#This Row],[Away Differential]]</f>
        <v>0.65354038900526901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0.60220084862707957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-0.21549764750433295</v>
      </c>
      <c r="H1283" t="s">
        <v>23</v>
      </c>
      <c r="I1283">
        <f>VLOOKUP(Table4[[#This Row],[Visitor]],'NHL Model'!$A$6:$B$38,2,FALSE)</f>
        <v>-0.46454876921224991</v>
      </c>
      <c r="J1283">
        <f>($B$1+Table4[[#This Row],[Home Differential]])-Table4[[#This Row],[Away Differential]]</f>
        <v>0.29843753413453827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0.57432793187263675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-0.82464120527377915</v>
      </c>
      <c r="H1284" t="s">
        <v>12</v>
      </c>
      <c r="I1284">
        <f>VLOOKUP(Table4[[#This Row],[Visitor]],'NHL Model'!$A$6:$B$38,2,FALSE)</f>
        <v>1.6140407860044261</v>
      </c>
      <c r="J1284">
        <f>($B$1+Table4[[#This Row],[Home Differential]])-Table4[[#This Row],[Away Differential]]</f>
        <v>-2.3892955788515842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0.80745313006522723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-0.51447808915301396</v>
      </c>
      <c r="H1285" t="s">
        <v>15</v>
      </c>
      <c r="I1285">
        <f>VLOOKUP(Table4[[#This Row],[Visitor]],'NHL Model'!$A$6:$B$38,2,FALSE)</f>
        <v>-0.2172114589315223</v>
      </c>
      <c r="J1285">
        <f>($B$1+Table4[[#This Row],[Home Differential]])-Table4[[#This Row],[Away Differential]]</f>
        <v>-0.24788021779487038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0.58859401678095136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-1.2257669814473033</v>
      </c>
      <c r="H1286" t="s">
        <v>33</v>
      </c>
      <c r="I1286">
        <f>VLOOKUP(Table4[[#This Row],[Visitor]],'NHL Model'!$A$6:$B$38,2,FALSE)</f>
        <v>-0.44540084513285771</v>
      </c>
      <c r="J1286">
        <f>($B$1+Table4[[#This Row],[Home Differential]])-Table4[[#This Row],[Away Differential]]</f>
        <v>-0.7309797238878244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0.54408132118726016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-0.36903552884843377</v>
      </c>
      <c r="H1287" t="s">
        <v>25</v>
      </c>
      <c r="I1287">
        <f>VLOOKUP(Table4[[#This Row],[Visitor]],'NHL Model'!$A$6:$B$38,2,FALSE)</f>
        <v>0.4370463247440865</v>
      </c>
      <c r="J1287">
        <f>($B$1+Table4[[#This Row],[Home Differential]])-Table4[[#This Row],[Away Differential]]</f>
        <v>-0.75669544116589904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0.60555780339937959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-0.63765723729815182</v>
      </c>
      <c r="H1288" t="s">
        <v>13</v>
      </c>
      <c r="I1288">
        <f>VLOOKUP(Table4[[#This Row],[Visitor]],'NHL Model'!$A$6:$B$38,2,FALSE)</f>
        <v>-0.36690387823407311</v>
      </c>
      <c r="J1288">
        <f>($B$1+Table4[[#This Row],[Home Differential]])-Table4[[#This Row],[Away Differential]]</f>
        <v>-0.22136694663745737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0.55177863711803754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-1.3795663642467595</v>
      </c>
      <c r="H1289" t="s">
        <v>34</v>
      </c>
      <c r="I1289">
        <f>VLOOKUP(Table4[[#This Row],[Visitor]],'NHL Model'!$A$6:$B$38,2,FALSE)</f>
        <v>-3.2419815263072818E-2</v>
      </c>
      <c r="J1289">
        <f>($B$1+Table4[[#This Row],[Home Differential]])-Table4[[#This Row],[Away Differential]]</f>
        <v>-1.2977601365570655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0.66856336541927586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0.46523362857782063</v>
      </c>
      <c r="H1290" t="s">
        <v>26</v>
      </c>
      <c r="I1290">
        <f>VLOOKUP(Table4[[#This Row],[Visitor]],'NHL Model'!$A$6:$B$38,2,FALSE)</f>
        <v>-0.80014284799340474</v>
      </c>
      <c r="J1290">
        <f>($B$1+Table4[[#This Row],[Home Differential]])-Table4[[#This Row],[Away Differential]]</f>
        <v>1.3147628889978467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0.72347734780194484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-0.50406821212948805</v>
      </c>
      <c r="H1291" t="s">
        <v>39</v>
      </c>
      <c r="I1291">
        <f>VLOOKUP(Table4[[#This Row],[Visitor]],'NHL Model'!$A$6:$B$38,2,FALSE)</f>
        <v>0.36815457830954207</v>
      </c>
      <c r="J1291">
        <f>($B$1+Table4[[#This Row],[Home Differential]])-Table4[[#This Row],[Away Differential]]</f>
        <v>-0.82283637801240883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0.63812544125406556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-0.21936273413039192</v>
      </c>
      <c r="H1292" t="s">
        <v>40</v>
      </c>
      <c r="I1292">
        <f>VLOOKUP(Table4[[#This Row],[Visitor]],'NHL Model'!$A$6:$B$38,2,FALSE)</f>
        <v>-0.30901762292301305</v>
      </c>
      <c r="J1292">
        <f>($B$1+Table4[[#This Row],[Home Differential]])-Table4[[#This Row],[Away Differential]]</f>
        <v>0.13904130121924244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0.53522406688878166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-0.24831960772154485</v>
      </c>
      <c r="H1293" t="s">
        <v>24</v>
      </c>
      <c r="I1293">
        <f>VLOOKUP(Table4[[#This Row],[Visitor]],'NHL Model'!$A$6:$B$38,2,FALSE)</f>
        <v>1.5071179757482971E-3</v>
      </c>
      <c r="J1293">
        <f>($B$1+Table4[[#This Row],[Home Differential]])-Table4[[#This Row],[Away Differential]]</f>
        <v>-0.20044031327067183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0.46055575080708078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-0.56850564030144513</v>
      </c>
      <c r="H1294" t="s">
        <v>22</v>
      </c>
      <c r="I1294">
        <f>VLOOKUP(Table4[[#This Row],[Visitor]],'NHL Model'!$A$6:$B$38,2,FALSE)</f>
        <v>0.49679678069457273</v>
      </c>
      <c r="J1294">
        <f>($B$1+Table4[[#This Row],[Home Differential]])-Table4[[#This Row],[Away Differential]]</f>
        <v>-1.0159160085693966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0.63614409867951727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-1.2021149591105404</v>
      </c>
      <c r="H1295" t="s">
        <v>12</v>
      </c>
      <c r="I1295">
        <f>VLOOKUP(Table4[[#This Row],[Visitor]],'NHL Model'!$A$6:$B$38,2,FALSE)</f>
        <v>1.6140407860044261</v>
      </c>
      <c r="J1295">
        <f>($B$1+Table4[[#This Row],[Home Differential]])-Table4[[#This Row],[Away Differential]]</f>
        <v>-2.7667693326883454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0.85087224402820238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-3.2419815263072818E-2</v>
      </c>
      <c r="H1296" t="s">
        <v>31</v>
      </c>
      <c r="I1296">
        <f>VLOOKUP(Table4[[#This Row],[Visitor]],'NHL Model'!$A$6:$B$38,2,FALSE)</f>
        <v>0.18193976369097953</v>
      </c>
      <c r="J1296">
        <f>($B$1+Table4[[#This Row],[Home Differential]])-Table4[[#This Row],[Away Differential]]</f>
        <v>-0.16497316652743105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0.49974535465991327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-0.16042088891566345</v>
      </c>
      <c r="H1297" t="s">
        <v>25</v>
      </c>
      <c r="I1297">
        <f>VLOOKUP(Table4[[#This Row],[Visitor]],'NHL Model'!$A$6:$B$38,2,FALSE)</f>
        <v>0.4370463247440865</v>
      </c>
      <c r="J1297">
        <f>($B$1+Table4[[#This Row],[Home Differential]])-Table4[[#This Row],[Away Differential]]</f>
        <v>-0.54808080123312863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0.59566644702526872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-0.36903552884843377</v>
      </c>
      <c r="H1298" t="s">
        <v>18</v>
      </c>
      <c r="I1298">
        <f>VLOOKUP(Table4[[#This Row],[Visitor]],'NHL Model'!$A$6:$B$38,2,FALSE)</f>
        <v>-0.68642169651276408</v>
      </c>
      <c r="J1298">
        <f>($B$1+Table4[[#This Row],[Home Differential]])-Table4[[#This Row],[Away Differential]]</f>
        <v>0.36677258009095159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0.53703356673733182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-1.3795663642467595</v>
      </c>
      <c r="H1299" t="s">
        <v>14</v>
      </c>
      <c r="I1299">
        <f>VLOOKUP(Table4[[#This Row],[Visitor]],'NHL Model'!$A$6:$B$38,2,FALSE)</f>
        <v>-0.10735719588407502</v>
      </c>
      <c r="J1299">
        <f>($B$1+Table4[[#This Row],[Home Differential]])-Table4[[#This Row],[Away Differential]]</f>
        <v>-1.2228227559360632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0.63994255382666765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-0.3968452829365326</v>
      </c>
      <c r="H1300" t="s">
        <v>40</v>
      </c>
      <c r="I1300">
        <f>VLOOKUP(Table4[[#This Row],[Visitor]],'NHL Model'!$A$6:$B$38,2,FALSE)</f>
        <v>-0.30901762292301305</v>
      </c>
      <c r="J1300">
        <f>($B$1+Table4[[#This Row],[Home Differential]])-Table4[[#This Row],[Away Differential]]</f>
        <v>-3.8441247586898264E-2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0.44442172440570871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-0.93150212402040711</v>
      </c>
      <c r="H1301" t="s">
        <v>13</v>
      </c>
      <c r="I1301">
        <f>VLOOKUP(Table4[[#This Row],[Visitor]],'NHL Model'!$A$6:$B$38,2,FALSE)</f>
        <v>-0.36690387823407311</v>
      </c>
      <c r="J1301">
        <f>($B$1+Table4[[#This Row],[Home Differential]])-Table4[[#This Row],[Away Differential]]</f>
        <v>-0.51521183335971266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0.5855782973443443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-0.46454876921224991</v>
      </c>
      <c r="H1302" t="s">
        <v>39</v>
      </c>
      <c r="I1302">
        <f>VLOOKUP(Table4[[#This Row],[Visitor]],'NHL Model'!$A$6:$B$38,2,FALSE)</f>
        <v>0.36815457830954207</v>
      </c>
      <c r="J1302">
        <f>($B$1+Table4[[#This Row],[Home Differential]])-Table4[[#This Row],[Away Differential]]</f>
        <v>-0.78331693509517075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0.62343476933604314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-0.21549764750433295</v>
      </c>
      <c r="H1303" t="s">
        <v>33</v>
      </c>
      <c r="I1303">
        <f>VLOOKUP(Table4[[#This Row],[Visitor]],'NHL Model'!$A$6:$B$38,2,FALSE)</f>
        <v>-0.44540084513285771</v>
      </c>
      <c r="J1303">
        <f>($B$1+Table4[[#This Row],[Home Differential]])-Table4[[#This Row],[Away Differential]]</f>
        <v>0.27928961005514608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0.57212543199203036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-0.51447808915301396</v>
      </c>
      <c r="H1304" t="s">
        <v>26</v>
      </c>
      <c r="I1304">
        <f>VLOOKUP(Table4[[#This Row],[Visitor]],'NHL Model'!$A$6:$B$38,2,FALSE)</f>
        <v>-0.80014284799340474</v>
      </c>
      <c r="J1304">
        <f>($B$1+Table4[[#This Row],[Home Differential]])-Table4[[#This Row],[Away Differential]]</f>
        <v>0.33505117126701206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0.57853943443962419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-0.430694899721771</v>
      </c>
      <c r="H1305" t="s">
        <v>19</v>
      </c>
      <c r="I1305">
        <f>VLOOKUP(Table4[[#This Row],[Visitor]],'NHL Model'!$A$6:$B$38,2,FALSE)</f>
        <v>-0.50406821212948805</v>
      </c>
      <c r="J1305">
        <f>($B$1+Table4[[#This Row],[Home Differential]])-Table4[[#This Row],[Away Differential]]</f>
        <v>0.12275972483433834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0.55661598010928659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0.46523362857782063</v>
      </c>
      <c r="H1306" t="s">
        <v>15</v>
      </c>
      <c r="I1306">
        <f>VLOOKUP(Table4[[#This Row],[Visitor]],'NHL Model'!$A$6:$B$38,2,FALSE)</f>
        <v>-0.2172114589315223</v>
      </c>
      <c r="J1306">
        <f>($B$1+Table4[[#This Row],[Home Differential]])-Table4[[#This Row],[Away Differential]]</f>
        <v>0.73183149993596419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0.55650402041541636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-0.21936273413039192</v>
      </c>
      <c r="H1307" t="s">
        <v>32</v>
      </c>
      <c r="I1307">
        <f>VLOOKUP(Table4[[#This Row],[Visitor]],'NHL Model'!$A$6:$B$38,2,FALSE)</f>
        <v>-0.63765723729815182</v>
      </c>
      <c r="J1307">
        <f>($B$1+Table4[[#This Row],[Home Differential]])-Table4[[#This Row],[Away Differential]]</f>
        <v>0.46768091559438119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0.59379523944672041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-1.2021149591105404</v>
      </c>
      <c r="H1308" t="s">
        <v>13</v>
      </c>
      <c r="I1308">
        <f>VLOOKUP(Table4[[#This Row],[Visitor]],'NHL Model'!$A$6:$B$38,2,FALSE)</f>
        <v>-0.36690387823407311</v>
      </c>
      <c r="J1308">
        <f>($B$1+Table4[[#This Row],[Home Differential]])-Table4[[#This Row],[Away Differential]]</f>
        <v>-0.78582466844984611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0.61670567880383376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1.6140407860044261</v>
      </c>
      <c r="H1309" t="s">
        <v>32</v>
      </c>
      <c r="I1309">
        <f>VLOOKUP(Table4[[#This Row],[Visitor]],'NHL Model'!$A$6:$B$38,2,FALSE)</f>
        <v>-0.63765723729815182</v>
      </c>
      <c r="J1309">
        <f>($B$1+Table4[[#This Row],[Home Differential]])-Table4[[#This Row],[Away Differential]]</f>
        <v>2.3010844357291993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0.91250439439270115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-0.82464120527377915</v>
      </c>
      <c r="H1310" t="s">
        <v>38</v>
      </c>
      <c r="I1310">
        <f>VLOOKUP(Table4[[#This Row],[Visitor]],'NHL Model'!$A$6:$B$38,2,FALSE)</f>
        <v>-0.93150212402040711</v>
      </c>
      <c r="J1310">
        <f>($B$1+Table4[[#This Row],[Home Differential]])-Table4[[#This Row],[Away Differential]]</f>
        <v>0.15624733117324929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0.55797243016147768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-1.2257669814473033</v>
      </c>
      <c r="H1311" t="s">
        <v>31</v>
      </c>
      <c r="I1311">
        <f>VLOOKUP(Table4[[#This Row],[Visitor]],'NHL Model'!$A$6:$B$38,2,FALSE)</f>
        <v>0.18193976369097953</v>
      </c>
      <c r="J1311">
        <f>($B$1+Table4[[#This Row],[Home Differential]])-Table4[[#This Row],[Away Differential]]</f>
        <v>-1.3583203327116617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0.63701073027687194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-0.3968452829365326</v>
      </c>
      <c r="H1312" t="s">
        <v>35</v>
      </c>
      <c r="I1312">
        <f>VLOOKUP(Table4[[#This Row],[Visitor]],'NHL Model'!$A$6:$B$38,2,FALSE)</f>
        <v>-1.3795663642467595</v>
      </c>
      <c r="J1312">
        <f>($B$1+Table4[[#This Row],[Home Differential]])-Table4[[#This Row],[Away Differential]]</f>
        <v>1.0321074937368482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0.69914987626186265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-0.30901762292301305</v>
      </c>
      <c r="H1313" t="s">
        <v>33</v>
      </c>
      <c r="I1313">
        <f>VLOOKUP(Table4[[#This Row],[Visitor]],'NHL Model'!$A$6:$B$38,2,FALSE)</f>
        <v>-0.44540084513285771</v>
      </c>
      <c r="J1313">
        <f>($B$1+Table4[[#This Row],[Home Differential]])-Table4[[#This Row],[Away Differential]]</f>
        <v>0.18576963463646595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0.56386372760613235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7" priority="9" operator="containsText" text="NO">
      <formula>NOT(ISERROR(SEARCH("NO",M2)))</formula>
    </cfRule>
    <cfRule type="containsText" dxfId="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5" priority="3" operator="containsText" text="YES">
      <formula>NOT(ISERROR(SEARCH("YES",R1)))</formula>
    </cfRule>
    <cfRule type="containsText" dxfId="4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K37" sqref="K37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26</v>
      </c>
      <c r="C2">
        <f>COUNTIF(NHL2025_26Results[Winning Team],Standings!A2)</f>
        <v>16</v>
      </c>
      <c r="D2">
        <f>COUNTIFS('NHL2025-26Results'!$H:$H,A2,'NHL2025-26Results'!$F:$F,"")</f>
        <v>9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33</v>
      </c>
      <c r="G2">
        <f>COUNTIFS('NHL2025-26Results'!$D:$D,A2,'NHL2025-26Results'!$G:$G,A2)</f>
        <v>9</v>
      </c>
      <c r="H2">
        <f>COUNTIFS('NHL2025-26Results'!$D:$D,A2,'NHL2025-26Results'!$H:$H,A2,'NHL2025-26Results'!$F:$F,"")</f>
        <v>3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7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0.75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3.9166666666666665</v>
      </c>
      <c r="P2" s="15">
        <f>SUMIFS('NHL2025-26Results'!$C:$C,'NHL2025-26Results'!$B:$B,A2,'NHL2025-26Results'!$C:$C,"&gt;0")/COUNTIFS('NHL2025-26Results'!$B:$B,A2,'NHL2025-26Results'!$C:$C,"&gt;0")</f>
        <v>3.7692307692307692</v>
      </c>
      <c r="Q2" s="14">
        <f>SUMIFS('NHL2025-26Results'!$C:$C,'NHL2025-26Results'!$D:$D,A2,'NHL2025-26Results'!$C:$C,"&gt;0")/COUNTIFS('NHL2025-26Results'!$D:$D,A2,'NHL2025-26Results'!$C:$C,"&gt;0")</f>
        <v>2.8333333333333335</v>
      </c>
      <c r="R2" s="14">
        <f>SUMIFS('NHL2025-26Results'!$E:$E,'NHL2025-26Results'!$B:$B,A2,'NHL2025-26Results'!$E:$E,"&gt;0")/COUNTIFS('NHL2025-26Results'!$B:$B,A2,'NHL2025-26Results'!$E:$E,"&gt;0")</f>
        <v>3.5714285714285716</v>
      </c>
    </row>
    <row r="3" spans="1:18" x14ac:dyDescent="0.2">
      <c r="A3" s="4" t="s">
        <v>21</v>
      </c>
      <c r="B3">
        <f>SUM(Table1[[#This Row],[W]:[OTL]])</f>
        <v>28</v>
      </c>
      <c r="C3">
        <f>COUNTIF(NHL2025_26Results[Winning Team],Standings!A3)</f>
        <v>15</v>
      </c>
      <c r="D3">
        <f>COUNTIFS('NHL2025-26Results'!$H:$H,A3,'NHL2025-26Results'!$F:$F,"")</f>
        <v>13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30</v>
      </c>
      <c r="G3">
        <f>COUNTIFS('NHL2025-26Results'!$D:$D,A3,'NHL2025-26Results'!$G:$G,A3)</f>
        <v>9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8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0.6428571428571429</v>
      </c>
      <c r="N3" s="11">
        <f>Table1[[#This Row],[AwayWins]]/SUM(Table1[[#This Row],[AwayWins]:[AwayOTL]])</f>
        <v>0.42857142857142855</v>
      </c>
      <c r="O3" s="14">
        <f>SUMIFS('NHL2025-26Results'!$E:$E,'NHL2025-26Results'!$D:$D,A3,'NHL2025-26Results'!$E:$E,"&gt;0")/COUNTIFS('NHL2025-26Results'!$D:$D,A3,'NHL2025-26Results'!$E:$E,"&gt;0")</f>
        <v>3.2857142857142856</v>
      </c>
      <c r="P3" s="14">
        <f>SUMIFS('NHL2025-26Results'!$C:$C,'NHL2025-26Results'!$B:$B,A3,'NHL2025-26Results'!$C:$C,"&gt;0")/COUNTIFS('NHL2025-26Results'!$B:$B,A3,'NHL2025-26Results'!$C:$C,"&gt;0")</f>
        <v>2.9285714285714284</v>
      </c>
      <c r="Q3" s="14">
        <f>SUMIFS('NHL2025-26Results'!$C:$C,'NHL2025-26Results'!$D:$D,A3,'NHL2025-26Results'!$C:$C,"&gt;0")/COUNTIFS('NHL2025-26Results'!$D:$D,A3,'NHL2025-26Results'!$C:$C,"&gt;0")</f>
        <v>3.0714285714285716</v>
      </c>
      <c r="R3" s="14">
        <f>SUMIFS('NHL2025-26Results'!$E:$E,'NHL2025-26Results'!$B:$B,A3,'NHL2025-26Results'!$E:$E,"&gt;0")/COUNTIFS('NHL2025-26Results'!$B:$B,A3,'NHL2025-26Results'!$E:$E,"&gt;0")</f>
        <v>3.4285714285714284</v>
      </c>
    </row>
    <row r="4" spans="1:18" x14ac:dyDescent="0.2">
      <c r="A4" s="4" t="s">
        <v>23</v>
      </c>
      <c r="B4">
        <f>SUM(Table1[[#This Row],[W]:[OTL]])</f>
        <v>26</v>
      </c>
      <c r="C4">
        <f>COUNTIF(NHL2025_26Results[Winning Team],Standings!A4)</f>
        <v>11</v>
      </c>
      <c r="D4">
        <f>COUNTIFS('NHL2025-26Results'!$H:$H,A4,'NHL2025-26Results'!$F:$F,"")</f>
        <v>11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26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6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0.2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2.7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4.2</v>
      </c>
    </row>
    <row r="5" spans="1:18" x14ac:dyDescent="0.2">
      <c r="A5" s="4" t="s">
        <v>16</v>
      </c>
      <c r="B5">
        <f>SUM(Table1[[#This Row],[W]:[OTL]])</f>
        <v>28</v>
      </c>
      <c r="C5">
        <f>COUNTIF(NHL2025_26Results[Winning Team],Standings!A5)</f>
        <v>9</v>
      </c>
      <c r="D5">
        <f>COUNTIFS('NHL2025-26Results'!$H:$H,A5,'NHL2025-26Results'!$F:$F,"")</f>
        <v>15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22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0.27777777777777779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2.625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25</v>
      </c>
      <c r="C6">
        <f>COUNTIF(NHL2025_26Results[Winning Team],Standings!A6)</f>
        <v>16</v>
      </c>
      <c r="D6">
        <f>COUNTIFS('NHL2025-26Results'!$H:$H,A6,'NHL2025-26Results'!$F:$F,"")</f>
        <v>7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34</v>
      </c>
      <c r="G6">
        <f>COUNTIFS('NHL2025-26Results'!$D:$D,A6,'NHL2025-26Results'!$G:$G,A6)</f>
        <v>8</v>
      </c>
      <c r="H6">
        <f>COUNTIFS('NHL2025-26Results'!$D:$D,A6,'NHL2025-26Results'!$H:$H,A6,'NHL2025-26Results'!$F:$F,"")</f>
        <v>3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3.75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3.2727272727272729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26</v>
      </c>
      <c r="C7">
        <f>COUNTIF(NHL2025_26Results[Winning Team],Standings!A7)</f>
        <v>11</v>
      </c>
      <c r="D7">
        <f>COUNTIFS('NHL2025-26Results'!$H:$H,A7,'NHL2025-26Results'!$F:$F,"")</f>
        <v>9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28</v>
      </c>
      <c r="G7">
        <f>COUNTIFS('NHL2025-26Results'!$D:$D,A7,'NHL2025-26Results'!$G:$G,A7)</f>
        <v>6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0.41666666666666669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3.5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3.6363636363636362</v>
      </c>
    </row>
    <row r="8" spans="1:18" x14ac:dyDescent="0.2">
      <c r="A8" s="4" t="s">
        <v>12</v>
      </c>
      <c r="B8">
        <f>SUM(Table1[[#This Row],[W]:[OTL]])</f>
        <v>26</v>
      </c>
      <c r="C8">
        <f>COUNTIF(NHL2025_26Results[Winning Team],Standings!A8)</f>
        <v>19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44</v>
      </c>
      <c r="G8">
        <f>COUNTIFS('NHL2025-26Results'!$D:$D,A8,'NHL2025-26Results'!$G:$G,A8)</f>
        <v>11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0.84615384615384615</v>
      </c>
      <c r="N8" s="11">
        <f>Table1[[#This Row],[AwayWins]]/SUM(Table1[[#This Row],[AwayWins]:[AwayOTL]])</f>
        <v>0.61538461538461542</v>
      </c>
      <c r="O8" s="14">
        <f>SUMIFS('NHL2025-26Results'!$E:$E,'NHL2025-26Results'!$D:$D,A8,'NHL2025-26Results'!$E:$E,"&gt;0")/COUNTIFS('NHL2025-26Results'!$D:$D,A8,'NHL2025-26Results'!$E:$E,"&gt;0")</f>
        <v>4.6923076923076925</v>
      </c>
      <c r="P8" s="14">
        <f>SUMIFS('NHL2025-26Results'!$C:$C,'NHL2025-26Results'!$B:$B,A8,'NHL2025-26Results'!$C:$C,"&gt;0")/COUNTIFS('NHL2025-26Results'!$B:$B,A8,'NHL2025-26Results'!$C:$C,"&gt;0")</f>
        <v>3.4615384615384617</v>
      </c>
      <c r="Q8" s="14">
        <f>SUMIFS('NHL2025-26Results'!$C:$C,'NHL2025-26Results'!$D:$D,A8,'NHL2025-26Results'!$C:$C,"&gt;0")/COUNTIFS('NHL2025-26Results'!$D:$D,A8,'NHL2025-26Results'!$C:$C,"&gt;0")</f>
        <v>2.4166666666666665</v>
      </c>
      <c r="R8" s="14">
        <f>SUMIFS('NHL2025-26Results'!$E:$E,'NHL2025-26Results'!$B:$B,A8,'NHL2025-26Results'!$E:$E,"&gt;0")/COUNTIFS('NHL2025-26Results'!$B:$B,A8,'NHL2025-26Results'!$E:$E,"&gt;0")</f>
        <v>2.4545454545454546</v>
      </c>
    </row>
    <row r="9" spans="1:18" x14ac:dyDescent="0.2">
      <c r="A9" s="4" t="s">
        <v>28</v>
      </c>
      <c r="B9">
        <f>SUM(Table1[[#This Row],[W]:[OTL]])</f>
        <v>26</v>
      </c>
      <c r="C9">
        <f>COUNTIF(NHL2025_26Results[Winning Team],Standings!A9)</f>
        <v>12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5</v>
      </c>
      <c r="F9" s="3">
        <f>(Table1[[#This Row],[W]]*2)+Table1[[#This Row],[OTL]]</f>
        <v>29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0.45454545454545453</v>
      </c>
      <c r="N9" s="11">
        <f>Table1[[#This Row],[AwayWins]]/SUM(Table1[[#This Row],[AwayWins]:[AwayOTL]])</f>
        <v>0.46666666666666667</v>
      </c>
      <c r="O9" s="14">
        <f>SUMIFS('NHL2025-26Results'!$E:$E,'NHL2025-26Results'!$D:$D,A9,'NHL2025-26Results'!$E:$E,"&gt;0")/COUNTIFS('NHL2025-26Results'!$D:$D,A9,'NHL2025-26Results'!$E:$E,"&gt;0")</f>
        <v>2.7272727272727271</v>
      </c>
      <c r="P9" s="14">
        <f>SUMIFS('NHL2025-26Results'!$C:$C,'NHL2025-26Results'!$B:$B,A9,'NHL2025-26Results'!$C:$C,"&gt;0")/COUNTIFS('NHL2025-26Results'!$B:$B,A9,'NHL2025-26Results'!$C:$C,"&gt;0")</f>
        <v>3.2</v>
      </c>
      <c r="Q9" s="14">
        <f>SUMIFS('NHL2025-26Results'!$C:$C,'NHL2025-26Results'!$D:$D,A9,'NHL2025-26Results'!$C:$C,"&gt;0")/COUNTIFS('NHL2025-26Results'!$D:$D,A9,'NHL2025-26Results'!$C:$C,"&gt;0")</f>
        <v>3.0909090909090908</v>
      </c>
      <c r="R9" s="14">
        <f>SUMIFS('NHL2025-26Results'!$E:$E,'NHL2025-26Results'!$B:$B,A9,'NHL2025-26Results'!$E:$E,"&gt;0")/COUNTIFS('NHL2025-26Results'!$B:$B,A9,'NHL2025-26Results'!$E:$E,"&gt;0")</f>
        <v>3.4</v>
      </c>
    </row>
    <row r="10" spans="1:18" x14ac:dyDescent="0.2">
      <c r="A10" s="4" t="s">
        <v>39</v>
      </c>
      <c r="B10">
        <f>SUM(Table1[[#This Row],[W]:[OTL]])</f>
        <v>27</v>
      </c>
      <c r="C10">
        <f>COUNTIF(NHL2025_26Results[Winning Team],Standings!A10)</f>
        <v>17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39</v>
      </c>
      <c r="G10">
        <f>COUNTIFS('NHL2025-26Results'!$D:$D,A10,'NHL2025-26Results'!$G:$G,A10)</f>
        <v>8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9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0.61538461538461542</v>
      </c>
      <c r="N10" s="11">
        <f>Table1[[#This Row],[AwayWins]]/SUM(Table1[[#This Row],[AwayWins]:[AwayOTL]])</f>
        <v>0.6428571428571429</v>
      </c>
      <c r="O10" s="14">
        <f>SUMIFS('NHL2025-26Results'!$E:$E,'NHL2025-26Results'!$D:$D,A10,'NHL2025-26Results'!$E:$E,"&gt;0")/COUNTIFS('NHL2025-26Results'!$D:$D,A10,'NHL2025-26Results'!$E:$E,"&gt;0")</f>
        <v>3.3076923076923075</v>
      </c>
      <c r="P10" s="14">
        <f>SUMIFS('NHL2025-26Results'!$C:$C,'NHL2025-26Results'!$B:$B,A10,'NHL2025-26Results'!$C:$C,"&gt;0")/COUNTIFS('NHL2025-26Results'!$B:$B,A10,'NHL2025-26Results'!$C:$C,"&gt;0")</f>
        <v>3.7142857142857144</v>
      </c>
      <c r="Q10" s="14">
        <f>SUMIFS('NHL2025-26Results'!$C:$C,'NHL2025-26Results'!$D:$D,A10,'NHL2025-26Results'!$C:$C,"&gt;0")/COUNTIFS('NHL2025-26Results'!$D:$D,A10,'NHL2025-26Results'!$C:$C,"&gt;0")</f>
        <v>3</v>
      </c>
      <c r="R10" s="14">
        <f>SUMIFS('NHL2025-26Results'!$E:$E,'NHL2025-26Results'!$B:$B,A10,'NHL2025-26Results'!$E:$E,"&gt;0")/COUNTIFS('NHL2025-26Results'!$B:$B,A10,'NHL2025-26Results'!$E:$E,"&gt;0")</f>
        <v>2.9230769230769229</v>
      </c>
    </row>
    <row r="11" spans="1:18" x14ac:dyDescent="0.2">
      <c r="A11" s="4" t="s">
        <v>26</v>
      </c>
      <c r="B11">
        <f>SUM(Table1[[#This Row],[W]:[OTL]])</f>
        <v>27</v>
      </c>
      <c r="C11">
        <f>COUNTIF(NHL2025_26Results[Winning Team],Standings!A11)</f>
        <v>14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2</v>
      </c>
      <c r="F11" s="3">
        <f>(Table1[[#This Row],[W]]*2)+Table1[[#This Row],[OTL]]</f>
        <v>30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1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0.45454545454545453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2.8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3.0909090909090908</v>
      </c>
    </row>
    <row r="12" spans="1:18" x14ac:dyDescent="0.2">
      <c r="A12" s="4" t="s">
        <v>17</v>
      </c>
      <c r="B12">
        <f>SUM(Table1[[#This Row],[W]:[OTL]])</f>
        <v>27</v>
      </c>
      <c r="C12">
        <f>COUNTIF(NHL2025_26Results[Winning Team],Standings!A12)</f>
        <v>11</v>
      </c>
      <c r="D12">
        <f>COUNTIFS('NHL2025-26Results'!$H:$H,A12,'NHL2025-26Results'!$F:$F,"")</f>
        <v>11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27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3.6666666666666665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4.0999999999999996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25</v>
      </c>
      <c r="C13">
        <f>COUNTIF(NHL2025_26Results[Winning Team],Standings!A13)</f>
        <v>12</v>
      </c>
      <c r="D13">
        <f>COUNTIFS('NHL2025-26Results'!$H:$H,A13,'NHL2025-26Results'!$F:$F,"")</f>
        <v>12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25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0.53333333333333333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3.2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3.5384615384615383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26</v>
      </c>
      <c r="C14">
        <f>COUNTIF(NHL2025_26Results[Winning Team],Standings!A14)</f>
        <v>12</v>
      </c>
      <c r="D14">
        <f>COUNTIFS('NHL2025-26Results'!$H:$H,A14,'NHL2025-26Results'!$F:$F,"")</f>
        <v>7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31</v>
      </c>
      <c r="G14">
        <f>COUNTIFS('NHL2025-26Results'!$D:$D,A14,'NHL2025-26Results'!$G:$G,A14)</f>
        <v>3</v>
      </c>
      <c r="H14">
        <f>COUNTIFS('NHL2025-26Results'!$D:$D,A14,'NHL2025-26Results'!$H:$H,A14,'NHL2025-26Results'!$F:$F,"")</f>
        <v>5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0.27272727272727271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1.9090909090909092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3.2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27</v>
      </c>
      <c r="C15">
        <f>COUNTIF(NHL2025_26Results[Winning Team],Standings!A15)</f>
        <v>15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35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7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0.58333333333333337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2.8333333333333335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3.25</v>
      </c>
    </row>
    <row r="16" spans="1:18" x14ac:dyDescent="0.2">
      <c r="A16" s="4" t="s">
        <v>18</v>
      </c>
      <c r="B16">
        <f>SUM(Table1[[#This Row],[W]:[OTL]])</f>
        <v>25</v>
      </c>
      <c r="C16">
        <f>COUNTIF(NHL2025_26Results[Winning Team],Standings!A16)</f>
        <v>13</v>
      </c>
      <c r="D16">
        <f>COUNTIFS('NHL2025-26Results'!$H:$H,A16,'NHL2025-26Results'!$F:$F,"")</f>
        <v>9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29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6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7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0.46153846153846156</v>
      </c>
      <c r="N16" s="11">
        <f>Table1[[#This Row],[AwayWins]]/SUM(Table1[[#This Row],[AwayWins]:[AwayOTL]])</f>
        <v>0.58333333333333337</v>
      </c>
      <c r="O16" s="14">
        <f>SUMIFS('NHL2025-26Results'!$E:$E,'NHL2025-26Results'!$D:$D,A16,'NHL2025-26Results'!$E:$E,"&gt;0")/COUNTIFS('NHL2025-26Results'!$D:$D,A16,'NHL2025-26Results'!$E:$E,"&gt;0")</f>
        <v>3.5833333333333335</v>
      </c>
      <c r="P16" s="14">
        <f>SUMIFS('NHL2025-26Results'!$C:$C,'NHL2025-26Results'!$B:$B,A16,'NHL2025-26Results'!$C:$C,"&gt;0")/COUNTIFS('NHL2025-26Results'!$B:$B,A16,'NHL2025-26Results'!$C:$C,"&gt;0")</f>
        <v>3.4166666666666665</v>
      </c>
      <c r="Q16" s="14">
        <f>SUMIFS('NHL2025-26Results'!$C:$C,'NHL2025-26Results'!$D:$D,A16,'NHL2025-26Results'!$C:$C,"&gt;0")/COUNTIFS('NHL2025-26Results'!$D:$D,A16,'NHL2025-26Results'!$C:$C,"&gt;0")</f>
        <v>4</v>
      </c>
      <c r="R16" s="14">
        <f>SUMIFS('NHL2025-26Results'!$E:$E,'NHL2025-26Results'!$B:$B,A16,'NHL2025-26Results'!$E:$E,"&gt;0")/COUNTIFS('NHL2025-26Results'!$B:$B,A16,'NHL2025-26Results'!$E:$E,"&gt;0")</f>
        <v>3.3333333333333335</v>
      </c>
    </row>
    <row r="17" spans="1:18" x14ac:dyDescent="0.2">
      <c r="A17" s="4" t="s">
        <v>29</v>
      </c>
      <c r="B17">
        <f>SUM(Table1[[#This Row],[W]:[OTL]])</f>
        <v>26</v>
      </c>
      <c r="C17">
        <f>COUNTIF(NHL2025_26Results[Winning Team],Standings!A17)</f>
        <v>9</v>
      </c>
      <c r="D17">
        <f>COUNTIFS('NHL2025-26Results'!$H:$H,A17,'NHL2025-26Results'!$F:$F,"")</f>
        <v>13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22</v>
      </c>
      <c r="G17">
        <f>COUNTIFS('NHL2025-26Results'!$D:$D,A17,'NHL2025-26Results'!$G:$G,A17)</f>
        <v>6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3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0.375</v>
      </c>
      <c r="N17" s="11">
        <f>Table1[[#This Row],[AwayWins]]/SUM(Table1[[#This Row],[AwayWins]:[AwayOTL]])</f>
        <v>0.3</v>
      </c>
      <c r="O17" s="14">
        <f>SUMIFS('NHL2025-26Results'!$E:$E,'NHL2025-26Results'!$D:$D,A17,'NHL2025-26Results'!$E:$E,"&gt;0")/COUNTIFS('NHL2025-26Results'!$D:$D,A17,'NHL2025-26Results'!$E:$E,"&gt;0")</f>
        <v>2.8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3.4375</v>
      </c>
      <c r="R17" s="14">
        <f>SUMIFS('NHL2025-26Results'!$E:$E,'NHL2025-26Results'!$B:$B,A17,'NHL2025-26Results'!$E:$E,"&gt;0")/COUNTIFS('NHL2025-26Results'!$B:$B,A17,'NHL2025-26Results'!$E:$E,"&gt;0")</f>
        <v>3.8</v>
      </c>
    </row>
    <row r="18" spans="1:18" x14ac:dyDescent="0.2">
      <c r="A18" s="4" t="s">
        <v>24</v>
      </c>
      <c r="B18">
        <f>SUM(Table1[[#This Row],[W]:[OTL]])</f>
        <v>26</v>
      </c>
      <c r="C18">
        <f>COUNTIF(NHL2025_26Results[Winning Team],Standings!A18)</f>
        <v>16</v>
      </c>
      <c r="D18">
        <f>COUNTIFS('NHL2025-26Results'!$H:$H,A18,'NHL2025-26Results'!$F:$F,"")</f>
        <v>9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2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0.75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3.3076923076923075</v>
      </c>
      <c r="Q18" s="14">
        <f>SUMIFS('NHL2025-26Results'!$C:$C,'NHL2025-26Results'!$D:$D,A18,'NHL2025-26Results'!$C:$C,"&gt;0")/COUNTIFS('NHL2025-26Results'!$D:$D,A18,'NHL2025-26Results'!$C:$C,"&gt;0")</f>
        <v>2.5833333333333335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27</v>
      </c>
      <c r="C19">
        <f>COUNTIF(NHL2025_26Results[Winning Team],Standings!A19)</f>
        <v>14</v>
      </c>
      <c r="D19">
        <f>COUNTIFS('NHL2025-26Results'!$H:$H,A19,'NHL2025-26Results'!$F:$F,"")</f>
        <v>10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31</v>
      </c>
      <c r="G19">
        <f>COUNTIFS('NHL2025-26Results'!$D:$D,A19,'NHL2025-26Results'!$G:$G,A19)</f>
        <v>6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0.42857142857142855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2.5714285714285716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3.1538461538461537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28</v>
      </c>
      <c r="C20">
        <f>COUNTIF(NHL2025_26Results[Winning Team],Standings!A20)</f>
        <v>14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30</v>
      </c>
      <c r="G20">
        <f>COUNTIFS('NHL2025-26Results'!$D:$D,A20,'NHL2025-26Results'!$G:$G,A20)</f>
        <v>3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11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0.25</v>
      </c>
      <c r="N20" s="11">
        <f>Table1[[#This Row],[AwayWins]]/SUM(Table1[[#This Row],[AwayWins]:[AwayOTL]])</f>
        <v>0.6875</v>
      </c>
      <c r="O20" s="14">
        <f>SUMIFS('NHL2025-26Results'!$E:$E,'NHL2025-26Results'!$D:$D,A20,'NHL2025-26Results'!$E:$E,"&gt;0")/COUNTIFS('NHL2025-26Results'!$D:$D,A20,'NHL2025-26Results'!$E:$E,"&gt;0")</f>
        <v>2.8571428571428572</v>
      </c>
      <c r="P20" s="14">
        <f>SUMIFS('NHL2025-26Results'!$C:$C,'NHL2025-26Results'!$B:$B,A20,'NHL2025-26Results'!$C:$C,"&gt;0")/COUNTIFS('NHL2025-26Results'!$B:$B,A20,'NHL2025-26Results'!$C:$C,"&gt;0")</f>
        <v>3.4375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2.6428571428571428</v>
      </c>
    </row>
    <row r="21" spans="1:18" x14ac:dyDescent="0.2">
      <c r="A21" s="4" t="s">
        <v>36</v>
      </c>
      <c r="B21">
        <f>SUM(Table1[[#This Row],[W]:[OTL]])</f>
        <v>26</v>
      </c>
      <c r="C21">
        <f>COUNTIF(NHL2025_26Results[Winning Team],Standings!A21)</f>
        <v>13</v>
      </c>
      <c r="D21">
        <f>COUNTIFS('NHL2025-26Results'!$H:$H,A21,'NHL2025-26Results'!$F:$F,"")</f>
        <v>9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30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7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0.46666666666666667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3.2666666666666666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3.7333333333333334</v>
      </c>
    </row>
    <row r="22" spans="1:18" x14ac:dyDescent="0.2">
      <c r="A22" s="4" t="s">
        <v>27</v>
      </c>
      <c r="B22">
        <f>SUM(Table1[[#This Row],[W]:[OTL]])</f>
        <v>25</v>
      </c>
      <c r="C22">
        <f>COUNTIF(NHL2025_26Results[Winning Team],Standings!A22)</f>
        <v>14</v>
      </c>
      <c r="D22">
        <f>COUNTIFS('NHL2025-26Results'!$H:$H,A22,'NHL2025-26Results'!$F:$F,"")</f>
        <v>8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31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4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0.5714285714285714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2.9285714285714284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2.7142857142857144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25</v>
      </c>
      <c r="C23">
        <f>COUNTIF(NHL2025_26Results[Winning Team],Standings!A23)</f>
        <v>13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31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7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0.53846153846153844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3.0769230769230771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2.7272727272727271</v>
      </c>
    </row>
    <row r="24" spans="1:18" x14ac:dyDescent="0.2">
      <c r="A24" s="4" t="s">
        <v>33</v>
      </c>
      <c r="B24">
        <f>SUM(Table1[[#This Row],[W]:[OTL]])</f>
        <v>27</v>
      </c>
      <c r="C24">
        <f>COUNTIF(NHL2025_26Results[Winning Team],Standings!A24)</f>
        <v>13</v>
      </c>
      <c r="D24">
        <f>COUNTIFS('NHL2025-26Results'!$H:$H,A24,'NHL2025-26Results'!$F:$F,"")</f>
        <v>11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29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7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0.5625</v>
      </c>
      <c r="N24" s="11">
        <f>Table1[[#This Row],[AwayWins]]/SUM(Table1[[#This Row],[AwayWins]:[AwayOTL]])</f>
        <v>0.36363636363636365</v>
      </c>
      <c r="O24" s="14">
        <f>SUMIFS('NHL2025-26Results'!$E:$E,'NHL2025-26Results'!$D:$D,A24,'NHL2025-26Results'!$E:$E,"&gt;0")/COUNTIFS('NHL2025-26Results'!$D:$D,A24,'NHL2025-26Results'!$E:$E,"&gt;0")</f>
        <v>3.2666666666666666</v>
      </c>
      <c r="P24" s="14">
        <f>SUMIFS('NHL2025-26Results'!$C:$C,'NHL2025-26Results'!$B:$B,A24,'NHL2025-26Results'!$C:$C,"&gt;0")/COUNTIFS('NHL2025-26Results'!$B:$B,A24,'NHL2025-26Results'!$C:$C,"&gt;0")</f>
        <v>3.4444444444444446</v>
      </c>
      <c r="Q24" s="14">
        <f>SUMIFS('NHL2025-26Results'!$C:$C,'NHL2025-26Results'!$D:$D,A24,'NHL2025-26Results'!$C:$C,"&gt;0")/COUNTIFS('NHL2025-26Results'!$D:$D,A24,'NHL2025-26Results'!$C:$C,"&gt;0")</f>
        <v>2.875</v>
      </c>
      <c r="R24" s="14">
        <f>SUMIFS('NHL2025-26Results'!$E:$E,'NHL2025-26Results'!$B:$B,A24,'NHL2025-26Results'!$E:$E,"&gt;0")/COUNTIFS('NHL2025-26Results'!$B:$B,A24,'NHL2025-26Results'!$E:$E,"&gt;0")</f>
        <v>3.7272727272727271</v>
      </c>
    </row>
    <row r="25" spans="1:18" x14ac:dyDescent="0.2">
      <c r="A25" s="4" t="s">
        <v>32</v>
      </c>
      <c r="B25">
        <f>SUM(Table1[[#This Row],[W]:[OTL]])</f>
        <v>24</v>
      </c>
      <c r="C25">
        <f>COUNTIF(NHL2025_26Results[Winning Team],Standings!A25)</f>
        <v>11</v>
      </c>
      <c r="D25">
        <f>COUNTIFS('NHL2025-26Results'!$H:$H,A25,'NHL2025-26Results'!$F:$F,"")</f>
        <v>7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3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2.6363636363636362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2.5833333333333335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27</v>
      </c>
      <c r="C26">
        <f>COUNTIF(NHL2025_26Results[Winning Team],Standings!A26)</f>
        <v>9</v>
      </c>
      <c r="D26">
        <f>COUNTIFS('NHL2025-26Results'!$H:$H,A26,'NHL2025-26Results'!$F:$F,"")</f>
        <v>11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25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6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0.33333333333333331</v>
      </c>
      <c r="N26" s="11">
        <f>Table1[[#This Row],[AwayWins]]/SUM(Table1[[#This Row],[AwayWins]:[AwayOTL]])</f>
        <v>0.33333333333333331</v>
      </c>
      <c r="O26" s="14">
        <f>SUMIFS('NHL2025-26Results'!$E:$E,'NHL2025-26Results'!$D:$D,A26,'NHL2025-26Results'!$E:$E,"&gt;0")/COUNTIFS('NHL2025-26Results'!$D:$D,A26,'NHL2025-26Results'!$E:$E,"&gt;0")</f>
        <v>2.6428571428571428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4.0714285714285712</v>
      </c>
      <c r="R26" s="14">
        <f>SUMIFS('NHL2025-26Results'!$E:$E,'NHL2025-26Results'!$B:$B,A26,'NHL2025-26Results'!$E:$E,"&gt;0")/COUNTIFS('NHL2025-26Results'!$B:$B,A26,'NHL2025-26Results'!$E:$E,"&gt;0")</f>
        <v>3.4545454545454546</v>
      </c>
    </row>
    <row r="27" spans="1:18" x14ac:dyDescent="0.2">
      <c r="A27" s="4" t="s">
        <v>37</v>
      </c>
      <c r="B27">
        <f>SUM(Table1[[#This Row],[W]:[OTL]])</f>
        <v>26</v>
      </c>
      <c r="C27">
        <f>COUNTIF(NHL2025_26Results[Winning Team],Standings!A27)</f>
        <v>16</v>
      </c>
      <c r="D27">
        <f>COUNTIFS('NHL2025-26Results'!$H:$H,A27,'NHL2025-26Results'!$F:$F,"")</f>
        <v>8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34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3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0.61538461538461542</v>
      </c>
      <c r="N27" s="11">
        <f>Table1[[#This Row],[AwayWins]]/SUM(Table1[[#This Row],[AwayWins]:[AwayOTL]])</f>
        <v>0.61538461538461542</v>
      </c>
      <c r="O27" s="14">
        <f>SUMIFS('NHL2025-26Results'!$E:$E,'NHL2025-26Results'!$D:$D,A27,'NHL2025-26Results'!$E:$E,"&gt;0")/COUNTIFS('NHL2025-26Results'!$D:$D,A27,'NHL2025-26Results'!$E:$E,"&gt;0")</f>
        <v>3.0769230769230771</v>
      </c>
      <c r="P27" s="14">
        <f>SUMIFS('NHL2025-26Results'!$C:$C,'NHL2025-26Results'!$B:$B,A27,'NHL2025-26Results'!$C:$C,"&gt;0")/COUNTIFS('NHL2025-26Results'!$B:$B,A27,'NHL2025-26Results'!$C:$C,"&gt;0")</f>
        <v>3.4615384615384617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2.3846153846153846</v>
      </c>
    </row>
    <row r="28" spans="1:18" x14ac:dyDescent="0.2">
      <c r="A28" s="4" t="s">
        <v>19</v>
      </c>
      <c r="B28">
        <f>SUM(Table1[[#This Row],[W]:[OTL]])</f>
        <v>26</v>
      </c>
      <c r="C28">
        <f>COUNTIF(NHL2025_26Results[Winning Team],Standings!A28)</f>
        <v>12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27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4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3.2727272727272729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3.6363636363636362</v>
      </c>
    </row>
    <row r="29" spans="1:18" x14ac:dyDescent="0.2">
      <c r="A29" t="s">
        <v>55</v>
      </c>
      <c r="B29">
        <f>SUM(Table1[[#This Row],[W]:[OTL]])</f>
        <v>27</v>
      </c>
      <c r="C29">
        <f>COUNTIF(NHL2025_26Results[Winning Team],Standings!A29)</f>
        <v>12</v>
      </c>
      <c r="D29">
        <f>COUNTIFS('NHL2025-26Results'!$H:$H,A29,'NHL2025-26Results'!$F:$F,"")</f>
        <v>12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27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9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0.3125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2.8666666666666667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3.375</v>
      </c>
    </row>
    <row r="30" spans="1:18" x14ac:dyDescent="0.2">
      <c r="A30" s="4" t="s">
        <v>38</v>
      </c>
      <c r="B30">
        <f>SUM(Table1[[#This Row],[W]:[OTL]])</f>
        <v>27</v>
      </c>
      <c r="C30">
        <f>COUNTIF(NHL2025_26Results[Winning Team],Standings!A30)</f>
        <v>10</v>
      </c>
      <c r="D30">
        <f>COUNTIFS('NHL2025-26Results'!$H:$H,A30,'NHL2025-26Results'!$F:$F,"")</f>
        <v>14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23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0.4375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3.0625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26</v>
      </c>
      <c r="C31">
        <f>COUNTIF(NHL2025_26Results[Winning Team],Standings!A31)</f>
        <v>12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32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27</v>
      </c>
      <c r="C32">
        <f>COUNTIF(NHL2025_26Results[Winning Team],Standings!A32)</f>
        <v>16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34</v>
      </c>
      <c r="G32">
        <f>COUNTIFS('NHL2025-26Results'!$D:$D,A32,'NHL2025-26Results'!$G:$G,A32)</f>
        <v>9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7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0.6</v>
      </c>
      <c r="N32" s="11">
        <f>Table1[[#This Row],[AwayWins]]/SUM(Table1[[#This Row],[AwayWins]:[AwayOTL]])</f>
        <v>0.58333333333333337</v>
      </c>
      <c r="O32" s="14">
        <f>SUMIFS('NHL2025-26Results'!$E:$E,'NHL2025-26Results'!$D:$D,A32,'NHL2025-26Results'!$E:$E,"&gt;0")/COUNTIFS('NHL2025-26Results'!$D:$D,A32,'NHL2025-26Results'!$E:$E,"&gt;0")</f>
        <v>3.4</v>
      </c>
      <c r="P32" s="14">
        <f>SUMIFS('NHL2025-26Results'!$C:$C,'NHL2025-26Results'!$B:$B,A32,'NHL2025-26Results'!$C:$C,"&gt;0")/COUNTIFS('NHL2025-26Results'!$B:$B,A32,'NHL2025-26Results'!$C:$C,"&gt;0")</f>
        <v>3.6363636363636362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2.6363636363636362</v>
      </c>
    </row>
    <row r="33" spans="1:18" x14ac:dyDescent="0.2">
      <c r="A33" s="4" t="s">
        <v>40</v>
      </c>
      <c r="B33">
        <f>SUM(Table1[[#This Row],[W]:[OTL]])</f>
        <v>25</v>
      </c>
      <c r="C33">
        <f>COUNTIF(NHL2025_26Results[Winning Team],Standings!A33)</f>
        <v>13</v>
      </c>
      <c r="D33">
        <f>COUNTIFS('NHL2025-26Results'!$H:$H,A33,'NHL2025-26Results'!$F:$F,"")</f>
        <v>12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26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7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0.5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3.0769230769230771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3.1428571428571428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1313"/>
  <sheetViews>
    <sheetView tabSelected="1" topLeftCell="I388" zoomScale="63" zoomScaleNormal="45" workbookViewId="0">
      <selection activeCell="N380" sqref="N380"/>
    </sheetView>
  </sheetViews>
  <sheetFormatPr baseColWidth="10" defaultRowHeight="16" x14ac:dyDescent="0.2"/>
  <cols>
    <col min="1" max="2" width="14.6640625" bestFit="1" customWidth="1"/>
    <col min="3" max="4" width="20.83203125" bestFit="1" customWidth="1"/>
    <col min="5" max="5" width="42.1640625" bestFit="1" customWidth="1"/>
    <col min="6" max="6" width="20.83203125" bestFit="1" customWidth="1"/>
    <col min="7" max="7" width="18.5" bestFit="1" customWidth="1"/>
    <col min="8" max="8" width="18.6640625" bestFit="1" customWidth="1"/>
    <col min="9" max="9" width="17.6640625" style="13" bestFit="1" customWidth="1"/>
    <col min="10" max="10" width="10" bestFit="1" customWidth="1"/>
    <col min="11" max="11" width="14.6640625" style="18" bestFit="1" customWidth="1"/>
    <col min="12" max="12" width="14.6640625" bestFit="1" customWidth="1"/>
    <col min="13" max="13" width="63.33203125" bestFit="1" customWidth="1"/>
    <col min="14" max="14" width="20.83203125" bestFit="1" customWidth="1"/>
    <col min="15" max="15" width="21.33203125" bestFit="1" customWidth="1"/>
    <col min="16" max="16" width="21.6640625" bestFit="1" customWidth="1"/>
    <col min="17" max="17" width="20.33203125" style="13" bestFit="1" customWidth="1"/>
    <col min="18" max="18" width="12.6640625" bestFit="1" customWidth="1"/>
    <col min="19" max="19" width="18.1640625" bestFit="1" customWidth="1"/>
    <col min="20" max="20" width="17.33203125" bestFit="1" customWidth="1"/>
    <col min="21" max="21" width="20.83203125" bestFit="1" customWidth="1"/>
    <col min="22" max="22" width="22.1640625" bestFit="1" customWidth="1"/>
    <col min="23" max="23" width="22.33203125" bestFit="1" customWidth="1"/>
    <col min="24" max="24" width="13.33203125" bestFit="1" customWidth="1"/>
    <col min="25" max="25" width="16.5" bestFit="1" customWidth="1"/>
    <col min="26" max="27" width="18.6640625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3" t="s">
        <v>263</v>
      </c>
      <c r="J1" t="s">
        <v>277</v>
      </c>
      <c r="K1" s="13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s="13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s="1">
        <v>45937</v>
      </c>
      <c r="B2" t="s">
        <v>365</v>
      </c>
      <c r="C2" t="s">
        <v>10</v>
      </c>
      <c r="D2" t="s">
        <v>11</v>
      </c>
      <c r="E2" t="s">
        <v>488</v>
      </c>
      <c r="F2" t="s">
        <v>10</v>
      </c>
      <c r="G2">
        <v>2</v>
      </c>
      <c r="H2">
        <v>3</v>
      </c>
      <c r="I2" s="13">
        <v>0.6</v>
      </c>
      <c r="J2" t="s">
        <v>249</v>
      </c>
      <c r="L2" t="s">
        <v>249</v>
      </c>
      <c r="M2" t="s">
        <v>489</v>
      </c>
      <c r="N2" t="s">
        <v>10</v>
      </c>
      <c r="O2">
        <v>2</v>
      </c>
      <c r="P2">
        <v>3</v>
      </c>
      <c r="Q2" s="13">
        <v>0.46595263884762023</v>
      </c>
      <c r="R2" t="s">
        <v>249</v>
      </c>
      <c r="S2">
        <v>-0.17102128695663041</v>
      </c>
      <c r="T2" t="s">
        <v>249</v>
      </c>
      <c r="U2" t="s">
        <v>11</v>
      </c>
      <c r="V2">
        <v>2</v>
      </c>
      <c r="W2">
        <v>3</v>
      </c>
      <c r="X2" t="s">
        <v>490</v>
      </c>
      <c r="Y2" t="s">
        <v>292</v>
      </c>
      <c r="Z2" t="s">
        <v>60</v>
      </c>
      <c r="AA2" t="s">
        <v>491</v>
      </c>
    </row>
    <row r="3" spans="1:27" x14ac:dyDescent="0.2">
      <c r="A3" s="1">
        <v>45937</v>
      </c>
      <c r="B3" t="s">
        <v>340</v>
      </c>
      <c r="C3" t="s">
        <v>12</v>
      </c>
      <c r="D3" t="s">
        <v>13</v>
      </c>
      <c r="E3" t="s">
        <v>492</v>
      </c>
      <c r="F3" t="s">
        <v>12</v>
      </c>
      <c r="G3">
        <v>2</v>
      </c>
      <c r="H3">
        <v>3</v>
      </c>
      <c r="I3" s="13">
        <v>0.6</v>
      </c>
      <c r="J3" t="s">
        <v>249</v>
      </c>
      <c r="L3" t="s">
        <v>248</v>
      </c>
      <c r="M3" t="s">
        <v>361</v>
      </c>
      <c r="N3" t="s">
        <v>12</v>
      </c>
      <c r="O3">
        <v>2</v>
      </c>
      <c r="P3">
        <v>3</v>
      </c>
      <c r="Q3" s="13">
        <v>0.7568449603440992</v>
      </c>
      <c r="R3" t="s">
        <v>249</v>
      </c>
      <c r="S3">
        <v>-1.920286508181027</v>
      </c>
      <c r="T3" t="s">
        <v>248</v>
      </c>
      <c r="U3" t="s">
        <v>12</v>
      </c>
      <c r="V3">
        <v>4</v>
      </c>
      <c r="W3">
        <v>1</v>
      </c>
      <c r="X3" t="s">
        <v>490</v>
      </c>
      <c r="Y3" t="s">
        <v>292</v>
      </c>
      <c r="Z3" t="s">
        <v>60</v>
      </c>
      <c r="AA3" t="s">
        <v>491</v>
      </c>
    </row>
    <row r="4" spans="1:27" x14ac:dyDescent="0.2">
      <c r="A4" s="1">
        <v>45937</v>
      </c>
      <c r="B4" t="s">
        <v>324</v>
      </c>
      <c r="C4" t="s">
        <v>14</v>
      </c>
      <c r="D4" t="s">
        <v>15</v>
      </c>
      <c r="E4" t="s">
        <v>493</v>
      </c>
      <c r="F4" t="s">
        <v>14</v>
      </c>
      <c r="G4">
        <v>2</v>
      </c>
      <c r="H4">
        <v>3</v>
      </c>
      <c r="I4" s="13">
        <v>0.6</v>
      </c>
      <c r="J4" t="s">
        <v>249</v>
      </c>
      <c r="L4" t="s">
        <v>248</v>
      </c>
      <c r="M4" t="s">
        <v>451</v>
      </c>
      <c r="N4" t="s">
        <v>14</v>
      </c>
      <c r="O4">
        <v>2</v>
      </c>
      <c r="P4">
        <v>3</v>
      </c>
      <c r="Q4" s="13">
        <v>0.51071438506573652</v>
      </c>
      <c r="R4" t="s">
        <v>249</v>
      </c>
      <c r="S4">
        <v>-9.7869013995290105E-2</v>
      </c>
      <c r="T4" t="s">
        <v>248</v>
      </c>
      <c r="U4" t="s">
        <v>14</v>
      </c>
      <c r="V4">
        <v>3</v>
      </c>
      <c r="W4">
        <v>0</v>
      </c>
      <c r="X4" t="s">
        <v>490</v>
      </c>
      <c r="Y4" t="s">
        <v>292</v>
      </c>
      <c r="Z4" t="s">
        <v>60</v>
      </c>
      <c r="AA4" t="s">
        <v>491</v>
      </c>
    </row>
    <row r="5" spans="1:27" x14ac:dyDescent="0.2">
      <c r="A5" s="1">
        <v>45938</v>
      </c>
      <c r="B5" t="s">
        <v>322</v>
      </c>
      <c r="C5" t="s">
        <v>16</v>
      </c>
      <c r="D5" t="s">
        <v>17</v>
      </c>
      <c r="E5" t="s">
        <v>494</v>
      </c>
      <c r="F5" t="s">
        <v>17</v>
      </c>
      <c r="G5">
        <v>2</v>
      </c>
      <c r="H5">
        <v>3</v>
      </c>
      <c r="I5" s="13">
        <v>0.6</v>
      </c>
      <c r="J5" t="s">
        <v>249</v>
      </c>
      <c r="L5" t="s">
        <v>249</v>
      </c>
      <c r="M5" t="s">
        <v>495</v>
      </c>
      <c r="N5" t="s">
        <v>17</v>
      </c>
      <c r="O5">
        <v>2</v>
      </c>
      <c r="P5">
        <v>3</v>
      </c>
      <c r="Q5" s="13">
        <v>0.58183430278759984</v>
      </c>
      <c r="R5" t="s">
        <v>249</v>
      </c>
      <c r="S5">
        <v>0.29793536373026153</v>
      </c>
      <c r="T5" t="s">
        <v>249</v>
      </c>
      <c r="U5" t="s">
        <v>16</v>
      </c>
      <c r="V5">
        <v>4</v>
      </c>
      <c r="W5">
        <v>3</v>
      </c>
      <c r="X5" t="s">
        <v>496</v>
      </c>
      <c r="Y5" t="s">
        <v>292</v>
      </c>
      <c r="Z5" t="s">
        <v>60</v>
      </c>
      <c r="AA5" t="s">
        <v>491</v>
      </c>
    </row>
    <row r="6" spans="1:27" x14ac:dyDescent="0.2">
      <c r="A6" s="1">
        <v>45938</v>
      </c>
      <c r="B6" t="s">
        <v>328</v>
      </c>
      <c r="C6" t="s">
        <v>18</v>
      </c>
      <c r="D6" t="s">
        <v>19</v>
      </c>
      <c r="E6" t="s">
        <v>497</v>
      </c>
      <c r="F6" t="s">
        <v>19</v>
      </c>
      <c r="G6">
        <v>2</v>
      </c>
      <c r="H6">
        <v>3</v>
      </c>
      <c r="I6" s="13">
        <v>0.6</v>
      </c>
      <c r="J6" t="s">
        <v>249</v>
      </c>
      <c r="L6" t="s">
        <v>248</v>
      </c>
      <c r="M6" t="s">
        <v>312</v>
      </c>
      <c r="N6" t="s">
        <v>19</v>
      </c>
      <c r="O6">
        <v>2</v>
      </c>
      <c r="P6">
        <v>3</v>
      </c>
      <c r="Q6" s="13">
        <v>0.48168268984656842</v>
      </c>
      <c r="R6" t="s">
        <v>249</v>
      </c>
      <c r="S6">
        <v>8.3117858780070008E-3</v>
      </c>
      <c r="T6" t="s">
        <v>248</v>
      </c>
      <c r="U6" t="s">
        <v>19</v>
      </c>
      <c r="V6">
        <v>2</v>
      </c>
      <c r="W6">
        <v>5</v>
      </c>
      <c r="X6" t="s">
        <v>490</v>
      </c>
      <c r="Y6" t="s">
        <v>292</v>
      </c>
      <c r="Z6" t="s">
        <v>60</v>
      </c>
      <c r="AA6" t="s">
        <v>491</v>
      </c>
    </row>
    <row r="7" spans="1:27" x14ac:dyDescent="0.2">
      <c r="A7" s="1">
        <v>45938</v>
      </c>
      <c r="B7" t="s">
        <v>322</v>
      </c>
      <c r="C7" t="s">
        <v>13</v>
      </c>
      <c r="D7" t="s">
        <v>20</v>
      </c>
      <c r="E7" t="s">
        <v>498</v>
      </c>
      <c r="F7" t="s">
        <v>20</v>
      </c>
      <c r="G7">
        <v>2</v>
      </c>
      <c r="H7">
        <v>3</v>
      </c>
      <c r="I7" s="13">
        <v>0.6</v>
      </c>
      <c r="J7" t="s">
        <v>249</v>
      </c>
      <c r="L7" t="s">
        <v>249</v>
      </c>
      <c r="M7" t="s">
        <v>499</v>
      </c>
      <c r="N7" t="s">
        <v>20</v>
      </c>
      <c r="O7">
        <v>2</v>
      </c>
      <c r="P7">
        <v>3</v>
      </c>
      <c r="Q7" s="13">
        <v>0.49046838767162682</v>
      </c>
      <c r="R7" t="s">
        <v>249</v>
      </c>
      <c r="S7">
        <v>0.14374351727973969</v>
      </c>
      <c r="T7" t="s">
        <v>249</v>
      </c>
      <c r="U7" t="s">
        <v>13</v>
      </c>
      <c r="V7">
        <v>6</v>
      </c>
      <c r="W7">
        <v>5</v>
      </c>
      <c r="X7" t="s">
        <v>496</v>
      </c>
      <c r="Y7" t="s">
        <v>292</v>
      </c>
      <c r="Z7" t="s">
        <v>60</v>
      </c>
      <c r="AA7" t="s">
        <v>491</v>
      </c>
    </row>
    <row r="8" spans="1:27" x14ac:dyDescent="0.2">
      <c r="A8" s="1">
        <v>45938</v>
      </c>
      <c r="B8" t="s">
        <v>334</v>
      </c>
      <c r="C8" t="s">
        <v>21</v>
      </c>
      <c r="D8" t="s">
        <v>22</v>
      </c>
      <c r="E8" t="s">
        <v>500</v>
      </c>
      <c r="F8" t="s">
        <v>22</v>
      </c>
      <c r="G8">
        <v>2</v>
      </c>
      <c r="H8">
        <v>3</v>
      </c>
      <c r="I8" s="13">
        <v>0.6</v>
      </c>
      <c r="J8" t="s">
        <v>249</v>
      </c>
      <c r="L8" t="s">
        <v>249</v>
      </c>
      <c r="M8" t="s">
        <v>501</v>
      </c>
      <c r="N8" t="s">
        <v>22</v>
      </c>
      <c r="O8">
        <v>2</v>
      </c>
      <c r="P8">
        <v>3</v>
      </c>
      <c r="Q8" s="13">
        <v>0.64816447713626768</v>
      </c>
      <c r="R8" t="s">
        <v>249</v>
      </c>
      <c r="S8">
        <v>0.710377742224651</v>
      </c>
      <c r="T8" t="s">
        <v>249</v>
      </c>
      <c r="U8" t="s">
        <v>21</v>
      </c>
      <c r="V8">
        <v>3</v>
      </c>
      <c r="W8">
        <v>1</v>
      </c>
      <c r="X8" t="s">
        <v>490</v>
      </c>
      <c r="Y8" t="s">
        <v>292</v>
      </c>
      <c r="Z8" t="s">
        <v>60</v>
      </c>
      <c r="AA8" t="s">
        <v>491</v>
      </c>
    </row>
    <row r="9" spans="1:27" x14ac:dyDescent="0.2">
      <c r="A9" s="1">
        <v>45939</v>
      </c>
      <c r="B9" t="s">
        <v>324</v>
      </c>
      <c r="C9" t="s">
        <v>28</v>
      </c>
      <c r="D9" t="s">
        <v>29</v>
      </c>
      <c r="E9" t="s">
        <v>502</v>
      </c>
      <c r="F9" t="s">
        <v>28</v>
      </c>
      <c r="G9">
        <v>2</v>
      </c>
      <c r="H9">
        <v>3</v>
      </c>
      <c r="I9" s="13">
        <v>0.6</v>
      </c>
      <c r="J9" t="s">
        <v>249</v>
      </c>
      <c r="L9" t="s">
        <v>249</v>
      </c>
      <c r="M9" t="s">
        <v>503</v>
      </c>
      <c r="N9" t="s">
        <v>28</v>
      </c>
      <c r="O9">
        <v>2</v>
      </c>
      <c r="P9">
        <v>3</v>
      </c>
      <c r="Q9" s="13">
        <v>0.54998524845144892</v>
      </c>
      <c r="R9" t="s">
        <v>249</v>
      </c>
      <c r="S9">
        <v>-0.74002713053635827</v>
      </c>
      <c r="T9" t="s">
        <v>249</v>
      </c>
      <c r="U9" t="s">
        <v>29</v>
      </c>
      <c r="V9">
        <v>1</v>
      </c>
      <c r="W9">
        <v>2</v>
      </c>
      <c r="X9" t="s">
        <v>490</v>
      </c>
      <c r="Y9" t="s">
        <v>292</v>
      </c>
      <c r="Z9" t="s">
        <v>60</v>
      </c>
      <c r="AA9" t="s">
        <v>491</v>
      </c>
    </row>
    <row r="10" spans="1:27" x14ac:dyDescent="0.2">
      <c r="A10" s="1">
        <v>45939</v>
      </c>
      <c r="B10" t="s">
        <v>324</v>
      </c>
      <c r="C10" t="s">
        <v>39</v>
      </c>
      <c r="D10" t="s">
        <v>40</v>
      </c>
      <c r="E10" t="s">
        <v>504</v>
      </c>
      <c r="F10" t="s">
        <v>39</v>
      </c>
      <c r="G10">
        <v>2</v>
      </c>
      <c r="H10">
        <v>3</v>
      </c>
      <c r="I10" s="13">
        <v>0.6</v>
      </c>
      <c r="J10" t="s">
        <v>249</v>
      </c>
      <c r="L10" t="s">
        <v>248</v>
      </c>
      <c r="M10" t="s">
        <v>398</v>
      </c>
      <c r="N10" t="s">
        <v>39</v>
      </c>
      <c r="O10">
        <v>2</v>
      </c>
      <c r="P10">
        <v>3</v>
      </c>
      <c r="Q10" s="13">
        <v>0.63834650509244772</v>
      </c>
      <c r="R10" t="s">
        <v>249</v>
      </c>
      <c r="S10">
        <v>-0.67678357671474887</v>
      </c>
      <c r="T10" t="s">
        <v>248</v>
      </c>
      <c r="U10" t="s">
        <v>39</v>
      </c>
      <c r="V10">
        <v>5</v>
      </c>
      <c r="W10">
        <v>4</v>
      </c>
      <c r="X10" t="s">
        <v>490</v>
      </c>
      <c r="Y10" t="s">
        <v>292</v>
      </c>
      <c r="Z10" t="s">
        <v>60</v>
      </c>
      <c r="AA10" t="s">
        <v>491</v>
      </c>
    </row>
    <row r="11" spans="1:27" x14ac:dyDescent="0.2">
      <c r="A11" s="1">
        <v>45939</v>
      </c>
      <c r="B11" t="s">
        <v>322</v>
      </c>
      <c r="C11" t="s">
        <v>16</v>
      </c>
      <c r="D11" t="s">
        <v>38</v>
      </c>
      <c r="E11" t="s">
        <v>368</v>
      </c>
      <c r="F11" t="s">
        <v>38</v>
      </c>
      <c r="G11">
        <v>2</v>
      </c>
      <c r="H11">
        <v>3</v>
      </c>
      <c r="I11" s="13">
        <v>0.6</v>
      </c>
      <c r="J11" t="s">
        <v>249</v>
      </c>
      <c r="L11" t="s">
        <v>248</v>
      </c>
      <c r="M11" t="s">
        <v>505</v>
      </c>
      <c r="N11" t="s">
        <v>38</v>
      </c>
      <c r="O11">
        <v>2</v>
      </c>
      <c r="P11">
        <v>3</v>
      </c>
      <c r="Q11" s="13">
        <v>0.55961697842215075</v>
      </c>
      <c r="R11" t="s">
        <v>249</v>
      </c>
      <c r="S11">
        <v>0.16800427285697919</v>
      </c>
      <c r="T11" t="s">
        <v>248</v>
      </c>
      <c r="U11" t="s">
        <v>38</v>
      </c>
      <c r="V11">
        <v>1</v>
      </c>
      <c r="W11">
        <v>5</v>
      </c>
      <c r="X11" t="s">
        <v>490</v>
      </c>
      <c r="Y11" t="s">
        <v>292</v>
      </c>
      <c r="Z11" t="s">
        <v>60</v>
      </c>
      <c r="AA11" t="s">
        <v>491</v>
      </c>
    </row>
    <row r="12" spans="1:27" x14ac:dyDescent="0.2">
      <c r="A12" s="1">
        <v>45939</v>
      </c>
      <c r="B12" t="s">
        <v>328</v>
      </c>
      <c r="C12" t="s">
        <v>36</v>
      </c>
      <c r="D12" t="s">
        <v>37</v>
      </c>
      <c r="E12" t="s">
        <v>506</v>
      </c>
      <c r="F12" t="s">
        <v>37</v>
      </c>
      <c r="G12">
        <v>2</v>
      </c>
      <c r="H12">
        <v>3</v>
      </c>
      <c r="I12" s="13">
        <v>0.6</v>
      </c>
      <c r="J12" t="s">
        <v>249</v>
      </c>
      <c r="L12" t="s">
        <v>249</v>
      </c>
      <c r="M12" t="s">
        <v>507</v>
      </c>
      <c r="N12" t="s">
        <v>37</v>
      </c>
      <c r="O12">
        <v>2</v>
      </c>
      <c r="P12">
        <v>3</v>
      </c>
      <c r="Q12" s="13">
        <v>0.69972769826475267</v>
      </c>
      <c r="R12" t="s">
        <v>249</v>
      </c>
      <c r="S12">
        <v>1.0917817465346049</v>
      </c>
      <c r="T12" t="s">
        <v>249</v>
      </c>
      <c r="U12" t="s">
        <v>36</v>
      </c>
      <c r="V12">
        <v>5</v>
      </c>
      <c r="W12">
        <v>4</v>
      </c>
      <c r="X12" t="s">
        <v>490</v>
      </c>
      <c r="Y12" t="s">
        <v>292</v>
      </c>
      <c r="Z12" t="s">
        <v>60</v>
      </c>
      <c r="AA12" t="s">
        <v>491</v>
      </c>
    </row>
    <row r="13" spans="1:27" x14ac:dyDescent="0.2">
      <c r="A13" s="1">
        <v>45939</v>
      </c>
      <c r="B13" t="s">
        <v>324</v>
      </c>
      <c r="C13" t="s">
        <v>34</v>
      </c>
      <c r="D13" t="s">
        <v>35</v>
      </c>
      <c r="E13" t="s">
        <v>508</v>
      </c>
      <c r="F13" t="s">
        <v>34</v>
      </c>
      <c r="G13">
        <v>2</v>
      </c>
      <c r="H13">
        <v>3</v>
      </c>
      <c r="I13" s="13">
        <v>0.6</v>
      </c>
      <c r="J13" t="s">
        <v>249</v>
      </c>
      <c r="L13" t="s">
        <v>248</v>
      </c>
      <c r="M13" t="s">
        <v>343</v>
      </c>
      <c r="N13" t="s">
        <v>34</v>
      </c>
      <c r="O13">
        <v>2</v>
      </c>
      <c r="P13">
        <v>3</v>
      </c>
      <c r="Q13" s="13">
        <v>0.65307521233305632</v>
      </c>
      <c r="R13" t="s">
        <v>249</v>
      </c>
      <c r="S13">
        <v>-1.2894528355750809</v>
      </c>
      <c r="T13" t="s">
        <v>248</v>
      </c>
      <c r="U13" t="s">
        <v>34</v>
      </c>
      <c r="V13">
        <v>5</v>
      </c>
      <c r="W13">
        <v>0</v>
      </c>
      <c r="X13" t="s">
        <v>490</v>
      </c>
      <c r="Y13" t="s">
        <v>292</v>
      </c>
      <c r="Z13" t="s">
        <v>60</v>
      </c>
      <c r="AA13" t="s">
        <v>491</v>
      </c>
    </row>
    <row r="14" spans="1:27" x14ac:dyDescent="0.2">
      <c r="A14" s="1">
        <v>45939</v>
      </c>
      <c r="B14" t="s">
        <v>322</v>
      </c>
      <c r="C14" t="s">
        <v>20</v>
      </c>
      <c r="D14" t="s">
        <v>33</v>
      </c>
      <c r="E14" t="s">
        <v>509</v>
      </c>
      <c r="F14" t="s">
        <v>20</v>
      </c>
      <c r="G14">
        <v>2</v>
      </c>
      <c r="H14">
        <v>3</v>
      </c>
      <c r="I14" s="13">
        <v>0.6</v>
      </c>
      <c r="J14" t="s">
        <v>249</v>
      </c>
      <c r="L14" t="s">
        <v>248</v>
      </c>
      <c r="M14" t="s">
        <v>510</v>
      </c>
      <c r="N14" t="s">
        <v>20</v>
      </c>
      <c r="O14">
        <v>2</v>
      </c>
      <c r="P14">
        <v>3</v>
      </c>
      <c r="Q14" s="13">
        <v>0.46820858159353201</v>
      </c>
      <c r="R14" t="s">
        <v>249</v>
      </c>
      <c r="S14">
        <v>-0.1569894131384445</v>
      </c>
      <c r="T14" t="s">
        <v>248</v>
      </c>
      <c r="U14" t="s">
        <v>20</v>
      </c>
      <c r="V14">
        <v>4</v>
      </c>
      <c r="W14">
        <v>3</v>
      </c>
      <c r="X14" t="s">
        <v>496</v>
      </c>
      <c r="Y14" t="s">
        <v>292</v>
      </c>
      <c r="Z14" t="s">
        <v>60</v>
      </c>
      <c r="AA14" t="s">
        <v>491</v>
      </c>
    </row>
    <row r="15" spans="1:27" x14ac:dyDescent="0.2">
      <c r="A15" s="1">
        <v>45939</v>
      </c>
      <c r="B15" t="s">
        <v>322</v>
      </c>
      <c r="C15" t="s">
        <v>31</v>
      </c>
      <c r="D15" t="s">
        <v>32</v>
      </c>
      <c r="E15" t="s">
        <v>511</v>
      </c>
      <c r="F15" t="s">
        <v>31</v>
      </c>
      <c r="G15">
        <v>2</v>
      </c>
      <c r="H15">
        <v>3</v>
      </c>
      <c r="I15" s="13">
        <v>0.6</v>
      </c>
      <c r="J15" t="s">
        <v>249</v>
      </c>
      <c r="L15" t="s">
        <v>249</v>
      </c>
      <c r="M15" t="s">
        <v>512</v>
      </c>
      <c r="N15" t="s">
        <v>31</v>
      </c>
      <c r="O15">
        <v>2</v>
      </c>
      <c r="P15">
        <v>3</v>
      </c>
      <c r="Q15" s="13">
        <v>0.57163317346074072</v>
      </c>
      <c r="R15" t="s">
        <v>249</v>
      </c>
      <c r="S15">
        <v>-0.77817950819419379</v>
      </c>
      <c r="T15" t="s">
        <v>249</v>
      </c>
      <c r="U15" t="s">
        <v>32</v>
      </c>
      <c r="V15">
        <v>1</v>
      </c>
      <c r="W15">
        <v>3</v>
      </c>
      <c r="X15" t="s">
        <v>490</v>
      </c>
      <c r="Y15" t="s">
        <v>292</v>
      </c>
      <c r="Z15" t="s">
        <v>60</v>
      </c>
      <c r="AA15" t="s">
        <v>491</v>
      </c>
    </row>
    <row r="16" spans="1:27" x14ac:dyDescent="0.2">
      <c r="A16" s="1">
        <v>45939</v>
      </c>
      <c r="B16" t="s">
        <v>328</v>
      </c>
      <c r="C16" t="s">
        <v>30</v>
      </c>
      <c r="D16" t="s">
        <v>14</v>
      </c>
      <c r="E16" t="s">
        <v>513</v>
      </c>
      <c r="F16" t="s">
        <v>14</v>
      </c>
      <c r="G16">
        <v>2</v>
      </c>
      <c r="H16">
        <v>3</v>
      </c>
      <c r="I16" s="13">
        <v>0.6</v>
      </c>
      <c r="J16" t="s">
        <v>249</v>
      </c>
      <c r="L16" t="s">
        <v>248</v>
      </c>
      <c r="M16" t="s">
        <v>451</v>
      </c>
      <c r="N16" t="s">
        <v>14</v>
      </c>
      <c r="O16">
        <v>2</v>
      </c>
      <c r="P16">
        <v>3</v>
      </c>
      <c r="Q16" s="13">
        <v>0.48472439887735758</v>
      </c>
      <c r="R16" t="s">
        <v>249</v>
      </c>
      <c r="S16">
        <v>0.14856852479900509</v>
      </c>
      <c r="T16" t="s">
        <v>248</v>
      </c>
      <c r="U16" t="s">
        <v>14</v>
      </c>
      <c r="V16">
        <v>3</v>
      </c>
      <c r="W16">
        <v>4</v>
      </c>
      <c r="X16" t="s">
        <v>490</v>
      </c>
      <c r="Y16" t="s">
        <v>292</v>
      </c>
      <c r="Z16" t="s">
        <v>60</v>
      </c>
      <c r="AA16" t="s">
        <v>491</v>
      </c>
    </row>
    <row r="17" spans="1:27" x14ac:dyDescent="0.2">
      <c r="A17" s="1">
        <v>45939</v>
      </c>
      <c r="B17" t="s">
        <v>326</v>
      </c>
      <c r="C17" t="s">
        <v>55</v>
      </c>
      <c r="D17" t="s">
        <v>12</v>
      </c>
      <c r="E17" t="s">
        <v>514</v>
      </c>
      <c r="F17" t="s">
        <v>12</v>
      </c>
      <c r="G17">
        <v>2</v>
      </c>
      <c r="H17">
        <v>3</v>
      </c>
      <c r="I17" s="13">
        <v>0.6</v>
      </c>
      <c r="J17" t="s">
        <v>249</v>
      </c>
      <c r="L17" t="s">
        <v>248</v>
      </c>
      <c r="M17" t="s">
        <v>361</v>
      </c>
      <c r="N17" t="s">
        <v>12</v>
      </c>
      <c r="O17">
        <v>2</v>
      </c>
      <c r="P17">
        <v>3</v>
      </c>
      <c r="Q17" s="13">
        <v>0.88777597679518749</v>
      </c>
      <c r="R17" t="s">
        <v>249</v>
      </c>
      <c r="S17">
        <v>2.084927696371321</v>
      </c>
      <c r="T17" t="s">
        <v>248</v>
      </c>
      <c r="U17" t="s">
        <v>12</v>
      </c>
      <c r="V17">
        <v>1</v>
      </c>
      <c r="W17">
        <v>2</v>
      </c>
      <c r="X17" t="s">
        <v>490</v>
      </c>
      <c r="Y17" t="s">
        <v>292</v>
      </c>
      <c r="Z17" t="s">
        <v>60</v>
      </c>
      <c r="AA17" t="s">
        <v>491</v>
      </c>
    </row>
    <row r="18" spans="1:27" x14ac:dyDescent="0.2">
      <c r="A18" s="1">
        <v>45939</v>
      </c>
      <c r="B18" t="s">
        <v>328</v>
      </c>
      <c r="C18" t="s">
        <v>27</v>
      </c>
      <c r="D18" t="s">
        <v>11</v>
      </c>
      <c r="E18" t="s">
        <v>420</v>
      </c>
      <c r="F18" t="s">
        <v>11</v>
      </c>
      <c r="G18">
        <v>2</v>
      </c>
      <c r="H18">
        <v>3</v>
      </c>
      <c r="I18" s="13">
        <v>0.6</v>
      </c>
      <c r="J18" t="s">
        <v>249</v>
      </c>
      <c r="L18" t="s">
        <v>248</v>
      </c>
      <c r="M18" t="s">
        <v>391</v>
      </c>
      <c r="N18" t="s">
        <v>11</v>
      </c>
      <c r="O18">
        <v>2</v>
      </c>
      <c r="P18">
        <v>3</v>
      </c>
      <c r="Q18" s="13">
        <v>0.51548371767669787</v>
      </c>
      <c r="R18" t="s">
        <v>249</v>
      </c>
      <c r="S18">
        <v>3.3022041365371901E-2</v>
      </c>
      <c r="T18" t="s">
        <v>248</v>
      </c>
      <c r="U18" t="s">
        <v>11</v>
      </c>
      <c r="V18">
        <v>1</v>
      </c>
      <c r="W18">
        <v>2</v>
      </c>
      <c r="X18" t="s">
        <v>490</v>
      </c>
      <c r="Y18" t="s">
        <v>292</v>
      </c>
      <c r="Z18" t="s">
        <v>60</v>
      </c>
      <c r="AA18" t="s">
        <v>491</v>
      </c>
    </row>
    <row r="19" spans="1:27" x14ac:dyDescent="0.2">
      <c r="A19" s="1">
        <v>45939</v>
      </c>
      <c r="B19" t="s">
        <v>328</v>
      </c>
      <c r="C19" t="s">
        <v>18</v>
      </c>
      <c r="D19" t="s">
        <v>26</v>
      </c>
      <c r="E19" t="s">
        <v>515</v>
      </c>
      <c r="F19" t="s">
        <v>18</v>
      </c>
      <c r="G19">
        <v>2</v>
      </c>
      <c r="H19">
        <v>3</v>
      </c>
      <c r="I19" s="13">
        <v>0.6</v>
      </c>
      <c r="J19" t="s">
        <v>249</v>
      </c>
      <c r="L19" t="s">
        <v>248</v>
      </c>
      <c r="M19" t="s">
        <v>360</v>
      </c>
      <c r="N19" t="s">
        <v>18</v>
      </c>
      <c r="O19">
        <v>2</v>
      </c>
      <c r="P19">
        <v>3</v>
      </c>
      <c r="Q19" s="13">
        <v>0.54644138368872142</v>
      </c>
      <c r="R19" t="s">
        <v>249</v>
      </c>
      <c r="S19">
        <v>-0.23254918783532191</v>
      </c>
      <c r="T19" t="s">
        <v>248</v>
      </c>
      <c r="U19" t="s">
        <v>18</v>
      </c>
      <c r="V19">
        <v>5</v>
      </c>
      <c r="W19">
        <v>1</v>
      </c>
      <c r="X19" t="s">
        <v>490</v>
      </c>
      <c r="Y19" t="s">
        <v>292</v>
      </c>
      <c r="Z19" t="s">
        <v>60</v>
      </c>
      <c r="AA19" t="s">
        <v>491</v>
      </c>
    </row>
    <row r="20" spans="1:27" x14ac:dyDescent="0.2">
      <c r="A20" s="1">
        <v>45939</v>
      </c>
      <c r="B20" t="s">
        <v>334</v>
      </c>
      <c r="C20" t="s">
        <v>24</v>
      </c>
      <c r="D20" t="s">
        <v>25</v>
      </c>
      <c r="E20" t="s">
        <v>516</v>
      </c>
      <c r="F20" t="s">
        <v>25</v>
      </c>
      <c r="G20">
        <v>2</v>
      </c>
      <c r="H20">
        <v>3</v>
      </c>
      <c r="I20" s="13">
        <v>0.6</v>
      </c>
      <c r="J20" t="s">
        <v>249</v>
      </c>
      <c r="L20" t="s">
        <v>248</v>
      </c>
      <c r="M20" t="s">
        <v>450</v>
      </c>
      <c r="N20" t="s">
        <v>25</v>
      </c>
      <c r="O20">
        <v>2</v>
      </c>
      <c r="P20">
        <v>3</v>
      </c>
      <c r="Q20" s="13">
        <v>0.62678039578593081</v>
      </c>
      <c r="R20" t="s">
        <v>249</v>
      </c>
      <c r="S20">
        <v>0.47404563548711087</v>
      </c>
      <c r="T20" t="s">
        <v>248</v>
      </c>
      <c r="U20" t="s">
        <v>25</v>
      </c>
      <c r="V20">
        <v>3</v>
      </c>
      <c r="W20">
        <v>6</v>
      </c>
      <c r="X20" t="s">
        <v>490</v>
      </c>
      <c r="Y20" t="s">
        <v>292</v>
      </c>
      <c r="Z20" t="s">
        <v>60</v>
      </c>
      <c r="AA20" t="s">
        <v>491</v>
      </c>
    </row>
    <row r="21" spans="1:27" x14ac:dyDescent="0.2">
      <c r="A21" s="1">
        <v>45939</v>
      </c>
      <c r="B21" t="s">
        <v>328</v>
      </c>
      <c r="C21" t="s">
        <v>15</v>
      </c>
      <c r="D21" t="s">
        <v>23</v>
      </c>
      <c r="E21" t="s">
        <v>517</v>
      </c>
      <c r="F21" t="s">
        <v>15</v>
      </c>
      <c r="G21">
        <v>2</v>
      </c>
      <c r="H21">
        <v>3</v>
      </c>
      <c r="I21" s="13">
        <v>0.6</v>
      </c>
      <c r="J21" t="s">
        <v>249</v>
      </c>
      <c r="L21" t="s">
        <v>248</v>
      </c>
      <c r="M21" t="s">
        <v>518</v>
      </c>
      <c r="N21" t="s">
        <v>15</v>
      </c>
      <c r="O21">
        <v>2</v>
      </c>
      <c r="P21">
        <v>3</v>
      </c>
      <c r="Q21" s="13">
        <v>0.56590052305735883</v>
      </c>
      <c r="R21" t="s">
        <v>249</v>
      </c>
      <c r="S21">
        <v>-0.13617570233348461</v>
      </c>
      <c r="T21" t="s">
        <v>248</v>
      </c>
      <c r="U21" t="s">
        <v>15</v>
      </c>
      <c r="V21">
        <v>4</v>
      </c>
      <c r="W21">
        <v>0</v>
      </c>
      <c r="X21" t="s">
        <v>490</v>
      </c>
      <c r="Y21" t="s">
        <v>292</v>
      </c>
      <c r="Z21" t="s">
        <v>60</v>
      </c>
      <c r="AA21" t="s">
        <v>491</v>
      </c>
    </row>
    <row r="22" spans="1:27" x14ac:dyDescent="0.2">
      <c r="A22" s="1">
        <v>45939</v>
      </c>
      <c r="B22" t="s">
        <v>328</v>
      </c>
      <c r="C22" t="s">
        <v>10</v>
      </c>
      <c r="D22" t="s">
        <v>21</v>
      </c>
      <c r="E22" t="s">
        <v>519</v>
      </c>
      <c r="F22" t="s">
        <v>21</v>
      </c>
      <c r="G22">
        <v>2</v>
      </c>
      <c r="H22">
        <v>3</v>
      </c>
      <c r="I22" s="13">
        <v>0.6</v>
      </c>
      <c r="J22" t="s">
        <v>249</v>
      </c>
      <c r="L22" t="s">
        <v>248</v>
      </c>
      <c r="M22" t="s">
        <v>465</v>
      </c>
      <c r="N22" t="s">
        <v>21</v>
      </c>
      <c r="O22">
        <v>2</v>
      </c>
      <c r="P22">
        <v>3</v>
      </c>
      <c r="Q22" s="13">
        <v>0.58364035348487175</v>
      </c>
      <c r="R22" t="s">
        <v>249</v>
      </c>
      <c r="S22">
        <v>6.3272436597444004E-3</v>
      </c>
      <c r="T22" t="s">
        <v>248</v>
      </c>
      <c r="U22" t="s">
        <v>21</v>
      </c>
      <c r="V22">
        <v>3</v>
      </c>
      <c r="W22">
        <v>4</v>
      </c>
      <c r="X22" t="s">
        <v>496</v>
      </c>
      <c r="Y22" t="s">
        <v>292</v>
      </c>
      <c r="Z22" t="s">
        <v>60</v>
      </c>
      <c r="AA22" t="s">
        <v>491</v>
      </c>
    </row>
    <row r="23" spans="1:27" x14ac:dyDescent="0.2">
      <c r="A23" s="1">
        <v>45941</v>
      </c>
      <c r="B23" t="s">
        <v>326</v>
      </c>
      <c r="C23" t="s">
        <v>39</v>
      </c>
      <c r="D23" t="s">
        <v>12</v>
      </c>
      <c r="E23" t="s">
        <v>520</v>
      </c>
      <c r="F23" t="s">
        <v>12</v>
      </c>
      <c r="G23">
        <v>2</v>
      </c>
      <c r="H23">
        <v>3</v>
      </c>
      <c r="I23" s="13">
        <v>0.6</v>
      </c>
      <c r="J23" t="s">
        <v>249</v>
      </c>
      <c r="L23" t="s">
        <v>249</v>
      </c>
      <c r="M23" t="s">
        <v>521</v>
      </c>
      <c r="N23" t="s">
        <v>12</v>
      </c>
      <c r="O23">
        <v>2</v>
      </c>
      <c r="P23">
        <v>3</v>
      </c>
      <c r="Q23" s="13">
        <v>0.69431845954718507</v>
      </c>
      <c r="R23" t="s">
        <v>249</v>
      </c>
      <c r="S23">
        <v>1.268361905495019</v>
      </c>
      <c r="T23" t="s">
        <v>249</v>
      </c>
      <c r="U23" t="s">
        <v>39</v>
      </c>
      <c r="V23">
        <v>5</v>
      </c>
      <c r="W23">
        <v>4</v>
      </c>
      <c r="X23" t="s">
        <v>496</v>
      </c>
      <c r="Y23" t="s">
        <v>292</v>
      </c>
      <c r="Z23" t="s">
        <v>60</v>
      </c>
      <c r="AA23" t="s">
        <v>491</v>
      </c>
    </row>
    <row r="24" spans="1:27" x14ac:dyDescent="0.2">
      <c r="A24" s="1">
        <v>45941</v>
      </c>
      <c r="B24" t="s">
        <v>328</v>
      </c>
      <c r="C24" t="s">
        <v>19</v>
      </c>
      <c r="D24" t="s">
        <v>26</v>
      </c>
      <c r="E24" t="s">
        <v>522</v>
      </c>
      <c r="F24" t="s">
        <v>19</v>
      </c>
      <c r="G24">
        <v>2</v>
      </c>
      <c r="H24">
        <v>3</v>
      </c>
      <c r="I24" s="13">
        <v>0.6</v>
      </c>
      <c r="J24" t="s">
        <v>249</v>
      </c>
      <c r="L24" t="s">
        <v>249</v>
      </c>
      <c r="M24" t="s">
        <v>523</v>
      </c>
      <c r="N24" t="s">
        <v>19</v>
      </c>
      <c r="O24">
        <v>2</v>
      </c>
      <c r="P24">
        <v>3</v>
      </c>
      <c r="Q24" s="13">
        <v>0.48229742461601999</v>
      </c>
      <c r="R24" t="s">
        <v>249</v>
      </c>
      <c r="S24">
        <v>-0.1909602247901665</v>
      </c>
      <c r="T24" t="s">
        <v>249</v>
      </c>
      <c r="U24" t="s">
        <v>26</v>
      </c>
      <c r="V24">
        <v>3</v>
      </c>
      <c r="W24">
        <v>6</v>
      </c>
      <c r="X24" t="s">
        <v>490</v>
      </c>
      <c r="Y24" t="s">
        <v>292</v>
      </c>
      <c r="Z24" t="s">
        <v>60</v>
      </c>
      <c r="AA24" t="s">
        <v>491</v>
      </c>
    </row>
    <row r="25" spans="1:27" x14ac:dyDescent="0.2">
      <c r="A25" s="1">
        <v>45941</v>
      </c>
      <c r="B25" t="s">
        <v>369</v>
      </c>
      <c r="C25" t="s">
        <v>35</v>
      </c>
      <c r="D25" t="s">
        <v>16</v>
      </c>
      <c r="E25" t="s">
        <v>524</v>
      </c>
      <c r="F25" t="s">
        <v>16</v>
      </c>
      <c r="G25">
        <v>2</v>
      </c>
      <c r="H25">
        <v>3</v>
      </c>
      <c r="I25" s="13">
        <v>0.6</v>
      </c>
      <c r="J25" t="s">
        <v>249</v>
      </c>
      <c r="L25" t="s">
        <v>249</v>
      </c>
      <c r="M25" t="s">
        <v>525</v>
      </c>
      <c r="N25" t="s">
        <v>16</v>
      </c>
      <c r="O25">
        <v>2</v>
      </c>
      <c r="P25">
        <v>3</v>
      </c>
      <c r="Q25" s="13">
        <v>0.58420688573856194</v>
      </c>
      <c r="R25" t="s">
        <v>249</v>
      </c>
      <c r="S25">
        <v>0.3785978418262641</v>
      </c>
      <c r="T25" t="s">
        <v>249</v>
      </c>
      <c r="U25" t="s">
        <v>35</v>
      </c>
      <c r="V25">
        <v>4</v>
      </c>
      <c r="W25">
        <v>2</v>
      </c>
      <c r="X25" t="s">
        <v>490</v>
      </c>
      <c r="Y25" t="s">
        <v>292</v>
      </c>
      <c r="Z25" t="s">
        <v>60</v>
      </c>
      <c r="AA25" t="s">
        <v>491</v>
      </c>
    </row>
    <row r="26" spans="1:27" x14ac:dyDescent="0.2">
      <c r="A26" s="1">
        <v>45941</v>
      </c>
      <c r="B26" t="s">
        <v>324</v>
      </c>
      <c r="C26" t="s">
        <v>55</v>
      </c>
      <c r="D26" t="s">
        <v>29</v>
      </c>
      <c r="E26" t="s">
        <v>526</v>
      </c>
      <c r="F26" t="s">
        <v>55</v>
      </c>
      <c r="G26">
        <v>2</v>
      </c>
      <c r="H26">
        <v>3</v>
      </c>
      <c r="I26" s="13">
        <v>0.6</v>
      </c>
      <c r="J26" t="s">
        <v>249</v>
      </c>
      <c r="L26" t="s">
        <v>248</v>
      </c>
      <c r="M26" t="s">
        <v>362</v>
      </c>
      <c r="N26" t="s">
        <v>55</v>
      </c>
      <c r="O26">
        <v>2</v>
      </c>
      <c r="P26">
        <v>3</v>
      </c>
      <c r="Q26" s="13">
        <v>0.56881229021751245</v>
      </c>
      <c r="R26" t="s">
        <v>249</v>
      </c>
      <c r="S26">
        <v>-0.93189324586571598</v>
      </c>
      <c r="T26" t="s">
        <v>248</v>
      </c>
      <c r="U26" t="s">
        <v>55</v>
      </c>
      <c r="V26">
        <v>3</v>
      </c>
      <c r="W26">
        <v>2</v>
      </c>
      <c r="X26" t="s">
        <v>496</v>
      </c>
      <c r="Y26" t="s">
        <v>292</v>
      </c>
      <c r="Z26" t="s">
        <v>60</v>
      </c>
      <c r="AA26" t="s">
        <v>491</v>
      </c>
    </row>
    <row r="27" spans="1:27" x14ac:dyDescent="0.2">
      <c r="A27" s="1">
        <v>45941</v>
      </c>
      <c r="B27" t="s">
        <v>328</v>
      </c>
      <c r="C27" t="s">
        <v>23</v>
      </c>
      <c r="D27" t="s">
        <v>21</v>
      </c>
      <c r="E27" t="s">
        <v>527</v>
      </c>
      <c r="F27" t="s">
        <v>21</v>
      </c>
      <c r="G27">
        <v>2</v>
      </c>
      <c r="H27">
        <v>3</v>
      </c>
      <c r="I27" s="13">
        <v>0.6</v>
      </c>
      <c r="J27" t="s">
        <v>249</v>
      </c>
      <c r="L27" t="s">
        <v>248</v>
      </c>
      <c r="M27" t="s">
        <v>465</v>
      </c>
      <c r="N27" t="s">
        <v>21</v>
      </c>
      <c r="O27">
        <v>2</v>
      </c>
      <c r="P27">
        <v>3</v>
      </c>
      <c r="Q27" s="13">
        <v>0.61865976048220439</v>
      </c>
      <c r="R27" t="s">
        <v>249</v>
      </c>
      <c r="S27">
        <v>0.30624142421602052</v>
      </c>
      <c r="T27" t="s">
        <v>248</v>
      </c>
      <c r="U27" t="s">
        <v>21</v>
      </c>
      <c r="V27">
        <v>1</v>
      </c>
      <c r="W27">
        <v>3</v>
      </c>
      <c r="X27" t="s">
        <v>490</v>
      </c>
      <c r="Y27" t="s">
        <v>292</v>
      </c>
      <c r="Z27" t="s">
        <v>60</v>
      </c>
      <c r="AA27" t="s">
        <v>491</v>
      </c>
    </row>
    <row r="28" spans="1:27" x14ac:dyDescent="0.2">
      <c r="A28" s="1">
        <v>45941</v>
      </c>
      <c r="B28" t="s">
        <v>322</v>
      </c>
      <c r="C28" t="s">
        <v>38</v>
      </c>
      <c r="D28" t="s">
        <v>17</v>
      </c>
      <c r="E28" t="s">
        <v>528</v>
      </c>
      <c r="F28" t="s">
        <v>17</v>
      </c>
      <c r="G28">
        <v>2</v>
      </c>
      <c r="H28">
        <v>3</v>
      </c>
      <c r="I28" s="13">
        <v>0.6</v>
      </c>
      <c r="J28" t="s">
        <v>249</v>
      </c>
      <c r="L28" t="s">
        <v>248</v>
      </c>
      <c r="M28" t="s">
        <v>529</v>
      </c>
      <c r="N28" t="s">
        <v>17</v>
      </c>
      <c r="O28">
        <v>2</v>
      </c>
      <c r="P28">
        <v>3</v>
      </c>
      <c r="Q28" s="13">
        <v>0.564476282294328</v>
      </c>
      <c r="R28" t="s">
        <v>249</v>
      </c>
      <c r="S28">
        <v>0.17983183979644479</v>
      </c>
      <c r="T28" t="s">
        <v>248</v>
      </c>
      <c r="U28" t="s">
        <v>17</v>
      </c>
      <c r="V28">
        <v>1</v>
      </c>
      <c r="W28">
        <v>3</v>
      </c>
      <c r="X28" t="s">
        <v>490</v>
      </c>
      <c r="Y28" t="s">
        <v>292</v>
      </c>
      <c r="Z28" t="s">
        <v>60</v>
      </c>
      <c r="AA28" t="s">
        <v>491</v>
      </c>
    </row>
    <row r="29" spans="1:27" x14ac:dyDescent="0.2">
      <c r="A29" s="1">
        <v>45941</v>
      </c>
      <c r="B29" t="s">
        <v>328</v>
      </c>
      <c r="C29" t="s">
        <v>27</v>
      </c>
      <c r="D29" t="s">
        <v>25</v>
      </c>
      <c r="E29" t="s">
        <v>530</v>
      </c>
      <c r="F29" t="s">
        <v>25</v>
      </c>
      <c r="G29">
        <v>2</v>
      </c>
      <c r="H29">
        <v>3</v>
      </c>
      <c r="I29" s="13">
        <v>0.6</v>
      </c>
      <c r="J29" t="s">
        <v>249</v>
      </c>
      <c r="L29" t="s">
        <v>248</v>
      </c>
      <c r="M29" t="s">
        <v>450</v>
      </c>
      <c r="N29" t="s">
        <v>25</v>
      </c>
      <c r="O29">
        <v>2</v>
      </c>
      <c r="P29">
        <v>3</v>
      </c>
      <c r="Q29" s="13">
        <v>0.64992908702910213</v>
      </c>
      <c r="R29" t="s">
        <v>249</v>
      </c>
      <c r="S29">
        <v>0.85581546975803113</v>
      </c>
      <c r="T29" t="s">
        <v>248</v>
      </c>
      <c r="U29" t="s">
        <v>25</v>
      </c>
      <c r="V29">
        <v>3</v>
      </c>
      <c r="W29">
        <v>4</v>
      </c>
      <c r="X29" t="s">
        <v>496</v>
      </c>
      <c r="Y29" t="s">
        <v>292</v>
      </c>
      <c r="Z29" t="s">
        <v>60</v>
      </c>
      <c r="AA29" t="s">
        <v>491</v>
      </c>
    </row>
    <row r="30" spans="1:27" x14ac:dyDescent="0.2">
      <c r="A30" s="1">
        <v>45941</v>
      </c>
      <c r="B30" t="s">
        <v>328</v>
      </c>
      <c r="C30" t="s">
        <v>36</v>
      </c>
      <c r="D30" t="s">
        <v>11</v>
      </c>
      <c r="E30" t="s">
        <v>531</v>
      </c>
      <c r="F30" t="s">
        <v>11</v>
      </c>
      <c r="G30">
        <v>2</v>
      </c>
      <c r="H30">
        <v>3</v>
      </c>
      <c r="I30" s="13">
        <v>0.6</v>
      </c>
      <c r="J30" t="s">
        <v>249</v>
      </c>
      <c r="L30" t="s">
        <v>248</v>
      </c>
      <c r="M30" t="s">
        <v>391</v>
      </c>
      <c r="N30" t="s">
        <v>11</v>
      </c>
      <c r="O30">
        <v>2</v>
      </c>
      <c r="P30">
        <v>3</v>
      </c>
      <c r="Q30" s="13">
        <v>0.57551984437773329</v>
      </c>
      <c r="R30" t="s">
        <v>249</v>
      </c>
      <c r="S30">
        <v>0.18415850872389461</v>
      </c>
      <c r="T30" t="s">
        <v>248</v>
      </c>
      <c r="U30" t="s">
        <v>11</v>
      </c>
      <c r="V30">
        <v>2</v>
      </c>
      <c r="W30">
        <v>6</v>
      </c>
      <c r="X30" t="s">
        <v>490</v>
      </c>
      <c r="Y30" t="s">
        <v>292</v>
      </c>
      <c r="Z30" t="s">
        <v>60</v>
      </c>
      <c r="AA30" t="s">
        <v>491</v>
      </c>
    </row>
    <row r="31" spans="1:27" x14ac:dyDescent="0.2">
      <c r="A31" s="1">
        <v>45941</v>
      </c>
      <c r="B31" t="s">
        <v>328</v>
      </c>
      <c r="C31" t="s">
        <v>18</v>
      </c>
      <c r="D31" t="s">
        <v>10</v>
      </c>
      <c r="E31" t="s">
        <v>532</v>
      </c>
      <c r="F31" t="s">
        <v>10</v>
      </c>
      <c r="G31">
        <v>2</v>
      </c>
      <c r="H31">
        <v>3</v>
      </c>
      <c r="I31" s="13">
        <v>0.6</v>
      </c>
      <c r="J31" t="s">
        <v>249</v>
      </c>
      <c r="L31" t="s">
        <v>249</v>
      </c>
      <c r="M31" t="s">
        <v>533</v>
      </c>
      <c r="N31" t="s">
        <v>10</v>
      </c>
      <c r="O31">
        <v>2</v>
      </c>
      <c r="P31">
        <v>3</v>
      </c>
      <c r="Q31" s="13">
        <v>0.53519391635483582</v>
      </c>
      <c r="R31" t="s">
        <v>249</v>
      </c>
      <c r="S31">
        <v>0.46659412201267397</v>
      </c>
      <c r="T31" t="s">
        <v>249</v>
      </c>
      <c r="U31" t="s">
        <v>18</v>
      </c>
      <c r="V31">
        <v>3</v>
      </c>
      <c r="W31">
        <v>2</v>
      </c>
      <c r="X31" t="s">
        <v>490</v>
      </c>
      <c r="Y31" t="s">
        <v>292</v>
      </c>
      <c r="Z31" t="s">
        <v>60</v>
      </c>
      <c r="AA31" t="s">
        <v>491</v>
      </c>
    </row>
    <row r="32" spans="1:27" x14ac:dyDescent="0.2">
      <c r="A32" s="1">
        <v>45941</v>
      </c>
      <c r="B32" t="s">
        <v>328</v>
      </c>
      <c r="C32" t="s">
        <v>22</v>
      </c>
      <c r="D32" t="s">
        <v>30</v>
      </c>
      <c r="E32" t="s">
        <v>471</v>
      </c>
      <c r="F32" t="s">
        <v>22</v>
      </c>
      <c r="G32">
        <v>2</v>
      </c>
      <c r="H32">
        <v>3</v>
      </c>
      <c r="I32" s="13">
        <v>0.6</v>
      </c>
      <c r="J32" t="s">
        <v>249</v>
      </c>
      <c r="L32" t="s">
        <v>248</v>
      </c>
      <c r="M32" t="s">
        <v>321</v>
      </c>
      <c r="N32" t="s">
        <v>22</v>
      </c>
      <c r="O32">
        <v>2</v>
      </c>
      <c r="P32">
        <v>3</v>
      </c>
      <c r="Q32" s="13">
        <v>0.57627735430877991</v>
      </c>
      <c r="R32" t="s">
        <v>249</v>
      </c>
      <c r="S32">
        <v>-0.63173848137192712</v>
      </c>
      <c r="T32" t="s">
        <v>248</v>
      </c>
      <c r="U32" t="s">
        <v>22</v>
      </c>
      <c r="V32">
        <v>4</v>
      </c>
      <c r="W32">
        <v>2</v>
      </c>
      <c r="X32" t="s">
        <v>490</v>
      </c>
      <c r="Y32" t="s">
        <v>292</v>
      </c>
      <c r="Z32" t="s">
        <v>60</v>
      </c>
      <c r="AA32" t="s">
        <v>491</v>
      </c>
    </row>
    <row r="33" spans="1:27" x14ac:dyDescent="0.2">
      <c r="A33" s="1">
        <v>45941</v>
      </c>
      <c r="B33" t="s">
        <v>328</v>
      </c>
      <c r="C33" t="s">
        <v>15</v>
      </c>
      <c r="D33" t="s">
        <v>14</v>
      </c>
      <c r="E33" t="s">
        <v>534</v>
      </c>
      <c r="F33" t="s">
        <v>14</v>
      </c>
      <c r="G33">
        <v>2</v>
      </c>
      <c r="H33">
        <v>3</v>
      </c>
      <c r="I33" s="13">
        <v>0.6</v>
      </c>
      <c r="J33" t="s">
        <v>249</v>
      </c>
      <c r="L33" t="s">
        <v>249</v>
      </c>
      <c r="M33" t="s">
        <v>535</v>
      </c>
      <c r="N33" t="s">
        <v>14</v>
      </c>
      <c r="O33">
        <v>2</v>
      </c>
      <c r="P33">
        <v>3</v>
      </c>
      <c r="Q33" s="13">
        <v>0.46299948327093321</v>
      </c>
      <c r="R33" t="s">
        <v>249</v>
      </c>
      <c r="S33">
        <v>0.19767051184161499</v>
      </c>
      <c r="T33" t="s">
        <v>249</v>
      </c>
      <c r="U33" t="s">
        <v>15</v>
      </c>
      <c r="V33">
        <v>6</v>
      </c>
      <c r="W33">
        <v>1</v>
      </c>
      <c r="X33" t="s">
        <v>490</v>
      </c>
      <c r="Y33" t="s">
        <v>292</v>
      </c>
      <c r="Z33" t="s">
        <v>60</v>
      </c>
      <c r="AA33" t="s">
        <v>491</v>
      </c>
    </row>
    <row r="34" spans="1:27" x14ac:dyDescent="0.2">
      <c r="A34" s="1">
        <v>45941</v>
      </c>
      <c r="B34" t="s">
        <v>322</v>
      </c>
      <c r="C34" t="s">
        <v>20</v>
      </c>
      <c r="D34" t="s">
        <v>32</v>
      </c>
      <c r="E34" t="s">
        <v>536</v>
      </c>
      <c r="F34" t="s">
        <v>20</v>
      </c>
      <c r="G34">
        <v>2</v>
      </c>
      <c r="H34">
        <v>3</v>
      </c>
      <c r="I34" s="13">
        <v>0.6</v>
      </c>
      <c r="J34" t="s">
        <v>249</v>
      </c>
      <c r="L34" t="s">
        <v>249</v>
      </c>
      <c r="M34" t="s">
        <v>537</v>
      </c>
      <c r="N34" t="s">
        <v>20</v>
      </c>
      <c r="O34">
        <v>2</v>
      </c>
      <c r="P34">
        <v>3</v>
      </c>
      <c r="Q34" s="13">
        <v>0.50145565279430626</v>
      </c>
      <c r="R34" t="s">
        <v>249</v>
      </c>
      <c r="S34">
        <v>-0.3550356560342911</v>
      </c>
      <c r="T34" t="s">
        <v>249</v>
      </c>
      <c r="U34" t="s">
        <v>32</v>
      </c>
      <c r="V34">
        <v>1</v>
      </c>
      <c r="W34">
        <v>2</v>
      </c>
      <c r="X34" t="s">
        <v>496</v>
      </c>
      <c r="Y34" t="s">
        <v>292</v>
      </c>
      <c r="Z34" t="s">
        <v>60</v>
      </c>
      <c r="AA34" t="s">
        <v>491</v>
      </c>
    </row>
    <row r="35" spans="1:27" x14ac:dyDescent="0.2">
      <c r="A35" s="1">
        <v>45941</v>
      </c>
      <c r="B35" t="s">
        <v>322</v>
      </c>
      <c r="C35" t="s">
        <v>31</v>
      </c>
      <c r="D35" t="s">
        <v>33</v>
      </c>
      <c r="E35" t="s">
        <v>538</v>
      </c>
      <c r="F35" t="s">
        <v>31</v>
      </c>
      <c r="G35">
        <v>2</v>
      </c>
      <c r="H35">
        <v>3</v>
      </c>
      <c r="I35" s="13">
        <v>0.6</v>
      </c>
      <c r="J35" t="s">
        <v>249</v>
      </c>
      <c r="L35" t="s">
        <v>248</v>
      </c>
      <c r="M35" t="s">
        <v>291</v>
      </c>
      <c r="N35" t="s">
        <v>31</v>
      </c>
      <c r="O35">
        <v>2</v>
      </c>
      <c r="P35">
        <v>3</v>
      </c>
      <c r="Q35" s="13">
        <v>0.53832735617360639</v>
      </c>
      <c r="R35" t="s">
        <v>249</v>
      </c>
      <c r="S35">
        <v>-0.58013326529834719</v>
      </c>
      <c r="T35" t="s">
        <v>248</v>
      </c>
      <c r="U35" t="s">
        <v>31</v>
      </c>
      <c r="V35">
        <v>7</v>
      </c>
      <c r="W35">
        <v>6</v>
      </c>
      <c r="X35" t="s">
        <v>496</v>
      </c>
      <c r="Y35" t="s">
        <v>292</v>
      </c>
      <c r="Z35" t="s">
        <v>60</v>
      </c>
      <c r="AA35" t="s">
        <v>491</v>
      </c>
    </row>
    <row r="36" spans="1:27" x14ac:dyDescent="0.2">
      <c r="A36" s="1">
        <v>45941</v>
      </c>
      <c r="B36" t="s">
        <v>324</v>
      </c>
      <c r="C36" t="s">
        <v>28</v>
      </c>
      <c r="D36" t="s">
        <v>34</v>
      </c>
      <c r="E36" t="s">
        <v>539</v>
      </c>
      <c r="F36" t="s">
        <v>34</v>
      </c>
      <c r="G36">
        <v>2</v>
      </c>
      <c r="H36">
        <v>3</v>
      </c>
      <c r="I36" s="13">
        <v>0.6</v>
      </c>
      <c r="J36" t="s">
        <v>249</v>
      </c>
      <c r="L36" t="s">
        <v>249</v>
      </c>
      <c r="M36" t="s">
        <v>540</v>
      </c>
      <c r="N36" t="s">
        <v>34</v>
      </c>
      <c r="O36">
        <v>2</v>
      </c>
      <c r="P36">
        <v>3</v>
      </c>
      <c r="Q36" s="13">
        <v>0.60528765183514521</v>
      </c>
      <c r="R36" t="s">
        <v>249</v>
      </c>
      <c r="S36">
        <v>0.5897653658242239</v>
      </c>
      <c r="T36" t="s">
        <v>249</v>
      </c>
      <c r="U36" t="s">
        <v>28</v>
      </c>
      <c r="V36">
        <v>7</v>
      </c>
      <c r="W36">
        <v>4</v>
      </c>
      <c r="X36" t="s">
        <v>490</v>
      </c>
      <c r="Y36" t="s">
        <v>292</v>
      </c>
      <c r="Z36" t="s">
        <v>60</v>
      </c>
      <c r="AA36" t="s">
        <v>491</v>
      </c>
    </row>
    <row r="37" spans="1:27" x14ac:dyDescent="0.2">
      <c r="A37" s="1">
        <v>45941</v>
      </c>
      <c r="B37" t="s">
        <v>328</v>
      </c>
      <c r="C37" t="s">
        <v>24</v>
      </c>
      <c r="D37" t="s">
        <v>37</v>
      </c>
      <c r="E37" t="s">
        <v>310</v>
      </c>
      <c r="F37" t="s">
        <v>37</v>
      </c>
      <c r="G37">
        <v>2</v>
      </c>
      <c r="H37">
        <v>3</v>
      </c>
      <c r="I37" s="13">
        <v>0.6</v>
      </c>
      <c r="J37" t="s">
        <v>249</v>
      </c>
      <c r="L37" t="s">
        <v>249</v>
      </c>
      <c r="M37" t="s">
        <v>541</v>
      </c>
      <c r="N37" t="s">
        <v>37</v>
      </c>
      <c r="O37">
        <v>2</v>
      </c>
      <c r="P37">
        <v>3</v>
      </c>
      <c r="Q37" s="13">
        <v>0.61698109453658201</v>
      </c>
      <c r="R37" t="s">
        <v>249</v>
      </c>
      <c r="S37">
        <v>0.5588754449051625</v>
      </c>
      <c r="T37" t="s">
        <v>249</v>
      </c>
      <c r="U37" t="s">
        <v>24</v>
      </c>
      <c r="V37">
        <v>5</v>
      </c>
      <c r="W37">
        <v>3</v>
      </c>
      <c r="X37" t="s">
        <v>490</v>
      </c>
      <c r="Y37" t="s">
        <v>292</v>
      </c>
      <c r="Z37" t="s">
        <v>60</v>
      </c>
      <c r="AA37" t="s">
        <v>491</v>
      </c>
    </row>
    <row r="38" spans="1:27" x14ac:dyDescent="0.2">
      <c r="A38" s="1">
        <v>45941</v>
      </c>
      <c r="B38" t="s">
        <v>542</v>
      </c>
      <c r="C38" t="s">
        <v>13</v>
      </c>
      <c r="D38" t="s">
        <v>40</v>
      </c>
      <c r="E38" t="s">
        <v>543</v>
      </c>
      <c r="F38" t="s">
        <v>40</v>
      </c>
      <c r="G38">
        <v>2</v>
      </c>
      <c r="H38">
        <v>3</v>
      </c>
      <c r="I38" s="13">
        <v>0.6</v>
      </c>
      <c r="J38" t="s">
        <v>249</v>
      </c>
      <c r="L38" t="s">
        <v>248</v>
      </c>
      <c r="M38" t="s">
        <v>315</v>
      </c>
      <c r="N38" t="s">
        <v>40</v>
      </c>
      <c r="O38">
        <v>2</v>
      </c>
      <c r="P38">
        <v>3</v>
      </c>
      <c r="Q38" s="13">
        <v>0.48494112191888922</v>
      </c>
      <c r="R38" t="s">
        <v>249</v>
      </c>
      <c r="S38">
        <v>7.4942523817584594E-2</v>
      </c>
      <c r="T38" t="s">
        <v>248</v>
      </c>
      <c r="U38" t="s">
        <v>40</v>
      </c>
      <c r="V38">
        <v>2</v>
      </c>
      <c r="W38">
        <v>3</v>
      </c>
      <c r="X38" t="s">
        <v>490</v>
      </c>
      <c r="Y38" t="s">
        <v>292</v>
      </c>
      <c r="Z38" t="s">
        <v>60</v>
      </c>
      <c r="AA38" t="s">
        <v>491</v>
      </c>
    </row>
    <row r="39" spans="1:27" x14ac:dyDescent="0.2">
      <c r="A39" s="1">
        <v>45942</v>
      </c>
      <c r="B39" t="s">
        <v>328</v>
      </c>
      <c r="C39" t="s">
        <v>22</v>
      </c>
      <c r="D39" t="s">
        <v>15</v>
      </c>
      <c r="E39" t="s">
        <v>544</v>
      </c>
      <c r="F39" t="s">
        <v>22</v>
      </c>
      <c r="G39">
        <v>2</v>
      </c>
      <c r="H39">
        <v>3</v>
      </c>
      <c r="I39" s="13">
        <v>0.6</v>
      </c>
      <c r="J39" t="s">
        <v>249</v>
      </c>
      <c r="L39" t="s">
        <v>248</v>
      </c>
      <c r="M39" t="s">
        <v>321</v>
      </c>
      <c r="N39" t="s">
        <v>22</v>
      </c>
      <c r="O39">
        <v>2</v>
      </c>
      <c r="P39">
        <v>3</v>
      </c>
      <c r="Q39" s="13">
        <v>0.58201073598961128</v>
      </c>
      <c r="R39" t="s">
        <v>249</v>
      </c>
      <c r="S39">
        <v>-0.68084046841453705</v>
      </c>
      <c r="T39" t="s">
        <v>248</v>
      </c>
      <c r="U39" t="s">
        <v>22</v>
      </c>
      <c r="V39">
        <v>1</v>
      </c>
      <c r="W39">
        <v>0</v>
      </c>
      <c r="X39" t="s">
        <v>490</v>
      </c>
      <c r="Y39" t="s">
        <v>292</v>
      </c>
      <c r="Z39" t="s">
        <v>60</v>
      </c>
      <c r="AA39" t="s">
        <v>491</v>
      </c>
    </row>
    <row r="40" spans="1:27" x14ac:dyDescent="0.2">
      <c r="A40" s="1">
        <v>45943</v>
      </c>
      <c r="B40" t="s">
        <v>334</v>
      </c>
      <c r="C40" t="s">
        <v>35</v>
      </c>
      <c r="D40" t="s">
        <v>38</v>
      </c>
      <c r="E40" t="s">
        <v>545</v>
      </c>
      <c r="F40" t="s">
        <v>38</v>
      </c>
      <c r="G40">
        <v>2</v>
      </c>
      <c r="H40">
        <v>3</v>
      </c>
      <c r="I40" s="13">
        <v>0.6</v>
      </c>
      <c r="J40" t="s">
        <v>249</v>
      </c>
      <c r="L40" t="s">
        <v>249</v>
      </c>
      <c r="M40" t="s">
        <v>546</v>
      </c>
      <c r="N40" t="s">
        <v>38</v>
      </c>
      <c r="O40">
        <v>2</v>
      </c>
      <c r="P40">
        <v>3</v>
      </c>
      <c r="Q40" s="13">
        <v>0.59799721524144278</v>
      </c>
      <c r="R40" t="s">
        <v>249</v>
      </c>
      <c r="S40">
        <v>0.49670136576008078</v>
      </c>
      <c r="T40" t="s">
        <v>249</v>
      </c>
      <c r="U40" t="s">
        <v>35</v>
      </c>
      <c r="V40">
        <v>5</v>
      </c>
      <c r="W40">
        <v>2</v>
      </c>
      <c r="X40" t="s">
        <v>490</v>
      </c>
      <c r="Y40" t="s">
        <v>292</v>
      </c>
      <c r="Z40" t="s">
        <v>60</v>
      </c>
      <c r="AA40" t="s">
        <v>491</v>
      </c>
    </row>
    <row r="41" spans="1:27" x14ac:dyDescent="0.2">
      <c r="A41" s="1">
        <v>45943</v>
      </c>
      <c r="B41" t="s">
        <v>369</v>
      </c>
      <c r="C41" t="s">
        <v>26</v>
      </c>
      <c r="D41" t="s">
        <v>19</v>
      </c>
      <c r="E41" t="s">
        <v>547</v>
      </c>
      <c r="F41" t="s">
        <v>19</v>
      </c>
      <c r="G41">
        <v>2</v>
      </c>
      <c r="H41">
        <v>3</v>
      </c>
      <c r="I41" s="13">
        <v>0.6</v>
      </c>
      <c r="J41" t="s">
        <v>249</v>
      </c>
      <c r="L41" t="s">
        <v>249</v>
      </c>
      <c r="M41" t="s">
        <v>523</v>
      </c>
      <c r="N41" t="s">
        <v>19</v>
      </c>
      <c r="O41">
        <v>2</v>
      </c>
      <c r="P41">
        <v>3</v>
      </c>
      <c r="Q41" s="13">
        <v>0.5739507224545598</v>
      </c>
      <c r="R41" t="s">
        <v>249</v>
      </c>
      <c r="S41">
        <v>0.29076172263649142</v>
      </c>
      <c r="T41" t="s">
        <v>249</v>
      </c>
      <c r="U41" t="s">
        <v>26</v>
      </c>
      <c r="V41">
        <v>3</v>
      </c>
      <c r="W41">
        <v>2</v>
      </c>
      <c r="X41" t="s">
        <v>490</v>
      </c>
      <c r="Y41" t="s">
        <v>292</v>
      </c>
      <c r="Z41" t="s">
        <v>60</v>
      </c>
      <c r="AA41" t="s">
        <v>491</v>
      </c>
    </row>
    <row r="42" spans="1:27" x14ac:dyDescent="0.2">
      <c r="A42" s="1">
        <v>45943</v>
      </c>
      <c r="B42" t="s">
        <v>328</v>
      </c>
      <c r="C42" t="s">
        <v>11</v>
      </c>
      <c r="D42" t="s">
        <v>27</v>
      </c>
      <c r="E42" t="s">
        <v>548</v>
      </c>
      <c r="F42" t="s">
        <v>27</v>
      </c>
      <c r="G42">
        <v>2</v>
      </c>
      <c r="H42">
        <v>3</v>
      </c>
      <c r="I42" s="13">
        <v>0.6</v>
      </c>
      <c r="J42" t="s">
        <v>249</v>
      </c>
      <c r="L42" t="s">
        <v>248</v>
      </c>
      <c r="M42" t="s">
        <v>393</v>
      </c>
      <c r="N42" t="s">
        <v>27</v>
      </c>
      <c r="O42">
        <v>2</v>
      </c>
      <c r="P42">
        <v>3</v>
      </c>
      <c r="Q42" s="13">
        <v>0.56181410763720108</v>
      </c>
      <c r="R42" t="s">
        <v>249</v>
      </c>
      <c r="S42">
        <v>6.6779456480953001E-2</v>
      </c>
      <c r="T42" t="s">
        <v>248</v>
      </c>
      <c r="U42" t="s">
        <v>27</v>
      </c>
      <c r="V42">
        <v>2</v>
      </c>
      <c r="W42">
        <v>5</v>
      </c>
      <c r="X42" t="s">
        <v>490</v>
      </c>
      <c r="Y42" t="s">
        <v>292</v>
      </c>
      <c r="Z42" t="s">
        <v>60</v>
      </c>
      <c r="AA42" t="s">
        <v>491</v>
      </c>
    </row>
    <row r="43" spans="1:27" x14ac:dyDescent="0.2">
      <c r="A43" s="1">
        <v>45943</v>
      </c>
      <c r="B43" t="s">
        <v>347</v>
      </c>
      <c r="C43" t="s">
        <v>29</v>
      </c>
      <c r="D43" t="s">
        <v>36</v>
      </c>
      <c r="E43" t="s">
        <v>549</v>
      </c>
      <c r="F43" t="s">
        <v>36</v>
      </c>
      <c r="G43">
        <v>2</v>
      </c>
      <c r="H43">
        <v>3</v>
      </c>
      <c r="I43" s="13">
        <v>0.6</v>
      </c>
      <c r="J43" t="s">
        <v>249</v>
      </c>
      <c r="L43" t="s">
        <v>249</v>
      </c>
      <c r="M43" t="s">
        <v>550</v>
      </c>
      <c r="N43" t="s">
        <v>36</v>
      </c>
      <c r="O43">
        <v>2</v>
      </c>
      <c r="P43">
        <v>3</v>
      </c>
      <c r="Q43" s="13">
        <v>0.64798566443947669</v>
      </c>
      <c r="R43" t="s">
        <v>249</v>
      </c>
      <c r="S43">
        <v>0.90344198186838476</v>
      </c>
      <c r="T43" t="s">
        <v>249</v>
      </c>
      <c r="U43" t="s">
        <v>29</v>
      </c>
      <c r="V43">
        <v>4</v>
      </c>
      <c r="W43">
        <v>1</v>
      </c>
      <c r="X43" t="s">
        <v>490</v>
      </c>
      <c r="Y43" t="s">
        <v>292</v>
      </c>
      <c r="Z43" t="s">
        <v>60</v>
      </c>
      <c r="AA43" t="s">
        <v>491</v>
      </c>
    </row>
    <row r="44" spans="1:27" x14ac:dyDescent="0.2">
      <c r="A44" s="1">
        <v>45943</v>
      </c>
      <c r="B44" t="s">
        <v>347</v>
      </c>
      <c r="C44" t="s">
        <v>40</v>
      </c>
      <c r="D44" t="s">
        <v>30</v>
      </c>
      <c r="E44" t="s">
        <v>551</v>
      </c>
      <c r="F44" t="s">
        <v>30</v>
      </c>
      <c r="G44">
        <v>2</v>
      </c>
      <c r="H44">
        <v>3</v>
      </c>
      <c r="I44" s="13">
        <v>0.6</v>
      </c>
      <c r="J44" t="s">
        <v>249</v>
      </c>
      <c r="L44" t="s">
        <v>249</v>
      </c>
      <c r="M44" t="s">
        <v>552</v>
      </c>
      <c r="N44" t="s">
        <v>30</v>
      </c>
      <c r="O44">
        <v>2</v>
      </c>
      <c r="P44">
        <v>3</v>
      </c>
      <c r="Q44" s="13">
        <v>0.53350065759227305</v>
      </c>
      <c r="R44" t="s">
        <v>249</v>
      </c>
      <c r="S44">
        <v>0.1222105752646214</v>
      </c>
      <c r="T44" t="s">
        <v>249</v>
      </c>
      <c r="U44" t="s">
        <v>40</v>
      </c>
      <c r="V44">
        <v>5</v>
      </c>
      <c r="W44">
        <v>2</v>
      </c>
      <c r="X44" t="s">
        <v>490</v>
      </c>
      <c r="Y44" t="s">
        <v>292</v>
      </c>
      <c r="Z44" t="s">
        <v>60</v>
      </c>
      <c r="AA44" t="s">
        <v>491</v>
      </c>
    </row>
    <row r="45" spans="1:27" x14ac:dyDescent="0.2">
      <c r="A45" s="1">
        <v>45943</v>
      </c>
      <c r="B45" t="s">
        <v>328</v>
      </c>
      <c r="C45" t="s">
        <v>24</v>
      </c>
      <c r="D45" t="s">
        <v>28</v>
      </c>
      <c r="E45" t="s">
        <v>553</v>
      </c>
      <c r="F45" t="s">
        <v>24</v>
      </c>
      <c r="G45">
        <v>2</v>
      </c>
      <c r="H45">
        <v>3</v>
      </c>
      <c r="I45" s="13">
        <v>0.6</v>
      </c>
      <c r="J45" t="s">
        <v>249</v>
      </c>
      <c r="L45" t="s">
        <v>248</v>
      </c>
      <c r="M45" t="s">
        <v>449</v>
      </c>
      <c r="N45" t="s">
        <v>24</v>
      </c>
      <c r="O45">
        <v>2</v>
      </c>
      <c r="P45">
        <v>3</v>
      </c>
      <c r="Q45" s="13">
        <v>0.54459505558641363</v>
      </c>
      <c r="R45" t="s">
        <v>249</v>
      </c>
      <c r="S45">
        <v>-0.54661890619198206</v>
      </c>
      <c r="T45" t="s">
        <v>248</v>
      </c>
      <c r="U45" t="s">
        <v>24</v>
      </c>
      <c r="V45">
        <v>3</v>
      </c>
      <c r="W45">
        <v>2</v>
      </c>
      <c r="X45" t="s">
        <v>490</v>
      </c>
      <c r="Y45" t="s">
        <v>292</v>
      </c>
      <c r="Z45" t="s">
        <v>60</v>
      </c>
      <c r="AA45" t="s">
        <v>491</v>
      </c>
    </row>
    <row r="46" spans="1:27" x14ac:dyDescent="0.2">
      <c r="A46" s="1">
        <v>45943</v>
      </c>
      <c r="B46" t="s">
        <v>416</v>
      </c>
      <c r="C46" t="s">
        <v>55</v>
      </c>
      <c r="D46" t="s">
        <v>10</v>
      </c>
      <c r="E46" t="s">
        <v>554</v>
      </c>
      <c r="F46" t="s">
        <v>10</v>
      </c>
      <c r="G46">
        <v>2</v>
      </c>
      <c r="H46">
        <v>3</v>
      </c>
      <c r="I46" s="13">
        <v>0.6</v>
      </c>
      <c r="J46" t="s">
        <v>249</v>
      </c>
      <c r="L46" t="s">
        <v>248</v>
      </c>
      <c r="M46" t="s">
        <v>303</v>
      </c>
      <c r="N46" t="s">
        <v>10</v>
      </c>
      <c r="O46">
        <v>2</v>
      </c>
      <c r="P46">
        <v>3</v>
      </c>
      <c r="Q46" s="13">
        <v>0.57232372932370801</v>
      </c>
      <c r="R46" t="s">
        <v>249</v>
      </c>
      <c r="S46">
        <v>0.27682778276003128</v>
      </c>
      <c r="T46" t="s">
        <v>248</v>
      </c>
      <c r="U46" t="s">
        <v>10</v>
      </c>
      <c r="V46">
        <v>1</v>
      </c>
      <c r="W46">
        <v>3</v>
      </c>
      <c r="X46" t="s">
        <v>490</v>
      </c>
      <c r="Y46" t="s">
        <v>292</v>
      </c>
      <c r="Z46" t="s">
        <v>60</v>
      </c>
      <c r="AA46" t="s">
        <v>491</v>
      </c>
    </row>
    <row r="47" spans="1:27" x14ac:dyDescent="0.2">
      <c r="A47" s="1">
        <v>45943</v>
      </c>
      <c r="B47" t="s">
        <v>555</v>
      </c>
      <c r="C47" t="s">
        <v>12</v>
      </c>
      <c r="D47" t="s">
        <v>23</v>
      </c>
      <c r="E47" t="s">
        <v>556</v>
      </c>
      <c r="F47" t="s">
        <v>12</v>
      </c>
      <c r="G47">
        <v>2</v>
      </c>
      <c r="H47">
        <v>3</v>
      </c>
      <c r="I47" s="13">
        <v>0.6</v>
      </c>
      <c r="J47" t="s">
        <v>249</v>
      </c>
      <c r="L47" t="s">
        <v>248</v>
      </c>
      <c r="M47" t="s">
        <v>361</v>
      </c>
      <c r="N47" t="s">
        <v>12</v>
      </c>
      <c r="O47">
        <v>2</v>
      </c>
      <c r="P47">
        <v>3</v>
      </c>
      <c r="Q47" s="13">
        <v>0.76276408823416275</v>
      </c>
      <c r="R47" t="s">
        <v>249</v>
      </c>
      <c r="S47">
        <v>-2.0581133452444029</v>
      </c>
      <c r="T47" t="s">
        <v>248</v>
      </c>
      <c r="U47" t="s">
        <v>12</v>
      </c>
      <c r="V47">
        <v>3</v>
      </c>
      <c r="W47">
        <v>1</v>
      </c>
      <c r="X47" t="s">
        <v>490</v>
      </c>
      <c r="Y47" t="s">
        <v>292</v>
      </c>
      <c r="Z47" t="s">
        <v>60</v>
      </c>
      <c r="AA47" t="s">
        <v>491</v>
      </c>
    </row>
    <row r="48" spans="1:27" x14ac:dyDescent="0.2">
      <c r="A48" s="1">
        <v>45943</v>
      </c>
      <c r="B48" t="s">
        <v>347</v>
      </c>
      <c r="C48" t="s">
        <v>37</v>
      </c>
      <c r="D48" t="s">
        <v>21</v>
      </c>
      <c r="E48" t="s">
        <v>557</v>
      </c>
      <c r="F48" t="s">
        <v>37</v>
      </c>
      <c r="G48">
        <v>2</v>
      </c>
      <c r="H48">
        <v>3</v>
      </c>
      <c r="I48" s="13">
        <v>0.6</v>
      </c>
      <c r="J48" t="s">
        <v>249</v>
      </c>
      <c r="L48" t="s">
        <v>248</v>
      </c>
      <c r="M48" t="s">
        <v>395</v>
      </c>
      <c r="N48" t="s">
        <v>37</v>
      </c>
      <c r="O48">
        <v>2</v>
      </c>
      <c r="P48">
        <v>3</v>
      </c>
      <c r="Q48" s="13">
        <v>0.58853461032201404</v>
      </c>
      <c r="R48" t="s">
        <v>249</v>
      </c>
      <c r="S48">
        <v>-0.68037395827117342</v>
      </c>
      <c r="T48" t="s">
        <v>248</v>
      </c>
      <c r="U48" t="s">
        <v>37</v>
      </c>
      <c r="V48">
        <v>4</v>
      </c>
      <c r="W48">
        <v>3</v>
      </c>
      <c r="X48" t="s">
        <v>490</v>
      </c>
      <c r="Y48" t="s">
        <v>292</v>
      </c>
      <c r="Z48" t="s">
        <v>60</v>
      </c>
      <c r="AA48" t="s">
        <v>491</v>
      </c>
    </row>
    <row r="49" spans="1:27" x14ac:dyDescent="0.2">
      <c r="A49" s="1">
        <v>45943</v>
      </c>
      <c r="B49" t="s">
        <v>324</v>
      </c>
      <c r="C49" t="s">
        <v>13</v>
      </c>
      <c r="D49" t="s">
        <v>34</v>
      </c>
      <c r="E49" t="s">
        <v>558</v>
      </c>
      <c r="F49" t="s">
        <v>34</v>
      </c>
      <c r="G49">
        <v>2</v>
      </c>
      <c r="H49">
        <v>3</v>
      </c>
      <c r="I49" s="13">
        <v>0.6</v>
      </c>
      <c r="J49" t="s">
        <v>249</v>
      </c>
      <c r="L49" t="s">
        <v>248</v>
      </c>
      <c r="M49" t="s">
        <v>343</v>
      </c>
      <c r="N49" t="s">
        <v>34</v>
      </c>
      <c r="O49">
        <v>2</v>
      </c>
      <c r="P49">
        <v>3</v>
      </c>
      <c r="Q49" s="13">
        <v>0.51257382978220933</v>
      </c>
      <c r="R49" t="s">
        <v>249</v>
      </c>
      <c r="S49">
        <v>0.33305956015089733</v>
      </c>
      <c r="T49" t="s">
        <v>248</v>
      </c>
      <c r="U49" t="s">
        <v>34</v>
      </c>
      <c r="V49">
        <v>3</v>
      </c>
      <c r="W49">
        <v>4</v>
      </c>
      <c r="X49" t="s">
        <v>496</v>
      </c>
      <c r="Y49" t="s">
        <v>292</v>
      </c>
      <c r="Z49" t="s">
        <v>60</v>
      </c>
      <c r="AA49" t="s">
        <v>491</v>
      </c>
    </row>
    <row r="50" spans="1:27" x14ac:dyDescent="0.2">
      <c r="A50" s="1">
        <v>45944</v>
      </c>
      <c r="B50" t="s">
        <v>322</v>
      </c>
      <c r="C50" t="s">
        <v>25</v>
      </c>
      <c r="D50" t="s">
        <v>33</v>
      </c>
      <c r="E50" t="s">
        <v>559</v>
      </c>
      <c r="F50" t="s">
        <v>25</v>
      </c>
      <c r="G50">
        <v>2</v>
      </c>
      <c r="H50">
        <v>3</v>
      </c>
      <c r="I50" s="13">
        <v>0.6</v>
      </c>
      <c r="J50" t="s">
        <v>249</v>
      </c>
      <c r="L50" t="s">
        <v>248</v>
      </c>
      <c r="M50" t="s">
        <v>450</v>
      </c>
      <c r="N50" t="s">
        <v>25</v>
      </c>
      <c r="O50">
        <v>2</v>
      </c>
      <c r="P50">
        <v>3</v>
      </c>
      <c r="Q50" s="13">
        <v>0.61902574000297383</v>
      </c>
      <c r="R50" t="s">
        <v>249</v>
      </c>
      <c r="S50">
        <v>-0.82710538078763363</v>
      </c>
      <c r="T50" t="s">
        <v>248</v>
      </c>
      <c r="U50" t="s">
        <v>25</v>
      </c>
      <c r="V50">
        <v>5</v>
      </c>
      <c r="W50">
        <v>1</v>
      </c>
      <c r="X50" t="s">
        <v>490</v>
      </c>
      <c r="Y50" t="s">
        <v>292</v>
      </c>
      <c r="Z50" t="s">
        <v>60</v>
      </c>
      <c r="AA50" t="s">
        <v>491</v>
      </c>
    </row>
    <row r="51" spans="1:27" x14ac:dyDescent="0.2">
      <c r="A51" s="1">
        <v>45944</v>
      </c>
      <c r="B51" t="s">
        <v>328</v>
      </c>
      <c r="C51" t="s">
        <v>29</v>
      </c>
      <c r="D51" t="s">
        <v>19</v>
      </c>
      <c r="E51" t="s">
        <v>560</v>
      </c>
      <c r="F51" t="s">
        <v>19</v>
      </c>
      <c r="G51">
        <v>2</v>
      </c>
      <c r="H51">
        <v>3</v>
      </c>
      <c r="I51" s="13">
        <v>0.6</v>
      </c>
      <c r="J51" t="s">
        <v>249</v>
      </c>
      <c r="L51" t="s">
        <v>248</v>
      </c>
      <c r="M51" t="s">
        <v>312</v>
      </c>
      <c r="N51" t="s">
        <v>19</v>
      </c>
      <c r="O51">
        <v>2</v>
      </c>
      <c r="P51">
        <v>3</v>
      </c>
      <c r="Q51" s="13">
        <v>0.63345144195222269</v>
      </c>
      <c r="R51" t="s">
        <v>249</v>
      </c>
      <c r="S51">
        <v>0.80033944141424285</v>
      </c>
      <c r="T51" t="s">
        <v>248</v>
      </c>
      <c r="U51" t="s">
        <v>19</v>
      </c>
      <c r="V51">
        <v>4</v>
      </c>
      <c r="W51">
        <v>7</v>
      </c>
      <c r="X51" t="s">
        <v>490</v>
      </c>
      <c r="Y51" t="s">
        <v>292</v>
      </c>
      <c r="Z51" t="s">
        <v>60</v>
      </c>
      <c r="AA51" t="s">
        <v>491</v>
      </c>
    </row>
    <row r="52" spans="1:27" x14ac:dyDescent="0.2">
      <c r="A52" s="1">
        <v>45944</v>
      </c>
      <c r="B52" t="s">
        <v>328</v>
      </c>
      <c r="C52" t="s">
        <v>37</v>
      </c>
      <c r="D52" t="s">
        <v>22</v>
      </c>
      <c r="E52" t="s">
        <v>358</v>
      </c>
      <c r="F52" t="s">
        <v>37</v>
      </c>
      <c r="G52">
        <v>2</v>
      </c>
      <c r="H52">
        <v>3</v>
      </c>
      <c r="I52" s="13">
        <v>0.6</v>
      </c>
      <c r="J52" t="s">
        <v>249</v>
      </c>
      <c r="L52" t="s">
        <v>249</v>
      </c>
      <c r="M52" t="s">
        <v>561</v>
      </c>
      <c r="N52" t="s">
        <v>37</v>
      </c>
      <c r="O52">
        <v>2</v>
      </c>
      <c r="P52">
        <v>3</v>
      </c>
      <c r="Q52" s="13">
        <v>0.52863905379213916</v>
      </c>
      <c r="R52" t="s">
        <v>249</v>
      </c>
      <c r="S52">
        <v>-1.9896964969684901E-2</v>
      </c>
      <c r="T52" t="s">
        <v>249</v>
      </c>
      <c r="U52" t="s">
        <v>22</v>
      </c>
      <c r="V52">
        <v>2</v>
      </c>
      <c r="W52">
        <v>3</v>
      </c>
      <c r="X52" t="s">
        <v>496</v>
      </c>
      <c r="Y52" t="s">
        <v>292</v>
      </c>
      <c r="Z52" t="s">
        <v>60</v>
      </c>
      <c r="AA52" t="s">
        <v>491</v>
      </c>
    </row>
    <row r="53" spans="1:27" x14ac:dyDescent="0.2">
      <c r="A53" s="1">
        <v>45944</v>
      </c>
      <c r="B53" t="s">
        <v>328</v>
      </c>
      <c r="C53" t="s">
        <v>17</v>
      </c>
      <c r="D53" t="s">
        <v>15</v>
      </c>
      <c r="E53" t="s">
        <v>562</v>
      </c>
      <c r="F53" t="s">
        <v>15</v>
      </c>
      <c r="G53">
        <v>2</v>
      </c>
      <c r="H53">
        <v>3</v>
      </c>
      <c r="I53" s="13">
        <v>0.6</v>
      </c>
      <c r="J53" t="s">
        <v>249</v>
      </c>
      <c r="L53" t="s">
        <v>249</v>
      </c>
      <c r="M53" t="s">
        <v>563</v>
      </c>
      <c r="N53" t="s">
        <v>15</v>
      </c>
      <c r="O53">
        <v>2</v>
      </c>
      <c r="P53">
        <v>3</v>
      </c>
      <c r="Q53" s="13">
        <v>0.60744489276378211</v>
      </c>
      <c r="R53" t="s">
        <v>249</v>
      </c>
      <c r="S53">
        <v>0.57761342867674159</v>
      </c>
      <c r="T53" t="s">
        <v>249</v>
      </c>
      <c r="U53" t="s">
        <v>17</v>
      </c>
      <c r="V53">
        <v>2</v>
      </c>
      <c r="W53">
        <v>0</v>
      </c>
      <c r="X53" t="s">
        <v>490</v>
      </c>
      <c r="Y53" t="s">
        <v>292</v>
      </c>
      <c r="Z53" t="s">
        <v>60</v>
      </c>
      <c r="AA53" t="s">
        <v>491</v>
      </c>
    </row>
    <row r="54" spans="1:27" x14ac:dyDescent="0.2">
      <c r="A54" s="1">
        <v>45944</v>
      </c>
      <c r="B54" t="s">
        <v>326</v>
      </c>
      <c r="C54" t="s">
        <v>20</v>
      </c>
      <c r="D54" t="s">
        <v>16</v>
      </c>
      <c r="E54" t="s">
        <v>564</v>
      </c>
      <c r="F54" t="s">
        <v>20</v>
      </c>
      <c r="G54">
        <v>2</v>
      </c>
      <c r="H54">
        <v>3</v>
      </c>
      <c r="I54" s="13">
        <v>0.6</v>
      </c>
      <c r="J54" t="s">
        <v>249</v>
      </c>
      <c r="L54" t="s">
        <v>248</v>
      </c>
      <c r="M54" t="s">
        <v>510</v>
      </c>
      <c r="N54" t="s">
        <v>20</v>
      </c>
      <c r="O54">
        <v>2</v>
      </c>
      <c r="P54">
        <v>3</v>
      </c>
      <c r="Q54" s="13">
        <v>0.55007697058911142</v>
      </c>
      <c r="R54" t="s">
        <v>249</v>
      </c>
      <c r="S54">
        <v>-0.77143969980082194</v>
      </c>
      <c r="T54" t="s">
        <v>248</v>
      </c>
      <c r="U54" t="s">
        <v>20</v>
      </c>
      <c r="V54">
        <v>4</v>
      </c>
      <c r="W54">
        <v>2</v>
      </c>
      <c r="X54" t="s">
        <v>490</v>
      </c>
      <c r="Y54" t="s">
        <v>292</v>
      </c>
      <c r="Z54" t="s">
        <v>60</v>
      </c>
      <c r="AA54" t="s">
        <v>491</v>
      </c>
    </row>
    <row r="55" spans="1:27" x14ac:dyDescent="0.2">
      <c r="A55" s="1">
        <v>45944</v>
      </c>
      <c r="B55" t="s">
        <v>426</v>
      </c>
      <c r="C55" t="s">
        <v>34</v>
      </c>
      <c r="D55" t="s">
        <v>39</v>
      </c>
      <c r="E55" t="s">
        <v>565</v>
      </c>
      <c r="F55" t="s">
        <v>39</v>
      </c>
      <c r="G55">
        <v>2</v>
      </c>
      <c r="H55">
        <v>3</v>
      </c>
      <c r="I55" s="13">
        <v>0.6</v>
      </c>
      <c r="J55" t="s">
        <v>249</v>
      </c>
      <c r="L55" t="s">
        <v>248</v>
      </c>
      <c r="M55" t="s">
        <v>398</v>
      </c>
      <c r="N55" t="s">
        <v>39</v>
      </c>
      <c r="O55">
        <v>2</v>
      </c>
      <c r="P55">
        <v>3</v>
      </c>
      <c r="Q55" s="13">
        <v>0.5906592774329128</v>
      </c>
      <c r="R55" t="s">
        <v>249</v>
      </c>
      <c r="S55">
        <v>0.51846803822776111</v>
      </c>
      <c r="T55" t="s">
        <v>248</v>
      </c>
      <c r="U55" t="s">
        <v>39</v>
      </c>
      <c r="V55">
        <v>2</v>
      </c>
      <c r="W55">
        <v>5</v>
      </c>
      <c r="X55" t="s">
        <v>490</v>
      </c>
      <c r="Y55" t="s">
        <v>292</v>
      </c>
      <c r="Z55" t="s">
        <v>60</v>
      </c>
      <c r="AA55" t="s">
        <v>491</v>
      </c>
    </row>
    <row r="56" spans="1:27" x14ac:dyDescent="0.2">
      <c r="A56" s="1">
        <v>45944</v>
      </c>
      <c r="B56" t="s">
        <v>340</v>
      </c>
      <c r="C56" t="s">
        <v>14</v>
      </c>
      <c r="D56" t="s">
        <v>31</v>
      </c>
      <c r="E56" t="s">
        <v>566</v>
      </c>
      <c r="F56" t="s">
        <v>31</v>
      </c>
      <c r="G56">
        <v>2</v>
      </c>
      <c r="H56">
        <v>3</v>
      </c>
      <c r="I56" s="13">
        <v>0.6</v>
      </c>
      <c r="J56" t="s">
        <v>249</v>
      </c>
      <c r="L56" t="s">
        <v>248</v>
      </c>
      <c r="M56" t="s">
        <v>291</v>
      </c>
      <c r="N56" t="s">
        <v>31</v>
      </c>
      <c r="O56">
        <v>2</v>
      </c>
      <c r="P56">
        <v>3</v>
      </c>
      <c r="Q56" s="13">
        <v>0.62539386396399976</v>
      </c>
      <c r="R56" t="s">
        <v>249</v>
      </c>
      <c r="S56">
        <v>0.37086799232791878</v>
      </c>
      <c r="T56" t="s">
        <v>248</v>
      </c>
      <c r="U56" t="s">
        <v>31</v>
      </c>
      <c r="V56">
        <v>3</v>
      </c>
      <c r="W56">
        <v>4</v>
      </c>
      <c r="X56" t="s">
        <v>490</v>
      </c>
      <c r="Y56" t="s">
        <v>292</v>
      </c>
      <c r="Z56" t="s">
        <v>60</v>
      </c>
      <c r="AA56" t="s">
        <v>491</v>
      </c>
    </row>
    <row r="57" spans="1:27" x14ac:dyDescent="0.2">
      <c r="A57" s="1">
        <v>45944</v>
      </c>
      <c r="B57" t="s">
        <v>328</v>
      </c>
      <c r="C57" t="s">
        <v>32</v>
      </c>
      <c r="D57" t="s">
        <v>18</v>
      </c>
      <c r="E57" t="s">
        <v>567</v>
      </c>
      <c r="F57" t="s">
        <v>18</v>
      </c>
      <c r="G57">
        <v>2</v>
      </c>
      <c r="H57">
        <v>3</v>
      </c>
      <c r="I57" s="13">
        <v>0.6</v>
      </c>
      <c r="J57" t="s">
        <v>249</v>
      </c>
      <c r="L57" t="s">
        <v>248</v>
      </c>
      <c r="M57" t="s">
        <v>360</v>
      </c>
      <c r="N57" t="s">
        <v>18</v>
      </c>
      <c r="O57">
        <v>2</v>
      </c>
      <c r="P57">
        <v>3</v>
      </c>
      <c r="Q57" s="13">
        <v>0.55242241073459541</v>
      </c>
      <c r="R57" t="s">
        <v>249</v>
      </c>
      <c r="S57">
        <v>0.10638835592742719</v>
      </c>
      <c r="T57" t="s">
        <v>248</v>
      </c>
      <c r="U57" t="s">
        <v>18</v>
      </c>
      <c r="V57">
        <v>4</v>
      </c>
      <c r="W57">
        <v>5</v>
      </c>
      <c r="X57" t="s">
        <v>496</v>
      </c>
      <c r="Y57" t="s">
        <v>292</v>
      </c>
      <c r="Z57" t="s">
        <v>60</v>
      </c>
      <c r="AA57" t="s">
        <v>491</v>
      </c>
    </row>
    <row r="58" spans="1:27" x14ac:dyDescent="0.2">
      <c r="A58" s="1">
        <v>45945</v>
      </c>
      <c r="B58" t="s">
        <v>426</v>
      </c>
      <c r="C58" t="s">
        <v>10</v>
      </c>
      <c r="D58" t="s">
        <v>35</v>
      </c>
      <c r="E58" t="s">
        <v>568</v>
      </c>
      <c r="F58" t="s">
        <v>10</v>
      </c>
      <c r="G58">
        <v>2</v>
      </c>
      <c r="H58">
        <v>3</v>
      </c>
      <c r="I58" s="13">
        <v>0.6</v>
      </c>
      <c r="J58" t="s">
        <v>249</v>
      </c>
      <c r="L58" t="s">
        <v>248</v>
      </c>
      <c r="M58" t="s">
        <v>303</v>
      </c>
      <c r="N58" t="s">
        <v>10</v>
      </c>
      <c r="O58">
        <v>2</v>
      </c>
      <c r="P58">
        <v>3</v>
      </c>
      <c r="Q58" s="13">
        <v>0.59642576877361209</v>
      </c>
      <c r="R58" t="s">
        <v>249</v>
      </c>
      <c r="S58">
        <v>-1.1683813678402459</v>
      </c>
      <c r="T58" t="s">
        <v>248</v>
      </c>
      <c r="U58" t="s">
        <v>10</v>
      </c>
      <c r="V58">
        <v>8</v>
      </c>
      <c r="W58">
        <v>3</v>
      </c>
      <c r="X58" t="s">
        <v>490</v>
      </c>
      <c r="Y58" t="s">
        <v>292</v>
      </c>
      <c r="Z58" t="s">
        <v>60</v>
      </c>
      <c r="AA58" t="s">
        <v>491</v>
      </c>
    </row>
    <row r="59" spans="1:27" x14ac:dyDescent="0.2">
      <c r="A59" s="1">
        <v>45945</v>
      </c>
      <c r="B59" t="s">
        <v>426</v>
      </c>
      <c r="C59" t="s">
        <v>16</v>
      </c>
      <c r="D59" t="s">
        <v>55</v>
      </c>
      <c r="E59" t="s">
        <v>569</v>
      </c>
      <c r="F59" t="s">
        <v>55</v>
      </c>
      <c r="G59">
        <v>2</v>
      </c>
      <c r="H59">
        <v>3</v>
      </c>
      <c r="I59" s="13">
        <v>0.6</v>
      </c>
      <c r="J59" t="s">
        <v>249</v>
      </c>
      <c r="L59" t="s">
        <v>248</v>
      </c>
      <c r="M59" t="s">
        <v>362</v>
      </c>
      <c r="N59" t="s">
        <v>55</v>
      </c>
      <c r="O59">
        <v>2</v>
      </c>
      <c r="P59">
        <v>3</v>
      </c>
      <c r="Q59" s="13">
        <v>0.66363292683452446</v>
      </c>
      <c r="R59" t="s">
        <v>249</v>
      </c>
      <c r="S59">
        <v>0.71255873894660082</v>
      </c>
      <c r="T59" t="s">
        <v>248</v>
      </c>
      <c r="U59" t="s">
        <v>55</v>
      </c>
      <c r="V59">
        <v>1</v>
      </c>
      <c r="W59">
        <v>3</v>
      </c>
      <c r="X59" t="s">
        <v>490</v>
      </c>
      <c r="Y59" t="s">
        <v>292</v>
      </c>
      <c r="Z59" t="s">
        <v>60</v>
      </c>
      <c r="AA59" t="s">
        <v>491</v>
      </c>
    </row>
    <row r="60" spans="1:27" x14ac:dyDescent="0.2">
      <c r="A60" s="1">
        <v>45945</v>
      </c>
      <c r="B60" t="s">
        <v>328</v>
      </c>
      <c r="C60" t="s">
        <v>36</v>
      </c>
      <c r="D60" t="s">
        <v>23</v>
      </c>
      <c r="E60" t="s">
        <v>570</v>
      </c>
      <c r="F60" t="s">
        <v>23</v>
      </c>
      <c r="G60">
        <v>2</v>
      </c>
      <c r="H60">
        <v>3</v>
      </c>
      <c r="I60" s="13">
        <v>0.6</v>
      </c>
      <c r="J60" t="s">
        <v>249</v>
      </c>
      <c r="L60" t="s">
        <v>248</v>
      </c>
      <c r="M60" t="s">
        <v>296</v>
      </c>
      <c r="N60" t="s">
        <v>23</v>
      </c>
      <c r="O60">
        <v>2</v>
      </c>
      <c r="P60">
        <v>3</v>
      </c>
      <c r="Q60" s="13">
        <v>0.56240197453604368</v>
      </c>
      <c r="R60" t="s">
        <v>249</v>
      </c>
      <c r="S60">
        <v>0.10516636404741141</v>
      </c>
      <c r="T60" t="s">
        <v>248</v>
      </c>
      <c r="U60" t="s">
        <v>23</v>
      </c>
      <c r="V60">
        <v>4</v>
      </c>
      <c r="W60">
        <v>8</v>
      </c>
      <c r="X60" t="s">
        <v>490</v>
      </c>
      <c r="Y60" t="s">
        <v>292</v>
      </c>
      <c r="Z60" t="s">
        <v>60</v>
      </c>
      <c r="AA60" t="s">
        <v>491</v>
      </c>
    </row>
    <row r="61" spans="1:27" x14ac:dyDescent="0.2">
      <c r="A61" s="1">
        <v>45945</v>
      </c>
      <c r="B61" t="s">
        <v>328</v>
      </c>
      <c r="C61" t="s">
        <v>11</v>
      </c>
      <c r="D61" t="s">
        <v>26</v>
      </c>
      <c r="E61" t="s">
        <v>571</v>
      </c>
      <c r="F61" t="s">
        <v>11</v>
      </c>
      <c r="G61">
        <v>2</v>
      </c>
      <c r="H61">
        <v>3</v>
      </c>
      <c r="I61" s="13">
        <v>0.6</v>
      </c>
      <c r="J61" t="s">
        <v>249</v>
      </c>
      <c r="L61" t="s">
        <v>249</v>
      </c>
      <c r="M61" t="s">
        <v>572</v>
      </c>
      <c r="N61" t="s">
        <v>11</v>
      </c>
      <c r="O61">
        <v>2</v>
      </c>
      <c r="P61">
        <v>3</v>
      </c>
      <c r="Q61" s="13">
        <v>0.51001274285878251</v>
      </c>
      <c r="R61" t="s">
        <v>249</v>
      </c>
      <c r="S61">
        <v>-0.42832052504504048</v>
      </c>
      <c r="T61" t="s">
        <v>249</v>
      </c>
      <c r="U61" t="s">
        <v>26</v>
      </c>
      <c r="V61">
        <v>1</v>
      </c>
      <c r="W61">
        <v>4</v>
      </c>
      <c r="X61" t="s">
        <v>490</v>
      </c>
      <c r="Y61" t="s">
        <v>292</v>
      </c>
      <c r="Z61" t="s">
        <v>60</v>
      </c>
      <c r="AA61" t="s">
        <v>491</v>
      </c>
    </row>
    <row r="62" spans="1:27" x14ac:dyDescent="0.2">
      <c r="A62" s="1">
        <v>45946</v>
      </c>
      <c r="B62" t="s">
        <v>328</v>
      </c>
      <c r="C62" t="s">
        <v>12</v>
      </c>
      <c r="D62" t="s">
        <v>28</v>
      </c>
      <c r="E62" t="s">
        <v>573</v>
      </c>
      <c r="F62" t="s">
        <v>12</v>
      </c>
      <c r="G62">
        <v>2</v>
      </c>
      <c r="H62">
        <v>3</v>
      </c>
      <c r="I62" s="13">
        <v>0.6</v>
      </c>
      <c r="J62" t="s">
        <v>249</v>
      </c>
      <c r="L62" t="s">
        <v>248</v>
      </c>
      <c r="M62" t="s">
        <v>361</v>
      </c>
      <c r="N62" t="s">
        <v>12</v>
      </c>
      <c r="O62">
        <v>2</v>
      </c>
      <c r="P62">
        <v>3</v>
      </c>
      <c r="Q62" s="13">
        <v>0.78681915186374829</v>
      </c>
      <c r="R62" t="s">
        <v>249</v>
      </c>
      <c r="S62">
        <v>-2.1769923138543539</v>
      </c>
      <c r="T62" t="s">
        <v>248</v>
      </c>
      <c r="U62" t="s">
        <v>12</v>
      </c>
      <c r="V62">
        <v>4</v>
      </c>
      <c r="W62">
        <v>1</v>
      </c>
      <c r="X62" t="s">
        <v>490</v>
      </c>
      <c r="Y62" t="s">
        <v>292</v>
      </c>
      <c r="Z62" t="s">
        <v>60</v>
      </c>
      <c r="AA62" t="s">
        <v>491</v>
      </c>
    </row>
    <row r="63" spans="1:27" x14ac:dyDescent="0.2">
      <c r="A63" s="1">
        <v>45946</v>
      </c>
      <c r="B63" t="s">
        <v>324</v>
      </c>
      <c r="C63" t="s">
        <v>38</v>
      </c>
      <c r="D63" t="s">
        <v>39</v>
      </c>
      <c r="E63" t="s">
        <v>574</v>
      </c>
      <c r="F63" t="s">
        <v>39</v>
      </c>
      <c r="G63">
        <v>2</v>
      </c>
      <c r="H63">
        <v>3</v>
      </c>
      <c r="I63" s="13">
        <v>0.6</v>
      </c>
      <c r="J63" t="s">
        <v>249</v>
      </c>
      <c r="L63" t="s">
        <v>249</v>
      </c>
      <c r="M63" t="s">
        <v>575</v>
      </c>
      <c r="N63" t="s">
        <v>39</v>
      </c>
      <c r="O63">
        <v>2</v>
      </c>
      <c r="P63">
        <v>3</v>
      </c>
      <c r="Q63" s="13">
        <v>0.73347790676820435</v>
      </c>
      <c r="R63" t="s">
        <v>249</v>
      </c>
      <c r="S63">
        <v>1.411021005889086</v>
      </c>
      <c r="T63" t="s">
        <v>249</v>
      </c>
      <c r="U63" t="s">
        <v>38</v>
      </c>
      <c r="V63">
        <v>5</v>
      </c>
      <c r="W63">
        <v>3</v>
      </c>
      <c r="X63" t="s">
        <v>490</v>
      </c>
      <c r="Y63" t="s">
        <v>292</v>
      </c>
      <c r="Z63" t="s">
        <v>60</v>
      </c>
      <c r="AA63" t="s">
        <v>491</v>
      </c>
    </row>
    <row r="64" spans="1:27" x14ac:dyDescent="0.2">
      <c r="A64" s="1">
        <v>45946</v>
      </c>
      <c r="B64" t="s">
        <v>322</v>
      </c>
      <c r="C64" t="s">
        <v>21</v>
      </c>
      <c r="D64" t="s">
        <v>20</v>
      </c>
      <c r="E64" t="s">
        <v>576</v>
      </c>
      <c r="F64" t="s">
        <v>20</v>
      </c>
      <c r="G64">
        <v>2</v>
      </c>
      <c r="H64">
        <v>3</v>
      </c>
      <c r="I64" s="13">
        <v>0.6</v>
      </c>
      <c r="J64" t="s">
        <v>249</v>
      </c>
      <c r="L64" t="s">
        <v>248</v>
      </c>
      <c r="M64" t="s">
        <v>510</v>
      </c>
      <c r="N64" t="s">
        <v>20</v>
      </c>
      <c r="O64">
        <v>2</v>
      </c>
      <c r="P64">
        <v>3</v>
      </c>
      <c r="Q64" s="13">
        <v>0.5421164443050468</v>
      </c>
      <c r="R64" t="s">
        <v>249</v>
      </c>
      <c r="S64">
        <v>2.5229679050257602E-2</v>
      </c>
      <c r="T64" t="s">
        <v>248</v>
      </c>
      <c r="U64" t="s">
        <v>20</v>
      </c>
      <c r="V64">
        <v>5</v>
      </c>
      <c r="W64">
        <v>6</v>
      </c>
      <c r="X64" t="s">
        <v>490</v>
      </c>
      <c r="Y64" t="s">
        <v>292</v>
      </c>
      <c r="Z64" t="s">
        <v>60</v>
      </c>
      <c r="AA64" t="s">
        <v>491</v>
      </c>
    </row>
    <row r="65" spans="1:27" x14ac:dyDescent="0.2">
      <c r="A65" s="1">
        <v>45946</v>
      </c>
      <c r="B65" t="s">
        <v>328</v>
      </c>
      <c r="C65" t="s">
        <v>29</v>
      </c>
      <c r="D65" t="s">
        <v>18</v>
      </c>
      <c r="E65" t="s">
        <v>577</v>
      </c>
      <c r="F65" t="s">
        <v>18</v>
      </c>
      <c r="G65">
        <v>2</v>
      </c>
      <c r="H65">
        <v>3</v>
      </c>
      <c r="I65" s="13">
        <v>0.6</v>
      </c>
      <c r="J65" t="s">
        <v>249</v>
      </c>
      <c r="L65" t="s">
        <v>248</v>
      </c>
      <c r="M65" t="s">
        <v>360</v>
      </c>
      <c r="N65" t="s">
        <v>18</v>
      </c>
      <c r="O65">
        <v>2</v>
      </c>
      <c r="P65">
        <v>3</v>
      </c>
      <c r="Q65" s="13">
        <v>0.63830756719703108</v>
      </c>
      <c r="R65" t="s">
        <v>249</v>
      </c>
      <c r="S65">
        <v>0.84192840445939821</v>
      </c>
      <c r="T65" t="s">
        <v>248</v>
      </c>
      <c r="U65" t="s">
        <v>18</v>
      </c>
      <c r="V65">
        <v>2</v>
      </c>
      <c r="W65">
        <v>3</v>
      </c>
      <c r="X65" t="s">
        <v>496</v>
      </c>
      <c r="Y65" t="s">
        <v>292</v>
      </c>
      <c r="Z65" t="s">
        <v>60</v>
      </c>
      <c r="AA65" t="s">
        <v>491</v>
      </c>
    </row>
    <row r="66" spans="1:27" x14ac:dyDescent="0.2">
      <c r="A66" s="1">
        <v>45946</v>
      </c>
      <c r="B66" t="s">
        <v>328</v>
      </c>
      <c r="C66" t="s">
        <v>11</v>
      </c>
      <c r="D66" t="s">
        <v>24</v>
      </c>
      <c r="E66" t="s">
        <v>578</v>
      </c>
      <c r="F66" t="s">
        <v>24</v>
      </c>
      <c r="G66">
        <v>2</v>
      </c>
      <c r="H66">
        <v>3</v>
      </c>
      <c r="I66" s="13">
        <v>0.6</v>
      </c>
      <c r="J66" t="s">
        <v>249</v>
      </c>
      <c r="L66" t="s">
        <v>248</v>
      </c>
      <c r="M66" t="s">
        <v>449</v>
      </c>
      <c r="N66" t="s">
        <v>24</v>
      </c>
      <c r="O66">
        <v>2</v>
      </c>
      <c r="P66">
        <v>3</v>
      </c>
      <c r="Q66" s="13">
        <v>0.67220946055413056</v>
      </c>
      <c r="R66" t="s">
        <v>249</v>
      </c>
      <c r="S66">
        <v>0.44854929075187328</v>
      </c>
      <c r="T66" t="s">
        <v>248</v>
      </c>
      <c r="U66" t="s">
        <v>24</v>
      </c>
      <c r="V66">
        <v>1</v>
      </c>
      <c r="W66">
        <v>3</v>
      </c>
      <c r="X66" t="s">
        <v>490</v>
      </c>
      <c r="Y66" t="s">
        <v>292</v>
      </c>
      <c r="Z66" t="s">
        <v>60</v>
      </c>
      <c r="AA66" t="s">
        <v>491</v>
      </c>
    </row>
    <row r="67" spans="1:27" x14ac:dyDescent="0.2">
      <c r="A67" s="1">
        <v>45946</v>
      </c>
      <c r="B67" t="s">
        <v>334</v>
      </c>
      <c r="C67" t="s">
        <v>17</v>
      </c>
      <c r="D67" t="s">
        <v>30</v>
      </c>
      <c r="E67" t="s">
        <v>579</v>
      </c>
      <c r="F67" t="s">
        <v>30</v>
      </c>
      <c r="G67">
        <v>2</v>
      </c>
      <c r="H67">
        <v>3</v>
      </c>
      <c r="I67" s="13">
        <v>0.6</v>
      </c>
      <c r="J67" t="s">
        <v>249</v>
      </c>
      <c r="L67" t="s">
        <v>248</v>
      </c>
      <c r="M67" t="s">
        <v>580</v>
      </c>
      <c r="N67" t="s">
        <v>30</v>
      </c>
      <c r="O67">
        <v>2</v>
      </c>
      <c r="P67">
        <v>3</v>
      </c>
      <c r="Q67" s="13">
        <v>0.61317827444461348</v>
      </c>
      <c r="R67" t="s">
        <v>249</v>
      </c>
      <c r="S67">
        <v>0.62671541571935152</v>
      </c>
      <c r="T67" t="s">
        <v>248</v>
      </c>
      <c r="U67" t="s">
        <v>30</v>
      </c>
      <c r="V67">
        <v>2</v>
      </c>
      <c r="W67">
        <v>4</v>
      </c>
      <c r="X67" t="s">
        <v>490</v>
      </c>
      <c r="Y67" t="s">
        <v>292</v>
      </c>
      <c r="Z67" t="s">
        <v>60</v>
      </c>
      <c r="AA67" t="s">
        <v>491</v>
      </c>
    </row>
    <row r="68" spans="1:27" x14ac:dyDescent="0.2">
      <c r="A68" s="1">
        <v>45946</v>
      </c>
      <c r="B68" t="s">
        <v>328</v>
      </c>
      <c r="C68" t="s">
        <v>32</v>
      </c>
      <c r="D68" t="s">
        <v>36</v>
      </c>
      <c r="E68" t="s">
        <v>581</v>
      </c>
      <c r="F68" t="s">
        <v>36</v>
      </c>
      <c r="G68">
        <v>2</v>
      </c>
      <c r="H68">
        <v>3</v>
      </c>
      <c r="I68" s="13">
        <v>0.6</v>
      </c>
      <c r="J68" t="s">
        <v>249</v>
      </c>
      <c r="L68" t="s">
        <v>248</v>
      </c>
      <c r="M68" t="s">
        <v>582</v>
      </c>
      <c r="N68" t="s">
        <v>36</v>
      </c>
      <c r="O68">
        <v>2</v>
      </c>
      <c r="P68">
        <v>3</v>
      </c>
      <c r="Q68" s="13">
        <v>0.56210050797704114</v>
      </c>
      <c r="R68" t="s">
        <v>249</v>
      </c>
      <c r="S68">
        <v>0.16790193333641379</v>
      </c>
      <c r="T68" t="s">
        <v>248</v>
      </c>
      <c r="U68" t="s">
        <v>36</v>
      </c>
      <c r="V68">
        <v>3</v>
      </c>
      <c r="W68">
        <v>4</v>
      </c>
      <c r="X68" t="s">
        <v>496</v>
      </c>
      <c r="Y68" t="s">
        <v>292</v>
      </c>
      <c r="Z68" t="s">
        <v>60</v>
      </c>
      <c r="AA68" t="s">
        <v>491</v>
      </c>
    </row>
    <row r="69" spans="1:27" x14ac:dyDescent="0.2">
      <c r="A69" s="1">
        <v>45946</v>
      </c>
      <c r="B69" t="s">
        <v>328</v>
      </c>
      <c r="C69" t="s">
        <v>40</v>
      </c>
      <c r="D69" t="s">
        <v>27</v>
      </c>
      <c r="E69" t="s">
        <v>583</v>
      </c>
      <c r="F69" t="s">
        <v>40</v>
      </c>
      <c r="G69">
        <v>2</v>
      </c>
      <c r="H69">
        <v>3</v>
      </c>
      <c r="I69" s="13">
        <v>0.6</v>
      </c>
      <c r="J69" t="s">
        <v>249</v>
      </c>
      <c r="L69" t="s">
        <v>248</v>
      </c>
      <c r="M69" t="s">
        <v>315</v>
      </c>
      <c r="N69" t="s">
        <v>40</v>
      </c>
      <c r="O69">
        <v>2</v>
      </c>
      <c r="P69">
        <v>3</v>
      </c>
      <c r="Q69" s="13">
        <v>0.46866299501147912</v>
      </c>
      <c r="R69" t="s">
        <v>249</v>
      </c>
      <c r="S69">
        <v>-1.7097010800361901E-2</v>
      </c>
      <c r="T69" t="s">
        <v>248</v>
      </c>
      <c r="U69" t="s">
        <v>40</v>
      </c>
      <c r="V69">
        <v>5</v>
      </c>
      <c r="W69">
        <v>2</v>
      </c>
      <c r="X69" t="s">
        <v>490</v>
      </c>
      <c r="Y69" t="s">
        <v>292</v>
      </c>
      <c r="Z69" t="s">
        <v>60</v>
      </c>
      <c r="AA69" t="s">
        <v>491</v>
      </c>
    </row>
    <row r="70" spans="1:27" x14ac:dyDescent="0.2">
      <c r="A70" s="1">
        <v>45946</v>
      </c>
      <c r="B70" t="s">
        <v>328</v>
      </c>
      <c r="C70" t="s">
        <v>15</v>
      </c>
      <c r="D70" t="s">
        <v>19</v>
      </c>
      <c r="E70" t="s">
        <v>584</v>
      </c>
      <c r="F70" t="s">
        <v>15</v>
      </c>
      <c r="G70">
        <v>2</v>
      </c>
      <c r="H70">
        <v>3</v>
      </c>
      <c r="I70" s="13">
        <v>0.6</v>
      </c>
      <c r="J70" t="s">
        <v>249</v>
      </c>
      <c r="L70" t="s">
        <v>249</v>
      </c>
      <c r="M70" t="s">
        <v>585</v>
      </c>
      <c r="N70" t="s">
        <v>15</v>
      </c>
      <c r="O70">
        <v>2</v>
      </c>
      <c r="P70">
        <v>3</v>
      </c>
      <c r="Q70" s="13">
        <v>0.59447380896340563</v>
      </c>
      <c r="R70" t="s">
        <v>249</v>
      </c>
      <c r="S70">
        <v>-0.29454385791187548</v>
      </c>
      <c r="T70" t="s">
        <v>249</v>
      </c>
      <c r="U70" t="s">
        <v>19</v>
      </c>
      <c r="V70">
        <v>1</v>
      </c>
      <c r="W70">
        <v>2</v>
      </c>
      <c r="X70" t="s">
        <v>496</v>
      </c>
      <c r="Y70" t="s">
        <v>292</v>
      </c>
      <c r="Z70" t="s">
        <v>60</v>
      </c>
      <c r="AA70" t="s">
        <v>491</v>
      </c>
    </row>
    <row r="71" spans="1:27" x14ac:dyDescent="0.2">
      <c r="A71" s="1">
        <v>45946</v>
      </c>
      <c r="B71" t="s">
        <v>322</v>
      </c>
      <c r="C71" t="s">
        <v>14</v>
      </c>
      <c r="D71" t="s">
        <v>13</v>
      </c>
      <c r="E71" t="s">
        <v>586</v>
      </c>
      <c r="F71" t="s">
        <v>14</v>
      </c>
      <c r="G71">
        <v>2</v>
      </c>
      <c r="H71">
        <v>3</v>
      </c>
      <c r="I71" s="13">
        <v>0.6</v>
      </c>
      <c r="J71" t="s">
        <v>249</v>
      </c>
      <c r="L71" t="s">
        <v>248</v>
      </c>
      <c r="M71" t="s">
        <v>451</v>
      </c>
      <c r="N71" t="s">
        <v>14</v>
      </c>
      <c r="O71">
        <v>2</v>
      </c>
      <c r="P71">
        <v>3</v>
      </c>
      <c r="Q71" s="13">
        <v>0.51634823963628218</v>
      </c>
      <c r="R71" t="s">
        <v>249</v>
      </c>
      <c r="S71">
        <v>-0.14611862818856119</v>
      </c>
      <c r="T71" t="s">
        <v>248</v>
      </c>
      <c r="U71" t="s">
        <v>14</v>
      </c>
      <c r="V71">
        <v>4</v>
      </c>
      <c r="W71">
        <v>2</v>
      </c>
      <c r="X71" t="s">
        <v>490</v>
      </c>
      <c r="Y71" t="s">
        <v>292</v>
      </c>
      <c r="Z71" t="s">
        <v>60</v>
      </c>
      <c r="AA71" t="s">
        <v>491</v>
      </c>
    </row>
    <row r="72" spans="1:27" x14ac:dyDescent="0.2">
      <c r="A72" s="1">
        <v>45946</v>
      </c>
      <c r="B72" t="s">
        <v>322</v>
      </c>
      <c r="C72" t="s">
        <v>25</v>
      </c>
      <c r="D72" t="s">
        <v>31</v>
      </c>
      <c r="E72" t="s">
        <v>587</v>
      </c>
      <c r="F72" t="s">
        <v>25</v>
      </c>
      <c r="G72">
        <v>2</v>
      </c>
      <c r="H72">
        <v>3</v>
      </c>
      <c r="I72" s="13">
        <v>0.6</v>
      </c>
      <c r="J72" t="s">
        <v>249</v>
      </c>
      <c r="L72" t="s">
        <v>248</v>
      </c>
      <c r="M72" t="s">
        <v>450</v>
      </c>
      <c r="N72" t="s">
        <v>25</v>
      </c>
      <c r="O72">
        <v>2</v>
      </c>
      <c r="P72">
        <v>3</v>
      </c>
      <c r="Q72" s="13">
        <v>0.47371521596449112</v>
      </c>
      <c r="R72" t="s">
        <v>249</v>
      </c>
      <c r="S72">
        <v>-0.1970713665661239</v>
      </c>
      <c r="T72" t="s">
        <v>248</v>
      </c>
      <c r="U72" t="s">
        <v>25</v>
      </c>
      <c r="V72">
        <v>4</v>
      </c>
      <c r="W72">
        <v>1</v>
      </c>
      <c r="X72" t="s">
        <v>490</v>
      </c>
      <c r="Y72" t="s">
        <v>292</v>
      </c>
      <c r="Z72" t="s">
        <v>60</v>
      </c>
      <c r="AA72" t="s">
        <v>491</v>
      </c>
    </row>
    <row r="73" spans="1:27" x14ac:dyDescent="0.2">
      <c r="A73" s="1">
        <v>45947</v>
      </c>
      <c r="B73" t="s">
        <v>416</v>
      </c>
      <c r="C73" t="s">
        <v>38</v>
      </c>
      <c r="D73" t="s">
        <v>10</v>
      </c>
      <c r="E73" t="s">
        <v>588</v>
      </c>
      <c r="F73" t="s">
        <v>10</v>
      </c>
      <c r="G73">
        <v>2</v>
      </c>
      <c r="H73">
        <v>3</v>
      </c>
      <c r="I73" s="13">
        <v>0.6</v>
      </c>
      <c r="J73" t="s">
        <v>249</v>
      </c>
      <c r="L73" t="s">
        <v>249</v>
      </c>
      <c r="M73" t="s">
        <v>589</v>
      </c>
      <c r="N73" t="s">
        <v>10</v>
      </c>
      <c r="O73">
        <v>2</v>
      </c>
      <c r="P73">
        <v>3</v>
      </c>
      <c r="Q73" s="13">
        <v>0.63233234134958161</v>
      </c>
      <c r="R73" t="s">
        <v>249</v>
      </c>
      <c r="S73">
        <v>0.82138224884965294</v>
      </c>
      <c r="T73" t="s">
        <v>249</v>
      </c>
      <c r="U73" t="s">
        <v>38</v>
      </c>
      <c r="V73">
        <v>3</v>
      </c>
      <c r="W73">
        <v>2</v>
      </c>
      <c r="X73" t="s">
        <v>496</v>
      </c>
      <c r="Y73" t="s">
        <v>292</v>
      </c>
      <c r="Z73" t="s">
        <v>60</v>
      </c>
      <c r="AA73" t="s">
        <v>491</v>
      </c>
    </row>
    <row r="74" spans="1:27" x14ac:dyDescent="0.2">
      <c r="A74" s="1">
        <v>45947</v>
      </c>
      <c r="B74" t="s">
        <v>328</v>
      </c>
      <c r="C74" t="s">
        <v>34</v>
      </c>
      <c r="D74" t="s">
        <v>22</v>
      </c>
      <c r="E74" t="s">
        <v>590</v>
      </c>
      <c r="F74" t="s">
        <v>22</v>
      </c>
      <c r="G74">
        <v>2</v>
      </c>
      <c r="H74">
        <v>3</v>
      </c>
      <c r="I74" s="13">
        <v>0.6</v>
      </c>
      <c r="J74" t="s">
        <v>249</v>
      </c>
      <c r="L74" t="s">
        <v>248</v>
      </c>
      <c r="M74" t="s">
        <v>321</v>
      </c>
      <c r="N74" t="s">
        <v>22</v>
      </c>
      <c r="O74">
        <v>2</v>
      </c>
      <c r="P74">
        <v>3</v>
      </c>
      <c r="Q74" s="13">
        <v>0.58753187905752657</v>
      </c>
      <c r="R74" t="s">
        <v>249</v>
      </c>
      <c r="S74">
        <v>0.54573276922639824</v>
      </c>
      <c r="T74" t="s">
        <v>248</v>
      </c>
      <c r="U74" t="s">
        <v>22</v>
      </c>
      <c r="V74">
        <v>1</v>
      </c>
      <c r="W74">
        <v>5</v>
      </c>
      <c r="X74" t="s">
        <v>490</v>
      </c>
      <c r="Y74" t="s">
        <v>292</v>
      </c>
      <c r="Z74" t="s">
        <v>60</v>
      </c>
      <c r="AA74" t="s">
        <v>491</v>
      </c>
    </row>
    <row r="75" spans="1:27" x14ac:dyDescent="0.2">
      <c r="A75" s="1">
        <v>45947</v>
      </c>
      <c r="B75" t="s">
        <v>326</v>
      </c>
      <c r="C75" t="s">
        <v>33</v>
      </c>
      <c r="D75" t="s">
        <v>55</v>
      </c>
      <c r="E75" t="s">
        <v>591</v>
      </c>
      <c r="F75" t="s">
        <v>55</v>
      </c>
      <c r="G75">
        <v>2</v>
      </c>
      <c r="H75">
        <v>3</v>
      </c>
      <c r="I75" s="13">
        <v>0.6</v>
      </c>
      <c r="J75" t="s">
        <v>249</v>
      </c>
      <c r="L75" t="s">
        <v>248</v>
      </c>
      <c r="M75" t="s">
        <v>362</v>
      </c>
      <c r="N75" t="s">
        <v>55</v>
      </c>
      <c r="O75">
        <v>2</v>
      </c>
      <c r="P75">
        <v>3</v>
      </c>
      <c r="Q75" s="13">
        <v>0.59188678722769805</v>
      </c>
      <c r="R75" t="s">
        <v>249</v>
      </c>
      <c r="S75">
        <v>9.8108452284223296E-2</v>
      </c>
      <c r="T75" t="s">
        <v>248</v>
      </c>
      <c r="U75" t="s">
        <v>55</v>
      </c>
      <c r="V75">
        <v>3</v>
      </c>
      <c r="W75">
        <v>6</v>
      </c>
      <c r="X75" t="s">
        <v>490</v>
      </c>
      <c r="Y75" t="s">
        <v>292</v>
      </c>
      <c r="Z75" t="s">
        <v>60</v>
      </c>
      <c r="AA75" t="s">
        <v>491</v>
      </c>
    </row>
    <row r="76" spans="1:27" x14ac:dyDescent="0.2">
      <c r="A76" s="1">
        <v>45947</v>
      </c>
      <c r="B76" t="s">
        <v>328</v>
      </c>
      <c r="C76" t="s">
        <v>37</v>
      </c>
      <c r="D76" t="s">
        <v>26</v>
      </c>
      <c r="E76" t="s">
        <v>440</v>
      </c>
      <c r="F76" t="s">
        <v>37</v>
      </c>
      <c r="G76">
        <v>2</v>
      </c>
      <c r="H76">
        <v>3</v>
      </c>
      <c r="I76" s="13">
        <v>0.6</v>
      </c>
      <c r="J76" t="s">
        <v>249</v>
      </c>
      <c r="L76" t="s">
        <v>249</v>
      </c>
      <c r="M76" t="s">
        <v>592</v>
      </c>
      <c r="N76" t="s">
        <v>37</v>
      </c>
      <c r="O76">
        <v>2</v>
      </c>
      <c r="P76">
        <v>3</v>
      </c>
      <c r="Q76" s="13">
        <v>0.70847733928142309</v>
      </c>
      <c r="R76" t="s">
        <v>249</v>
      </c>
      <c r="S76">
        <v>-1.3359437628557509</v>
      </c>
      <c r="T76" t="s">
        <v>249</v>
      </c>
      <c r="U76" t="s">
        <v>26</v>
      </c>
      <c r="V76">
        <v>1</v>
      </c>
      <c r="W76">
        <v>2</v>
      </c>
      <c r="X76" t="s">
        <v>496</v>
      </c>
      <c r="Y76" t="s">
        <v>292</v>
      </c>
      <c r="Z76" t="s">
        <v>60</v>
      </c>
      <c r="AA76" t="s">
        <v>491</v>
      </c>
    </row>
    <row r="77" spans="1:27" x14ac:dyDescent="0.2">
      <c r="A77" s="1">
        <v>45948</v>
      </c>
      <c r="B77" t="s">
        <v>347</v>
      </c>
      <c r="C77" t="s">
        <v>11</v>
      </c>
      <c r="D77" t="s">
        <v>23</v>
      </c>
      <c r="E77" t="s">
        <v>593</v>
      </c>
      <c r="F77" t="s">
        <v>11</v>
      </c>
      <c r="G77">
        <v>2</v>
      </c>
      <c r="H77">
        <v>3</v>
      </c>
      <c r="I77" s="13">
        <v>0.6</v>
      </c>
      <c r="J77" t="s">
        <v>249</v>
      </c>
      <c r="L77" t="s">
        <v>249</v>
      </c>
      <c r="M77" t="s">
        <v>594</v>
      </c>
      <c r="N77" t="s">
        <v>11</v>
      </c>
      <c r="O77">
        <v>2</v>
      </c>
      <c r="P77">
        <v>3</v>
      </c>
      <c r="Q77" s="13">
        <v>0.45327460042380469</v>
      </c>
      <c r="R77" t="s">
        <v>249</v>
      </c>
      <c r="S77">
        <v>-2.9091395753320599E-2</v>
      </c>
      <c r="T77" t="s">
        <v>249</v>
      </c>
      <c r="U77" t="s">
        <v>23</v>
      </c>
      <c r="V77">
        <v>0</v>
      </c>
      <c r="W77">
        <v>3</v>
      </c>
      <c r="X77" t="s">
        <v>490</v>
      </c>
      <c r="Y77" t="s">
        <v>292</v>
      </c>
      <c r="Z77" t="s">
        <v>60</v>
      </c>
      <c r="AA77" t="s">
        <v>491</v>
      </c>
    </row>
    <row r="78" spans="1:27" x14ac:dyDescent="0.2">
      <c r="A78" s="1">
        <v>45948</v>
      </c>
      <c r="B78" t="s">
        <v>328</v>
      </c>
      <c r="C78" t="s">
        <v>37</v>
      </c>
      <c r="D78" t="s">
        <v>28</v>
      </c>
      <c r="E78" t="s">
        <v>595</v>
      </c>
      <c r="F78" t="s">
        <v>37</v>
      </c>
      <c r="G78">
        <v>2</v>
      </c>
      <c r="H78">
        <v>3</v>
      </c>
      <c r="I78" s="13">
        <v>0.6</v>
      </c>
      <c r="J78" t="s">
        <v>249</v>
      </c>
      <c r="L78" t="s">
        <v>249</v>
      </c>
      <c r="M78" t="s">
        <v>596</v>
      </c>
      <c r="N78" t="s">
        <v>37</v>
      </c>
      <c r="O78">
        <v>2</v>
      </c>
      <c r="P78">
        <v>3</v>
      </c>
      <c r="Q78" s="13">
        <v>0.67574232034876447</v>
      </c>
      <c r="R78" t="s">
        <v>249</v>
      </c>
      <c r="S78">
        <v>-1.055593602173982</v>
      </c>
      <c r="T78" t="s">
        <v>249</v>
      </c>
      <c r="U78" t="s">
        <v>28</v>
      </c>
      <c r="V78">
        <v>2</v>
      </c>
      <c r="W78">
        <v>3</v>
      </c>
      <c r="X78" t="s">
        <v>490</v>
      </c>
      <c r="Y78" t="s">
        <v>292</v>
      </c>
      <c r="Z78" t="s">
        <v>60</v>
      </c>
      <c r="AA78" t="s">
        <v>491</v>
      </c>
    </row>
    <row r="79" spans="1:27" x14ac:dyDescent="0.2">
      <c r="A79" s="1">
        <v>45948</v>
      </c>
      <c r="B79" t="s">
        <v>326</v>
      </c>
      <c r="C79" t="s">
        <v>21</v>
      </c>
      <c r="D79" t="s">
        <v>12</v>
      </c>
      <c r="E79" t="s">
        <v>597</v>
      </c>
      <c r="F79" t="s">
        <v>12</v>
      </c>
      <c r="G79">
        <v>2</v>
      </c>
      <c r="H79">
        <v>3</v>
      </c>
      <c r="I79" s="13">
        <v>0.6</v>
      </c>
      <c r="J79" t="s">
        <v>249</v>
      </c>
      <c r="L79" t="s">
        <v>248</v>
      </c>
      <c r="M79" t="s">
        <v>361</v>
      </c>
      <c r="N79" t="s">
        <v>12</v>
      </c>
      <c r="O79">
        <v>2</v>
      </c>
      <c r="P79">
        <v>3</v>
      </c>
      <c r="Q79" s="13">
        <v>0.86560120575771982</v>
      </c>
      <c r="R79" t="s">
        <v>249</v>
      </c>
      <c r="S79">
        <v>1.9015741677978699</v>
      </c>
      <c r="T79" t="s">
        <v>248</v>
      </c>
      <c r="U79" t="s">
        <v>12</v>
      </c>
      <c r="V79">
        <v>1</v>
      </c>
      <c r="W79">
        <v>4</v>
      </c>
      <c r="X79" t="s">
        <v>490</v>
      </c>
      <c r="Y79" t="s">
        <v>292</v>
      </c>
      <c r="Z79" t="s">
        <v>60</v>
      </c>
      <c r="AA79" t="s">
        <v>491</v>
      </c>
    </row>
    <row r="80" spans="1:27" x14ac:dyDescent="0.2">
      <c r="A80" s="1">
        <v>45948</v>
      </c>
      <c r="B80" t="s">
        <v>326</v>
      </c>
      <c r="C80" t="s">
        <v>25</v>
      </c>
      <c r="D80" t="s">
        <v>13</v>
      </c>
      <c r="E80" t="s">
        <v>598</v>
      </c>
      <c r="F80" t="s">
        <v>25</v>
      </c>
      <c r="G80">
        <v>2</v>
      </c>
      <c r="H80">
        <v>3</v>
      </c>
      <c r="I80" s="13">
        <v>0.6</v>
      </c>
      <c r="J80" t="s">
        <v>249</v>
      </c>
      <c r="L80" t="s">
        <v>248</v>
      </c>
      <c r="M80" t="s">
        <v>450</v>
      </c>
      <c r="N80" t="s">
        <v>25</v>
      </c>
      <c r="O80">
        <v>2</v>
      </c>
      <c r="P80">
        <v>3</v>
      </c>
      <c r="Q80" s="13">
        <v>0.6159999778434796</v>
      </c>
      <c r="R80" t="s">
        <v>249</v>
      </c>
      <c r="S80">
        <v>-0.71405798708260382</v>
      </c>
      <c r="T80" t="s">
        <v>248</v>
      </c>
      <c r="U80" t="s">
        <v>25</v>
      </c>
      <c r="V80">
        <v>4</v>
      </c>
      <c r="W80">
        <v>3</v>
      </c>
      <c r="X80" t="s">
        <v>496</v>
      </c>
      <c r="Y80" t="s">
        <v>292</v>
      </c>
      <c r="Z80" t="s">
        <v>60</v>
      </c>
      <c r="AA80" t="s">
        <v>491</v>
      </c>
    </row>
    <row r="81" spans="1:27" x14ac:dyDescent="0.2">
      <c r="A81" s="1">
        <v>45948</v>
      </c>
      <c r="B81" t="s">
        <v>328</v>
      </c>
      <c r="C81" t="s">
        <v>15</v>
      </c>
      <c r="D81" t="s">
        <v>18</v>
      </c>
      <c r="E81" t="s">
        <v>599</v>
      </c>
      <c r="F81" t="s">
        <v>15</v>
      </c>
      <c r="G81">
        <v>2</v>
      </c>
      <c r="H81">
        <v>3</v>
      </c>
      <c r="I81" s="13">
        <v>0.6</v>
      </c>
      <c r="J81" t="s">
        <v>249</v>
      </c>
      <c r="L81" t="s">
        <v>248</v>
      </c>
      <c r="M81" t="s">
        <v>518</v>
      </c>
      <c r="N81" t="s">
        <v>15</v>
      </c>
      <c r="O81">
        <v>2</v>
      </c>
      <c r="P81">
        <v>3</v>
      </c>
      <c r="Q81" s="13">
        <v>0.58961768371859735</v>
      </c>
      <c r="R81" t="s">
        <v>249</v>
      </c>
      <c r="S81">
        <v>-0.25295489486672013</v>
      </c>
      <c r="T81" t="s">
        <v>248</v>
      </c>
      <c r="U81" t="s">
        <v>15</v>
      </c>
      <c r="V81">
        <v>4</v>
      </c>
      <c r="W81">
        <v>3</v>
      </c>
      <c r="X81" t="s">
        <v>490</v>
      </c>
      <c r="Y81" t="s">
        <v>292</v>
      </c>
      <c r="Z81" t="s">
        <v>60</v>
      </c>
      <c r="AA81" t="s">
        <v>491</v>
      </c>
    </row>
    <row r="82" spans="1:27" x14ac:dyDescent="0.2">
      <c r="A82" s="1">
        <v>45948</v>
      </c>
      <c r="B82" t="s">
        <v>352</v>
      </c>
      <c r="C82" t="s">
        <v>17</v>
      </c>
      <c r="D82" t="s">
        <v>24</v>
      </c>
      <c r="E82" t="s">
        <v>600</v>
      </c>
      <c r="F82" t="s">
        <v>24</v>
      </c>
      <c r="G82">
        <v>2</v>
      </c>
      <c r="H82">
        <v>3</v>
      </c>
      <c r="I82" s="13">
        <v>0.6</v>
      </c>
      <c r="J82" t="s">
        <v>249</v>
      </c>
      <c r="L82" t="s">
        <v>248</v>
      </c>
      <c r="M82" t="s">
        <v>449</v>
      </c>
      <c r="N82" t="s">
        <v>24</v>
      </c>
      <c r="O82">
        <v>2</v>
      </c>
      <c r="P82">
        <v>3</v>
      </c>
      <c r="Q82" s="13">
        <v>0.7213240311538418</v>
      </c>
      <c r="R82" t="s">
        <v>249</v>
      </c>
      <c r="S82">
        <v>0.8691776639252885</v>
      </c>
      <c r="T82" t="s">
        <v>248</v>
      </c>
      <c r="U82" t="s">
        <v>24</v>
      </c>
      <c r="V82">
        <v>3</v>
      </c>
      <c r="W82">
        <v>5</v>
      </c>
      <c r="X82" t="s">
        <v>490</v>
      </c>
      <c r="Y82" t="s">
        <v>292</v>
      </c>
      <c r="Z82" t="s">
        <v>60</v>
      </c>
      <c r="AA82" t="s">
        <v>491</v>
      </c>
    </row>
    <row r="83" spans="1:27" x14ac:dyDescent="0.2">
      <c r="A83" s="1">
        <v>45948</v>
      </c>
      <c r="B83" t="s">
        <v>453</v>
      </c>
      <c r="C83" t="s">
        <v>30</v>
      </c>
      <c r="D83" t="s">
        <v>36</v>
      </c>
      <c r="E83" t="s">
        <v>601</v>
      </c>
      <c r="F83" t="s">
        <v>30</v>
      </c>
      <c r="G83">
        <v>2</v>
      </c>
      <c r="H83">
        <v>3</v>
      </c>
      <c r="I83" s="13">
        <v>0.6</v>
      </c>
      <c r="J83" t="s">
        <v>249</v>
      </c>
      <c r="L83" t="s">
        <v>248</v>
      </c>
      <c r="M83" t="s">
        <v>580</v>
      </c>
      <c r="N83" t="s">
        <v>30</v>
      </c>
      <c r="O83">
        <v>2</v>
      </c>
      <c r="P83">
        <v>3</v>
      </c>
      <c r="Q83" s="13">
        <v>0.55820746289392176</v>
      </c>
      <c r="R83" t="s">
        <v>249</v>
      </c>
      <c r="S83">
        <v>-0.2405433045003435</v>
      </c>
      <c r="T83" t="s">
        <v>248</v>
      </c>
      <c r="U83" t="s">
        <v>30</v>
      </c>
      <c r="V83">
        <v>5</v>
      </c>
      <c r="W83">
        <v>4</v>
      </c>
      <c r="X83" t="s">
        <v>490</v>
      </c>
      <c r="Y83" t="s">
        <v>292</v>
      </c>
      <c r="Z83" t="s">
        <v>60</v>
      </c>
      <c r="AA83" t="s">
        <v>491</v>
      </c>
    </row>
    <row r="84" spans="1:27" x14ac:dyDescent="0.2">
      <c r="A84" s="1">
        <v>45948</v>
      </c>
      <c r="B84" t="s">
        <v>328</v>
      </c>
      <c r="C84" t="s">
        <v>34</v>
      </c>
      <c r="D84" t="s">
        <v>27</v>
      </c>
      <c r="E84" t="s">
        <v>602</v>
      </c>
      <c r="F84" t="s">
        <v>34</v>
      </c>
      <c r="G84">
        <v>2</v>
      </c>
      <c r="H84">
        <v>3</v>
      </c>
      <c r="I84" s="13">
        <v>0.6</v>
      </c>
      <c r="J84" t="s">
        <v>249</v>
      </c>
      <c r="L84" t="s">
        <v>249</v>
      </c>
      <c r="M84" t="s">
        <v>603</v>
      </c>
      <c r="N84" t="s">
        <v>34</v>
      </c>
      <c r="O84">
        <v>2</v>
      </c>
      <c r="P84">
        <v>3</v>
      </c>
      <c r="Q84" s="13">
        <v>0.52050739489554854</v>
      </c>
      <c r="R84" t="s">
        <v>249</v>
      </c>
      <c r="S84">
        <v>-0.2752140471336747</v>
      </c>
      <c r="T84" t="s">
        <v>249</v>
      </c>
      <c r="U84" t="s">
        <v>27</v>
      </c>
      <c r="V84">
        <v>1</v>
      </c>
      <c r="W84">
        <v>2</v>
      </c>
      <c r="X84" t="s">
        <v>496</v>
      </c>
      <c r="Y84" t="s">
        <v>292</v>
      </c>
      <c r="Z84" t="s">
        <v>60</v>
      </c>
      <c r="AA84" t="s">
        <v>491</v>
      </c>
    </row>
    <row r="85" spans="1:27" x14ac:dyDescent="0.2">
      <c r="A85" s="1">
        <v>45948</v>
      </c>
      <c r="B85" t="s">
        <v>322</v>
      </c>
      <c r="C85" t="s">
        <v>14</v>
      </c>
      <c r="D85" t="s">
        <v>33</v>
      </c>
      <c r="E85" t="s">
        <v>604</v>
      </c>
      <c r="F85" t="s">
        <v>14</v>
      </c>
      <c r="G85">
        <v>2</v>
      </c>
      <c r="H85">
        <v>3</v>
      </c>
      <c r="I85" s="13">
        <v>0.6</v>
      </c>
      <c r="J85" t="s">
        <v>249</v>
      </c>
      <c r="L85" t="s">
        <v>248</v>
      </c>
      <c r="M85" t="s">
        <v>451</v>
      </c>
      <c r="N85" t="s">
        <v>14</v>
      </c>
      <c r="O85">
        <v>2</v>
      </c>
      <c r="P85">
        <v>3</v>
      </c>
      <c r="Q85" s="13">
        <v>0.51934442750587928</v>
      </c>
      <c r="R85" t="s">
        <v>249</v>
      </c>
      <c r="S85">
        <v>-0.25916602189359078</v>
      </c>
      <c r="T85" t="s">
        <v>248</v>
      </c>
      <c r="U85" t="s">
        <v>14</v>
      </c>
      <c r="V85">
        <v>3</v>
      </c>
      <c r="W85">
        <v>0</v>
      </c>
      <c r="X85" t="s">
        <v>490</v>
      </c>
      <c r="Y85" t="s">
        <v>292</v>
      </c>
      <c r="Z85" t="s">
        <v>60</v>
      </c>
      <c r="AA85" t="s">
        <v>491</v>
      </c>
    </row>
    <row r="86" spans="1:27" x14ac:dyDescent="0.2">
      <c r="A86" s="1">
        <v>45948</v>
      </c>
      <c r="B86" t="s">
        <v>328</v>
      </c>
      <c r="C86" t="s">
        <v>39</v>
      </c>
      <c r="D86" t="s">
        <v>35</v>
      </c>
      <c r="E86" t="s">
        <v>605</v>
      </c>
      <c r="F86" t="s">
        <v>39</v>
      </c>
      <c r="G86">
        <v>2</v>
      </c>
      <c r="H86">
        <v>3</v>
      </c>
      <c r="I86" s="13">
        <v>0.6</v>
      </c>
      <c r="J86" t="s">
        <v>249</v>
      </c>
      <c r="L86" t="s">
        <v>249</v>
      </c>
      <c r="M86" t="s">
        <v>606</v>
      </c>
      <c r="N86" t="s">
        <v>39</v>
      </c>
      <c r="O86">
        <v>2</v>
      </c>
      <c r="P86">
        <v>3</v>
      </c>
      <c r="Q86" s="13">
        <v>0.76707254891390675</v>
      </c>
      <c r="R86" t="s">
        <v>249</v>
      </c>
      <c r="S86">
        <v>-1.7580201248796801</v>
      </c>
      <c r="T86" t="s">
        <v>249</v>
      </c>
      <c r="U86" t="s">
        <v>35</v>
      </c>
      <c r="V86">
        <v>1</v>
      </c>
      <c r="W86">
        <v>3</v>
      </c>
      <c r="X86" t="s">
        <v>490</v>
      </c>
      <c r="Y86" t="s">
        <v>292</v>
      </c>
      <c r="Z86" t="s">
        <v>60</v>
      </c>
      <c r="AA86" t="s">
        <v>491</v>
      </c>
    </row>
    <row r="87" spans="1:27" x14ac:dyDescent="0.2">
      <c r="A87" s="1">
        <v>45948</v>
      </c>
      <c r="B87" t="s">
        <v>328</v>
      </c>
      <c r="C87" t="s">
        <v>32</v>
      </c>
      <c r="D87" t="s">
        <v>19</v>
      </c>
      <c r="E87" t="s">
        <v>607</v>
      </c>
      <c r="F87" t="s">
        <v>19</v>
      </c>
      <c r="G87">
        <v>2</v>
      </c>
      <c r="H87">
        <v>3</v>
      </c>
      <c r="I87" s="13">
        <v>0.6</v>
      </c>
      <c r="J87" t="s">
        <v>249</v>
      </c>
      <c r="L87" t="s">
        <v>249</v>
      </c>
      <c r="M87" t="s">
        <v>608</v>
      </c>
      <c r="N87" t="s">
        <v>19</v>
      </c>
      <c r="O87">
        <v>2</v>
      </c>
      <c r="P87">
        <v>3</v>
      </c>
      <c r="Q87" s="13">
        <v>0.54756628548978714</v>
      </c>
      <c r="R87" t="s">
        <v>249</v>
      </c>
      <c r="S87">
        <v>6.4799392882271795E-2</v>
      </c>
      <c r="T87" t="s">
        <v>249</v>
      </c>
      <c r="U87" t="s">
        <v>32</v>
      </c>
      <c r="V87">
        <v>4</v>
      </c>
      <c r="W87">
        <v>3</v>
      </c>
      <c r="X87" t="s">
        <v>496</v>
      </c>
      <c r="Y87" t="s">
        <v>292</v>
      </c>
      <c r="Z87" t="s">
        <v>60</v>
      </c>
      <c r="AA87" t="s">
        <v>491</v>
      </c>
    </row>
    <row r="88" spans="1:27" x14ac:dyDescent="0.2">
      <c r="A88" s="1">
        <v>45948</v>
      </c>
      <c r="B88" t="s">
        <v>322</v>
      </c>
      <c r="C88" t="s">
        <v>16</v>
      </c>
      <c r="D88" t="s">
        <v>20</v>
      </c>
      <c r="E88" t="s">
        <v>609</v>
      </c>
      <c r="F88" t="s">
        <v>20</v>
      </c>
      <c r="G88">
        <v>2</v>
      </c>
      <c r="H88">
        <v>3</v>
      </c>
      <c r="I88" s="13">
        <v>0.6</v>
      </c>
      <c r="J88" t="s">
        <v>249</v>
      </c>
      <c r="L88" t="s">
        <v>248</v>
      </c>
      <c r="M88" t="s">
        <v>510</v>
      </c>
      <c r="N88" t="s">
        <v>20</v>
      </c>
      <c r="O88">
        <v>2</v>
      </c>
      <c r="P88">
        <v>3</v>
      </c>
      <c r="Q88" s="13">
        <v>0.64173026842765124</v>
      </c>
      <c r="R88" t="s">
        <v>249</v>
      </c>
      <c r="S88">
        <v>0.8712411976471468</v>
      </c>
      <c r="T88" t="s">
        <v>248</v>
      </c>
      <c r="U88" t="s">
        <v>20</v>
      </c>
      <c r="V88">
        <v>1</v>
      </c>
      <c r="W88">
        <v>6</v>
      </c>
      <c r="X88" t="s">
        <v>490</v>
      </c>
      <c r="Y88" t="s">
        <v>292</v>
      </c>
      <c r="Z88" t="s">
        <v>60</v>
      </c>
      <c r="AA88" t="s">
        <v>491</v>
      </c>
    </row>
    <row r="89" spans="1:27" x14ac:dyDescent="0.2">
      <c r="A89" s="1">
        <v>45948</v>
      </c>
      <c r="B89" t="s">
        <v>328</v>
      </c>
      <c r="C89" t="s">
        <v>29</v>
      </c>
      <c r="D89" t="s">
        <v>40</v>
      </c>
      <c r="E89" t="s">
        <v>610</v>
      </c>
      <c r="F89" t="s">
        <v>40</v>
      </c>
      <c r="G89">
        <v>2</v>
      </c>
      <c r="H89">
        <v>3</v>
      </c>
      <c r="I89" s="13">
        <v>0.6</v>
      </c>
      <c r="J89" t="s">
        <v>249</v>
      </c>
      <c r="L89" t="s">
        <v>248</v>
      </c>
      <c r="M89" t="s">
        <v>315</v>
      </c>
      <c r="N89" t="s">
        <v>40</v>
      </c>
      <c r="O89">
        <v>2</v>
      </c>
      <c r="P89">
        <v>3</v>
      </c>
      <c r="Q89" s="13">
        <v>0.67345605488272364</v>
      </c>
      <c r="R89" t="s">
        <v>249</v>
      </c>
      <c r="S89">
        <v>1.121576208950432</v>
      </c>
      <c r="T89" t="s">
        <v>248</v>
      </c>
      <c r="U89" t="s">
        <v>40</v>
      </c>
      <c r="V89">
        <v>1</v>
      </c>
      <c r="W89">
        <v>4</v>
      </c>
      <c r="X89" t="s">
        <v>490</v>
      </c>
      <c r="Y89" t="s">
        <v>292</v>
      </c>
      <c r="Z89" t="s">
        <v>60</v>
      </c>
      <c r="AA89" t="s">
        <v>491</v>
      </c>
    </row>
    <row r="90" spans="1:27" x14ac:dyDescent="0.2">
      <c r="A90" s="1">
        <v>45949</v>
      </c>
      <c r="B90" t="s">
        <v>328</v>
      </c>
      <c r="C90" t="s">
        <v>31</v>
      </c>
      <c r="D90" t="s">
        <v>10</v>
      </c>
      <c r="E90" t="s">
        <v>468</v>
      </c>
      <c r="F90" t="s">
        <v>31</v>
      </c>
      <c r="G90">
        <v>2</v>
      </c>
      <c r="H90">
        <v>3</v>
      </c>
      <c r="I90" s="13">
        <v>0.6</v>
      </c>
      <c r="J90" t="s">
        <v>249</v>
      </c>
      <c r="L90" t="s">
        <v>249</v>
      </c>
      <c r="M90" t="s">
        <v>611</v>
      </c>
      <c r="N90" t="s">
        <v>31</v>
      </c>
      <c r="O90">
        <v>2</v>
      </c>
      <c r="P90">
        <v>3</v>
      </c>
      <c r="Q90" s="13">
        <v>0.51638231038195603</v>
      </c>
      <c r="R90" t="s">
        <v>249</v>
      </c>
      <c r="S90">
        <v>-0.3049985281004175</v>
      </c>
      <c r="T90" t="s">
        <v>249</v>
      </c>
      <c r="U90" t="s">
        <v>10</v>
      </c>
      <c r="V90">
        <v>1</v>
      </c>
      <c r="W90">
        <v>2</v>
      </c>
      <c r="X90" t="s">
        <v>496</v>
      </c>
      <c r="Y90" t="s">
        <v>292</v>
      </c>
      <c r="Z90" t="s">
        <v>60</v>
      </c>
      <c r="AA90" t="s">
        <v>491</v>
      </c>
    </row>
    <row r="91" spans="1:27" x14ac:dyDescent="0.2">
      <c r="A91" s="1">
        <v>45949</v>
      </c>
      <c r="B91" t="s">
        <v>453</v>
      </c>
      <c r="C91" t="s">
        <v>17</v>
      </c>
      <c r="D91" t="s">
        <v>26</v>
      </c>
      <c r="E91" t="s">
        <v>612</v>
      </c>
      <c r="F91" t="s">
        <v>17</v>
      </c>
      <c r="G91">
        <v>2</v>
      </c>
      <c r="H91">
        <v>3</v>
      </c>
      <c r="I91" s="13">
        <v>0.6</v>
      </c>
      <c r="J91" t="s">
        <v>249</v>
      </c>
      <c r="L91" t="s">
        <v>249</v>
      </c>
      <c r="M91" t="s">
        <v>613</v>
      </c>
      <c r="N91" t="s">
        <v>17</v>
      </c>
      <c r="O91">
        <v>2</v>
      </c>
      <c r="P91">
        <v>3</v>
      </c>
      <c r="Q91" s="13">
        <v>0.46089817225907131</v>
      </c>
      <c r="R91" t="s">
        <v>249</v>
      </c>
      <c r="S91">
        <v>-7.6921518716253001E-3</v>
      </c>
      <c r="T91" t="s">
        <v>249</v>
      </c>
      <c r="U91" t="s">
        <v>26</v>
      </c>
      <c r="V91">
        <v>2</v>
      </c>
      <c r="W91">
        <v>4</v>
      </c>
      <c r="X91" t="s">
        <v>490</v>
      </c>
      <c r="Y91" t="s">
        <v>292</v>
      </c>
      <c r="Z91" t="s">
        <v>60</v>
      </c>
      <c r="AA91" t="s">
        <v>491</v>
      </c>
    </row>
    <row r="92" spans="1:27" x14ac:dyDescent="0.2">
      <c r="A92" s="1">
        <v>45949</v>
      </c>
      <c r="B92" t="s">
        <v>328</v>
      </c>
      <c r="C92" t="s">
        <v>21</v>
      </c>
      <c r="D92" t="s">
        <v>55</v>
      </c>
      <c r="E92" t="s">
        <v>614</v>
      </c>
      <c r="F92" t="s">
        <v>21</v>
      </c>
      <c r="G92">
        <v>2</v>
      </c>
      <c r="H92">
        <v>3</v>
      </c>
      <c r="I92" s="13">
        <v>0.6</v>
      </c>
      <c r="J92" t="s">
        <v>249</v>
      </c>
      <c r="L92" t="s">
        <v>249</v>
      </c>
      <c r="M92" t="s">
        <v>615</v>
      </c>
      <c r="N92" t="s">
        <v>21</v>
      </c>
      <c r="O92">
        <v>2</v>
      </c>
      <c r="P92">
        <v>3</v>
      </c>
      <c r="Q92" s="13">
        <v>0.43596474725172057</v>
      </c>
      <c r="R92" t="s">
        <v>249</v>
      </c>
      <c r="S92">
        <v>-0.1334527796502884</v>
      </c>
      <c r="T92" t="s">
        <v>249</v>
      </c>
      <c r="U92" t="s">
        <v>55</v>
      </c>
      <c r="V92">
        <v>2</v>
      </c>
      <c r="W92">
        <v>3</v>
      </c>
      <c r="X92" t="s">
        <v>490</v>
      </c>
      <c r="Y92" t="s">
        <v>292</v>
      </c>
      <c r="Z92" t="s">
        <v>60</v>
      </c>
      <c r="AA92" t="s">
        <v>491</v>
      </c>
    </row>
    <row r="93" spans="1:27" x14ac:dyDescent="0.2">
      <c r="A93" s="1">
        <v>45949</v>
      </c>
      <c r="B93" t="s">
        <v>555</v>
      </c>
      <c r="C93" t="s">
        <v>38</v>
      </c>
      <c r="D93" t="s">
        <v>22</v>
      </c>
      <c r="E93" t="s">
        <v>616</v>
      </c>
      <c r="F93" t="s">
        <v>22</v>
      </c>
      <c r="G93">
        <v>2</v>
      </c>
      <c r="H93">
        <v>3</v>
      </c>
      <c r="I93" s="13">
        <v>0.6</v>
      </c>
      <c r="J93" t="s">
        <v>249</v>
      </c>
      <c r="L93" t="s">
        <v>249</v>
      </c>
      <c r="M93" t="s">
        <v>617</v>
      </c>
      <c r="N93" t="s">
        <v>22</v>
      </c>
      <c r="O93">
        <v>2</v>
      </c>
      <c r="P93">
        <v>3</v>
      </c>
      <c r="Q93" s="13">
        <v>0.73044108736408575</v>
      </c>
      <c r="R93" t="s">
        <v>249</v>
      </c>
      <c r="S93">
        <v>1.438285736887724</v>
      </c>
      <c r="T93" t="s">
        <v>249</v>
      </c>
      <c r="U93" t="s">
        <v>38</v>
      </c>
      <c r="V93">
        <v>4</v>
      </c>
      <c r="W93">
        <v>3</v>
      </c>
      <c r="X93" t="s">
        <v>490</v>
      </c>
      <c r="Y93" t="s">
        <v>292</v>
      </c>
      <c r="Z93" t="s">
        <v>60</v>
      </c>
      <c r="AA93" t="s">
        <v>491</v>
      </c>
    </row>
    <row r="94" spans="1:27" x14ac:dyDescent="0.2">
      <c r="A94" s="1">
        <v>45950</v>
      </c>
      <c r="B94" t="s">
        <v>426</v>
      </c>
      <c r="C94" t="s">
        <v>40</v>
      </c>
      <c r="D94" t="s">
        <v>16</v>
      </c>
      <c r="E94" t="s">
        <v>618</v>
      </c>
      <c r="F94" t="s">
        <v>40</v>
      </c>
      <c r="G94">
        <v>2</v>
      </c>
      <c r="H94">
        <v>3</v>
      </c>
      <c r="I94" s="13">
        <v>0.6</v>
      </c>
      <c r="J94" t="s">
        <v>249</v>
      </c>
      <c r="L94" t="s">
        <v>248</v>
      </c>
      <c r="M94" t="s">
        <v>315</v>
      </c>
      <c r="N94" t="s">
        <v>40</v>
      </c>
      <c r="O94">
        <v>2</v>
      </c>
      <c r="P94">
        <v>3</v>
      </c>
      <c r="Q94" s="13">
        <v>0.56281266994144419</v>
      </c>
      <c r="R94" t="s">
        <v>249</v>
      </c>
      <c r="S94">
        <v>-0.70263870633866676</v>
      </c>
      <c r="T94" t="s">
        <v>248</v>
      </c>
      <c r="U94" t="s">
        <v>40</v>
      </c>
      <c r="V94">
        <v>2</v>
      </c>
      <c r="W94">
        <v>1</v>
      </c>
      <c r="X94" t="s">
        <v>490</v>
      </c>
      <c r="Y94" t="s">
        <v>292</v>
      </c>
      <c r="Z94" t="s">
        <v>60</v>
      </c>
      <c r="AA94" t="s">
        <v>491</v>
      </c>
    </row>
    <row r="95" spans="1:27" x14ac:dyDescent="0.2">
      <c r="A95" s="1">
        <v>45950</v>
      </c>
      <c r="B95" t="s">
        <v>334</v>
      </c>
      <c r="C95" t="s">
        <v>23</v>
      </c>
      <c r="D95" t="s">
        <v>18</v>
      </c>
      <c r="E95" t="s">
        <v>619</v>
      </c>
      <c r="F95" t="s">
        <v>23</v>
      </c>
      <c r="G95">
        <v>2</v>
      </c>
      <c r="H95">
        <v>3</v>
      </c>
      <c r="I95" s="13">
        <v>0.6</v>
      </c>
      <c r="J95" t="s">
        <v>249</v>
      </c>
      <c r="L95" t="s">
        <v>249</v>
      </c>
      <c r="M95" t="s">
        <v>620</v>
      </c>
      <c r="N95" t="s">
        <v>23</v>
      </c>
      <c r="O95">
        <v>2</v>
      </c>
      <c r="P95">
        <v>3</v>
      </c>
      <c r="Q95" s="13">
        <v>0.46780904534685669</v>
      </c>
      <c r="R95" t="s">
        <v>249</v>
      </c>
      <c r="S95">
        <v>-6.6878443610073002E-2</v>
      </c>
      <c r="T95" t="s">
        <v>249</v>
      </c>
      <c r="U95" t="s">
        <v>18</v>
      </c>
      <c r="V95">
        <v>2</v>
      </c>
      <c r="W95">
        <v>4</v>
      </c>
      <c r="X95" t="s">
        <v>490</v>
      </c>
      <c r="Y95" t="s">
        <v>292</v>
      </c>
      <c r="Z95" t="s">
        <v>60</v>
      </c>
      <c r="AA95" t="s">
        <v>491</v>
      </c>
    </row>
    <row r="96" spans="1:27" x14ac:dyDescent="0.2">
      <c r="A96" s="1">
        <v>45950</v>
      </c>
      <c r="B96" t="s">
        <v>328</v>
      </c>
      <c r="C96" t="s">
        <v>34</v>
      </c>
      <c r="D96" t="s">
        <v>15</v>
      </c>
      <c r="E96" t="s">
        <v>621</v>
      </c>
      <c r="F96" t="s">
        <v>34</v>
      </c>
      <c r="G96">
        <v>2</v>
      </c>
      <c r="H96">
        <v>3</v>
      </c>
      <c r="I96" s="13">
        <v>0.6</v>
      </c>
      <c r="J96" t="s">
        <v>249</v>
      </c>
      <c r="L96" t="s">
        <v>248</v>
      </c>
      <c r="M96" t="s">
        <v>343</v>
      </c>
      <c r="N96" t="s">
        <v>34</v>
      </c>
      <c r="O96">
        <v>2</v>
      </c>
      <c r="P96">
        <v>3</v>
      </c>
      <c r="Q96" s="13">
        <v>0.52411502966087842</v>
      </c>
      <c r="R96" t="s">
        <v>249</v>
      </c>
      <c r="S96">
        <v>-0.18500844811130129</v>
      </c>
      <c r="T96" t="s">
        <v>248</v>
      </c>
      <c r="U96" t="s">
        <v>34</v>
      </c>
      <c r="V96">
        <v>3</v>
      </c>
      <c r="W96">
        <v>1</v>
      </c>
      <c r="X96" t="s">
        <v>490</v>
      </c>
      <c r="Y96" t="s">
        <v>292</v>
      </c>
      <c r="Z96" t="s">
        <v>60</v>
      </c>
      <c r="AA96" t="s">
        <v>491</v>
      </c>
    </row>
    <row r="97" spans="1:27" x14ac:dyDescent="0.2">
      <c r="A97" s="1">
        <v>45950</v>
      </c>
      <c r="B97" t="s">
        <v>328</v>
      </c>
      <c r="C97" t="s">
        <v>32</v>
      </c>
      <c r="D97" t="s">
        <v>27</v>
      </c>
      <c r="E97" t="s">
        <v>622</v>
      </c>
      <c r="F97" t="s">
        <v>27</v>
      </c>
      <c r="G97">
        <v>2</v>
      </c>
      <c r="H97">
        <v>3</v>
      </c>
      <c r="I97" s="13">
        <v>0.6</v>
      </c>
      <c r="J97" t="s">
        <v>249</v>
      </c>
      <c r="L97" t="s">
        <v>248</v>
      </c>
      <c r="M97" t="s">
        <v>393</v>
      </c>
      <c r="N97" t="s">
        <v>27</v>
      </c>
      <c r="O97">
        <v>2</v>
      </c>
      <c r="P97">
        <v>3</v>
      </c>
      <c r="Q97" s="13">
        <v>0.59126906245048083</v>
      </c>
      <c r="R97" t="s">
        <v>249</v>
      </c>
      <c r="S97">
        <v>0.31903840069493639</v>
      </c>
      <c r="T97" t="s">
        <v>248</v>
      </c>
      <c r="U97" t="s">
        <v>27</v>
      </c>
      <c r="V97">
        <v>2</v>
      </c>
      <c r="W97">
        <v>5</v>
      </c>
      <c r="X97" t="s">
        <v>490</v>
      </c>
      <c r="Y97" t="s">
        <v>292</v>
      </c>
      <c r="Z97" t="s">
        <v>60</v>
      </c>
      <c r="AA97" t="s">
        <v>491</v>
      </c>
    </row>
    <row r="98" spans="1:27" x14ac:dyDescent="0.2">
      <c r="A98" s="1">
        <v>45950</v>
      </c>
      <c r="B98" t="s">
        <v>322</v>
      </c>
      <c r="C98" t="s">
        <v>25</v>
      </c>
      <c r="D98" t="s">
        <v>20</v>
      </c>
      <c r="E98" t="s">
        <v>623</v>
      </c>
      <c r="F98" t="s">
        <v>25</v>
      </c>
      <c r="G98">
        <v>2</v>
      </c>
      <c r="H98">
        <v>3</v>
      </c>
      <c r="I98" s="13">
        <v>0.6</v>
      </c>
      <c r="J98" t="s">
        <v>249</v>
      </c>
      <c r="L98" t="s">
        <v>249</v>
      </c>
      <c r="M98" t="s">
        <v>624</v>
      </c>
      <c r="N98" t="s">
        <v>25</v>
      </c>
      <c r="O98">
        <v>2</v>
      </c>
      <c r="P98">
        <v>3</v>
      </c>
      <c r="Q98" s="13">
        <v>0.60504244961743847</v>
      </c>
      <c r="R98" t="s">
        <v>249</v>
      </c>
      <c r="S98">
        <v>-0.62021521872602658</v>
      </c>
      <c r="T98" t="s">
        <v>249</v>
      </c>
      <c r="U98" t="s">
        <v>20</v>
      </c>
      <c r="V98">
        <v>1</v>
      </c>
      <c r="W98">
        <v>4</v>
      </c>
      <c r="X98" t="s">
        <v>490</v>
      </c>
      <c r="Y98" t="s">
        <v>292</v>
      </c>
      <c r="Z98" t="s">
        <v>60</v>
      </c>
      <c r="AA98" t="s">
        <v>491</v>
      </c>
    </row>
    <row r="99" spans="1:27" x14ac:dyDescent="0.2">
      <c r="A99" s="1">
        <v>45951</v>
      </c>
      <c r="B99" t="s">
        <v>322</v>
      </c>
      <c r="C99" t="s">
        <v>12</v>
      </c>
      <c r="D99" t="s">
        <v>55</v>
      </c>
      <c r="E99" t="s">
        <v>625</v>
      </c>
      <c r="F99" t="s">
        <v>12</v>
      </c>
      <c r="G99">
        <v>2</v>
      </c>
      <c r="H99">
        <v>3</v>
      </c>
      <c r="I99" s="13">
        <v>0.6</v>
      </c>
      <c r="J99" t="s">
        <v>249</v>
      </c>
      <c r="L99" t="s">
        <v>249</v>
      </c>
      <c r="M99" t="s">
        <v>626</v>
      </c>
      <c r="N99" t="s">
        <v>12</v>
      </c>
      <c r="O99">
        <v>2</v>
      </c>
      <c r="P99">
        <v>3</v>
      </c>
      <c r="Q99" s="13">
        <v>0.72341289378127493</v>
      </c>
      <c r="R99" t="s">
        <v>249</v>
      </c>
      <c r="S99">
        <v>-1.9851261985249959</v>
      </c>
      <c r="T99" t="s">
        <v>249</v>
      </c>
      <c r="U99" t="s">
        <v>55</v>
      </c>
      <c r="V99">
        <v>3</v>
      </c>
      <c r="W99">
        <v>4</v>
      </c>
      <c r="X99" t="s">
        <v>496</v>
      </c>
      <c r="Y99" t="s">
        <v>292</v>
      </c>
      <c r="Z99" t="s">
        <v>60</v>
      </c>
      <c r="AA99" t="s">
        <v>491</v>
      </c>
    </row>
    <row r="100" spans="1:27" x14ac:dyDescent="0.2">
      <c r="A100" s="1">
        <v>45951</v>
      </c>
      <c r="B100" t="s">
        <v>324</v>
      </c>
      <c r="C100" t="s">
        <v>13</v>
      </c>
      <c r="D100" t="s">
        <v>35</v>
      </c>
      <c r="E100" t="s">
        <v>627</v>
      </c>
      <c r="F100" t="s">
        <v>13</v>
      </c>
      <c r="G100">
        <v>2</v>
      </c>
      <c r="H100">
        <v>3</v>
      </c>
      <c r="I100" s="13">
        <v>0.6</v>
      </c>
      <c r="J100" t="s">
        <v>249</v>
      </c>
      <c r="L100" t="s">
        <v>248</v>
      </c>
      <c r="M100" t="s">
        <v>628</v>
      </c>
      <c r="N100" t="s">
        <v>13</v>
      </c>
      <c r="O100">
        <v>2</v>
      </c>
      <c r="P100">
        <v>3</v>
      </c>
      <c r="Q100" s="13">
        <v>0.64381546865604655</v>
      </c>
      <c r="R100" t="s">
        <v>249</v>
      </c>
      <c r="S100">
        <v>-1.0062940243473459</v>
      </c>
      <c r="T100" t="s">
        <v>248</v>
      </c>
      <c r="U100" t="s">
        <v>13</v>
      </c>
      <c r="V100">
        <v>2</v>
      </c>
      <c r="W100">
        <v>1</v>
      </c>
      <c r="X100" t="s">
        <v>496</v>
      </c>
      <c r="Y100" t="s">
        <v>292</v>
      </c>
      <c r="Z100" t="s">
        <v>60</v>
      </c>
      <c r="AA100" t="s">
        <v>491</v>
      </c>
    </row>
    <row r="101" spans="1:27" x14ac:dyDescent="0.2">
      <c r="A101" s="1">
        <v>45951</v>
      </c>
      <c r="B101" t="s">
        <v>328</v>
      </c>
      <c r="C101" t="s">
        <v>38</v>
      </c>
      <c r="D101" t="s">
        <v>14</v>
      </c>
      <c r="E101" t="s">
        <v>629</v>
      </c>
      <c r="F101" t="s">
        <v>14</v>
      </c>
      <c r="G101">
        <v>2</v>
      </c>
      <c r="H101">
        <v>3</v>
      </c>
      <c r="I101" s="13">
        <v>0.6</v>
      </c>
      <c r="J101" t="s">
        <v>249</v>
      </c>
      <c r="L101" t="s">
        <v>248</v>
      </c>
      <c r="M101" t="s">
        <v>451</v>
      </c>
      <c r="N101" t="s">
        <v>14</v>
      </c>
      <c r="O101">
        <v>2</v>
      </c>
      <c r="P101">
        <v>3</v>
      </c>
      <c r="Q101" s="13">
        <v>0.63629440707565277</v>
      </c>
      <c r="R101" t="s">
        <v>249</v>
      </c>
      <c r="S101">
        <v>0.85531428246847652</v>
      </c>
      <c r="T101" t="s">
        <v>248</v>
      </c>
      <c r="U101" t="s">
        <v>14</v>
      </c>
      <c r="V101">
        <v>1</v>
      </c>
      <c r="W101">
        <v>5</v>
      </c>
      <c r="X101" t="s">
        <v>490</v>
      </c>
      <c r="Y101" t="s">
        <v>292</v>
      </c>
      <c r="Z101" t="s">
        <v>60</v>
      </c>
      <c r="AA101" t="s">
        <v>491</v>
      </c>
    </row>
    <row r="102" spans="1:27" x14ac:dyDescent="0.2">
      <c r="A102" s="1">
        <v>45951</v>
      </c>
      <c r="B102" t="s">
        <v>328</v>
      </c>
      <c r="C102" t="s">
        <v>17</v>
      </c>
      <c r="D102" t="s">
        <v>36</v>
      </c>
      <c r="E102" t="s">
        <v>630</v>
      </c>
      <c r="F102" t="s">
        <v>36</v>
      </c>
      <c r="G102">
        <v>2</v>
      </c>
      <c r="H102">
        <v>3</v>
      </c>
      <c r="I102" s="13">
        <v>0.6</v>
      </c>
      <c r="J102" t="s">
        <v>249</v>
      </c>
      <c r="L102" t="s">
        <v>249</v>
      </c>
      <c r="M102" t="s">
        <v>631</v>
      </c>
      <c r="N102" t="s">
        <v>36</v>
      </c>
      <c r="O102">
        <v>2</v>
      </c>
      <c r="P102">
        <v>3</v>
      </c>
      <c r="Q102" s="13">
        <v>0.58176012376347264</v>
      </c>
      <c r="R102" t="s">
        <v>249</v>
      </c>
      <c r="S102">
        <v>0.33627136229584559</v>
      </c>
      <c r="T102" t="s">
        <v>249</v>
      </c>
      <c r="U102" t="s">
        <v>17</v>
      </c>
      <c r="V102">
        <v>3</v>
      </c>
      <c r="W102">
        <v>2</v>
      </c>
      <c r="X102" t="s">
        <v>496</v>
      </c>
      <c r="Y102" t="s">
        <v>292</v>
      </c>
      <c r="Z102" t="s">
        <v>60</v>
      </c>
      <c r="AA102" t="s">
        <v>491</v>
      </c>
    </row>
    <row r="103" spans="1:27" x14ac:dyDescent="0.2">
      <c r="A103" s="1">
        <v>45951</v>
      </c>
      <c r="B103" t="s">
        <v>324</v>
      </c>
      <c r="C103" t="s">
        <v>28</v>
      </c>
      <c r="D103" t="s">
        <v>39</v>
      </c>
      <c r="E103" t="s">
        <v>632</v>
      </c>
      <c r="F103" t="s">
        <v>39</v>
      </c>
      <c r="G103">
        <v>2</v>
      </c>
      <c r="H103">
        <v>3</v>
      </c>
      <c r="I103" s="13">
        <v>0.6</v>
      </c>
      <c r="J103" t="s">
        <v>249</v>
      </c>
      <c r="L103" t="s">
        <v>249</v>
      </c>
      <c r="M103" t="s">
        <v>633</v>
      </c>
      <c r="N103" t="s">
        <v>39</v>
      </c>
      <c r="O103">
        <v>2</v>
      </c>
      <c r="P103">
        <v>3</v>
      </c>
      <c r="Q103" s="13">
        <v>0.69229633650839406</v>
      </c>
      <c r="R103" t="s">
        <v>249</v>
      </c>
      <c r="S103">
        <v>1.058332655128823</v>
      </c>
      <c r="T103" t="s">
        <v>249</v>
      </c>
      <c r="U103" t="s">
        <v>28</v>
      </c>
      <c r="V103">
        <v>5</v>
      </c>
      <c r="W103">
        <v>1</v>
      </c>
      <c r="X103" t="s">
        <v>490</v>
      </c>
      <c r="Y103" t="s">
        <v>292</v>
      </c>
      <c r="Z103" t="s">
        <v>60</v>
      </c>
      <c r="AA103" t="s">
        <v>491</v>
      </c>
    </row>
    <row r="104" spans="1:27" x14ac:dyDescent="0.2">
      <c r="A104" s="1">
        <v>45951</v>
      </c>
      <c r="B104" t="s">
        <v>324</v>
      </c>
      <c r="C104" t="s">
        <v>31</v>
      </c>
      <c r="D104" t="s">
        <v>29</v>
      </c>
      <c r="E104" t="s">
        <v>634</v>
      </c>
      <c r="F104" t="s">
        <v>31</v>
      </c>
      <c r="G104">
        <v>2</v>
      </c>
      <c r="H104">
        <v>3</v>
      </c>
      <c r="I104" s="13">
        <v>0.6</v>
      </c>
      <c r="J104" t="s">
        <v>249</v>
      </c>
      <c r="L104" t="s">
        <v>248</v>
      </c>
      <c r="M104" t="s">
        <v>291</v>
      </c>
      <c r="N104" t="s">
        <v>31</v>
      </c>
      <c r="O104">
        <v>2</v>
      </c>
      <c r="P104">
        <v>3</v>
      </c>
      <c r="Q104" s="13">
        <v>0.65751832992317638</v>
      </c>
      <c r="R104" t="s">
        <v>249</v>
      </c>
      <c r="S104">
        <v>-1.513719556726165</v>
      </c>
      <c r="T104" t="s">
        <v>248</v>
      </c>
      <c r="U104" t="s">
        <v>31</v>
      </c>
      <c r="V104">
        <v>5</v>
      </c>
      <c r="W104">
        <v>2</v>
      </c>
      <c r="X104" t="s">
        <v>490</v>
      </c>
      <c r="Y104" t="s">
        <v>292</v>
      </c>
      <c r="Z104" t="s">
        <v>60</v>
      </c>
      <c r="AA104" t="s">
        <v>491</v>
      </c>
    </row>
    <row r="105" spans="1:27" x14ac:dyDescent="0.2">
      <c r="A105" s="1">
        <v>45951</v>
      </c>
      <c r="B105" t="s">
        <v>328</v>
      </c>
      <c r="C105" t="s">
        <v>32</v>
      </c>
      <c r="D105" t="s">
        <v>22</v>
      </c>
      <c r="E105" t="s">
        <v>635</v>
      </c>
      <c r="F105" t="s">
        <v>22</v>
      </c>
      <c r="G105">
        <v>2</v>
      </c>
      <c r="H105">
        <v>3</v>
      </c>
      <c r="I105" s="13">
        <v>0.6</v>
      </c>
      <c r="J105" t="s">
        <v>249</v>
      </c>
      <c r="L105" t="s">
        <v>248</v>
      </c>
      <c r="M105" t="s">
        <v>321</v>
      </c>
      <c r="N105" t="s">
        <v>22</v>
      </c>
      <c r="O105">
        <v>2</v>
      </c>
      <c r="P105">
        <v>3</v>
      </c>
      <c r="Q105" s="13">
        <v>0.69914783492121801</v>
      </c>
      <c r="R105" t="s">
        <v>249</v>
      </c>
      <c r="S105">
        <v>1.1399852170550091</v>
      </c>
      <c r="T105" t="s">
        <v>248</v>
      </c>
      <c r="U105" t="s">
        <v>22</v>
      </c>
      <c r="V105">
        <v>1</v>
      </c>
      <c r="W105">
        <v>4</v>
      </c>
      <c r="X105" t="s">
        <v>490</v>
      </c>
      <c r="Y105" t="s">
        <v>292</v>
      </c>
      <c r="Z105" t="s">
        <v>60</v>
      </c>
      <c r="AA105" t="s">
        <v>491</v>
      </c>
    </row>
    <row r="106" spans="1:27" x14ac:dyDescent="0.2">
      <c r="A106" s="1">
        <v>45951</v>
      </c>
      <c r="B106" t="s">
        <v>334</v>
      </c>
      <c r="C106" t="s">
        <v>11</v>
      </c>
      <c r="D106" t="s">
        <v>21</v>
      </c>
      <c r="E106" t="s">
        <v>636</v>
      </c>
      <c r="F106" t="s">
        <v>21</v>
      </c>
      <c r="G106">
        <v>2</v>
      </c>
      <c r="H106">
        <v>3</v>
      </c>
      <c r="I106" s="13">
        <v>0.6</v>
      </c>
      <c r="J106" t="s">
        <v>249</v>
      </c>
      <c r="L106" t="s">
        <v>249</v>
      </c>
      <c r="M106" t="s">
        <v>637</v>
      </c>
      <c r="N106" t="s">
        <v>21</v>
      </c>
      <c r="O106">
        <v>2</v>
      </c>
      <c r="P106">
        <v>3</v>
      </c>
      <c r="Q106" s="13">
        <v>0.6094362617503768</v>
      </c>
      <c r="R106" t="s">
        <v>249</v>
      </c>
      <c r="S106">
        <v>0.22724927953953741</v>
      </c>
      <c r="T106" t="s">
        <v>249</v>
      </c>
      <c r="U106" t="s">
        <v>11</v>
      </c>
      <c r="V106">
        <v>4</v>
      </c>
      <c r="W106">
        <v>3</v>
      </c>
      <c r="X106" t="s">
        <v>490</v>
      </c>
      <c r="Y106" t="s">
        <v>292</v>
      </c>
      <c r="Z106" t="s">
        <v>60</v>
      </c>
      <c r="AA106" t="s">
        <v>491</v>
      </c>
    </row>
    <row r="107" spans="1:27" x14ac:dyDescent="0.2">
      <c r="A107" s="1">
        <v>45951</v>
      </c>
      <c r="B107" t="s">
        <v>328</v>
      </c>
      <c r="C107" t="s">
        <v>33</v>
      </c>
      <c r="D107" t="s">
        <v>30</v>
      </c>
      <c r="E107" t="s">
        <v>638</v>
      </c>
      <c r="F107" t="s">
        <v>30</v>
      </c>
      <c r="G107">
        <v>2</v>
      </c>
      <c r="H107">
        <v>3</v>
      </c>
      <c r="I107" s="13">
        <v>0.6</v>
      </c>
      <c r="J107" t="s">
        <v>249</v>
      </c>
      <c r="L107" t="s">
        <v>248</v>
      </c>
      <c r="M107" t="s">
        <v>580</v>
      </c>
      <c r="N107" t="s">
        <v>30</v>
      </c>
      <c r="O107">
        <v>2</v>
      </c>
      <c r="P107">
        <v>3</v>
      </c>
      <c r="Q107" s="13">
        <v>0.57039383684616074</v>
      </c>
      <c r="R107" t="s">
        <v>249</v>
      </c>
      <c r="S107">
        <v>0.26029974386407317</v>
      </c>
      <c r="T107" t="s">
        <v>248</v>
      </c>
      <c r="U107" t="s">
        <v>30</v>
      </c>
      <c r="V107">
        <v>3</v>
      </c>
      <c r="W107">
        <v>4</v>
      </c>
      <c r="X107" t="s">
        <v>490</v>
      </c>
      <c r="Y107" t="s">
        <v>292</v>
      </c>
      <c r="Z107" t="s">
        <v>60</v>
      </c>
      <c r="AA107" t="s">
        <v>491</v>
      </c>
    </row>
    <row r="108" spans="1:27" x14ac:dyDescent="0.2">
      <c r="A108" s="1">
        <v>45951</v>
      </c>
      <c r="B108" t="s">
        <v>328</v>
      </c>
      <c r="C108" t="s">
        <v>24</v>
      </c>
      <c r="D108" t="s">
        <v>19</v>
      </c>
      <c r="E108" t="s">
        <v>639</v>
      </c>
      <c r="F108" t="s">
        <v>24</v>
      </c>
      <c r="G108">
        <v>2</v>
      </c>
      <c r="H108">
        <v>3</v>
      </c>
      <c r="I108" s="13">
        <v>0.6</v>
      </c>
      <c r="J108" t="s">
        <v>249</v>
      </c>
      <c r="L108" t="s">
        <v>248</v>
      </c>
      <c r="M108" t="s">
        <v>449</v>
      </c>
      <c r="N108" t="s">
        <v>24</v>
      </c>
      <c r="O108">
        <v>2</v>
      </c>
      <c r="P108">
        <v>3</v>
      </c>
      <c r="Q108" s="13">
        <v>0.54920600098378236</v>
      </c>
      <c r="R108" t="s">
        <v>249</v>
      </c>
      <c r="S108">
        <v>-0.58610809316042234</v>
      </c>
      <c r="T108" t="s">
        <v>248</v>
      </c>
      <c r="U108" t="s">
        <v>24</v>
      </c>
      <c r="V108">
        <v>5</v>
      </c>
      <c r="W108">
        <v>2</v>
      </c>
      <c r="X108" t="s">
        <v>490</v>
      </c>
      <c r="Y108" t="s">
        <v>292</v>
      </c>
      <c r="Z108" t="s">
        <v>60</v>
      </c>
      <c r="AA108" t="s">
        <v>491</v>
      </c>
    </row>
    <row r="109" spans="1:27" x14ac:dyDescent="0.2">
      <c r="A109" s="1">
        <v>45952</v>
      </c>
      <c r="B109" t="s">
        <v>328</v>
      </c>
      <c r="C109" t="s">
        <v>34</v>
      </c>
      <c r="D109" t="s">
        <v>24</v>
      </c>
      <c r="E109" t="s">
        <v>640</v>
      </c>
      <c r="F109" t="s">
        <v>24</v>
      </c>
      <c r="G109">
        <v>2</v>
      </c>
      <c r="H109">
        <v>3</v>
      </c>
      <c r="I109" s="13">
        <v>0.6</v>
      </c>
      <c r="J109" t="s">
        <v>249</v>
      </c>
      <c r="L109" t="s">
        <v>248</v>
      </c>
      <c r="M109" t="s">
        <v>449</v>
      </c>
      <c r="N109" t="s">
        <v>24</v>
      </c>
      <c r="O109">
        <v>2</v>
      </c>
      <c r="P109">
        <v>3</v>
      </c>
      <c r="Q109" s="13">
        <v>0.59138932922050258</v>
      </c>
      <c r="R109" t="s">
        <v>249</v>
      </c>
      <c r="S109">
        <v>0.1065557871372456</v>
      </c>
      <c r="T109" t="s">
        <v>248</v>
      </c>
      <c r="U109" t="s">
        <v>24</v>
      </c>
      <c r="V109">
        <v>1</v>
      </c>
      <c r="W109">
        <v>4</v>
      </c>
      <c r="X109" t="s">
        <v>490</v>
      </c>
      <c r="Y109" t="s">
        <v>292</v>
      </c>
      <c r="Z109" t="s">
        <v>60</v>
      </c>
      <c r="AA109" t="s">
        <v>491</v>
      </c>
    </row>
    <row r="110" spans="1:27" x14ac:dyDescent="0.2">
      <c r="A110" s="1">
        <v>45952</v>
      </c>
      <c r="B110" t="s">
        <v>416</v>
      </c>
      <c r="C110" t="s">
        <v>18</v>
      </c>
      <c r="D110" t="s">
        <v>16</v>
      </c>
      <c r="E110" t="s">
        <v>641</v>
      </c>
      <c r="F110" t="s">
        <v>18</v>
      </c>
      <c r="G110">
        <v>2</v>
      </c>
      <c r="H110">
        <v>3</v>
      </c>
      <c r="I110" s="13">
        <v>0.6</v>
      </c>
      <c r="J110" t="s">
        <v>249</v>
      </c>
      <c r="L110" t="s">
        <v>248</v>
      </c>
      <c r="M110" t="s">
        <v>360</v>
      </c>
      <c r="N110" t="s">
        <v>18</v>
      </c>
      <c r="O110">
        <v>2</v>
      </c>
      <c r="P110">
        <v>3</v>
      </c>
      <c r="Q110" s="13">
        <v>0.56867826451875392</v>
      </c>
      <c r="R110" t="s">
        <v>249</v>
      </c>
      <c r="S110">
        <v>-0.42299090184763322</v>
      </c>
      <c r="T110" t="s">
        <v>248</v>
      </c>
      <c r="U110" t="s">
        <v>18</v>
      </c>
      <c r="V110">
        <v>2</v>
      </c>
      <c r="W110">
        <v>1</v>
      </c>
      <c r="X110" t="s">
        <v>496</v>
      </c>
      <c r="Y110" t="s">
        <v>292</v>
      </c>
      <c r="Z110" t="s">
        <v>60</v>
      </c>
      <c r="AA110" t="s">
        <v>491</v>
      </c>
    </row>
    <row r="111" spans="1:27" x14ac:dyDescent="0.2">
      <c r="A111" s="1">
        <v>45952</v>
      </c>
      <c r="B111" t="s">
        <v>334</v>
      </c>
      <c r="C111" t="s">
        <v>26</v>
      </c>
      <c r="D111" t="s">
        <v>23</v>
      </c>
      <c r="E111" t="s">
        <v>642</v>
      </c>
      <c r="F111" t="s">
        <v>23</v>
      </c>
      <c r="G111">
        <v>2</v>
      </c>
      <c r="H111">
        <v>3</v>
      </c>
      <c r="I111" s="13">
        <v>0.6</v>
      </c>
      <c r="J111" t="s">
        <v>249</v>
      </c>
      <c r="L111" t="s">
        <v>248</v>
      </c>
      <c r="M111" t="s">
        <v>296</v>
      </c>
      <c r="N111" t="s">
        <v>23</v>
      </c>
      <c r="O111">
        <v>2</v>
      </c>
      <c r="P111">
        <v>3</v>
      </c>
      <c r="Q111" s="13">
        <v>0.60256479135424768</v>
      </c>
      <c r="R111" t="s">
        <v>249</v>
      </c>
      <c r="S111">
        <v>0.44912987821488232</v>
      </c>
      <c r="T111" t="s">
        <v>248</v>
      </c>
      <c r="U111" t="s">
        <v>23</v>
      </c>
      <c r="V111">
        <v>2</v>
      </c>
      <c r="W111">
        <v>4</v>
      </c>
      <c r="X111" t="s">
        <v>490</v>
      </c>
      <c r="Y111" t="s">
        <v>292</v>
      </c>
      <c r="Z111" t="s">
        <v>60</v>
      </c>
      <c r="AA111" t="s">
        <v>491</v>
      </c>
    </row>
    <row r="112" spans="1:27" x14ac:dyDescent="0.2">
      <c r="A112" s="1">
        <v>45953</v>
      </c>
      <c r="B112" t="s">
        <v>326</v>
      </c>
      <c r="C112" t="s">
        <v>25</v>
      </c>
      <c r="D112" t="s">
        <v>12</v>
      </c>
      <c r="E112" t="s">
        <v>643</v>
      </c>
      <c r="F112" t="s">
        <v>12</v>
      </c>
      <c r="G112">
        <v>2</v>
      </c>
      <c r="H112">
        <v>3</v>
      </c>
      <c r="I112" s="13">
        <v>0.6</v>
      </c>
      <c r="J112" t="s">
        <v>249</v>
      </c>
      <c r="L112" t="s">
        <v>249</v>
      </c>
      <c r="M112" t="s">
        <v>644</v>
      </c>
      <c r="N112" t="s">
        <v>12</v>
      </c>
      <c r="O112">
        <v>2</v>
      </c>
      <c r="P112">
        <v>3</v>
      </c>
      <c r="Q112" s="13">
        <v>0.7218928703579427</v>
      </c>
      <c r="R112" t="s">
        <v>249</v>
      </c>
      <c r="S112">
        <v>1.256129270021586</v>
      </c>
      <c r="T112" t="s">
        <v>249</v>
      </c>
      <c r="U112" t="s">
        <v>25</v>
      </c>
      <c r="V112">
        <v>5</v>
      </c>
      <c r="W112">
        <v>4</v>
      </c>
      <c r="X112" t="s">
        <v>496</v>
      </c>
      <c r="Y112" t="s">
        <v>292</v>
      </c>
      <c r="Z112" t="s">
        <v>60</v>
      </c>
      <c r="AA112" t="s">
        <v>491</v>
      </c>
    </row>
    <row r="113" spans="1:27" x14ac:dyDescent="0.2">
      <c r="A113" s="1">
        <v>45953</v>
      </c>
      <c r="B113" t="s">
        <v>328</v>
      </c>
      <c r="C113" t="s">
        <v>31</v>
      </c>
      <c r="D113" t="s">
        <v>21</v>
      </c>
      <c r="E113" t="s">
        <v>645</v>
      </c>
      <c r="F113" t="s">
        <v>31</v>
      </c>
      <c r="G113">
        <v>2</v>
      </c>
      <c r="H113">
        <v>3</v>
      </c>
      <c r="I113" s="13">
        <v>0.6</v>
      </c>
      <c r="J113" t="s">
        <v>249</v>
      </c>
      <c r="L113" t="s">
        <v>248</v>
      </c>
      <c r="M113" t="s">
        <v>291</v>
      </c>
      <c r="N113" t="s">
        <v>31</v>
      </c>
      <c r="O113">
        <v>2</v>
      </c>
      <c r="P113">
        <v>3</v>
      </c>
      <c r="Q113" s="13">
        <v>0.47820092945126852</v>
      </c>
      <c r="R113" t="s">
        <v>249</v>
      </c>
      <c r="S113">
        <v>-0.34857203336383552</v>
      </c>
      <c r="T113" t="s">
        <v>248</v>
      </c>
      <c r="U113" t="s">
        <v>31</v>
      </c>
      <c r="V113">
        <v>7</v>
      </c>
      <c r="W113">
        <v>5</v>
      </c>
      <c r="X113" t="s">
        <v>490</v>
      </c>
      <c r="Y113" t="s">
        <v>292</v>
      </c>
      <c r="Z113" t="s">
        <v>60</v>
      </c>
      <c r="AA113" t="s">
        <v>491</v>
      </c>
    </row>
    <row r="114" spans="1:27" x14ac:dyDescent="0.2">
      <c r="A114" s="1">
        <v>45953</v>
      </c>
      <c r="B114" t="s">
        <v>646</v>
      </c>
      <c r="C114" t="s">
        <v>10</v>
      </c>
      <c r="D114" t="s">
        <v>37</v>
      </c>
      <c r="E114" t="s">
        <v>647</v>
      </c>
      <c r="F114" t="s">
        <v>37</v>
      </c>
      <c r="G114">
        <v>2</v>
      </c>
      <c r="H114">
        <v>3</v>
      </c>
      <c r="I114" s="13">
        <v>0.6</v>
      </c>
      <c r="J114" t="s">
        <v>249</v>
      </c>
      <c r="L114" t="s">
        <v>249</v>
      </c>
      <c r="M114" t="s">
        <v>648</v>
      </c>
      <c r="N114" t="s">
        <v>37</v>
      </c>
      <c r="O114">
        <v>2</v>
      </c>
      <c r="P114">
        <v>3</v>
      </c>
      <c r="Q114" s="13">
        <v>0.65825521503939921</v>
      </c>
      <c r="R114" t="s">
        <v>249</v>
      </c>
      <c r="S114">
        <v>0.73660195085408042</v>
      </c>
      <c r="T114" t="s">
        <v>249</v>
      </c>
      <c r="U114" t="s">
        <v>10</v>
      </c>
      <c r="V114">
        <v>3</v>
      </c>
      <c r="W114">
        <v>2</v>
      </c>
      <c r="X114" t="s">
        <v>490</v>
      </c>
      <c r="Y114" t="s">
        <v>292</v>
      </c>
      <c r="Z114" t="s">
        <v>60</v>
      </c>
      <c r="AA114" t="s">
        <v>491</v>
      </c>
    </row>
    <row r="115" spans="1:27" x14ac:dyDescent="0.2">
      <c r="A115" s="1">
        <v>45953</v>
      </c>
      <c r="B115" t="s">
        <v>324</v>
      </c>
      <c r="C115" t="s">
        <v>55</v>
      </c>
      <c r="D115" t="s">
        <v>35</v>
      </c>
      <c r="E115" t="s">
        <v>463</v>
      </c>
      <c r="F115" t="s">
        <v>55</v>
      </c>
      <c r="G115">
        <v>2</v>
      </c>
      <c r="H115">
        <v>3</v>
      </c>
      <c r="I115" s="13">
        <v>0.6</v>
      </c>
      <c r="J115" t="s">
        <v>249</v>
      </c>
      <c r="L115" t="s">
        <v>248</v>
      </c>
      <c r="M115" t="s">
        <v>362</v>
      </c>
      <c r="N115" t="s">
        <v>55</v>
      </c>
      <c r="O115">
        <v>2</v>
      </c>
      <c r="P115">
        <v>3</v>
      </c>
      <c r="Q115" s="13">
        <v>0.5699286883691741</v>
      </c>
      <c r="R115" t="s">
        <v>249</v>
      </c>
      <c r="S115">
        <v>-0.94145433400337764</v>
      </c>
      <c r="T115" t="s">
        <v>248</v>
      </c>
      <c r="U115" t="s">
        <v>55</v>
      </c>
      <c r="V115">
        <v>7</v>
      </c>
      <c r="W115">
        <v>4</v>
      </c>
      <c r="X115" t="s">
        <v>490</v>
      </c>
      <c r="Y115" t="s">
        <v>292</v>
      </c>
      <c r="Z115" t="s">
        <v>60</v>
      </c>
      <c r="AA115" t="s">
        <v>491</v>
      </c>
    </row>
    <row r="116" spans="1:27" x14ac:dyDescent="0.2">
      <c r="A116" s="1">
        <v>45953</v>
      </c>
      <c r="B116" t="s">
        <v>328</v>
      </c>
      <c r="C116" t="s">
        <v>27</v>
      </c>
      <c r="D116" t="s">
        <v>36</v>
      </c>
      <c r="E116" t="s">
        <v>649</v>
      </c>
      <c r="F116" t="s">
        <v>27</v>
      </c>
      <c r="G116">
        <v>2</v>
      </c>
      <c r="H116">
        <v>3</v>
      </c>
      <c r="I116" s="13">
        <v>0.6</v>
      </c>
      <c r="J116" t="s">
        <v>249</v>
      </c>
      <c r="L116" t="s">
        <v>249</v>
      </c>
      <c r="M116" t="s">
        <v>650</v>
      </c>
      <c r="N116" t="s">
        <v>27</v>
      </c>
      <c r="O116">
        <v>2</v>
      </c>
      <c r="P116">
        <v>3</v>
      </c>
      <c r="Q116" s="13">
        <v>0.51182076425989476</v>
      </c>
      <c r="R116" t="s">
        <v>249</v>
      </c>
      <c r="S116">
        <v>-0.1012357184353601</v>
      </c>
      <c r="T116" t="s">
        <v>249</v>
      </c>
      <c r="U116" t="s">
        <v>36</v>
      </c>
      <c r="V116">
        <v>1</v>
      </c>
      <c r="W116">
        <v>2</v>
      </c>
      <c r="X116" t="s">
        <v>490</v>
      </c>
      <c r="Y116" t="s">
        <v>292</v>
      </c>
      <c r="Z116" t="s">
        <v>60</v>
      </c>
      <c r="AA116" t="s">
        <v>491</v>
      </c>
    </row>
    <row r="117" spans="1:27" x14ac:dyDescent="0.2">
      <c r="A117" s="1">
        <v>45953</v>
      </c>
      <c r="B117" t="s">
        <v>324</v>
      </c>
      <c r="C117" t="s">
        <v>32</v>
      </c>
      <c r="D117" t="s">
        <v>40</v>
      </c>
      <c r="E117" t="s">
        <v>651</v>
      </c>
      <c r="F117" t="s">
        <v>40</v>
      </c>
      <c r="G117">
        <v>2</v>
      </c>
      <c r="H117">
        <v>3</v>
      </c>
      <c r="I117" s="13">
        <v>0.6</v>
      </c>
      <c r="J117" t="s">
        <v>249</v>
      </c>
      <c r="L117" t="s">
        <v>249</v>
      </c>
      <c r="M117" t="s">
        <v>652</v>
      </c>
      <c r="N117" t="s">
        <v>40</v>
      </c>
      <c r="O117">
        <v>2</v>
      </c>
      <c r="P117">
        <v>3</v>
      </c>
      <c r="Q117" s="13">
        <v>0.58757089842028809</v>
      </c>
      <c r="R117" t="s">
        <v>249</v>
      </c>
      <c r="S117">
        <v>0.38603616041846089</v>
      </c>
      <c r="T117" t="s">
        <v>249</v>
      </c>
      <c r="U117" t="s">
        <v>32</v>
      </c>
      <c r="V117">
        <v>3</v>
      </c>
      <c r="W117">
        <v>0</v>
      </c>
      <c r="X117" t="s">
        <v>490</v>
      </c>
      <c r="Y117" t="s">
        <v>292</v>
      </c>
      <c r="Z117" t="s">
        <v>60</v>
      </c>
      <c r="AA117" t="s">
        <v>491</v>
      </c>
    </row>
    <row r="118" spans="1:27" x14ac:dyDescent="0.2">
      <c r="A118" s="1">
        <v>45953</v>
      </c>
      <c r="B118" t="s">
        <v>328</v>
      </c>
      <c r="C118" t="s">
        <v>26</v>
      </c>
      <c r="D118" t="s">
        <v>30</v>
      </c>
      <c r="E118" t="s">
        <v>653</v>
      </c>
      <c r="F118" t="s">
        <v>30</v>
      </c>
      <c r="G118">
        <v>2</v>
      </c>
      <c r="H118">
        <v>3</v>
      </c>
      <c r="I118" s="13">
        <v>0.6</v>
      </c>
      <c r="J118" t="s">
        <v>249</v>
      </c>
      <c r="L118" t="s">
        <v>248</v>
      </c>
      <c r="M118" t="s">
        <v>580</v>
      </c>
      <c r="N118" t="s">
        <v>30</v>
      </c>
      <c r="O118">
        <v>2</v>
      </c>
      <c r="P118">
        <v>3</v>
      </c>
      <c r="Q118" s="13">
        <v>0.61990309562295465</v>
      </c>
      <c r="R118" t="s">
        <v>249</v>
      </c>
      <c r="S118">
        <v>0.68430831651413926</v>
      </c>
      <c r="T118" t="s">
        <v>248</v>
      </c>
      <c r="U118" t="s">
        <v>30</v>
      </c>
      <c r="V118">
        <v>2</v>
      </c>
      <c r="W118">
        <v>7</v>
      </c>
      <c r="X118" t="s">
        <v>490</v>
      </c>
      <c r="Y118" t="s">
        <v>292</v>
      </c>
      <c r="Z118" t="s">
        <v>60</v>
      </c>
      <c r="AA118" t="s">
        <v>491</v>
      </c>
    </row>
    <row r="119" spans="1:27" x14ac:dyDescent="0.2">
      <c r="A119" s="1">
        <v>45953</v>
      </c>
      <c r="B119" t="s">
        <v>324</v>
      </c>
      <c r="C119" t="s">
        <v>38</v>
      </c>
      <c r="D119" t="s">
        <v>29</v>
      </c>
      <c r="E119" t="s">
        <v>654</v>
      </c>
      <c r="F119" t="s">
        <v>38</v>
      </c>
      <c r="G119">
        <v>2</v>
      </c>
      <c r="H119">
        <v>3</v>
      </c>
      <c r="I119" s="13">
        <v>0.6</v>
      </c>
      <c r="J119" t="s">
        <v>249</v>
      </c>
      <c r="L119" t="s">
        <v>249</v>
      </c>
      <c r="M119" t="s">
        <v>655</v>
      </c>
      <c r="N119" t="s">
        <v>38</v>
      </c>
      <c r="O119">
        <v>2</v>
      </c>
      <c r="P119">
        <v>3</v>
      </c>
      <c r="Q119" s="13">
        <v>0.50880367819163874</v>
      </c>
      <c r="R119" t="s">
        <v>249</v>
      </c>
      <c r="S119">
        <v>-0.38733877977609438</v>
      </c>
      <c r="T119" t="s">
        <v>249</v>
      </c>
      <c r="U119" t="s">
        <v>29</v>
      </c>
      <c r="V119">
        <v>1</v>
      </c>
      <c r="W119">
        <v>2</v>
      </c>
      <c r="X119" t="s">
        <v>490</v>
      </c>
      <c r="Y119" t="s">
        <v>292</v>
      </c>
      <c r="Z119" t="s">
        <v>60</v>
      </c>
      <c r="AA119" t="s">
        <v>491</v>
      </c>
    </row>
    <row r="120" spans="1:27" x14ac:dyDescent="0.2">
      <c r="A120" s="1">
        <v>45953</v>
      </c>
      <c r="B120" t="s">
        <v>328</v>
      </c>
      <c r="C120" t="s">
        <v>14</v>
      </c>
      <c r="D120" t="s">
        <v>11</v>
      </c>
      <c r="E120" t="s">
        <v>656</v>
      </c>
      <c r="F120" t="s">
        <v>14</v>
      </c>
      <c r="G120">
        <v>2</v>
      </c>
      <c r="H120">
        <v>3</v>
      </c>
      <c r="I120" s="13">
        <v>0.6</v>
      </c>
      <c r="J120" t="s">
        <v>249</v>
      </c>
      <c r="L120" t="s">
        <v>248</v>
      </c>
      <c r="M120" t="s">
        <v>451</v>
      </c>
      <c r="N120" t="s">
        <v>14</v>
      </c>
      <c r="O120">
        <v>2</v>
      </c>
      <c r="P120">
        <v>3</v>
      </c>
      <c r="Q120" s="13">
        <v>0.50907983992379147</v>
      </c>
      <c r="R120" t="s">
        <v>249</v>
      </c>
      <c r="S120">
        <v>-0.20495332057545401</v>
      </c>
      <c r="T120" t="s">
        <v>248</v>
      </c>
      <c r="U120" t="s">
        <v>14</v>
      </c>
      <c r="V120">
        <v>5</v>
      </c>
      <c r="W120">
        <v>3</v>
      </c>
      <c r="X120" t="s">
        <v>490</v>
      </c>
      <c r="Y120" t="s">
        <v>292</v>
      </c>
      <c r="Z120" t="s">
        <v>60</v>
      </c>
      <c r="AA120" t="s">
        <v>491</v>
      </c>
    </row>
    <row r="121" spans="1:27" x14ac:dyDescent="0.2">
      <c r="A121" s="1">
        <v>45953</v>
      </c>
      <c r="B121" t="s">
        <v>326</v>
      </c>
      <c r="C121" t="s">
        <v>18</v>
      </c>
      <c r="D121" t="s">
        <v>17</v>
      </c>
      <c r="E121" t="s">
        <v>657</v>
      </c>
      <c r="F121" t="s">
        <v>18</v>
      </c>
      <c r="G121">
        <v>2</v>
      </c>
      <c r="H121">
        <v>3</v>
      </c>
      <c r="I121" s="13">
        <v>0.6</v>
      </c>
      <c r="J121" t="s">
        <v>249</v>
      </c>
      <c r="L121" t="s">
        <v>249</v>
      </c>
      <c r="M121" t="s">
        <v>658</v>
      </c>
      <c r="N121" t="s">
        <v>18</v>
      </c>
      <c r="O121">
        <v>2</v>
      </c>
      <c r="P121">
        <v>3</v>
      </c>
      <c r="Q121" s="13">
        <v>0.53262385063370665</v>
      </c>
      <c r="R121" t="s">
        <v>249</v>
      </c>
      <c r="S121">
        <v>-0.17495628704053409</v>
      </c>
      <c r="T121" t="s">
        <v>249</v>
      </c>
      <c r="U121" t="s">
        <v>17</v>
      </c>
      <c r="V121">
        <v>5</v>
      </c>
      <c r="W121">
        <v>6</v>
      </c>
      <c r="X121" t="s">
        <v>490</v>
      </c>
      <c r="Y121" t="s">
        <v>292</v>
      </c>
      <c r="Z121" t="s">
        <v>60</v>
      </c>
      <c r="AA121" t="s">
        <v>491</v>
      </c>
    </row>
    <row r="122" spans="1:27" x14ac:dyDescent="0.2">
      <c r="A122" s="1">
        <v>45953</v>
      </c>
      <c r="B122" t="s">
        <v>326</v>
      </c>
      <c r="C122" t="s">
        <v>13</v>
      </c>
      <c r="D122" t="s">
        <v>39</v>
      </c>
      <c r="E122" t="s">
        <v>659</v>
      </c>
      <c r="F122" t="s">
        <v>39</v>
      </c>
      <c r="G122">
        <v>2</v>
      </c>
      <c r="H122">
        <v>3</v>
      </c>
      <c r="I122" s="13">
        <v>0.6</v>
      </c>
      <c r="J122" t="s">
        <v>249</v>
      </c>
      <c r="L122" t="s">
        <v>249</v>
      </c>
      <c r="M122" t="s">
        <v>660</v>
      </c>
      <c r="N122" t="s">
        <v>39</v>
      </c>
      <c r="O122">
        <v>2</v>
      </c>
      <c r="P122">
        <v>3</v>
      </c>
      <c r="Q122" s="13">
        <v>0.59993087976587611</v>
      </c>
      <c r="R122" t="s">
        <v>249</v>
      </c>
      <c r="S122">
        <v>0.80162684945549589</v>
      </c>
      <c r="T122" t="s">
        <v>249</v>
      </c>
      <c r="U122" t="s">
        <v>13</v>
      </c>
      <c r="V122">
        <v>3</v>
      </c>
      <c r="W122">
        <v>2</v>
      </c>
      <c r="X122" t="s">
        <v>496</v>
      </c>
      <c r="Y122" t="s">
        <v>292</v>
      </c>
      <c r="Z122" t="s">
        <v>60</v>
      </c>
      <c r="AA122" t="s">
        <v>491</v>
      </c>
    </row>
    <row r="123" spans="1:27" x14ac:dyDescent="0.2">
      <c r="A123" s="1">
        <v>45953</v>
      </c>
      <c r="B123" t="s">
        <v>328</v>
      </c>
      <c r="C123" t="s">
        <v>33</v>
      </c>
      <c r="D123" t="s">
        <v>15</v>
      </c>
      <c r="E123" t="s">
        <v>661</v>
      </c>
      <c r="F123" t="s">
        <v>15</v>
      </c>
      <c r="G123">
        <v>2</v>
      </c>
      <c r="H123">
        <v>3</v>
      </c>
      <c r="I123" s="13">
        <v>0.6</v>
      </c>
      <c r="J123" t="s">
        <v>249</v>
      </c>
      <c r="L123" t="s">
        <v>249</v>
      </c>
      <c r="M123" t="s">
        <v>662</v>
      </c>
      <c r="N123" t="s">
        <v>15</v>
      </c>
      <c r="O123">
        <v>2</v>
      </c>
      <c r="P123">
        <v>3</v>
      </c>
      <c r="Q123" s="13">
        <v>0.56466045516532937</v>
      </c>
      <c r="R123" t="s">
        <v>249</v>
      </c>
      <c r="S123">
        <v>0.21119775682146319</v>
      </c>
      <c r="T123" t="s">
        <v>249</v>
      </c>
      <c r="U123" t="s">
        <v>33</v>
      </c>
      <c r="V123">
        <v>6</v>
      </c>
      <c r="W123">
        <v>5</v>
      </c>
      <c r="X123" t="s">
        <v>496</v>
      </c>
      <c r="Y123" t="s">
        <v>292</v>
      </c>
      <c r="Z123" t="s">
        <v>60</v>
      </c>
      <c r="AA123" t="s">
        <v>491</v>
      </c>
    </row>
    <row r="124" spans="1:27" x14ac:dyDescent="0.2">
      <c r="A124" s="1">
        <v>45954</v>
      </c>
      <c r="B124" t="s">
        <v>334</v>
      </c>
      <c r="C124" t="s">
        <v>19</v>
      </c>
      <c r="D124" t="s">
        <v>23</v>
      </c>
      <c r="E124" t="s">
        <v>663</v>
      </c>
      <c r="F124" t="s">
        <v>23</v>
      </c>
      <c r="G124">
        <v>2</v>
      </c>
      <c r="H124">
        <v>3</v>
      </c>
      <c r="I124" s="13">
        <v>0.6</v>
      </c>
      <c r="J124" t="s">
        <v>249</v>
      </c>
      <c r="L124" t="s">
        <v>248</v>
      </c>
      <c r="M124" t="s">
        <v>296</v>
      </c>
      <c r="N124" t="s">
        <v>23</v>
      </c>
      <c r="O124">
        <v>2</v>
      </c>
      <c r="P124">
        <v>3</v>
      </c>
      <c r="Q124" s="13">
        <v>0.57444071781895778</v>
      </c>
      <c r="R124" t="s">
        <v>249</v>
      </c>
      <c r="S124">
        <v>0.2082689045015533</v>
      </c>
      <c r="T124" t="s">
        <v>248</v>
      </c>
      <c r="U124" t="s">
        <v>23</v>
      </c>
      <c r="V124">
        <v>3</v>
      </c>
      <c r="W124">
        <v>5</v>
      </c>
      <c r="X124" t="s">
        <v>490</v>
      </c>
      <c r="Y124" t="s">
        <v>292</v>
      </c>
      <c r="Z124" t="s">
        <v>60</v>
      </c>
      <c r="AA124" t="s">
        <v>491</v>
      </c>
    </row>
    <row r="125" spans="1:27" x14ac:dyDescent="0.2">
      <c r="A125" s="1">
        <v>45954</v>
      </c>
      <c r="B125" t="s">
        <v>328</v>
      </c>
      <c r="C125" t="s">
        <v>22</v>
      </c>
      <c r="D125" t="s">
        <v>28</v>
      </c>
      <c r="E125" t="s">
        <v>664</v>
      </c>
      <c r="F125" t="s">
        <v>22</v>
      </c>
      <c r="G125">
        <v>2</v>
      </c>
      <c r="H125">
        <v>3</v>
      </c>
      <c r="I125" s="13">
        <v>0.6</v>
      </c>
      <c r="J125" t="s">
        <v>249</v>
      </c>
      <c r="L125" t="s">
        <v>248</v>
      </c>
      <c r="M125" t="s">
        <v>321</v>
      </c>
      <c r="N125" t="s">
        <v>22</v>
      </c>
      <c r="O125">
        <v>2</v>
      </c>
      <c r="P125">
        <v>3</v>
      </c>
      <c r="Q125" s="13">
        <v>0.61761878207980603</v>
      </c>
      <c r="R125" t="s">
        <v>249</v>
      </c>
      <c r="S125">
        <v>-0.98579588828113485</v>
      </c>
      <c r="T125" t="s">
        <v>248</v>
      </c>
      <c r="U125" t="s">
        <v>22</v>
      </c>
      <c r="V125">
        <v>5</v>
      </c>
      <c r="W125">
        <v>1</v>
      </c>
      <c r="X125" t="s">
        <v>490</v>
      </c>
      <c r="Y125" t="s">
        <v>292</v>
      </c>
      <c r="Z125" t="s">
        <v>60</v>
      </c>
      <c r="AA125" t="s">
        <v>491</v>
      </c>
    </row>
    <row r="126" spans="1:27" x14ac:dyDescent="0.2">
      <c r="A126" s="1">
        <v>45954</v>
      </c>
      <c r="B126" t="s">
        <v>328</v>
      </c>
      <c r="C126" t="s">
        <v>33</v>
      </c>
      <c r="D126" t="s">
        <v>24</v>
      </c>
      <c r="E126" t="s">
        <v>665</v>
      </c>
      <c r="F126" t="s">
        <v>24</v>
      </c>
      <c r="G126">
        <v>2</v>
      </c>
      <c r="H126">
        <v>3</v>
      </c>
      <c r="I126" s="13">
        <v>0.6</v>
      </c>
      <c r="J126" t="s">
        <v>249</v>
      </c>
      <c r="L126" t="s">
        <v>248</v>
      </c>
      <c r="M126" t="s">
        <v>449</v>
      </c>
      <c r="N126" t="s">
        <v>24</v>
      </c>
      <c r="O126">
        <v>2</v>
      </c>
      <c r="P126">
        <v>3</v>
      </c>
      <c r="Q126" s="13">
        <v>0.67853959355538906</v>
      </c>
      <c r="R126" t="s">
        <v>249</v>
      </c>
      <c r="S126">
        <v>0.50276199207001016</v>
      </c>
      <c r="T126" t="s">
        <v>248</v>
      </c>
      <c r="U126" t="s">
        <v>24</v>
      </c>
      <c r="V126">
        <v>1</v>
      </c>
      <c r="W126">
        <v>3</v>
      </c>
      <c r="X126" t="s">
        <v>490</v>
      </c>
      <c r="Y126" t="s">
        <v>292</v>
      </c>
      <c r="Z126" t="s">
        <v>60</v>
      </c>
      <c r="AA126" t="s">
        <v>491</v>
      </c>
    </row>
    <row r="127" spans="1:27" x14ac:dyDescent="0.2">
      <c r="A127" s="1">
        <v>45954</v>
      </c>
      <c r="B127" t="s">
        <v>324</v>
      </c>
      <c r="C127" t="s">
        <v>16</v>
      </c>
      <c r="D127" t="s">
        <v>40</v>
      </c>
      <c r="E127" t="s">
        <v>666</v>
      </c>
      <c r="F127" t="s">
        <v>40</v>
      </c>
      <c r="G127">
        <v>2</v>
      </c>
      <c r="H127">
        <v>3</v>
      </c>
      <c r="I127" s="13">
        <v>0.6</v>
      </c>
      <c r="J127" t="s">
        <v>249</v>
      </c>
      <c r="L127" t="s">
        <v>248</v>
      </c>
      <c r="M127" t="s">
        <v>315</v>
      </c>
      <c r="N127" t="s">
        <v>40</v>
      </c>
      <c r="O127">
        <v>2</v>
      </c>
      <c r="P127">
        <v>3</v>
      </c>
      <c r="Q127" s="13">
        <v>0.63619221621509325</v>
      </c>
      <c r="R127" t="s">
        <v>249</v>
      </c>
      <c r="S127">
        <v>0.80244020418499173</v>
      </c>
      <c r="T127" t="s">
        <v>248</v>
      </c>
      <c r="U127" t="s">
        <v>40</v>
      </c>
      <c r="V127">
        <v>3</v>
      </c>
      <c r="W127">
        <v>5</v>
      </c>
      <c r="X127" t="s">
        <v>490</v>
      </c>
      <c r="Y127" t="s">
        <v>292</v>
      </c>
      <c r="Z127" t="s">
        <v>60</v>
      </c>
      <c r="AA127" t="s">
        <v>491</v>
      </c>
    </row>
    <row r="128" spans="1:27" x14ac:dyDescent="0.2">
      <c r="A128" s="1">
        <v>45955</v>
      </c>
      <c r="B128" t="s">
        <v>365</v>
      </c>
      <c r="C128" t="s">
        <v>31</v>
      </c>
      <c r="D128" t="s">
        <v>37</v>
      </c>
      <c r="E128" t="s">
        <v>667</v>
      </c>
      <c r="F128" t="s">
        <v>37</v>
      </c>
      <c r="G128">
        <v>2</v>
      </c>
      <c r="H128">
        <v>3</v>
      </c>
      <c r="I128" s="13">
        <v>0.6</v>
      </c>
      <c r="J128" t="s">
        <v>249</v>
      </c>
      <c r="L128" t="s">
        <v>248</v>
      </c>
      <c r="M128" t="s">
        <v>395</v>
      </c>
      <c r="N128" t="s">
        <v>37</v>
      </c>
      <c r="O128">
        <v>2</v>
      </c>
      <c r="P128">
        <v>3</v>
      </c>
      <c r="Q128" s="13">
        <v>0.59629355863014089</v>
      </c>
      <c r="R128" t="s">
        <v>249</v>
      </c>
      <c r="S128">
        <v>0.38170267383050038</v>
      </c>
      <c r="T128" t="s">
        <v>248</v>
      </c>
      <c r="U128" t="s">
        <v>37</v>
      </c>
      <c r="V128">
        <v>3</v>
      </c>
      <c r="W128">
        <v>4</v>
      </c>
      <c r="X128" t="s">
        <v>490</v>
      </c>
      <c r="Y128" t="s">
        <v>292</v>
      </c>
      <c r="Z128" t="s">
        <v>60</v>
      </c>
      <c r="AA128" t="s">
        <v>491</v>
      </c>
    </row>
    <row r="129" spans="1:27" x14ac:dyDescent="0.2">
      <c r="A129" s="1">
        <v>45955</v>
      </c>
      <c r="B129" t="s">
        <v>328</v>
      </c>
      <c r="C129" t="s">
        <v>36</v>
      </c>
      <c r="D129" t="s">
        <v>22</v>
      </c>
      <c r="E129" t="s">
        <v>668</v>
      </c>
      <c r="F129" t="s">
        <v>22</v>
      </c>
      <c r="G129">
        <v>2</v>
      </c>
      <c r="H129">
        <v>3</v>
      </c>
      <c r="I129" s="13">
        <v>0.6</v>
      </c>
      <c r="J129" t="s">
        <v>249</v>
      </c>
      <c r="L129" t="s">
        <v>249</v>
      </c>
      <c r="M129" t="s">
        <v>669</v>
      </c>
      <c r="N129" t="s">
        <v>22</v>
      </c>
      <c r="O129">
        <v>2</v>
      </c>
      <c r="P129">
        <v>3</v>
      </c>
      <c r="Q129" s="13">
        <v>0.68536945506778668</v>
      </c>
      <c r="R129" t="s">
        <v>249</v>
      </c>
      <c r="S129">
        <v>1.021984032641758</v>
      </c>
      <c r="T129" t="s">
        <v>249</v>
      </c>
      <c r="U129" t="s">
        <v>36</v>
      </c>
      <c r="V129">
        <v>7</v>
      </c>
      <c r="W129">
        <v>1</v>
      </c>
      <c r="X129" t="s">
        <v>490</v>
      </c>
      <c r="Y129" t="s">
        <v>292</v>
      </c>
      <c r="Z129" t="s">
        <v>60</v>
      </c>
      <c r="AA129" t="s">
        <v>491</v>
      </c>
    </row>
    <row r="130" spans="1:27" x14ac:dyDescent="0.2">
      <c r="A130" s="1">
        <v>45955</v>
      </c>
      <c r="B130" t="s">
        <v>328</v>
      </c>
      <c r="C130" t="s">
        <v>18</v>
      </c>
      <c r="D130" t="s">
        <v>38</v>
      </c>
      <c r="E130" t="s">
        <v>670</v>
      </c>
      <c r="F130" t="s">
        <v>18</v>
      </c>
      <c r="G130">
        <v>2</v>
      </c>
      <c r="H130">
        <v>3</v>
      </c>
      <c r="I130" s="13">
        <v>0.6</v>
      </c>
      <c r="J130" t="s">
        <v>249</v>
      </c>
      <c r="L130" t="s">
        <v>248</v>
      </c>
      <c r="M130" t="s">
        <v>360</v>
      </c>
      <c r="N130" t="s">
        <v>18</v>
      </c>
      <c r="O130">
        <v>2</v>
      </c>
      <c r="P130">
        <v>3</v>
      </c>
      <c r="Q130" s="13">
        <v>0.55488793501587308</v>
      </c>
      <c r="R130" t="s">
        <v>249</v>
      </c>
      <c r="S130">
        <v>-0.30488737791381648</v>
      </c>
      <c r="T130" t="s">
        <v>248</v>
      </c>
      <c r="U130" t="s">
        <v>18</v>
      </c>
      <c r="V130">
        <v>4</v>
      </c>
      <c r="W130">
        <v>3</v>
      </c>
      <c r="X130" t="s">
        <v>490</v>
      </c>
      <c r="Y130" t="s">
        <v>292</v>
      </c>
      <c r="Z130" t="s">
        <v>60</v>
      </c>
      <c r="AA130" t="s">
        <v>491</v>
      </c>
    </row>
    <row r="131" spans="1:27" x14ac:dyDescent="0.2">
      <c r="A131" s="1">
        <v>45955</v>
      </c>
      <c r="B131" t="s">
        <v>328</v>
      </c>
      <c r="C131" t="s">
        <v>23</v>
      </c>
      <c r="D131" t="s">
        <v>19</v>
      </c>
      <c r="E131" t="s">
        <v>671</v>
      </c>
      <c r="F131" t="s">
        <v>23</v>
      </c>
      <c r="G131">
        <v>2</v>
      </c>
      <c r="H131">
        <v>3</v>
      </c>
      <c r="I131" s="13">
        <v>0.6</v>
      </c>
      <c r="J131" t="s">
        <v>249</v>
      </c>
      <c r="L131" t="s">
        <v>249</v>
      </c>
      <c r="M131" t="s">
        <v>672</v>
      </c>
      <c r="N131" t="s">
        <v>23</v>
      </c>
      <c r="O131">
        <v>2</v>
      </c>
      <c r="P131">
        <v>3</v>
      </c>
      <c r="Q131" s="13">
        <v>0.47266517059166502</v>
      </c>
      <c r="R131" t="s">
        <v>249</v>
      </c>
      <c r="S131">
        <v>-0.1084674066552284</v>
      </c>
      <c r="T131" t="s">
        <v>249</v>
      </c>
      <c r="U131" t="s">
        <v>19</v>
      </c>
      <c r="V131">
        <v>3</v>
      </c>
      <c r="W131">
        <v>4</v>
      </c>
      <c r="X131" t="s">
        <v>496</v>
      </c>
      <c r="Y131" t="s">
        <v>292</v>
      </c>
      <c r="Z131" t="s">
        <v>60</v>
      </c>
      <c r="AA131" t="s">
        <v>491</v>
      </c>
    </row>
    <row r="132" spans="1:27" x14ac:dyDescent="0.2">
      <c r="A132" s="1">
        <v>45955</v>
      </c>
      <c r="B132" t="s">
        <v>322</v>
      </c>
      <c r="C132" t="s">
        <v>17</v>
      </c>
      <c r="D132" t="s">
        <v>32</v>
      </c>
      <c r="E132" t="s">
        <v>462</v>
      </c>
      <c r="F132" t="s">
        <v>32</v>
      </c>
      <c r="G132">
        <v>2</v>
      </c>
      <c r="H132">
        <v>3</v>
      </c>
      <c r="I132" s="13">
        <v>0.6</v>
      </c>
      <c r="J132" t="s">
        <v>249</v>
      </c>
      <c r="L132" t="s">
        <v>248</v>
      </c>
      <c r="M132" t="s">
        <v>673</v>
      </c>
      <c r="N132" t="s">
        <v>32</v>
      </c>
      <c r="O132">
        <v>2</v>
      </c>
      <c r="P132">
        <v>3</v>
      </c>
      <c r="Q132" s="13">
        <v>0.5654862647057014</v>
      </c>
      <c r="R132" t="s">
        <v>249</v>
      </c>
      <c r="S132">
        <v>0.2182701778825942</v>
      </c>
      <c r="T132" t="s">
        <v>248</v>
      </c>
      <c r="U132" t="s">
        <v>32</v>
      </c>
      <c r="V132">
        <v>2</v>
      </c>
      <c r="W132">
        <v>3</v>
      </c>
      <c r="X132" t="s">
        <v>490</v>
      </c>
      <c r="Y132" t="s">
        <v>292</v>
      </c>
      <c r="Z132" t="s">
        <v>60</v>
      </c>
      <c r="AA132" t="s">
        <v>491</v>
      </c>
    </row>
    <row r="133" spans="1:27" x14ac:dyDescent="0.2">
      <c r="A133" s="1">
        <v>45955</v>
      </c>
      <c r="B133" t="s">
        <v>324</v>
      </c>
      <c r="C133" t="s">
        <v>25</v>
      </c>
      <c r="D133" t="s">
        <v>39</v>
      </c>
      <c r="E133" t="s">
        <v>674</v>
      </c>
      <c r="F133" t="s">
        <v>39</v>
      </c>
      <c r="G133">
        <v>2</v>
      </c>
      <c r="H133">
        <v>3</v>
      </c>
      <c r="I133" s="13">
        <v>0.6</v>
      </c>
      <c r="J133" t="s">
        <v>249</v>
      </c>
      <c r="L133" t="s">
        <v>248</v>
      </c>
      <c r="M133" t="s">
        <v>398</v>
      </c>
      <c r="N133" t="s">
        <v>39</v>
      </c>
      <c r="O133">
        <v>2</v>
      </c>
      <c r="P133">
        <v>3</v>
      </c>
      <c r="Q133" s="13">
        <v>0.50439830818693232</v>
      </c>
      <c r="R133" t="s">
        <v>249</v>
      </c>
      <c r="S133">
        <v>3.76681134497295E-2</v>
      </c>
      <c r="T133" t="s">
        <v>248</v>
      </c>
      <c r="U133" t="s">
        <v>39</v>
      </c>
      <c r="V133">
        <v>2</v>
      </c>
      <c r="W133">
        <v>3</v>
      </c>
      <c r="X133" t="s">
        <v>490</v>
      </c>
      <c r="Y133" t="s">
        <v>292</v>
      </c>
      <c r="Z133" t="s">
        <v>60</v>
      </c>
      <c r="AA133" t="s">
        <v>491</v>
      </c>
    </row>
    <row r="134" spans="1:27" x14ac:dyDescent="0.2">
      <c r="A134" s="1">
        <v>45955</v>
      </c>
      <c r="B134" t="s">
        <v>555</v>
      </c>
      <c r="C134" t="s">
        <v>30</v>
      </c>
      <c r="D134" t="s">
        <v>27</v>
      </c>
      <c r="E134" t="s">
        <v>675</v>
      </c>
      <c r="F134" t="s">
        <v>30</v>
      </c>
      <c r="G134">
        <v>2</v>
      </c>
      <c r="H134">
        <v>3</v>
      </c>
      <c r="I134" s="13">
        <v>0.6</v>
      </c>
      <c r="J134" t="s">
        <v>249</v>
      </c>
      <c r="L134" t="s">
        <v>249</v>
      </c>
      <c r="M134" t="s">
        <v>676</v>
      </c>
      <c r="N134" t="s">
        <v>30</v>
      </c>
      <c r="O134">
        <v>2</v>
      </c>
      <c r="P134">
        <v>3</v>
      </c>
      <c r="Q134" s="13">
        <v>0.52895808630556485</v>
      </c>
      <c r="R134" t="s">
        <v>249</v>
      </c>
      <c r="S134">
        <v>-8.9406837141820905E-2</v>
      </c>
      <c r="T134" t="s">
        <v>249</v>
      </c>
      <c r="U134" t="s">
        <v>27</v>
      </c>
      <c r="V134">
        <v>3</v>
      </c>
      <c r="W134">
        <v>4</v>
      </c>
      <c r="X134" t="s">
        <v>496</v>
      </c>
      <c r="Y134" t="s">
        <v>292</v>
      </c>
      <c r="Z134" t="s">
        <v>60</v>
      </c>
      <c r="AA134" t="s">
        <v>491</v>
      </c>
    </row>
    <row r="135" spans="1:27" x14ac:dyDescent="0.2">
      <c r="A135" s="1">
        <v>45955</v>
      </c>
      <c r="B135" t="s">
        <v>324</v>
      </c>
      <c r="C135" t="s">
        <v>13</v>
      </c>
      <c r="D135" t="s">
        <v>29</v>
      </c>
      <c r="E135" t="s">
        <v>677</v>
      </c>
      <c r="F135" t="s">
        <v>13</v>
      </c>
      <c r="G135">
        <v>2</v>
      </c>
      <c r="H135">
        <v>3</v>
      </c>
      <c r="I135" s="13">
        <v>0.6</v>
      </c>
      <c r="J135" t="s">
        <v>249</v>
      </c>
      <c r="L135" t="s">
        <v>249</v>
      </c>
      <c r="M135" t="s">
        <v>678</v>
      </c>
      <c r="N135" t="s">
        <v>13</v>
      </c>
      <c r="O135">
        <v>2</v>
      </c>
      <c r="P135">
        <v>3</v>
      </c>
      <c r="Q135" s="13">
        <v>0.64269907050438491</v>
      </c>
      <c r="R135" t="s">
        <v>249</v>
      </c>
      <c r="S135">
        <v>-0.99673293620968484</v>
      </c>
      <c r="T135" t="s">
        <v>249</v>
      </c>
      <c r="U135" t="s">
        <v>29</v>
      </c>
      <c r="V135">
        <v>4</v>
      </c>
      <c r="W135">
        <v>5</v>
      </c>
      <c r="X135" t="s">
        <v>496</v>
      </c>
      <c r="Y135" t="s">
        <v>292</v>
      </c>
      <c r="Z135" t="s">
        <v>60</v>
      </c>
      <c r="AA135" t="s">
        <v>491</v>
      </c>
    </row>
    <row r="136" spans="1:27" x14ac:dyDescent="0.2">
      <c r="A136" s="1">
        <v>45955</v>
      </c>
      <c r="B136" t="s">
        <v>469</v>
      </c>
      <c r="C136" t="s">
        <v>55</v>
      </c>
      <c r="D136" t="s">
        <v>34</v>
      </c>
      <c r="E136" t="s">
        <v>679</v>
      </c>
      <c r="F136" t="s">
        <v>34</v>
      </c>
      <c r="G136">
        <v>2</v>
      </c>
      <c r="H136">
        <v>3</v>
      </c>
      <c r="I136" s="13">
        <v>0.6</v>
      </c>
      <c r="J136" t="s">
        <v>249</v>
      </c>
      <c r="L136" t="s">
        <v>249</v>
      </c>
      <c r="M136" t="s">
        <v>680</v>
      </c>
      <c r="N136" t="s">
        <v>34</v>
      </c>
      <c r="O136">
        <v>2</v>
      </c>
      <c r="P136">
        <v>3</v>
      </c>
      <c r="Q136" s="13">
        <v>0.5864606100690819</v>
      </c>
      <c r="R136" t="s">
        <v>249</v>
      </c>
      <c r="S136">
        <v>0.39789925049486607</v>
      </c>
      <c r="T136" t="s">
        <v>249</v>
      </c>
      <c r="U136" t="s">
        <v>55</v>
      </c>
      <c r="V136">
        <v>6</v>
      </c>
      <c r="W136">
        <v>2</v>
      </c>
      <c r="X136" t="s">
        <v>490</v>
      </c>
      <c r="Y136" t="s">
        <v>292</v>
      </c>
      <c r="Z136" t="s">
        <v>60</v>
      </c>
      <c r="AA136" t="s">
        <v>491</v>
      </c>
    </row>
    <row r="137" spans="1:27" x14ac:dyDescent="0.2">
      <c r="A137" s="1">
        <v>45955</v>
      </c>
      <c r="B137" t="s">
        <v>469</v>
      </c>
      <c r="C137" t="s">
        <v>20</v>
      </c>
      <c r="D137" t="s">
        <v>11</v>
      </c>
      <c r="E137" t="s">
        <v>681</v>
      </c>
      <c r="F137" t="s">
        <v>20</v>
      </c>
      <c r="G137">
        <v>2</v>
      </c>
      <c r="H137">
        <v>3</v>
      </c>
      <c r="I137" s="13">
        <v>0.6</v>
      </c>
      <c r="J137" t="s">
        <v>249</v>
      </c>
      <c r="L137" t="s">
        <v>249</v>
      </c>
      <c r="M137" t="s">
        <v>682</v>
      </c>
      <c r="N137" t="s">
        <v>20</v>
      </c>
      <c r="O137">
        <v>2</v>
      </c>
      <c r="P137">
        <v>3</v>
      </c>
      <c r="Q137" s="13">
        <v>0.45798407748241171</v>
      </c>
      <c r="R137" t="s">
        <v>249</v>
      </c>
      <c r="S137">
        <v>-0.10277671182030761</v>
      </c>
      <c r="T137" t="s">
        <v>249</v>
      </c>
      <c r="U137" t="s">
        <v>11</v>
      </c>
      <c r="V137">
        <v>0</v>
      </c>
      <c r="W137">
        <v>3</v>
      </c>
      <c r="X137" t="s">
        <v>490</v>
      </c>
      <c r="Y137" t="s">
        <v>292</v>
      </c>
      <c r="Z137" t="s">
        <v>60</v>
      </c>
      <c r="AA137" t="s">
        <v>491</v>
      </c>
    </row>
    <row r="138" spans="1:27" x14ac:dyDescent="0.2">
      <c r="A138" s="1">
        <v>45955</v>
      </c>
      <c r="B138" t="s">
        <v>328</v>
      </c>
      <c r="C138" t="s">
        <v>35</v>
      </c>
      <c r="D138" t="s">
        <v>26</v>
      </c>
      <c r="E138" t="s">
        <v>683</v>
      </c>
      <c r="F138" t="s">
        <v>26</v>
      </c>
      <c r="G138">
        <v>2</v>
      </c>
      <c r="H138">
        <v>3</v>
      </c>
      <c r="I138" s="13">
        <v>0.6</v>
      </c>
      <c r="J138" t="s">
        <v>249</v>
      </c>
      <c r="L138" t="s">
        <v>248</v>
      </c>
      <c r="M138" t="s">
        <v>307</v>
      </c>
      <c r="N138" t="s">
        <v>26</v>
      </c>
      <c r="O138">
        <v>2</v>
      </c>
      <c r="P138">
        <v>3</v>
      </c>
      <c r="Q138" s="13">
        <v>0.60644376656859444</v>
      </c>
      <c r="R138" t="s">
        <v>249</v>
      </c>
      <c r="S138">
        <v>0.56903955583857546</v>
      </c>
      <c r="T138" t="s">
        <v>248</v>
      </c>
      <c r="U138" t="s">
        <v>26</v>
      </c>
      <c r="V138">
        <v>4</v>
      </c>
      <c r="W138">
        <v>6</v>
      </c>
      <c r="X138" t="s">
        <v>490</v>
      </c>
      <c r="Y138" t="s">
        <v>292</v>
      </c>
      <c r="Z138" t="s">
        <v>60</v>
      </c>
      <c r="AA138" t="s">
        <v>491</v>
      </c>
    </row>
    <row r="139" spans="1:27" x14ac:dyDescent="0.2">
      <c r="A139" s="1">
        <v>45955</v>
      </c>
      <c r="B139" t="s">
        <v>328</v>
      </c>
      <c r="C139" t="s">
        <v>28</v>
      </c>
      <c r="D139" t="s">
        <v>14</v>
      </c>
      <c r="E139" t="s">
        <v>684</v>
      </c>
      <c r="F139" t="s">
        <v>14</v>
      </c>
      <c r="G139">
        <v>2</v>
      </c>
      <c r="H139">
        <v>3</v>
      </c>
      <c r="I139" s="13">
        <v>0.6</v>
      </c>
      <c r="J139" t="s">
        <v>249</v>
      </c>
      <c r="L139" t="s">
        <v>249</v>
      </c>
      <c r="M139" t="s">
        <v>685</v>
      </c>
      <c r="N139" t="s">
        <v>14</v>
      </c>
      <c r="O139">
        <v>2</v>
      </c>
      <c r="P139">
        <v>3</v>
      </c>
      <c r="Q139" s="13">
        <v>0.59511283681584248</v>
      </c>
      <c r="R139" t="s">
        <v>249</v>
      </c>
      <c r="S139">
        <v>0.50262593170821268</v>
      </c>
      <c r="T139" t="s">
        <v>249</v>
      </c>
      <c r="U139" t="s">
        <v>28</v>
      </c>
      <c r="V139">
        <v>5</v>
      </c>
      <c r="W139">
        <v>4</v>
      </c>
      <c r="X139" t="s">
        <v>496</v>
      </c>
      <c r="Y139" t="s">
        <v>292</v>
      </c>
      <c r="Z139" t="s">
        <v>60</v>
      </c>
      <c r="AA139" t="s">
        <v>491</v>
      </c>
    </row>
    <row r="140" spans="1:27" x14ac:dyDescent="0.2">
      <c r="A140" s="1">
        <v>45955</v>
      </c>
      <c r="B140" t="s">
        <v>453</v>
      </c>
      <c r="C140" t="s">
        <v>12</v>
      </c>
      <c r="D140" t="s">
        <v>21</v>
      </c>
      <c r="E140" t="s">
        <v>686</v>
      </c>
      <c r="F140" t="s">
        <v>12</v>
      </c>
      <c r="G140">
        <v>2</v>
      </c>
      <c r="H140">
        <v>3</v>
      </c>
      <c r="I140" s="13">
        <v>0.6</v>
      </c>
      <c r="J140" t="s">
        <v>249</v>
      </c>
      <c r="L140" t="s">
        <v>249</v>
      </c>
      <c r="M140" t="s">
        <v>687</v>
      </c>
      <c r="N140" t="s">
        <v>12</v>
      </c>
      <c r="O140">
        <v>2</v>
      </c>
      <c r="P140">
        <v>3</v>
      </c>
      <c r="Q140" s="13">
        <v>0.69946652091585082</v>
      </c>
      <c r="R140" t="s">
        <v>249</v>
      </c>
      <c r="S140">
        <v>-1.8017726699515451</v>
      </c>
      <c r="T140" t="s">
        <v>249</v>
      </c>
      <c r="U140" t="s">
        <v>21</v>
      </c>
      <c r="V140">
        <v>2</v>
      </c>
      <c r="W140">
        <v>3</v>
      </c>
      <c r="X140" t="s">
        <v>490</v>
      </c>
      <c r="Y140" t="s">
        <v>292</v>
      </c>
      <c r="Z140" t="s">
        <v>60</v>
      </c>
      <c r="AA140" t="s">
        <v>491</v>
      </c>
    </row>
    <row r="141" spans="1:27" x14ac:dyDescent="0.2">
      <c r="A141" s="1">
        <v>45956</v>
      </c>
      <c r="B141" t="s">
        <v>322</v>
      </c>
      <c r="C141" t="s">
        <v>17</v>
      </c>
      <c r="D141" t="s">
        <v>38</v>
      </c>
      <c r="E141" t="s">
        <v>688</v>
      </c>
      <c r="F141" t="s">
        <v>17</v>
      </c>
      <c r="G141">
        <v>2</v>
      </c>
      <c r="H141">
        <v>3</v>
      </c>
      <c r="I141" s="13">
        <v>0.6</v>
      </c>
      <c r="J141" t="s">
        <v>249</v>
      </c>
      <c r="L141" t="s">
        <v>249</v>
      </c>
      <c r="M141" t="s">
        <v>689</v>
      </c>
      <c r="N141" t="s">
        <v>17</v>
      </c>
      <c r="O141">
        <v>2</v>
      </c>
      <c r="P141">
        <v>3</v>
      </c>
      <c r="Q141" s="13">
        <v>0.46934472358622298</v>
      </c>
      <c r="R141" t="s">
        <v>249</v>
      </c>
      <c r="S141">
        <v>-8.0030341950119904E-2</v>
      </c>
      <c r="T141" t="s">
        <v>249</v>
      </c>
      <c r="U141" t="s">
        <v>38</v>
      </c>
      <c r="V141">
        <v>3</v>
      </c>
      <c r="W141">
        <v>4</v>
      </c>
      <c r="X141" t="s">
        <v>496</v>
      </c>
      <c r="Y141" t="s">
        <v>292</v>
      </c>
      <c r="Z141" t="s">
        <v>60</v>
      </c>
      <c r="AA141" t="s">
        <v>491</v>
      </c>
    </row>
    <row r="142" spans="1:27" x14ac:dyDescent="0.2">
      <c r="A142" s="1">
        <v>45956</v>
      </c>
      <c r="B142" t="s">
        <v>365</v>
      </c>
      <c r="C142" t="s">
        <v>20</v>
      </c>
      <c r="D142" t="s">
        <v>37</v>
      </c>
      <c r="E142" t="s">
        <v>690</v>
      </c>
      <c r="F142" t="s">
        <v>37</v>
      </c>
      <c r="G142">
        <v>2</v>
      </c>
      <c r="H142">
        <v>3</v>
      </c>
      <c r="I142" s="13">
        <v>0.6</v>
      </c>
      <c r="J142" t="s">
        <v>249</v>
      </c>
      <c r="L142" t="s">
        <v>248</v>
      </c>
      <c r="M142" t="s">
        <v>395</v>
      </c>
      <c r="N142" t="s">
        <v>37</v>
      </c>
      <c r="O142">
        <v>2</v>
      </c>
      <c r="P142">
        <v>3</v>
      </c>
      <c r="Q142" s="13">
        <v>0.66622377640460784</v>
      </c>
      <c r="R142" t="s">
        <v>249</v>
      </c>
      <c r="S142">
        <v>0.80484652599040318</v>
      </c>
      <c r="T142" t="s">
        <v>248</v>
      </c>
      <c r="U142" t="s">
        <v>37</v>
      </c>
      <c r="V142">
        <v>1</v>
      </c>
      <c r="W142">
        <v>2</v>
      </c>
      <c r="X142" t="s">
        <v>496</v>
      </c>
      <c r="Y142" t="s">
        <v>292</v>
      </c>
      <c r="Z142" t="s">
        <v>60</v>
      </c>
      <c r="AA142" t="s">
        <v>491</v>
      </c>
    </row>
    <row r="143" spans="1:27" x14ac:dyDescent="0.2">
      <c r="A143" s="1">
        <v>45956</v>
      </c>
      <c r="B143" t="s">
        <v>469</v>
      </c>
      <c r="C143" t="s">
        <v>55</v>
      </c>
      <c r="D143" t="s">
        <v>40</v>
      </c>
      <c r="E143" t="s">
        <v>691</v>
      </c>
      <c r="F143" t="s">
        <v>40</v>
      </c>
      <c r="G143">
        <v>2</v>
      </c>
      <c r="H143">
        <v>3</v>
      </c>
      <c r="I143" s="13">
        <v>0.6</v>
      </c>
      <c r="J143" t="s">
        <v>249</v>
      </c>
      <c r="L143" t="s">
        <v>249</v>
      </c>
      <c r="M143" t="s">
        <v>692</v>
      </c>
      <c r="N143" t="s">
        <v>40</v>
      </c>
      <c r="O143">
        <v>2</v>
      </c>
      <c r="P143">
        <v>3</v>
      </c>
      <c r="Q143" s="13">
        <v>0.5588171157459414</v>
      </c>
      <c r="R143" t="s">
        <v>249</v>
      </c>
      <c r="S143">
        <v>0.1397822141615534</v>
      </c>
      <c r="T143" t="s">
        <v>249</v>
      </c>
      <c r="U143" t="s">
        <v>55</v>
      </c>
      <c r="V143">
        <v>3</v>
      </c>
      <c r="W143">
        <v>2</v>
      </c>
      <c r="X143" t="s">
        <v>490</v>
      </c>
      <c r="Y143" t="s">
        <v>292</v>
      </c>
      <c r="Z143" t="s">
        <v>60</v>
      </c>
      <c r="AA143" t="s">
        <v>491</v>
      </c>
    </row>
    <row r="144" spans="1:27" x14ac:dyDescent="0.2">
      <c r="A144" s="1">
        <v>45956</v>
      </c>
      <c r="B144" t="s">
        <v>347</v>
      </c>
      <c r="C144" t="s">
        <v>12</v>
      </c>
      <c r="D144" t="s">
        <v>24</v>
      </c>
      <c r="E144" t="s">
        <v>693</v>
      </c>
      <c r="F144" t="s">
        <v>12</v>
      </c>
      <c r="G144">
        <v>2</v>
      </c>
      <c r="H144">
        <v>3</v>
      </c>
      <c r="I144" s="13">
        <v>0.6</v>
      </c>
      <c r="J144" t="s">
        <v>249</v>
      </c>
      <c r="L144" t="s">
        <v>249</v>
      </c>
      <c r="M144" t="s">
        <v>694</v>
      </c>
      <c r="N144" t="s">
        <v>12</v>
      </c>
      <c r="O144">
        <v>2</v>
      </c>
      <c r="P144">
        <v>3</v>
      </c>
      <c r="Q144" s="13">
        <v>0.63524773437155191</v>
      </c>
      <c r="R144" t="s">
        <v>249</v>
      </c>
      <c r="S144">
        <v>-1.5804726587392099</v>
      </c>
      <c r="T144" t="s">
        <v>249</v>
      </c>
      <c r="U144" t="s">
        <v>24</v>
      </c>
      <c r="V144">
        <v>3</v>
      </c>
      <c r="W144">
        <v>4</v>
      </c>
      <c r="X144" t="s">
        <v>496</v>
      </c>
      <c r="Y144" t="s">
        <v>292</v>
      </c>
      <c r="Z144" t="s">
        <v>60</v>
      </c>
      <c r="AA144" t="s">
        <v>491</v>
      </c>
    </row>
    <row r="145" spans="1:27" x14ac:dyDescent="0.2">
      <c r="A145" s="1">
        <v>45956</v>
      </c>
      <c r="B145" t="s">
        <v>469</v>
      </c>
      <c r="C145" t="s">
        <v>33</v>
      </c>
      <c r="D145" t="s">
        <v>34</v>
      </c>
      <c r="E145" t="s">
        <v>695</v>
      </c>
      <c r="F145" t="s">
        <v>34</v>
      </c>
      <c r="G145">
        <v>2</v>
      </c>
      <c r="H145">
        <v>3</v>
      </c>
      <c r="I145" s="13">
        <v>0.6</v>
      </c>
      <c r="J145" t="s">
        <v>249</v>
      </c>
      <c r="L145" t="s">
        <v>249</v>
      </c>
      <c r="M145" t="s">
        <v>696</v>
      </c>
      <c r="N145" t="s">
        <v>34</v>
      </c>
      <c r="O145">
        <v>2</v>
      </c>
      <c r="P145">
        <v>3</v>
      </c>
      <c r="Q145" s="13">
        <v>0.59208957093140724</v>
      </c>
      <c r="R145" t="s">
        <v>249</v>
      </c>
      <c r="S145">
        <v>0.44610695385592702</v>
      </c>
      <c r="T145" t="s">
        <v>249</v>
      </c>
      <c r="U145" t="s">
        <v>33</v>
      </c>
      <c r="V145">
        <v>6</v>
      </c>
      <c r="W145">
        <v>5</v>
      </c>
      <c r="X145" t="s">
        <v>496</v>
      </c>
      <c r="Y145" t="s">
        <v>292</v>
      </c>
      <c r="Z145" t="s">
        <v>60</v>
      </c>
      <c r="AA145" t="s">
        <v>491</v>
      </c>
    </row>
    <row r="146" spans="1:27" x14ac:dyDescent="0.2">
      <c r="A146" s="1">
        <v>45956</v>
      </c>
      <c r="B146" t="s">
        <v>328</v>
      </c>
      <c r="C146" t="s">
        <v>13</v>
      </c>
      <c r="D146" t="s">
        <v>10</v>
      </c>
      <c r="E146" t="s">
        <v>697</v>
      </c>
      <c r="F146" t="s">
        <v>10</v>
      </c>
      <c r="G146">
        <v>2</v>
      </c>
      <c r="H146">
        <v>3</v>
      </c>
      <c r="I146" s="13">
        <v>0.6</v>
      </c>
      <c r="J146" t="s">
        <v>249</v>
      </c>
      <c r="L146" t="s">
        <v>249</v>
      </c>
      <c r="M146" t="s">
        <v>698</v>
      </c>
      <c r="N146" t="s">
        <v>10</v>
      </c>
      <c r="O146">
        <v>2</v>
      </c>
      <c r="P146">
        <v>3</v>
      </c>
      <c r="Q146" s="13">
        <v>0.49843694903683539</v>
      </c>
      <c r="R146" t="s">
        <v>249</v>
      </c>
      <c r="S146">
        <v>0.21198809241606251</v>
      </c>
      <c r="T146" t="s">
        <v>249</v>
      </c>
      <c r="U146" t="s">
        <v>13</v>
      </c>
      <c r="V146">
        <v>3</v>
      </c>
      <c r="W146">
        <v>1</v>
      </c>
      <c r="X146" t="s">
        <v>490</v>
      </c>
      <c r="Y146" t="s">
        <v>292</v>
      </c>
      <c r="Z146" t="s">
        <v>60</v>
      </c>
      <c r="AA146" t="s">
        <v>491</v>
      </c>
    </row>
    <row r="147" spans="1:27" x14ac:dyDescent="0.2">
      <c r="A147" s="1">
        <v>45956</v>
      </c>
      <c r="B147" t="s">
        <v>328</v>
      </c>
      <c r="C147" t="s">
        <v>39</v>
      </c>
      <c r="D147" t="s">
        <v>29</v>
      </c>
      <c r="E147" t="s">
        <v>699</v>
      </c>
      <c r="F147" t="s">
        <v>39</v>
      </c>
      <c r="G147">
        <v>2</v>
      </c>
      <c r="H147">
        <v>3</v>
      </c>
      <c r="I147" s="13">
        <v>0.6</v>
      </c>
      <c r="J147" t="s">
        <v>249</v>
      </c>
      <c r="L147" t="s">
        <v>248</v>
      </c>
      <c r="M147" t="s">
        <v>398</v>
      </c>
      <c r="N147" t="s">
        <v>39</v>
      </c>
      <c r="O147">
        <v>2</v>
      </c>
      <c r="P147">
        <v>3</v>
      </c>
      <c r="Q147" s="13">
        <v>0.7659561507622451</v>
      </c>
      <c r="R147" t="s">
        <v>249</v>
      </c>
      <c r="S147">
        <v>-1.7484590367420181</v>
      </c>
      <c r="T147" t="s">
        <v>248</v>
      </c>
      <c r="U147" t="s">
        <v>39</v>
      </c>
      <c r="V147">
        <v>3</v>
      </c>
      <c r="W147">
        <v>2</v>
      </c>
      <c r="X147" t="s">
        <v>490</v>
      </c>
      <c r="Y147" t="s">
        <v>292</v>
      </c>
      <c r="Z147" t="s">
        <v>60</v>
      </c>
      <c r="AA147" t="s">
        <v>491</v>
      </c>
    </row>
    <row r="148" spans="1:27" x14ac:dyDescent="0.2">
      <c r="A148" s="1">
        <v>45956</v>
      </c>
      <c r="B148" t="s">
        <v>324</v>
      </c>
      <c r="C148" t="s">
        <v>15</v>
      </c>
      <c r="D148" t="s">
        <v>16</v>
      </c>
      <c r="E148" t="s">
        <v>700</v>
      </c>
      <c r="F148" t="s">
        <v>15</v>
      </c>
      <c r="G148">
        <v>2</v>
      </c>
      <c r="H148">
        <v>3</v>
      </c>
      <c r="I148" s="13">
        <v>0.6</v>
      </c>
      <c r="J148" t="s">
        <v>249</v>
      </c>
      <c r="L148" t="s">
        <v>249</v>
      </c>
      <c r="M148" t="s">
        <v>701</v>
      </c>
      <c r="N148" t="s">
        <v>15</v>
      </c>
      <c r="O148">
        <v>2</v>
      </c>
      <c r="P148">
        <v>3</v>
      </c>
      <c r="Q148" s="13">
        <v>0.64483476332872802</v>
      </c>
      <c r="R148" t="s">
        <v>249</v>
      </c>
      <c r="S148">
        <v>-0.72584654563751583</v>
      </c>
      <c r="T148" t="s">
        <v>249</v>
      </c>
      <c r="U148" t="s">
        <v>16</v>
      </c>
      <c r="V148">
        <v>1</v>
      </c>
      <c r="W148">
        <v>5</v>
      </c>
      <c r="X148" t="s">
        <v>490</v>
      </c>
      <c r="Y148" t="s">
        <v>292</v>
      </c>
      <c r="Z148" t="s">
        <v>60</v>
      </c>
      <c r="AA148" t="s">
        <v>491</v>
      </c>
    </row>
    <row r="149" spans="1:27" x14ac:dyDescent="0.2">
      <c r="A149" s="1">
        <v>45957</v>
      </c>
      <c r="B149" t="s">
        <v>334</v>
      </c>
      <c r="C149" t="s">
        <v>21</v>
      </c>
      <c r="D149" t="s">
        <v>36</v>
      </c>
      <c r="E149" t="s">
        <v>702</v>
      </c>
      <c r="F149" t="s">
        <v>21</v>
      </c>
      <c r="G149">
        <v>2</v>
      </c>
      <c r="H149">
        <v>3</v>
      </c>
      <c r="I149" s="13">
        <v>0.6</v>
      </c>
      <c r="J149" t="s">
        <v>249</v>
      </c>
      <c r="L149" t="s">
        <v>249</v>
      </c>
      <c r="M149" t="s">
        <v>703</v>
      </c>
      <c r="N149" t="s">
        <v>21</v>
      </c>
      <c r="O149">
        <v>2</v>
      </c>
      <c r="P149">
        <v>3</v>
      </c>
      <c r="Q149" s="13">
        <v>0.48889131780087369</v>
      </c>
      <c r="R149" t="s">
        <v>249</v>
      </c>
      <c r="S149">
        <v>-0.26170554149394448</v>
      </c>
      <c r="T149" t="s">
        <v>249</v>
      </c>
      <c r="U149" t="s">
        <v>36</v>
      </c>
      <c r="V149">
        <v>2</v>
      </c>
      <c r="W149">
        <v>7</v>
      </c>
      <c r="X149" t="s">
        <v>490</v>
      </c>
      <c r="Y149" t="s">
        <v>292</v>
      </c>
      <c r="Z149" t="s">
        <v>60</v>
      </c>
      <c r="AA149" t="s">
        <v>491</v>
      </c>
    </row>
    <row r="150" spans="1:27" x14ac:dyDescent="0.2">
      <c r="A150" s="1">
        <v>45957</v>
      </c>
      <c r="B150" t="s">
        <v>328</v>
      </c>
      <c r="C150" t="s">
        <v>35</v>
      </c>
      <c r="D150" t="s">
        <v>14</v>
      </c>
      <c r="E150" t="s">
        <v>704</v>
      </c>
      <c r="F150" t="s">
        <v>14</v>
      </c>
      <c r="G150">
        <v>2</v>
      </c>
      <c r="H150">
        <v>3</v>
      </c>
      <c r="I150" s="13">
        <v>0.6</v>
      </c>
      <c r="J150" t="s">
        <v>249</v>
      </c>
      <c r="L150" t="s">
        <v>248</v>
      </c>
      <c r="M150" t="s">
        <v>451</v>
      </c>
      <c r="N150" t="s">
        <v>14</v>
      </c>
      <c r="O150">
        <v>2</v>
      </c>
      <c r="P150">
        <v>3</v>
      </c>
      <c r="Q150" s="13">
        <v>0.69204113233822317</v>
      </c>
      <c r="R150" t="s">
        <v>249</v>
      </c>
      <c r="S150">
        <v>1.302114899305395</v>
      </c>
      <c r="T150" t="s">
        <v>248</v>
      </c>
      <c r="U150" t="s">
        <v>14</v>
      </c>
      <c r="V150">
        <v>3</v>
      </c>
      <c r="W150">
        <v>6</v>
      </c>
      <c r="X150" t="s">
        <v>490</v>
      </c>
      <c r="Y150" t="s">
        <v>292</v>
      </c>
      <c r="Z150" t="s">
        <v>60</v>
      </c>
      <c r="AA150" t="s">
        <v>491</v>
      </c>
    </row>
    <row r="151" spans="1:27" x14ac:dyDescent="0.2">
      <c r="A151" s="1">
        <v>45958</v>
      </c>
      <c r="B151" t="s">
        <v>322</v>
      </c>
      <c r="C151" t="s">
        <v>15</v>
      </c>
      <c r="D151" t="s">
        <v>38</v>
      </c>
      <c r="E151" t="s">
        <v>705</v>
      </c>
      <c r="F151" t="s">
        <v>15</v>
      </c>
      <c r="G151">
        <v>2</v>
      </c>
      <c r="H151">
        <v>3</v>
      </c>
      <c r="I151" s="13">
        <v>0.6</v>
      </c>
      <c r="J151" t="s">
        <v>249</v>
      </c>
      <c r="L151" t="s">
        <v>248</v>
      </c>
      <c r="M151" t="s">
        <v>518</v>
      </c>
      <c r="N151" t="s">
        <v>15</v>
      </c>
      <c r="O151">
        <v>2</v>
      </c>
      <c r="P151">
        <v>3</v>
      </c>
      <c r="Q151" s="13">
        <v>0.63104443382584718</v>
      </c>
      <c r="R151" t="s">
        <v>249</v>
      </c>
      <c r="S151">
        <v>-0.60774302170369898</v>
      </c>
      <c r="T151" t="s">
        <v>248</v>
      </c>
      <c r="U151" t="s">
        <v>15</v>
      </c>
      <c r="V151">
        <v>2</v>
      </c>
      <c r="W151">
        <v>0</v>
      </c>
      <c r="X151" t="s">
        <v>490</v>
      </c>
      <c r="Y151" t="s">
        <v>292</v>
      </c>
      <c r="Z151" t="s">
        <v>60</v>
      </c>
      <c r="AA151" t="s">
        <v>491</v>
      </c>
    </row>
    <row r="152" spans="1:27" x14ac:dyDescent="0.2">
      <c r="A152" s="1">
        <v>45958</v>
      </c>
      <c r="B152" t="s">
        <v>706</v>
      </c>
      <c r="C152" t="s">
        <v>16</v>
      </c>
      <c r="D152" t="s">
        <v>19</v>
      </c>
      <c r="E152" t="s">
        <v>707</v>
      </c>
      <c r="F152" t="s">
        <v>19</v>
      </c>
      <c r="G152">
        <v>2</v>
      </c>
      <c r="H152">
        <v>3</v>
      </c>
      <c r="I152" s="13">
        <v>0.6</v>
      </c>
      <c r="J152" t="s">
        <v>249</v>
      </c>
      <c r="L152" t="s">
        <v>248</v>
      </c>
      <c r="M152" t="s">
        <v>312</v>
      </c>
      <c r="N152" t="s">
        <v>19</v>
      </c>
      <c r="O152">
        <v>2</v>
      </c>
      <c r="P152">
        <v>3</v>
      </c>
      <c r="Q152" s="13">
        <v>0.5961876032845923</v>
      </c>
      <c r="R152" t="s">
        <v>249</v>
      </c>
      <c r="S152">
        <v>0.48120343664880272</v>
      </c>
      <c r="T152" t="s">
        <v>248</v>
      </c>
      <c r="U152" t="s">
        <v>19</v>
      </c>
      <c r="V152">
        <v>3</v>
      </c>
      <c r="W152">
        <v>4</v>
      </c>
      <c r="X152" t="s">
        <v>490</v>
      </c>
      <c r="Y152" t="s">
        <v>292</v>
      </c>
      <c r="Z152" t="s">
        <v>60</v>
      </c>
      <c r="AA152" t="s">
        <v>491</v>
      </c>
    </row>
    <row r="153" spans="1:27" x14ac:dyDescent="0.2">
      <c r="A153" s="1">
        <v>45958</v>
      </c>
      <c r="B153" t="s">
        <v>708</v>
      </c>
      <c r="C153" t="s">
        <v>26</v>
      </c>
      <c r="D153" t="s">
        <v>35</v>
      </c>
      <c r="E153" t="s">
        <v>709</v>
      </c>
      <c r="F153" t="s">
        <v>26</v>
      </c>
      <c r="G153">
        <v>2</v>
      </c>
      <c r="H153">
        <v>3</v>
      </c>
      <c r="I153" s="13">
        <v>0.6</v>
      </c>
      <c r="J153" t="s">
        <v>249</v>
      </c>
      <c r="L153" t="s">
        <v>248</v>
      </c>
      <c r="M153" t="s">
        <v>307</v>
      </c>
      <c r="N153" t="s">
        <v>26</v>
      </c>
      <c r="O153">
        <v>2</v>
      </c>
      <c r="P153">
        <v>3</v>
      </c>
      <c r="Q153" s="13">
        <v>0.51479046873005474</v>
      </c>
      <c r="R153" t="s">
        <v>249</v>
      </c>
      <c r="S153">
        <v>-0.4692380579922506</v>
      </c>
      <c r="T153" t="s">
        <v>248</v>
      </c>
      <c r="U153" t="s">
        <v>26</v>
      </c>
      <c r="V153">
        <v>5</v>
      </c>
      <c r="W153">
        <v>2</v>
      </c>
      <c r="X153" t="s">
        <v>490</v>
      </c>
      <c r="Y153" t="s">
        <v>292</v>
      </c>
      <c r="Z153" t="s">
        <v>60</v>
      </c>
      <c r="AA153" t="s">
        <v>491</v>
      </c>
    </row>
    <row r="154" spans="1:27" x14ac:dyDescent="0.2">
      <c r="A154" s="1">
        <v>45958</v>
      </c>
      <c r="B154" t="s">
        <v>340</v>
      </c>
      <c r="C154" t="s">
        <v>18</v>
      </c>
      <c r="D154" t="s">
        <v>32</v>
      </c>
      <c r="E154" t="s">
        <v>710</v>
      </c>
      <c r="F154" t="s">
        <v>18</v>
      </c>
      <c r="G154">
        <v>2</v>
      </c>
      <c r="H154">
        <v>3</v>
      </c>
      <c r="I154" s="13">
        <v>0.6</v>
      </c>
      <c r="J154" t="s">
        <v>249</v>
      </c>
      <c r="L154" t="s">
        <v>248</v>
      </c>
      <c r="M154" t="s">
        <v>360</v>
      </c>
      <c r="N154" t="s">
        <v>18</v>
      </c>
      <c r="O154">
        <v>2</v>
      </c>
      <c r="P154">
        <v>3</v>
      </c>
      <c r="Q154" s="13">
        <v>0.52005694672394875</v>
      </c>
      <c r="R154" t="s">
        <v>249</v>
      </c>
      <c r="S154">
        <v>-6.5868580811023003E-3</v>
      </c>
      <c r="T154" t="s">
        <v>248</v>
      </c>
      <c r="U154" t="s">
        <v>18</v>
      </c>
      <c r="V154">
        <v>4</v>
      </c>
      <c r="W154">
        <v>3</v>
      </c>
      <c r="X154" t="s">
        <v>496</v>
      </c>
      <c r="Y154" t="s">
        <v>292</v>
      </c>
      <c r="Z154" t="s">
        <v>60</v>
      </c>
      <c r="AA154" t="s">
        <v>491</v>
      </c>
    </row>
    <row r="155" spans="1:27" x14ac:dyDescent="0.2">
      <c r="A155" s="1">
        <v>45958</v>
      </c>
      <c r="B155" t="s">
        <v>469</v>
      </c>
      <c r="C155" t="s">
        <v>14</v>
      </c>
      <c r="D155" t="s">
        <v>27</v>
      </c>
      <c r="E155" t="s">
        <v>475</v>
      </c>
      <c r="F155" t="s">
        <v>14</v>
      </c>
      <c r="G155">
        <v>2</v>
      </c>
      <c r="H155">
        <v>3</v>
      </c>
      <c r="I155" s="13">
        <v>0.6</v>
      </c>
      <c r="J155" t="s">
        <v>249</v>
      </c>
      <c r="L155" t="s">
        <v>249</v>
      </c>
      <c r="M155" t="s">
        <v>711</v>
      </c>
      <c r="N155" t="s">
        <v>14</v>
      </c>
      <c r="O155">
        <v>2</v>
      </c>
      <c r="P155">
        <v>3</v>
      </c>
      <c r="Q155" s="13">
        <v>0.50710900170447515</v>
      </c>
      <c r="R155" t="s">
        <v>249</v>
      </c>
      <c r="S155">
        <v>-0.18807461301766351</v>
      </c>
      <c r="T155" t="s">
        <v>249</v>
      </c>
      <c r="U155" t="s">
        <v>27</v>
      </c>
      <c r="V155">
        <v>2</v>
      </c>
      <c r="W155">
        <v>3</v>
      </c>
      <c r="X155" t="s">
        <v>496</v>
      </c>
      <c r="Y155" t="s">
        <v>292</v>
      </c>
      <c r="Z155" t="s">
        <v>60</v>
      </c>
      <c r="AA155" t="s">
        <v>491</v>
      </c>
    </row>
    <row r="156" spans="1:27" x14ac:dyDescent="0.2">
      <c r="A156" s="1">
        <v>45958</v>
      </c>
      <c r="B156" t="s">
        <v>712</v>
      </c>
      <c r="C156" t="s">
        <v>37</v>
      </c>
      <c r="D156" t="s">
        <v>29</v>
      </c>
      <c r="E156" t="s">
        <v>713</v>
      </c>
      <c r="F156" t="s">
        <v>37</v>
      </c>
      <c r="G156">
        <v>2</v>
      </c>
      <c r="H156">
        <v>3</v>
      </c>
      <c r="I156" s="13">
        <v>0.6</v>
      </c>
      <c r="J156" t="s">
        <v>249</v>
      </c>
      <c r="L156" t="s">
        <v>248</v>
      </c>
      <c r="M156" t="s">
        <v>395</v>
      </c>
      <c r="N156" t="s">
        <v>37</v>
      </c>
      <c r="O156">
        <v>2</v>
      </c>
      <c r="P156">
        <v>3</v>
      </c>
      <c r="Q156" s="13">
        <v>0.76797805877908609</v>
      </c>
      <c r="R156" t="s">
        <v>249</v>
      </c>
      <c r="S156">
        <v>-1.845521481633503</v>
      </c>
      <c r="T156" t="s">
        <v>248</v>
      </c>
      <c r="U156" t="s">
        <v>37</v>
      </c>
      <c r="V156">
        <v>5</v>
      </c>
      <c r="W156">
        <v>2</v>
      </c>
      <c r="X156" t="s">
        <v>490</v>
      </c>
      <c r="Y156" t="s">
        <v>292</v>
      </c>
      <c r="Z156" t="s">
        <v>60</v>
      </c>
      <c r="AA156" t="s">
        <v>491</v>
      </c>
    </row>
    <row r="157" spans="1:27" x14ac:dyDescent="0.2">
      <c r="A157" s="1">
        <v>45958</v>
      </c>
      <c r="B157" t="s">
        <v>324</v>
      </c>
      <c r="C157" t="s">
        <v>40</v>
      </c>
      <c r="D157" t="s">
        <v>34</v>
      </c>
      <c r="E157" t="s">
        <v>714</v>
      </c>
      <c r="F157" t="s">
        <v>34</v>
      </c>
      <c r="G157">
        <v>2</v>
      </c>
      <c r="H157">
        <v>3</v>
      </c>
      <c r="I157" s="13">
        <v>0.6</v>
      </c>
      <c r="J157" t="s">
        <v>249</v>
      </c>
      <c r="L157" t="s">
        <v>249</v>
      </c>
      <c r="M157" t="s">
        <v>715</v>
      </c>
      <c r="N157" t="s">
        <v>34</v>
      </c>
      <c r="O157">
        <v>2</v>
      </c>
      <c r="P157">
        <v>3</v>
      </c>
      <c r="Q157" s="13">
        <v>0.55519639167751955</v>
      </c>
      <c r="R157" t="s">
        <v>249</v>
      </c>
      <c r="S157">
        <v>0.30801778525647522</v>
      </c>
      <c r="T157" t="s">
        <v>249</v>
      </c>
      <c r="U157" t="s">
        <v>40</v>
      </c>
      <c r="V157">
        <v>4</v>
      </c>
      <c r="W157">
        <v>3</v>
      </c>
      <c r="X157" t="s">
        <v>496</v>
      </c>
      <c r="Y157" t="s">
        <v>292</v>
      </c>
      <c r="Z157" t="s">
        <v>60</v>
      </c>
      <c r="AA157" t="s">
        <v>491</v>
      </c>
    </row>
    <row r="158" spans="1:27" x14ac:dyDescent="0.2">
      <c r="A158" s="1">
        <v>45958</v>
      </c>
      <c r="B158" t="s">
        <v>716</v>
      </c>
      <c r="C158" t="s">
        <v>13</v>
      </c>
      <c r="D158" t="s">
        <v>33</v>
      </c>
      <c r="E158" t="s">
        <v>333</v>
      </c>
      <c r="F158" t="s">
        <v>13</v>
      </c>
      <c r="G158">
        <v>2</v>
      </c>
      <c r="H158">
        <v>3</v>
      </c>
      <c r="I158" s="13">
        <v>0.6</v>
      </c>
      <c r="J158" t="s">
        <v>249</v>
      </c>
      <c r="L158" t="s">
        <v>248</v>
      </c>
      <c r="M158" t="s">
        <v>628</v>
      </c>
      <c r="N158" t="s">
        <v>13</v>
      </c>
      <c r="O158">
        <v>2</v>
      </c>
      <c r="P158">
        <v>3</v>
      </c>
      <c r="Q158" s="13">
        <v>0.52350233501430832</v>
      </c>
      <c r="R158" t="s">
        <v>249</v>
      </c>
      <c r="S158">
        <v>-6.3146644781867198E-2</v>
      </c>
      <c r="T158" t="s">
        <v>248</v>
      </c>
      <c r="U158" t="s">
        <v>13</v>
      </c>
      <c r="V158">
        <v>4</v>
      </c>
      <c r="W158">
        <v>3</v>
      </c>
      <c r="X158" t="s">
        <v>490</v>
      </c>
      <c r="Y158" t="s">
        <v>292</v>
      </c>
      <c r="Z158" t="s">
        <v>60</v>
      </c>
      <c r="AA158" t="s">
        <v>491</v>
      </c>
    </row>
    <row r="159" spans="1:27" x14ac:dyDescent="0.2">
      <c r="A159" s="1">
        <v>45958</v>
      </c>
      <c r="B159" t="s">
        <v>416</v>
      </c>
      <c r="C159" t="s">
        <v>22</v>
      </c>
      <c r="D159" t="s">
        <v>39</v>
      </c>
      <c r="E159" t="s">
        <v>717</v>
      </c>
      <c r="F159" t="s">
        <v>39</v>
      </c>
      <c r="G159">
        <v>2</v>
      </c>
      <c r="H159">
        <v>3</v>
      </c>
      <c r="I159" s="13">
        <v>0.6</v>
      </c>
      <c r="J159" t="s">
        <v>249</v>
      </c>
      <c r="L159" t="s">
        <v>248</v>
      </c>
      <c r="M159" t="s">
        <v>398</v>
      </c>
      <c r="N159" t="s">
        <v>39</v>
      </c>
      <c r="O159">
        <v>2</v>
      </c>
      <c r="P159">
        <v>3</v>
      </c>
      <c r="Q159" s="13">
        <v>0.53276357110417993</v>
      </c>
      <c r="R159" t="s">
        <v>249</v>
      </c>
      <c r="S159">
        <v>2.2636017924525301E-2</v>
      </c>
      <c r="T159" t="s">
        <v>248</v>
      </c>
      <c r="U159" t="s">
        <v>39</v>
      </c>
      <c r="V159">
        <v>0</v>
      </c>
      <c r="W159">
        <v>1</v>
      </c>
      <c r="X159" t="s">
        <v>490</v>
      </c>
      <c r="Y159" t="s">
        <v>292</v>
      </c>
      <c r="Z159" t="s">
        <v>60</v>
      </c>
      <c r="AA159" t="s">
        <v>491</v>
      </c>
    </row>
    <row r="160" spans="1:27" x14ac:dyDescent="0.2">
      <c r="A160" s="1">
        <v>45958</v>
      </c>
      <c r="B160" t="s">
        <v>426</v>
      </c>
      <c r="C160" t="s">
        <v>55</v>
      </c>
      <c r="D160" t="s">
        <v>17</v>
      </c>
      <c r="E160" t="s">
        <v>718</v>
      </c>
      <c r="F160" t="s">
        <v>55</v>
      </c>
      <c r="G160">
        <v>2</v>
      </c>
      <c r="H160">
        <v>3</v>
      </c>
      <c r="I160" s="13">
        <v>0.6</v>
      </c>
      <c r="J160" t="s">
        <v>249</v>
      </c>
      <c r="L160" t="s">
        <v>249</v>
      </c>
      <c r="M160" t="s">
        <v>719</v>
      </c>
      <c r="N160" t="s">
        <v>55</v>
      </c>
      <c r="O160">
        <v>2</v>
      </c>
      <c r="P160">
        <v>3</v>
      </c>
      <c r="Q160" s="13">
        <v>0.49554079768155213</v>
      </c>
      <c r="R160" t="s">
        <v>249</v>
      </c>
      <c r="S160">
        <v>-0.36472262629317681</v>
      </c>
      <c r="T160" t="s">
        <v>249</v>
      </c>
      <c r="U160" t="s">
        <v>17</v>
      </c>
      <c r="V160">
        <v>3</v>
      </c>
      <c r="W160">
        <v>6</v>
      </c>
      <c r="X160" t="s">
        <v>490</v>
      </c>
      <c r="Y160" t="s">
        <v>292</v>
      </c>
      <c r="Z160" t="s">
        <v>60</v>
      </c>
      <c r="AA160" t="s">
        <v>491</v>
      </c>
    </row>
    <row r="161" spans="1:27" x14ac:dyDescent="0.2">
      <c r="A161" s="1">
        <v>45958</v>
      </c>
      <c r="B161" t="s">
        <v>720</v>
      </c>
      <c r="C161" t="s">
        <v>30</v>
      </c>
      <c r="D161" t="s">
        <v>21</v>
      </c>
      <c r="E161" t="s">
        <v>721</v>
      </c>
      <c r="F161" t="s">
        <v>21</v>
      </c>
      <c r="G161">
        <v>2</v>
      </c>
      <c r="H161">
        <v>3</v>
      </c>
      <c r="I161" s="13">
        <v>0.6</v>
      </c>
      <c r="J161" t="s">
        <v>249</v>
      </c>
      <c r="L161" t="s">
        <v>248</v>
      </c>
      <c r="M161" t="s">
        <v>465</v>
      </c>
      <c r="N161" t="s">
        <v>21</v>
      </c>
      <c r="O161">
        <v>2</v>
      </c>
      <c r="P161">
        <v>3</v>
      </c>
      <c r="Q161" s="13">
        <v>0.51921468298828499</v>
      </c>
      <c r="R161" t="s">
        <v>249</v>
      </c>
      <c r="S161">
        <v>7.1062985916763494E-2</v>
      </c>
      <c r="T161" t="s">
        <v>248</v>
      </c>
      <c r="U161" t="s">
        <v>21</v>
      </c>
      <c r="V161">
        <v>2</v>
      </c>
      <c r="W161">
        <v>5</v>
      </c>
      <c r="X161" t="s">
        <v>490</v>
      </c>
      <c r="Y161" t="s">
        <v>292</v>
      </c>
      <c r="Z161" t="s">
        <v>60</v>
      </c>
      <c r="AA161" t="s">
        <v>491</v>
      </c>
    </row>
    <row r="162" spans="1:27" x14ac:dyDescent="0.2">
      <c r="A162" s="1">
        <v>45958</v>
      </c>
      <c r="B162" t="s">
        <v>646</v>
      </c>
      <c r="C162" t="s">
        <v>28</v>
      </c>
      <c r="D162" t="s">
        <v>23</v>
      </c>
      <c r="E162" t="s">
        <v>722</v>
      </c>
      <c r="F162" t="s">
        <v>23</v>
      </c>
      <c r="G162">
        <v>2</v>
      </c>
      <c r="H162">
        <v>3</v>
      </c>
      <c r="I162" s="13">
        <v>0.6</v>
      </c>
      <c r="J162" t="s">
        <v>249</v>
      </c>
      <c r="L162" t="s">
        <v>249</v>
      </c>
      <c r="M162" t="s">
        <v>723</v>
      </c>
      <c r="N162" t="s">
        <v>23</v>
      </c>
      <c r="O162">
        <v>2</v>
      </c>
      <c r="P162">
        <v>3</v>
      </c>
      <c r="Q162" s="13">
        <v>0.5662662274862772</v>
      </c>
      <c r="R162" t="s">
        <v>249</v>
      </c>
      <c r="S162">
        <v>0.16877971753311299</v>
      </c>
      <c r="T162" t="s">
        <v>249</v>
      </c>
      <c r="U162" t="s">
        <v>28</v>
      </c>
      <c r="V162">
        <v>4</v>
      </c>
      <c r="W162">
        <v>3</v>
      </c>
      <c r="X162" t="s">
        <v>496</v>
      </c>
      <c r="Y162" t="s">
        <v>292</v>
      </c>
      <c r="Z162" t="s">
        <v>60</v>
      </c>
      <c r="AA162" t="s">
        <v>491</v>
      </c>
    </row>
    <row r="163" spans="1:27" x14ac:dyDescent="0.2">
      <c r="A163" s="1">
        <v>45958</v>
      </c>
      <c r="B163" t="s">
        <v>328</v>
      </c>
      <c r="C163" t="s">
        <v>31</v>
      </c>
      <c r="D163" t="s">
        <v>11</v>
      </c>
      <c r="E163" t="s">
        <v>724</v>
      </c>
      <c r="F163" t="s">
        <v>31</v>
      </c>
      <c r="G163">
        <v>2</v>
      </c>
      <c r="H163">
        <v>3</v>
      </c>
      <c r="I163" s="13">
        <v>0.6</v>
      </c>
      <c r="J163" t="s">
        <v>249</v>
      </c>
      <c r="L163" t="s">
        <v>248</v>
      </c>
      <c r="M163" t="s">
        <v>291</v>
      </c>
      <c r="N163" t="s">
        <v>31</v>
      </c>
      <c r="O163">
        <v>2</v>
      </c>
      <c r="P163">
        <v>3</v>
      </c>
      <c r="Q163" s="13">
        <v>0.52807565454489702</v>
      </c>
      <c r="R163" t="s">
        <v>249</v>
      </c>
      <c r="S163">
        <v>-0.52592056398021036</v>
      </c>
      <c r="T163" t="s">
        <v>248</v>
      </c>
      <c r="U163" t="s">
        <v>31</v>
      </c>
      <c r="V163">
        <v>3</v>
      </c>
      <c r="W163">
        <v>2</v>
      </c>
      <c r="X163" t="s">
        <v>496</v>
      </c>
      <c r="Y163" t="s">
        <v>292</v>
      </c>
      <c r="Z163" t="s">
        <v>60</v>
      </c>
      <c r="AA163" t="s">
        <v>491</v>
      </c>
    </row>
    <row r="164" spans="1:27" x14ac:dyDescent="0.2">
      <c r="A164" s="1">
        <v>45958</v>
      </c>
      <c r="B164" t="s">
        <v>725</v>
      </c>
      <c r="C164" t="s">
        <v>20</v>
      </c>
      <c r="D164" t="s">
        <v>25</v>
      </c>
      <c r="E164" t="s">
        <v>726</v>
      </c>
      <c r="F164" t="s">
        <v>25</v>
      </c>
      <c r="G164">
        <v>2</v>
      </c>
      <c r="H164">
        <v>3</v>
      </c>
      <c r="I164" s="13">
        <v>0.6</v>
      </c>
      <c r="J164" t="s">
        <v>249</v>
      </c>
      <c r="L164" t="s">
        <v>249</v>
      </c>
      <c r="M164" t="s">
        <v>624</v>
      </c>
      <c r="N164" t="s">
        <v>25</v>
      </c>
      <c r="O164">
        <v>2</v>
      </c>
      <c r="P164">
        <v>3</v>
      </c>
      <c r="Q164" s="13">
        <v>0.67578855467948284</v>
      </c>
      <c r="R164" t="s">
        <v>249</v>
      </c>
      <c r="S164">
        <v>0.72001671657235156</v>
      </c>
      <c r="T164" t="s">
        <v>249</v>
      </c>
      <c r="U164" t="s">
        <v>20</v>
      </c>
      <c r="V164">
        <v>6</v>
      </c>
      <c r="W164">
        <v>3</v>
      </c>
      <c r="X164" t="s">
        <v>490</v>
      </c>
      <c r="Y164" t="s">
        <v>292</v>
      </c>
      <c r="Z164" t="s">
        <v>60</v>
      </c>
      <c r="AA164" t="s">
        <v>491</v>
      </c>
    </row>
    <row r="165" spans="1:27" x14ac:dyDescent="0.2">
      <c r="A165" s="1">
        <v>45958</v>
      </c>
      <c r="B165" t="s">
        <v>727</v>
      </c>
      <c r="C165" t="s">
        <v>36</v>
      </c>
      <c r="D165" t="s">
        <v>10</v>
      </c>
      <c r="E165" t="s">
        <v>728</v>
      </c>
      <c r="F165" t="s">
        <v>10</v>
      </c>
      <c r="G165">
        <v>2</v>
      </c>
      <c r="H165">
        <v>3</v>
      </c>
      <c r="I165" s="13">
        <v>0.6</v>
      </c>
      <c r="J165" t="s">
        <v>249</v>
      </c>
      <c r="L165" t="s">
        <v>248</v>
      </c>
      <c r="M165" t="s">
        <v>303</v>
      </c>
      <c r="N165" t="s">
        <v>10</v>
      </c>
      <c r="O165">
        <v>2</v>
      </c>
      <c r="P165">
        <v>3</v>
      </c>
      <c r="Q165" s="13">
        <v>0.58729913214462337</v>
      </c>
      <c r="R165" t="s">
        <v>249</v>
      </c>
      <c r="S165">
        <v>0.40508054460368748</v>
      </c>
      <c r="T165" t="s">
        <v>248</v>
      </c>
      <c r="U165" t="s">
        <v>10</v>
      </c>
      <c r="V165">
        <v>3</v>
      </c>
      <c r="W165">
        <v>7</v>
      </c>
      <c r="X165" t="s">
        <v>490</v>
      </c>
      <c r="Y165" t="s">
        <v>292</v>
      </c>
      <c r="Z165" t="s">
        <v>60</v>
      </c>
      <c r="AA165" t="s">
        <v>491</v>
      </c>
    </row>
    <row r="166" spans="1:27" x14ac:dyDescent="0.2">
      <c r="A166" s="1">
        <v>45958</v>
      </c>
      <c r="B166" t="s">
        <v>326</v>
      </c>
      <c r="C166" t="s">
        <v>24</v>
      </c>
      <c r="D166" t="s">
        <v>12</v>
      </c>
      <c r="E166" t="s">
        <v>729</v>
      </c>
      <c r="F166" t="s">
        <v>12</v>
      </c>
      <c r="G166">
        <v>2</v>
      </c>
      <c r="H166">
        <v>3</v>
      </c>
      <c r="I166" s="13">
        <v>0.6</v>
      </c>
      <c r="J166" t="s">
        <v>249</v>
      </c>
      <c r="L166" t="s">
        <v>248</v>
      </c>
      <c r="M166" t="s">
        <v>361</v>
      </c>
      <c r="N166" t="s">
        <v>12</v>
      </c>
      <c r="O166">
        <v>2</v>
      </c>
      <c r="P166">
        <v>3</v>
      </c>
      <c r="Q166" s="13">
        <v>0.82119680685797902</v>
      </c>
      <c r="R166" t="s">
        <v>249</v>
      </c>
      <c r="S166">
        <v>1.6802741565855339</v>
      </c>
      <c r="T166" t="s">
        <v>248</v>
      </c>
      <c r="U166" t="s">
        <v>12</v>
      </c>
      <c r="V166">
        <v>4</v>
      </c>
      <c r="W166">
        <v>8</v>
      </c>
      <c r="X166" t="s">
        <v>490</v>
      </c>
      <c r="Y166" t="s">
        <v>292</v>
      </c>
      <c r="Z166" t="s">
        <v>60</v>
      </c>
      <c r="AA166" t="s">
        <v>491</v>
      </c>
    </row>
    <row r="167" spans="1:27" x14ac:dyDescent="0.2">
      <c r="A167" s="1">
        <v>45959</v>
      </c>
      <c r="B167" t="s">
        <v>334</v>
      </c>
      <c r="C167" t="s">
        <v>19</v>
      </c>
      <c r="D167" t="s">
        <v>28</v>
      </c>
      <c r="E167" t="s">
        <v>415</v>
      </c>
      <c r="F167" t="s">
        <v>28</v>
      </c>
      <c r="G167">
        <v>2</v>
      </c>
      <c r="H167">
        <v>3</v>
      </c>
      <c r="I167" s="13">
        <v>0.6</v>
      </c>
      <c r="J167" t="s">
        <v>249</v>
      </c>
      <c r="L167" t="s">
        <v>248</v>
      </c>
      <c r="M167" t="s">
        <v>730</v>
      </c>
      <c r="N167" t="s">
        <v>28</v>
      </c>
      <c r="O167">
        <v>2</v>
      </c>
      <c r="P167">
        <v>3</v>
      </c>
      <c r="Q167" s="13">
        <v>0.55043759431663863</v>
      </c>
      <c r="R167" t="s">
        <v>249</v>
      </c>
      <c r="S167">
        <v>8.9389935891602698E-2</v>
      </c>
      <c r="T167" t="s">
        <v>248</v>
      </c>
      <c r="U167" t="s">
        <v>28</v>
      </c>
      <c r="V167">
        <v>3</v>
      </c>
      <c r="W167">
        <v>6</v>
      </c>
      <c r="X167" t="s">
        <v>490</v>
      </c>
      <c r="Y167" t="s">
        <v>292</v>
      </c>
      <c r="Z167" t="s">
        <v>60</v>
      </c>
      <c r="AA167" t="s">
        <v>491</v>
      </c>
    </row>
    <row r="168" spans="1:27" x14ac:dyDescent="0.2">
      <c r="A168" s="1">
        <v>45960</v>
      </c>
      <c r="B168" t="s">
        <v>324</v>
      </c>
      <c r="C168" t="s">
        <v>10</v>
      </c>
      <c r="D168" t="s">
        <v>40</v>
      </c>
      <c r="E168" t="s">
        <v>731</v>
      </c>
      <c r="F168" t="s">
        <v>10</v>
      </c>
      <c r="G168">
        <v>2</v>
      </c>
      <c r="H168">
        <v>3</v>
      </c>
      <c r="I168" s="13">
        <v>0.6</v>
      </c>
      <c r="J168" t="s">
        <v>249</v>
      </c>
      <c r="L168" t="s">
        <v>249</v>
      </c>
      <c r="M168" t="s">
        <v>732</v>
      </c>
      <c r="N168" t="s">
        <v>10</v>
      </c>
      <c r="O168">
        <v>2</v>
      </c>
      <c r="P168">
        <v>3</v>
      </c>
      <c r="Q168" s="13">
        <v>0.46767996465849671</v>
      </c>
      <c r="R168" t="s">
        <v>249</v>
      </c>
      <c r="S168">
        <v>-8.7144819675315399E-2</v>
      </c>
      <c r="T168" t="s">
        <v>249</v>
      </c>
      <c r="U168" t="s">
        <v>40</v>
      </c>
      <c r="V168">
        <v>3</v>
      </c>
      <c r="W168">
        <v>6</v>
      </c>
      <c r="X168" t="s">
        <v>490</v>
      </c>
      <c r="Y168" t="s">
        <v>292</v>
      </c>
      <c r="Z168" t="s">
        <v>60</v>
      </c>
      <c r="AA168" t="s">
        <v>491</v>
      </c>
    </row>
    <row r="169" spans="1:27" x14ac:dyDescent="0.2">
      <c r="A169" s="1">
        <v>45960</v>
      </c>
      <c r="B169" t="s">
        <v>328</v>
      </c>
      <c r="C169" t="s">
        <v>39</v>
      </c>
      <c r="D169" t="s">
        <v>37</v>
      </c>
      <c r="E169" t="s">
        <v>733</v>
      </c>
      <c r="F169" t="s">
        <v>37</v>
      </c>
      <c r="G169">
        <v>2</v>
      </c>
      <c r="H169">
        <v>3</v>
      </c>
      <c r="I169" s="13">
        <v>0.6</v>
      </c>
      <c r="J169" t="s">
        <v>249</v>
      </c>
      <c r="L169" t="s">
        <v>248</v>
      </c>
      <c r="M169" t="s">
        <v>395</v>
      </c>
      <c r="N169" t="s">
        <v>37</v>
      </c>
      <c r="O169">
        <v>2</v>
      </c>
      <c r="P169">
        <v>3</v>
      </c>
      <c r="Q169" s="13">
        <v>0.48774835719391318</v>
      </c>
      <c r="R169" t="s">
        <v>249</v>
      </c>
      <c r="S169">
        <v>0.14696319381464701</v>
      </c>
      <c r="T169" t="s">
        <v>248</v>
      </c>
      <c r="U169" t="s">
        <v>37</v>
      </c>
      <c r="V169">
        <v>1</v>
      </c>
      <c r="W169">
        <v>2</v>
      </c>
      <c r="X169" t="s">
        <v>496</v>
      </c>
      <c r="Y169" t="s">
        <v>292</v>
      </c>
      <c r="Z169" t="s">
        <v>60</v>
      </c>
      <c r="AA169" t="s">
        <v>491</v>
      </c>
    </row>
    <row r="170" spans="1:27" x14ac:dyDescent="0.2">
      <c r="A170" s="1">
        <v>45960</v>
      </c>
      <c r="B170" t="s">
        <v>324</v>
      </c>
      <c r="C170" t="s">
        <v>38</v>
      </c>
      <c r="D170" t="s">
        <v>35</v>
      </c>
      <c r="E170" t="s">
        <v>734</v>
      </c>
      <c r="F170" t="s">
        <v>38</v>
      </c>
      <c r="G170">
        <v>2</v>
      </c>
      <c r="H170">
        <v>3</v>
      </c>
      <c r="I170" s="13">
        <v>0.6</v>
      </c>
      <c r="J170" t="s">
        <v>249</v>
      </c>
      <c r="L170" t="s">
        <v>248</v>
      </c>
      <c r="M170" t="s">
        <v>505</v>
      </c>
      <c r="N170" t="s">
        <v>38</v>
      </c>
      <c r="O170">
        <v>2</v>
      </c>
      <c r="P170">
        <v>3</v>
      </c>
      <c r="Q170" s="13">
        <v>0.50992007634330028</v>
      </c>
      <c r="R170" t="s">
        <v>249</v>
      </c>
      <c r="S170">
        <v>-0.39689986791375598</v>
      </c>
      <c r="T170" t="s">
        <v>248</v>
      </c>
      <c r="U170" t="s">
        <v>38</v>
      </c>
      <c r="V170">
        <v>4</v>
      </c>
      <c r="W170">
        <v>3</v>
      </c>
      <c r="X170" t="s">
        <v>496</v>
      </c>
      <c r="Y170" t="s">
        <v>292</v>
      </c>
      <c r="Z170" t="s">
        <v>60</v>
      </c>
      <c r="AA170" t="s">
        <v>491</v>
      </c>
    </row>
    <row r="171" spans="1:27" x14ac:dyDescent="0.2">
      <c r="A171" s="1">
        <v>45960</v>
      </c>
      <c r="B171" t="s">
        <v>322</v>
      </c>
      <c r="C171" t="s">
        <v>24</v>
      </c>
      <c r="D171" t="s">
        <v>33</v>
      </c>
      <c r="E171" t="s">
        <v>735</v>
      </c>
      <c r="F171" t="s">
        <v>24</v>
      </c>
      <c r="G171">
        <v>2</v>
      </c>
      <c r="H171">
        <v>3</v>
      </c>
      <c r="I171" s="13">
        <v>0.6</v>
      </c>
      <c r="J171" t="s">
        <v>249</v>
      </c>
      <c r="L171" t="s">
        <v>249</v>
      </c>
      <c r="M171" t="s">
        <v>736</v>
      </c>
      <c r="N171" t="s">
        <v>24</v>
      </c>
      <c r="O171">
        <v>2</v>
      </c>
      <c r="P171">
        <v>3</v>
      </c>
      <c r="Q171" s="13">
        <v>0.51763982026716526</v>
      </c>
      <c r="R171" t="s">
        <v>249</v>
      </c>
      <c r="S171">
        <v>-0.40296049422368518</v>
      </c>
      <c r="T171" t="s">
        <v>249</v>
      </c>
      <c r="U171" t="s">
        <v>33</v>
      </c>
      <c r="V171">
        <v>2</v>
      </c>
      <c r="W171">
        <v>5</v>
      </c>
      <c r="X171" t="s">
        <v>490</v>
      </c>
      <c r="Y171" t="s">
        <v>292</v>
      </c>
      <c r="Z171" t="s">
        <v>60</v>
      </c>
      <c r="AA171" t="s">
        <v>491</v>
      </c>
    </row>
    <row r="172" spans="1:27" x14ac:dyDescent="0.2">
      <c r="A172" s="1">
        <v>45960</v>
      </c>
      <c r="B172" t="s">
        <v>328</v>
      </c>
      <c r="C172" t="s">
        <v>29</v>
      </c>
      <c r="D172" t="s">
        <v>27</v>
      </c>
      <c r="E172" t="s">
        <v>737</v>
      </c>
      <c r="F172" t="s">
        <v>27</v>
      </c>
      <c r="G172">
        <v>2</v>
      </c>
      <c r="H172">
        <v>3</v>
      </c>
      <c r="I172" s="13">
        <v>0.6</v>
      </c>
      <c r="J172" t="s">
        <v>249</v>
      </c>
      <c r="L172" t="s">
        <v>248</v>
      </c>
      <c r="M172" t="s">
        <v>393</v>
      </c>
      <c r="N172" t="s">
        <v>27</v>
      </c>
      <c r="O172">
        <v>2</v>
      </c>
      <c r="P172">
        <v>3</v>
      </c>
      <c r="Q172" s="13">
        <v>0.67715421891291649</v>
      </c>
      <c r="R172" t="s">
        <v>249</v>
      </c>
      <c r="S172">
        <v>1.054578449226907</v>
      </c>
      <c r="T172" t="s">
        <v>248</v>
      </c>
      <c r="U172" t="s">
        <v>27</v>
      </c>
      <c r="V172">
        <v>1</v>
      </c>
      <c r="W172">
        <v>4</v>
      </c>
      <c r="X172" t="s">
        <v>490</v>
      </c>
      <c r="Y172" t="s">
        <v>292</v>
      </c>
      <c r="Z172" t="s">
        <v>60</v>
      </c>
      <c r="AA172" t="s">
        <v>491</v>
      </c>
    </row>
    <row r="173" spans="1:27" x14ac:dyDescent="0.2">
      <c r="A173" s="1">
        <v>45960</v>
      </c>
      <c r="B173" t="s">
        <v>328</v>
      </c>
      <c r="C173" t="s">
        <v>16</v>
      </c>
      <c r="D173" t="s">
        <v>36</v>
      </c>
      <c r="E173" t="s">
        <v>738</v>
      </c>
      <c r="F173" t="s">
        <v>36</v>
      </c>
      <c r="G173">
        <v>2</v>
      </c>
      <c r="H173">
        <v>3</v>
      </c>
      <c r="I173" s="13">
        <v>0.6</v>
      </c>
      <c r="J173" t="s">
        <v>249</v>
      </c>
      <c r="L173" t="s">
        <v>248</v>
      </c>
      <c r="M173" t="s">
        <v>582</v>
      </c>
      <c r="N173" t="s">
        <v>36</v>
      </c>
      <c r="O173">
        <v>2</v>
      </c>
      <c r="P173">
        <v>3</v>
      </c>
      <c r="Q173" s="13">
        <v>0.61072182577184631</v>
      </c>
      <c r="R173" t="s">
        <v>249</v>
      </c>
      <c r="S173">
        <v>0.58430597710294463</v>
      </c>
      <c r="T173" t="s">
        <v>248</v>
      </c>
      <c r="U173" t="s">
        <v>36</v>
      </c>
      <c r="V173">
        <v>3</v>
      </c>
      <c r="W173">
        <v>4</v>
      </c>
      <c r="X173" t="s">
        <v>496</v>
      </c>
      <c r="Y173" t="s">
        <v>292</v>
      </c>
      <c r="Z173" t="s">
        <v>60</v>
      </c>
      <c r="AA173" t="s">
        <v>491</v>
      </c>
    </row>
    <row r="174" spans="1:27" x14ac:dyDescent="0.2">
      <c r="A174" s="1">
        <v>45960</v>
      </c>
      <c r="B174" t="s">
        <v>324</v>
      </c>
      <c r="C174" t="s">
        <v>14</v>
      </c>
      <c r="D174" t="s">
        <v>34</v>
      </c>
      <c r="E174" t="s">
        <v>739</v>
      </c>
      <c r="F174" t="s">
        <v>34</v>
      </c>
      <c r="G174">
        <v>2</v>
      </c>
      <c r="H174">
        <v>3</v>
      </c>
      <c r="I174" s="13">
        <v>0.6</v>
      </c>
      <c r="J174" t="s">
        <v>249</v>
      </c>
      <c r="L174" t="s">
        <v>249</v>
      </c>
      <c r="M174" t="s">
        <v>740</v>
      </c>
      <c r="N174" t="s">
        <v>34</v>
      </c>
      <c r="O174">
        <v>2</v>
      </c>
      <c r="P174">
        <v>3</v>
      </c>
      <c r="Q174" s="13">
        <v>0.51671473070034157</v>
      </c>
      <c r="R174" t="s">
        <v>249</v>
      </c>
      <c r="S174">
        <v>0.13704018303917359</v>
      </c>
      <c r="T174" t="s">
        <v>249</v>
      </c>
      <c r="U174" t="s">
        <v>14</v>
      </c>
      <c r="V174">
        <v>4</v>
      </c>
      <c r="W174">
        <v>1</v>
      </c>
      <c r="X174" t="s">
        <v>490</v>
      </c>
      <c r="Y174" t="s">
        <v>292</v>
      </c>
      <c r="Z174" t="s">
        <v>60</v>
      </c>
      <c r="AA174" t="s">
        <v>491</v>
      </c>
    </row>
    <row r="175" spans="1:27" x14ac:dyDescent="0.2">
      <c r="A175" s="1">
        <v>45960</v>
      </c>
      <c r="B175" t="s">
        <v>326</v>
      </c>
      <c r="C175" t="s">
        <v>15</v>
      </c>
      <c r="D175" t="s">
        <v>17</v>
      </c>
      <c r="E175" t="s">
        <v>741</v>
      </c>
      <c r="F175" t="s">
        <v>15</v>
      </c>
      <c r="G175">
        <v>2</v>
      </c>
      <c r="H175">
        <v>3</v>
      </c>
      <c r="I175" s="13">
        <v>0.6</v>
      </c>
      <c r="J175" t="s">
        <v>249</v>
      </c>
      <c r="L175" t="s">
        <v>248</v>
      </c>
      <c r="M175" t="s">
        <v>518</v>
      </c>
      <c r="N175" t="s">
        <v>15</v>
      </c>
      <c r="O175">
        <v>2</v>
      </c>
      <c r="P175">
        <v>3</v>
      </c>
      <c r="Q175" s="13">
        <v>0.60886422062356638</v>
      </c>
      <c r="R175" t="s">
        <v>249</v>
      </c>
      <c r="S175">
        <v>-0.47781193083041668</v>
      </c>
      <c r="T175" t="s">
        <v>248</v>
      </c>
      <c r="U175" t="s">
        <v>15</v>
      </c>
      <c r="V175">
        <v>4</v>
      </c>
      <c r="W175">
        <v>3</v>
      </c>
      <c r="X175" t="s">
        <v>496</v>
      </c>
      <c r="Y175" t="s">
        <v>292</v>
      </c>
      <c r="Z175" t="s">
        <v>60</v>
      </c>
      <c r="AA175" t="s">
        <v>491</v>
      </c>
    </row>
    <row r="176" spans="1:27" x14ac:dyDescent="0.2">
      <c r="A176" s="1">
        <v>45960</v>
      </c>
      <c r="B176" t="s">
        <v>334</v>
      </c>
      <c r="C176" t="s">
        <v>30</v>
      </c>
      <c r="D176" t="s">
        <v>25</v>
      </c>
      <c r="E176" t="s">
        <v>742</v>
      </c>
      <c r="F176" t="s">
        <v>25</v>
      </c>
      <c r="G176">
        <v>2</v>
      </c>
      <c r="H176">
        <v>3</v>
      </c>
      <c r="I176" s="13">
        <v>0.6</v>
      </c>
      <c r="J176" t="s">
        <v>249</v>
      </c>
      <c r="L176" t="s">
        <v>248</v>
      </c>
      <c r="M176" t="s">
        <v>450</v>
      </c>
      <c r="N176" t="s">
        <v>25</v>
      </c>
      <c r="O176">
        <v>2</v>
      </c>
      <c r="P176">
        <v>3</v>
      </c>
      <c r="Q176" s="13">
        <v>0.60366287032278598</v>
      </c>
      <c r="R176" t="s">
        <v>249</v>
      </c>
      <c r="S176">
        <v>0.71650788369304785</v>
      </c>
      <c r="T176" t="s">
        <v>248</v>
      </c>
      <c r="U176" t="s">
        <v>25</v>
      </c>
      <c r="V176">
        <v>2</v>
      </c>
      <c r="W176">
        <v>6</v>
      </c>
      <c r="X176" t="s">
        <v>490</v>
      </c>
      <c r="Y176" t="s">
        <v>292</v>
      </c>
      <c r="Z176" t="s">
        <v>60</v>
      </c>
      <c r="AA176" t="s">
        <v>491</v>
      </c>
    </row>
    <row r="177" spans="1:27" x14ac:dyDescent="0.2">
      <c r="A177" s="1">
        <v>45960</v>
      </c>
      <c r="B177" t="s">
        <v>328</v>
      </c>
      <c r="C177" t="s">
        <v>23</v>
      </c>
      <c r="D177" t="s">
        <v>21</v>
      </c>
      <c r="E177" t="s">
        <v>527</v>
      </c>
      <c r="F177" t="s">
        <v>21</v>
      </c>
      <c r="G177">
        <v>2</v>
      </c>
      <c r="H177">
        <v>3</v>
      </c>
      <c r="I177" s="13">
        <v>0.6</v>
      </c>
      <c r="J177" t="s">
        <v>249</v>
      </c>
      <c r="L177" t="s">
        <v>248</v>
      </c>
      <c r="M177" t="s">
        <v>465</v>
      </c>
      <c r="N177" t="s">
        <v>21</v>
      </c>
      <c r="O177">
        <v>2</v>
      </c>
      <c r="P177">
        <v>3</v>
      </c>
      <c r="Q177" s="13">
        <v>0.61865976048220439</v>
      </c>
      <c r="R177" t="s">
        <v>249</v>
      </c>
      <c r="S177">
        <v>0.30624142421602052</v>
      </c>
      <c r="T177" t="s">
        <v>248</v>
      </c>
      <c r="U177" t="s">
        <v>21</v>
      </c>
      <c r="V177">
        <v>3</v>
      </c>
      <c r="W177">
        <v>4</v>
      </c>
      <c r="X177" t="s">
        <v>496</v>
      </c>
      <c r="Y177" t="s">
        <v>292</v>
      </c>
      <c r="Z177" t="s">
        <v>60</v>
      </c>
      <c r="AA177" t="s">
        <v>491</v>
      </c>
    </row>
    <row r="178" spans="1:27" x14ac:dyDescent="0.2">
      <c r="A178" s="1">
        <v>45960</v>
      </c>
      <c r="B178" t="s">
        <v>340</v>
      </c>
      <c r="C178" t="s">
        <v>26</v>
      </c>
      <c r="D178" t="s">
        <v>13</v>
      </c>
      <c r="E178" t="s">
        <v>743</v>
      </c>
      <c r="F178" t="s">
        <v>13</v>
      </c>
      <c r="G178">
        <v>2</v>
      </c>
      <c r="H178">
        <v>3</v>
      </c>
      <c r="I178" s="13">
        <v>0.6</v>
      </c>
      <c r="J178" t="s">
        <v>249</v>
      </c>
      <c r="L178" t="s">
        <v>249</v>
      </c>
      <c r="M178" t="s">
        <v>744</v>
      </c>
      <c r="N178" t="s">
        <v>13</v>
      </c>
      <c r="O178">
        <v>2</v>
      </c>
      <c r="P178">
        <v>3</v>
      </c>
      <c r="Q178" s="13">
        <v>0.6085358593715775</v>
      </c>
      <c r="R178" t="s">
        <v>249</v>
      </c>
      <c r="S178">
        <v>0.58695671527825821</v>
      </c>
      <c r="T178" t="s">
        <v>249</v>
      </c>
      <c r="U178" t="s">
        <v>26</v>
      </c>
      <c r="V178">
        <v>4</v>
      </c>
      <c r="W178">
        <v>3</v>
      </c>
      <c r="X178" t="s">
        <v>496</v>
      </c>
      <c r="Y178" t="s">
        <v>292</v>
      </c>
      <c r="Z178" t="s">
        <v>60</v>
      </c>
      <c r="AA178" t="s">
        <v>491</v>
      </c>
    </row>
    <row r="179" spans="1:27" x14ac:dyDescent="0.2">
      <c r="A179" s="1">
        <v>45961</v>
      </c>
      <c r="B179" t="s">
        <v>322</v>
      </c>
      <c r="C179" t="s">
        <v>26</v>
      </c>
      <c r="D179" t="s">
        <v>31</v>
      </c>
      <c r="E179" t="s">
        <v>745</v>
      </c>
      <c r="F179" t="s">
        <v>31</v>
      </c>
      <c r="G179">
        <v>2</v>
      </c>
      <c r="H179">
        <v>3</v>
      </c>
      <c r="I179" s="13">
        <v>0.6</v>
      </c>
      <c r="J179" t="s">
        <v>249</v>
      </c>
      <c r="L179" t="s">
        <v>248</v>
      </c>
      <c r="M179" t="s">
        <v>291</v>
      </c>
      <c r="N179" t="s">
        <v>31</v>
      </c>
      <c r="O179">
        <v>2</v>
      </c>
      <c r="P179">
        <v>3</v>
      </c>
      <c r="Q179" s="13">
        <v>0.7487363882386241</v>
      </c>
      <c r="R179" t="s">
        <v>249</v>
      </c>
      <c r="S179">
        <v>1.1039433357947379</v>
      </c>
      <c r="T179" t="s">
        <v>248</v>
      </c>
      <c r="U179" t="s">
        <v>31</v>
      </c>
      <c r="V179">
        <v>2</v>
      </c>
      <c r="W179">
        <v>5</v>
      </c>
      <c r="X179" t="s">
        <v>490</v>
      </c>
      <c r="Y179" t="s">
        <v>292</v>
      </c>
      <c r="Z179" t="s">
        <v>60</v>
      </c>
      <c r="AA179" t="s">
        <v>491</v>
      </c>
    </row>
    <row r="180" spans="1:27" x14ac:dyDescent="0.2">
      <c r="A180" s="1">
        <v>45961</v>
      </c>
      <c r="B180" t="s">
        <v>369</v>
      </c>
      <c r="C180" t="s">
        <v>12</v>
      </c>
      <c r="D180" t="s">
        <v>20</v>
      </c>
      <c r="E180" t="s">
        <v>746</v>
      </c>
      <c r="F180" t="s">
        <v>12</v>
      </c>
      <c r="G180">
        <v>2</v>
      </c>
      <c r="H180">
        <v>3</v>
      </c>
      <c r="I180" s="13">
        <v>0.6</v>
      </c>
      <c r="J180" t="s">
        <v>249</v>
      </c>
      <c r="L180" t="s">
        <v>248</v>
      </c>
      <c r="M180" t="s">
        <v>361</v>
      </c>
      <c r="N180" t="s">
        <v>12</v>
      </c>
      <c r="O180">
        <v>2</v>
      </c>
      <c r="P180">
        <v>3</v>
      </c>
      <c r="Q180" s="13">
        <v>0.74588743211805819</v>
      </c>
      <c r="R180" t="s">
        <v>249</v>
      </c>
      <c r="S180">
        <v>-1.82644373982445</v>
      </c>
      <c r="T180" t="s">
        <v>248</v>
      </c>
      <c r="U180" t="s">
        <v>12</v>
      </c>
      <c r="V180">
        <v>4</v>
      </c>
      <c r="W180">
        <v>2</v>
      </c>
      <c r="X180" t="s">
        <v>490</v>
      </c>
      <c r="Y180" t="s">
        <v>292</v>
      </c>
      <c r="Z180" t="s">
        <v>60</v>
      </c>
      <c r="AA180" t="s">
        <v>491</v>
      </c>
    </row>
    <row r="181" spans="1:27" x14ac:dyDescent="0.2">
      <c r="A181" s="1">
        <v>45961</v>
      </c>
      <c r="B181" t="s">
        <v>328</v>
      </c>
      <c r="C181" t="s">
        <v>30</v>
      </c>
      <c r="D181" t="s">
        <v>22</v>
      </c>
      <c r="E181" t="s">
        <v>747</v>
      </c>
      <c r="F181" t="s">
        <v>22</v>
      </c>
      <c r="G181">
        <v>2</v>
      </c>
      <c r="H181">
        <v>3</v>
      </c>
      <c r="I181" s="13">
        <v>0.6</v>
      </c>
      <c r="J181" t="s">
        <v>249</v>
      </c>
      <c r="L181" t="s">
        <v>249</v>
      </c>
      <c r="M181" t="s">
        <v>748</v>
      </c>
      <c r="N181" t="s">
        <v>22</v>
      </c>
      <c r="O181">
        <v>2</v>
      </c>
      <c r="P181">
        <v>3</v>
      </c>
      <c r="Q181" s="13">
        <v>0.57908897540919857</v>
      </c>
      <c r="R181" t="s">
        <v>249</v>
      </c>
      <c r="S181">
        <v>0.73153997921825198</v>
      </c>
      <c r="T181" t="s">
        <v>249</v>
      </c>
      <c r="U181" t="s">
        <v>30</v>
      </c>
      <c r="V181">
        <v>3</v>
      </c>
      <c r="W181">
        <v>1</v>
      </c>
      <c r="X181" t="s">
        <v>490</v>
      </c>
      <c r="Y181" t="s">
        <v>292</v>
      </c>
      <c r="Z181" t="s">
        <v>60</v>
      </c>
      <c r="AA181" t="s">
        <v>491</v>
      </c>
    </row>
    <row r="182" spans="1:27" x14ac:dyDescent="0.2">
      <c r="A182" s="1">
        <v>45962</v>
      </c>
      <c r="B182" t="s">
        <v>347</v>
      </c>
      <c r="C182" t="s">
        <v>25</v>
      </c>
      <c r="D182" t="s">
        <v>21</v>
      </c>
      <c r="E182" t="s">
        <v>294</v>
      </c>
      <c r="F182" t="s">
        <v>25</v>
      </c>
      <c r="G182">
        <v>2</v>
      </c>
      <c r="H182">
        <v>3</v>
      </c>
      <c r="I182" s="13">
        <v>0.6</v>
      </c>
      <c r="J182" t="s">
        <v>249</v>
      </c>
      <c r="L182" t="s">
        <v>249</v>
      </c>
      <c r="M182" t="s">
        <v>749</v>
      </c>
      <c r="N182" t="s">
        <v>25</v>
      </c>
      <c r="O182">
        <v>2</v>
      </c>
      <c r="P182">
        <v>3</v>
      </c>
      <c r="Q182" s="13">
        <v>0.55862153841523121</v>
      </c>
      <c r="R182" t="s">
        <v>249</v>
      </c>
      <c r="S182">
        <v>-0.59554414885312179</v>
      </c>
      <c r="T182" t="s">
        <v>249</v>
      </c>
      <c r="U182" t="s">
        <v>21</v>
      </c>
      <c r="V182">
        <v>1</v>
      </c>
      <c r="W182">
        <v>2</v>
      </c>
      <c r="X182" t="s">
        <v>490</v>
      </c>
      <c r="Y182" t="s">
        <v>292</v>
      </c>
      <c r="Z182" t="s">
        <v>60</v>
      </c>
      <c r="AA182" t="s">
        <v>491</v>
      </c>
    </row>
    <row r="183" spans="1:27" x14ac:dyDescent="0.2">
      <c r="A183" s="1">
        <v>45962</v>
      </c>
      <c r="B183" t="s">
        <v>328</v>
      </c>
      <c r="C183" t="s">
        <v>35</v>
      </c>
      <c r="D183" t="s">
        <v>28</v>
      </c>
      <c r="E183" t="s">
        <v>750</v>
      </c>
      <c r="F183" t="s">
        <v>28</v>
      </c>
      <c r="G183">
        <v>2</v>
      </c>
      <c r="H183">
        <v>3</v>
      </c>
      <c r="I183" s="13">
        <v>0.6</v>
      </c>
      <c r="J183" t="s">
        <v>249</v>
      </c>
      <c r="L183" t="s">
        <v>248</v>
      </c>
      <c r="M183" t="s">
        <v>730</v>
      </c>
      <c r="N183" t="s">
        <v>28</v>
      </c>
      <c r="O183">
        <v>2</v>
      </c>
      <c r="P183">
        <v>3</v>
      </c>
      <c r="Q183" s="13">
        <v>0.63917878550125307</v>
      </c>
      <c r="R183" t="s">
        <v>249</v>
      </c>
      <c r="S183">
        <v>0.84938971652034467</v>
      </c>
      <c r="T183" t="s">
        <v>248</v>
      </c>
      <c r="U183" t="s">
        <v>28</v>
      </c>
      <c r="V183">
        <v>2</v>
      </c>
      <c r="W183">
        <v>3</v>
      </c>
      <c r="X183" t="s">
        <v>490</v>
      </c>
      <c r="Y183" t="s">
        <v>292</v>
      </c>
      <c r="Z183" t="s">
        <v>60</v>
      </c>
      <c r="AA183" t="s">
        <v>491</v>
      </c>
    </row>
    <row r="184" spans="1:27" x14ac:dyDescent="0.2">
      <c r="A184" s="1">
        <v>45962</v>
      </c>
      <c r="B184" t="s">
        <v>322</v>
      </c>
      <c r="C184" t="s">
        <v>10</v>
      </c>
      <c r="D184" t="s">
        <v>17</v>
      </c>
      <c r="E184" t="s">
        <v>751</v>
      </c>
      <c r="F184" t="s">
        <v>10</v>
      </c>
      <c r="G184">
        <v>2</v>
      </c>
      <c r="H184">
        <v>3</v>
      </c>
      <c r="I184" s="13">
        <v>0.6</v>
      </c>
      <c r="J184" t="s">
        <v>249</v>
      </c>
      <c r="L184" t="s">
        <v>249</v>
      </c>
      <c r="M184" t="s">
        <v>752</v>
      </c>
      <c r="N184" t="s">
        <v>10</v>
      </c>
      <c r="O184">
        <v>2</v>
      </c>
      <c r="P184">
        <v>3</v>
      </c>
      <c r="Q184" s="13">
        <v>0.52203787808599023</v>
      </c>
      <c r="R184" t="s">
        <v>249</v>
      </c>
      <c r="S184">
        <v>-0.59164966013004561</v>
      </c>
      <c r="T184" t="s">
        <v>249</v>
      </c>
      <c r="U184" t="s">
        <v>17</v>
      </c>
      <c r="V184">
        <v>2</v>
      </c>
      <c r="W184">
        <v>3</v>
      </c>
      <c r="X184" t="s">
        <v>496</v>
      </c>
      <c r="Y184" t="s">
        <v>292</v>
      </c>
      <c r="Z184" t="s">
        <v>60</v>
      </c>
      <c r="AA184" t="s">
        <v>491</v>
      </c>
    </row>
    <row r="185" spans="1:27" x14ac:dyDescent="0.2">
      <c r="A185" s="1">
        <v>45962</v>
      </c>
      <c r="B185" t="s">
        <v>469</v>
      </c>
      <c r="C185" t="s">
        <v>39</v>
      </c>
      <c r="D185" t="s">
        <v>11</v>
      </c>
      <c r="E185" t="s">
        <v>753</v>
      </c>
      <c r="F185" t="s">
        <v>39</v>
      </c>
      <c r="G185">
        <v>2</v>
      </c>
      <c r="H185">
        <v>3</v>
      </c>
      <c r="I185" s="13">
        <v>0.6</v>
      </c>
      <c r="J185" t="s">
        <v>249</v>
      </c>
      <c r="L185" t="s">
        <v>249</v>
      </c>
      <c r="M185" t="s">
        <v>754</v>
      </c>
      <c r="N185" t="s">
        <v>39</v>
      </c>
      <c r="O185">
        <v>2</v>
      </c>
      <c r="P185">
        <v>3</v>
      </c>
      <c r="Q185" s="13">
        <v>0.6366443736340629</v>
      </c>
      <c r="R185" t="s">
        <v>249</v>
      </c>
      <c r="S185">
        <v>-0.76066004399606379</v>
      </c>
      <c r="T185" t="s">
        <v>249</v>
      </c>
      <c r="U185" t="s">
        <v>11</v>
      </c>
      <c r="V185">
        <v>3</v>
      </c>
      <c r="W185">
        <v>4</v>
      </c>
      <c r="X185" t="s">
        <v>496</v>
      </c>
      <c r="Y185" t="s">
        <v>292</v>
      </c>
      <c r="Z185" t="s">
        <v>60</v>
      </c>
      <c r="AA185" t="s">
        <v>491</v>
      </c>
    </row>
    <row r="186" spans="1:27" x14ac:dyDescent="0.2">
      <c r="A186" s="1">
        <v>45962</v>
      </c>
      <c r="B186" t="s">
        <v>326</v>
      </c>
      <c r="C186" t="s">
        <v>24</v>
      </c>
      <c r="D186" t="s">
        <v>13</v>
      </c>
      <c r="E186" t="s">
        <v>755</v>
      </c>
      <c r="F186" t="s">
        <v>24</v>
      </c>
      <c r="G186">
        <v>2</v>
      </c>
      <c r="H186">
        <v>3</v>
      </c>
      <c r="I186" s="13">
        <v>0.6</v>
      </c>
      <c r="J186" t="s">
        <v>249</v>
      </c>
      <c r="L186" t="s">
        <v>248</v>
      </c>
      <c r="M186" t="s">
        <v>449</v>
      </c>
      <c r="N186" t="s">
        <v>24</v>
      </c>
      <c r="O186">
        <v>2</v>
      </c>
      <c r="P186">
        <v>3</v>
      </c>
      <c r="Q186" s="13">
        <v>0.51462086406676455</v>
      </c>
      <c r="R186" t="s">
        <v>249</v>
      </c>
      <c r="S186">
        <v>-0.28991310051865549</v>
      </c>
      <c r="T186" t="s">
        <v>248</v>
      </c>
      <c r="U186" t="s">
        <v>24</v>
      </c>
      <c r="V186">
        <v>4</v>
      </c>
      <c r="W186">
        <v>1</v>
      </c>
      <c r="X186" t="s">
        <v>490</v>
      </c>
      <c r="Y186" t="s">
        <v>292</v>
      </c>
      <c r="Z186" t="s">
        <v>60</v>
      </c>
      <c r="AA186" t="s">
        <v>491</v>
      </c>
    </row>
    <row r="187" spans="1:27" x14ac:dyDescent="0.2">
      <c r="A187" s="1">
        <v>45962</v>
      </c>
      <c r="B187" t="s">
        <v>328</v>
      </c>
      <c r="C187" t="s">
        <v>38</v>
      </c>
      <c r="D187" t="s">
        <v>34</v>
      </c>
      <c r="E187" t="s">
        <v>756</v>
      </c>
      <c r="F187" t="s">
        <v>34</v>
      </c>
      <c r="G187">
        <v>2</v>
      </c>
      <c r="H187">
        <v>3</v>
      </c>
      <c r="I187" s="13">
        <v>0.6</v>
      </c>
      <c r="J187" t="s">
        <v>249</v>
      </c>
      <c r="L187" t="s">
        <v>248</v>
      </c>
      <c r="M187" t="s">
        <v>343</v>
      </c>
      <c r="N187" t="s">
        <v>34</v>
      </c>
      <c r="O187">
        <v>2</v>
      </c>
      <c r="P187">
        <v>3</v>
      </c>
      <c r="Q187" s="13">
        <v>0.6464692220949555</v>
      </c>
      <c r="R187" t="s">
        <v>249</v>
      </c>
      <c r="S187">
        <v>0.94245371658448762</v>
      </c>
      <c r="T187" t="s">
        <v>248</v>
      </c>
      <c r="U187" t="s">
        <v>34</v>
      </c>
      <c r="V187">
        <v>2</v>
      </c>
      <c r="W187">
        <v>5</v>
      </c>
      <c r="X187" t="s">
        <v>490</v>
      </c>
      <c r="Y187" t="s">
        <v>292</v>
      </c>
      <c r="Z187" t="s">
        <v>60</v>
      </c>
      <c r="AA187" t="s">
        <v>491</v>
      </c>
    </row>
    <row r="188" spans="1:27" x14ac:dyDescent="0.2">
      <c r="A188" s="1">
        <v>45962</v>
      </c>
      <c r="B188" t="s">
        <v>328</v>
      </c>
      <c r="C188" t="s">
        <v>36</v>
      </c>
      <c r="D188" t="s">
        <v>18</v>
      </c>
      <c r="E188" t="s">
        <v>483</v>
      </c>
      <c r="F188" t="s">
        <v>36</v>
      </c>
      <c r="G188">
        <v>2</v>
      </c>
      <c r="H188">
        <v>3</v>
      </c>
      <c r="I188" s="13">
        <v>0.6</v>
      </c>
      <c r="J188" t="s">
        <v>249</v>
      </c>
      <c r="L188" t="s">
        <v>249</v>
      </c>
      <c r="M188" t="s">
        <v>757</v>
      </c>
      <c r="N188" t="s">
        <v>36</v>
      </c>
      <c r="O188">
        <v>2</v>
      </c>
      <c r="P188">
        <v>3</v>
      </c>
      <c r="Q188" s="13">
        <v>0.46135596911883597</v>
      </c>
      <c r="R188" t="s">
        <v>249</v>
      </c>
      <c r="S188">
        <v>-1.16128284858241E-2</v>
      </c>
      <c r="T188" t="s">
        <v>249</v>
      </c>
      <c r="U188" t="s">
        <v>18</v>
      </c>
      <c r="V188">
        <v>3</v>
      </c>
      <c r="W188">
        <v>4</v>
      </c>
      <c r="X188" t="s">
        <v>496</v>
      </c>
      <c r="Y188" t="s">
        <v>292</v>
      </c>
      <c r="Z188" t="s">
        <v>60</v>
      </c>
      <c r="AA188" t="s">
        <v>491</v>
      </c>
    </row>
    <row r="189" spans="1:27" x14ac:dyDescent="0.2">
      <c r="A189" s="1">
        <v>45962</v>
      </c>
      <c r="B189" t="s">
        <v>352</v>
      </c>
      <c r="C189" t="s">
        <v>16</v>
      </c>
      <c r="D189" t="s">
        <v>29</v>
      </c>
      <c r="E189" t="s">
        <v>484</v>
      </c>
      <c r="F189" t="s">
        <v>16</v>
      </c>
      <c r="G189">
        <v>2</v>
      </c>
      <c r="H189">
        <v>3</v>
      </c>
      <c r="I189" s="13">
        <v>0.6</v>
      </c>
      <c r="J189" t="s">
        <v>249</v>
      </c>
      <c r="L189" t="s">
        <v>249</v>
      </c>
      <c r="M189" t="s">
        <v>758</v>
      </c>
      <c r="N189" t="s">
        <v>16</v>
      </c>
      <c r="O189">
        <v>2</v>
      </c>
      <c r="P189">
        <v>3</v>
      </c>
      <c r="Q189" s="13">
        <v>0.49143718974836059</v>
      </c>
      <c r="R189" t="s">
        <v>249</v>
      </c>
      <c r="S189">
        <v>-0.2692352558422777</v>
      </c>
      <c r="T189" t="s">
        <v>249</v>
      </c>
      <c r="U189" t="s">
        <v>29</v>
      </c>
      <c r="V189">
        <v>2</v>
      </c>
      <c r="W189">
        <v>4</v>
      </c>
      <c r="X189" t="s">
        <v>490</v>
      </c>
      <c r="Y189" t="s">
        <v>292</v>
      </c>
      <c r="Z189" t="s">
        <v>60</v>
      </c>
      <c r="AA189" t="s">
        <v>491</v>
      </c>
    </row>
    <row r="190" spans="1:27" x14ac:dyDescent="0.2">
      <c r="A190" s="1">
        <v>45962</v>
      </c>
      <c r="B190" t="s">
        <v>328</v>
      </c>
      <c r="C190" t="s">
        <v>19</v>
      </c>
      <c r="D190" t="s">
        <v>27</v>
      </c>
      <c r="E190" t="s">
        <v>759</v>
      </c>
      <c r="F190" t="s">
        <v>27</v>
      </c>
      <c r="G190">
        <v>2</v>
      </c>
      <c r="H190">
        <v>3</v>
      </c>
      <c r="I190" s="13">
        <v>0.6</v>
      </c>
      <c r="J190" t="s">
        <v>249</v>
      </c>
      <c r="L190" t="s">
        <v>249</v>
      </c>
      <c r="M190" t="s">
        <v>760</v>
      </c>
      <c r="N190" t="s">
        <v>27</v>
      </c>
      <c r="O190">
        <v>2</v>
      </c>
      <c r="P190">
        <v>3</v>
      </c>
      <c r="Q190" s="13">
        <v>0.5895294258799636</v>
      </c>
      <c r="R190" t="s">
        <v>249</v>
      </c>
      <c r="S190">
        <v>0.30413975673582699</v>
      </c>
      <c r="T190" t="s">
        <v>249</v>
      </c>
      <c r="U190" t="s">
        <v>19</v>
      </c>
      <c r="V190">
        <v>5</v>
      </c>
      <c r="W190">
        <v>2</v>
      </c>
      <c r="X190" t="s">
        <v>490</v>
      </c>
      <c r="Y190" t="s">
        <v>292</v>
      </c>
      <c r="Z190" t="s">
        <v>60</v>
      </c>
      <c r="AA190" t="s">
        <v>491</v>
      </c>
    </row>
    <row r="191" spans="1:27" x14ac:dyDescent="0.2">
      <c r="A191" s="1">
        <v>45962</v>
      </c>
      <c r="B191" t="s">
        <v>322</v>
      </c>
      <c r="C191" t="s">
        <v>15</v>
      </c>
      <c r="D191" t="s">
        <v>32</v>
      </c>
      <c r="E191" t="s">
        <v>761</v>
      </c>
      <c r="F191" t="s">
        <v>15</v>
      </c>
      <c r="G191">
        <v>2</v>
      </c>
      <c r="H191">
        <v>3</v>
      </c>
      <c r="I191" s="13">
        <v>0.6</v>
      </c>
      <c r="J191" t="s">
        <v>249</v>
      </c>
      <c r="L191" t="s">
        <v>248</v>
      </c>
      <c r="M191" t="s">
        <v>518</v>
      </c>
      <c r="N191" t="s">
        <v>15</v>
      </c>
      <c r="O191">
        <v>2</v>
      </c>
      <c r="P191">
        <v>3</v>
      </c>
      <c r="Q191" s="13">
        <v>0.59621344553392286</v>
      </c>
      <c r="R191" t="s">
        <v>249</v>
      </c>
      <c r="S191">
        <v>-0.30944250187098488</v>
      </c>
      <c r="T191" t="s">
        <v>248</v>
      </c>
      <c r="U191" t="s">
        <v>15</v>
      </c>
      <c r="V191">
        <v>3</v>
      </c>
      <c r="W191">
        <v>2</v>
      </c>
      <c r="X191" t="s">
        <v>496</v>
      </c>
      <c r="Y191" t="s">
        <v>292</v>
      </c>
      <c r="Z191" t="s">
        <v>60</v>
      </c>
      <c r="AA191" t="s">
        <v>491</v>
      </c>
    </row>
    <row r="192" spans="1:27" x14ac:dyDescent="0.2">
      <c r="A192" s="1">
        <v>45962</v>
      </c>
      <c r="B192" t="s">
        <v>369</v>
      </c>
      <c r="C192" t="s">
        <v>12</v>
      </c>
      <c r="D192" t="s">
        <v>33</v>
      </c>
      <c r="E192" t="s">
        <v>762</v>
      </c>
      <c r="F192" t="s">
        <v>12</v>
      </c>
      <c r="G192">
        <v>2</v>
      </c>
      <c r="H192">
        <v>3</v>
      </c>
      <c r="I192" s="13">
        <v>0.6</v>
      </c>
      <c r="J192" t="s">
        <v>249</v>
      </c>
      <c r="L192" t="s">
        <v>249</v>
      </c>
      <c r="M192" t="s">
        <v>763</v>
      </c>
      <c r="N192" t="s">
        <v>12</v>
      </c>
      <c r="O192">
        <v>2</v>
      </c>
      <c r="P192">
        <v>3</v>
      </c>
      <c r="Q192" s="13">
        <v>0.75987072250359355</v>
      </c>
      <c r="R192" t="s">
        <v>249</v>
      </c>
      <c r="S192">
        <v>-2.0333339018860568</v>
      </c>
      <c r="T192" t="s">
        <v>249</v>
      </c>
      <c r="U192" t="s">
        <v>33</v>
      </c>
      <c r="V192">
        <v>2</v>
      </c>
      <c r="W192">
        <v>3</v>
      </c>
      <c r="X192" t="s">
        <v>496</v>
      </c>
      <c r="Y192" t="s">
        <v>292</v>
      </c>
      <c r="Z192" t="s">
        <v>60</v>
      </c>
      <c r="AA192" t="s">
        <v>491</v>
      </c>
    </row>
    <row r="193" spans="1:27" x14ac:dyDescent="0.2">
      <c r="A193" s="1">
        <v>45962</v>
      </c>
      <c r="B193" t="s">
        <v>453</v>
      </c>
      <c r="C193" t="s">
        <v>14</v>
      </c>
      <c r="D193" t="s">
        <v>40</v>
      </c>
      <c r="E193" t="s">
        <v>764</v>
      </c>
      <c r="F193" t="s">
        <v>14</v>
      </c>
      <c r="G193">
        <v>2</v>
      </c>
      <c r="H193">
        <v>3</v>
      </c>
      <c r="I193" s="13">
        <v>0.6</v>
      </c>
      <c r="J193" t="s">
        <v>249</v>
      </c>
      <c r="L193" t="s">
        <v>249</v>
      </c>
      <c r="M193" t="s">
        <v>765</v>
      </c>
      <c r="N193" t="s">
        <v>14</v>
      </c>
      <c r="O193">
        <v>2</v>
      </c>
      <c r="P193">
        <v>3</v>
      </c>
      <c r="Q193" s="13">
        <v>0.51091170313729506</v>
      </c>
      <c r="R193" t="s">
        <v>249</v>
      </c>
      <c r="S193">
        <v>-0.1210768532941391</v>
      </c>
      <c r="T193" t="s">
        <v>249</v>
      </c>
      <c r="U193" t="s">
        <v>40</v>
      </c>
      <c r="V193">
        <v>2</v>
      </c>
      <c r="W193">
        <v>5</v>
      </c>
      <c r="X193" t="s">
        <v>490</v>
      </c>
      <c r="Y193" t="s">
        <v>292</v>
      </c>
      <c r="Z193" t="s">
        <v>60</v>
      </c>
      <c r="AA193" t="s">
        <v>491</v>
      </c>
    </row>
    <row r="194" spans="1:27" x14ac:dyDescent="0.2">
      <c r="A194" s="1">
        <v>45962</v>
      </c>
      <c r="B194" t="s">
        <v>328</v>
      </c>
      <c r="C194" t="s">
        <v>22</v>
      </c>
      <c r="D194" t="s">
        <v>23</v>
      </c>
      <c r="E194" t="s">
        <v>766</v>
      </c>
      <c r="F194" t="s">
        <v>22</v>
      </c>
      <c r="G194">
        <v>2</v>
      </c>
      <c r="H194">
        <v>3</v>
      </c>
      <c r="I194" s="13">
        <v>0.6</v>
      </c>
      <c r="J194" t="s">
        <v>249</v>
      </c>
      <c r="L194" t="s">
        <v>249</v>
      </c>
      <c r="M194" t="s">
        <v>767</v>
      </c>
      <c r="N194" t="s">
        <v>22</v>
      </c>
      <c r="O194">
        <v>2</v>
      </c>
      <c r="P194">
        <v>3</v>
      </c>
      <c r="Q194" s="13">
        <v>0.59353303745986197</v>
      </c>
      <c r="R194" t="s">
        <v>249</v>
      </c>
      <c r="S194">
        <v>-0.86691691967118412</v>
      </c>
      <c r="T194" t="s">
        <v>249</v>
      </c>
      <c r="U194" t="s">
        <v>23</v>
      </c>
      <c r="V194">
        <v>3</v>
      </c>
      <c r="W194">
        <v>4</v>
      </c>
      <c r="X194" t="s">
        <v>496</v>
      </c>
      <c r="Y194" t="s">
        <v>292</v>
      </c>
      <c r="Z194" t="s">
        <v>60</v>
      </c>
      <c r="AA194" t="s">
        <v>491</v>
      </c>
    </row>
    <row r="195" spans="1:27" x14ac:dyDescent="0.2">
      <c r="A195" s="1">
        <v>45963</v>
      </c>
      <c r="B195" t="s">
        <v>352</v>
      </c>
      <c r="C195" t="s">
        <v>37</v>
      </c>
      <c r="D195" t="s">
        <v>55</v>
      </c>
      <c r="E195" t="s">
        <v>768</v>
      </c>
      <c r="F195" t="s">
        <v>37</v>
      </c>
      <c r="G195">
        <v>2</v>
      </c>
      <c r="H195">
        <v>3</v>
      </c>
      <c r="I195" s="13">
        <v>0.6</v>
      </c>
      <c r="J195" t="s">
        <v>249</v>
      </c>
      <c r="L195" t="s">
        <v>248</v>
      </c>
      <c r="M195" t="s">
        <v>395</v>
      </c>
      <c r="N195" t="s">
        <v>37</v>
      </c>
      <c r="O195">
        <v>2</v>
      </c>
      <c r="P195">
        <v>3</v>
      </c>
      <c r="Q195" s="13">
        <v>0.61248083877374404</v>
      </c>
      <c r="R195" t="s">
        <v>249</v>
      </c>
      <c r="S195">
        <v>-0.8637274868446243</v>
      </c>
      <c r="T195" t="s">
        <v>248</v>
      </c>
      <c r="U195" t="s">
        <v>37</v>
      </c>
      <c r="V195">
        <v>4</v>
      </c>
      <c r="W195">
        <v>2</v>
      </c>
      <c r="X195" t="s">
        <v>490</v>
      </c>
      <c r="Y195" t="s">
        <v>292</v>
      </c>
      <c r="Z195" t="s">
        <v>60</v>
      </c>
      <c r="AA195" t="s">
        <v>491</v>
      </c>
    </row>
    <row r="196" spans="1:27" x14ac:dyDescent="0.2">
      <c r="A196" s="1">
        <v>45963</v>
      </c>
      <c r="B196" t="s">
        <v>324</v>
      </c>
      <c r="C196" t="s">
        <v>26</v>
      </c>
      <c r="D196" t="s">
        <v>33</v>
      </c>
      <c r="E196" t="s">
        <v>769</v>
      </c>
      <c r="F196" t="s">
        <v>33</v>
      </c>
      <c r="G196">
        <v>2</v>
      </c>
      <c r="H196">
        <v>3</v>
      </c>
      <c r="I196" s="13">
        <v>0.6</v>
      </c>
      <c r="J196" t="s">
        <v>249</v>
      </c>
      <c r="L196" t="s">
        <v>249</v>
      </c>
      <c r="M196" t="s">
        <v>770</v>
      </c>
      <c r="N196" t="s">
        <v>33</v>
      </c>
      <c r="O196">
        <v>2</v>
      </c>
      <c r="P196">
        <v>3</v>
      </c>
      <c r="Q196" s="13">
        <v>0.60545815708481687</v>
      </c>
      <c r="R196" t="s">
        <v>249</v>
      </c>
      <c r="S196">
        <v>0.47390932157322863</v>
      </c>
      <c r="T196" t="s">
        <v>249</v>
      </c>
      <c r="U196" t="s">
        <v>26</v>
      </c>
      <c r="V196">
        <v>3</v>
      </c>
      <c r="W196">
        <v>2</v>
      </c>
      <c r="X196" t="s">
        <v>496</v>
      </c>
      <c r="Y196" t="s">
        <v>292</v>
      </c>
      <c r="Z196" t="s">
        <v>60</v>
      </c>
      <c r="AA196" t="s">
        <v>491</v>
      </c>
    </row>
    <row r="197" spans="1:27" x14ac:dyDescent="0.2">
      <c r="A197" s="1">
        <v>45963</v>
      </c>
      <c r="B197" t="s">
        <v>365</v>
      </c>
      <c r="C197" t="s">
        <v>28</v>
      </c>
      <c r="D197" t="s">
        <v>30</v>
      </c>
      <c r="E197" t="s">
        <v>771</v>
      </c>
      <c r="F197" t="s">
        <v>30</v>
      </c>
      <c r="G197">
        <v>2</v>
      </c>
      <c r="H197">
        <v>3</v>
      </c>
      <c r="I197" s="13">
        <v>0.6</v>
      </c>
      <c r="J197" t="s">
        <v>249</v>
      </c>
      <c r="L197" t="s">
        <v>248</v>
      </c>
      <c r="M197" t="s">
        <v>580</v>
      </c>
      <c r="N197" t="s">
        <v>30</v>
      </c>
      <c r="O197">
        <v>2</v>
      </c>
      <c r="P197">
        <v>3</v>
      </c>
      <c r="Q197" s="13">
        <v>0.5835919177498986</v>
      </c>
      <c r="R197" t="s">
        <v>249</v>
      </c>
      <c r="S197">
        <v>0.40395815583236999</v>
      </c>
      <c r="T197" t="s">
        <v>248</v>
      </c>
      <c r="U197" t="s">
        <v>30</v>
      </c>
      <c r="V197">
        <v>2</v>
      </c>
      <c r="W197">
        <v>3</v>
      </c>
      <c r="X197" t="s">
        <v>490</v>
      </c>
      <c r="Y197" t="s">
        <v>292</v>
      </c>
      <c r="Z197" t="s">
        <v>60</v>
      </c>
      <c r="AA197" t="s">
        <v>491</v>
      </c>
    </row>
    <row r="198" spans="1:27" x14ac:dyDescent="0.2">
      <c r="A198" s="1">
        <v>45963</v>
      </c>
      <c r="B198" t="s">
        <v>324</v>
      </c>
      <c r="C198" t="s">
        <v>24</v>
      </c>
      <c r="D198" t="s">
        <v>31</v>
      </c>
      <c r="E198" t="s">
        <v>772</v>
      </c>
      <c r="F198" t="s">
        <v>31</v>
      </c>
      <c r="G198">
        <v>2</v>
      </c>
      <c r="H198">
        <v>3</v>
      </c>
      <c r="I198" s="13">
        <v>0.6</v>
      </c>
      <c r="J198" t="s">
        <v>249</v>
      </c>
      <c r="L198" t="s">
        <v>248</v>
      </c>
      <c r="M198" t="s">
        <v>291</v>
      </c>
      <c r="N198" t="s">
        <v>31</v>
      </c>
      <c r="O198">
        <v>2</v>
      </c>
      <c r="P198">
        <v>3</v>
      </c>
      <c r="Q198" s="13">
        <v>0.62651418482571097</v>
      </c>
      <c r="R198" t="s">
        <v>249</v>
      </c>
      <c r="S198">
        <v>0.22707351999782449</v>
      </c>
      <c r="T198" t="s">
        <v>248</v>
      </c>
      <c r="U198" t="s">
        <v>31</v>
      </c>
      <c r="V198">
        <v>1</v>
      </c>
      <c r="W198">
        <v>4</v>
      </c>
      <c r="X198" t="s">
        <v>490</v>
      </c>
      <c r="Y198" t="s">
        <v>292</v>
      </c>
      <c r="Z198" t="s">
        <v>60</v>
      </c>
      <c r="AA198" t="s">
        <v>491</v>
      </c>
    </row>
    <row r="199" spans="1:27" x14ac:dyDescent="0.2">
      <c r="A199" s="1">
        <v>45963</v>
      </c>
      <c r="B199" t="s">
        <v>328</v>
      </c>
      <c r="C199" t="s">
        <v>16</v>
      </c>
      <c r="D199" t="s">
        <v>27</v>
      </c>
      <c r="E199" t="s">
        <v>773</v>
      </c>
      <c r="F199" t="s">
        <v>27</v>
      </c>
      <c r="G199">
        <v>2</v>
      </c>
      <c r="H199">
        <v>3</v>
      </c>
      <c r="I199" s="13">
        <v>0.6</v>
      </c>
      <c r="J199" t="s">
        <v>249</v>
      </c>
      <c r="L199" t="s">
        <v>249</v>
      </c>
      <c r="M199" t="s">
        <v>774</v>
      </c>
      <c r="N199" t="s">
        <v>27</v>
      </c>
      <c r="O199">
        <v>2</v>
      </c>
      <c r="P199">
        <v>3</v>
      </c>
      <c r="Q199" s="13">
        <v>0.63989038024528599</v>
      </c>
      <c r="R199" t="s">
        <v>249</v>
      </c>
      <c r="S199">
        <v>0.73544244446146734</v>
      </c>
      <c r="T199" t="s">
        <v>249</v>
      </c>
      <c r="U199" t="s">
        <v>16</v>
      </c>
      <c r="V199">
        <v>2</v>
      </c>
      <c r="W199">
        <v>1</v>
      </c>
      <c r="X199" t="s">
        <v>490</v>
      </c>
      <c r="Y199" t="s">
        <v>292</v>
      </c>
      <c r="Z199" t="s">
        <v>60</v>
      </c>
      <c r="AA199" t="s">
        <v>491</v>
      </c>
    </row>
    <row r="200" spans="1:27" x14ac:dyDescent="0.2">
      <c r="A200" s="1">
        <v>45964</v>
      </c>
      <c r="B200" t="s">
        <v>416</v>
      </c>
      <c r="C200" t="s">
        <v>38</v>
      </c>
      <c r="D200" t="s">
        <v>29</v>
      </c>
      <c r="E200" t="s">
        <v>654</v>
      </c>
      <c r="F200" t="s">
        <v>38</v>
      </c>
      <c r="G200">
        <v>2</v>
      </c>
      <c r="H200">
        <v>3</v>
      </c>
      <c r="I200" s="13">
        <v>0.6</v>
      </c>
      <c r="J200" t="s">
        <v>249</v>
      </c>
      <c r="L200" t="s">
        <v>248</v>
      </c>
      <c r="M200" t="s">
        <v>505</v>
      </c>
      <c r="N200" t="s">
        <v>38</v>
      </c>
      <c r="O200">
        <v>2</v>
      </c>
      <c r="P200">
        <v>3</v>
      </c>
      <c r="Q200" s="13">
        <v>0.50880367819163874</v>
      </c>
      <c r="R200" t="s">
        <v>249</v>
      </c>
      <c r="S200">
        <v>-0.38733877977609438</v>
      </c>
      <c r="T200" t="s">
        <v>248</v>
      </c>
      <c r="U200" t="s">
        <v>38</v>
      </c>
      <c r="V200">
        <v>5</v>
      </c>
      <c r="W200">
        <v>4</v>
      </c>
      <c r="X200" t="s">
        <v>496</v>
      </c>
      <c r="Y200" t="s">
        <v>292</v>
      </c>
      <c r="Z200" t="s">
        <v>60</v>
      </c>
      <c r="AA200" t="s">
        <v>491</v>
      </c>
    </row>
    <row r="201" spans="1:27" x14ac:dyDescent="0.2">
      <c r="A201" s="1">
        <v>45964</v>
      </c>
      <c r="B201" t="s">
        <v>322</v>
      </c>
      <c r="C201" t="s">
        <v>10</v>
      </c>
      <c r="D201" t="s">
        <v>32</v>
      </c>
      <c r="E201" t="s">
        <v>775</v>
      </c>
      <c r="F201" t="s">
        <v>10</v>
      </c>
      <c r="G201">
        <v>2</v>
      </c>
      <c r="H201">
        <v>3</v>
      </c>
      <c r="I201" s="13">
        <v>0.6</v>
      </c>
      <c r="J201" t="s">
        <v>249</v>
      </c>
      <c r="L201" t="s">
        <v>249</v>
      </c>
      <c r="M201" t="s">
        <v>389</v>
      </c>
      <c r="N201" t="s">
        <v>10</v>
      </c>
      <c r="O201">
        <v>2</v>
      </c>
      <c r="P201">
        <v>3</v>
      </c>
      <c r="Q201" s="13">
        <v>0.50942421415951489</v>
      </c>
      <c r="R201" t="s">
        <v>249</v>
      </c>
      <c r="S201">
        <v>-0.42328023117061392</v>
      </c>
      <c r="T201" t="s">
        <v>249</v>
      </c>
      <c r="U201" t="s">
        <v>32</v>
      </c>
      <c r="V201">
        <v>1</v>
      </c>
      <c r="W201">
        <v>3</v>
      </c>
      <c r="X201" t="s">
        <v>490</v>
      </c>
      <c r="Y201" t="s">
        <v>292</v>
      </c>
      <c r="Z201" t="s">
        <v>60</v>
      </c>
      <c r="AA201" t="s">
        <v>491</v>
      </c>
    </row>
    <row r="202" spans="1:27" x14ac:dyDescent="0.2">
      <c r="A202" s="1">
        <v>45964</v>
      </c>
      <c r="B202" t="s">
        <v>416</v>
      </c>
      <c r="C202" t="s">
        <v>17</v>
      </c>
      <c r="D202" t="s">
        <v>35</v>
      </c>
      <c r="E202" t="s">
        <v>776</v>
      </c>
      <c r="F202" t="s">
        <v>17</v>
      </c>
      <c r="G202">
        <v>2</v>
      </c>
      <c r="H202">
        <v>3</v>
      </c>
      <c r="I202" s="13">
        <v>0.6</v>
      </c>
      <c r="J202" t="s">
        <v>249</v>
      </c>
      <c r="L202" t="s">
        <v>249</v>
      </c>
      <c r="M202" t="s">
        <v>777</v>
      </c>
      <c r="N202" t="s">
        <v>17</v>
      </c>
      <c r="O202">
        <v>2</v>
      </c>
      <c r="P202">
        <v>3</v>
      </c>
      <c r="Q202" s="13">
        <v>0.52151528990839591</v>
      </c>
      <c r="R202" t="s">
        <v>249</v>
      </c>
      <c r="S202">
        <v>-0.52683095878703834</v>
      </c>
      <c r="T202" t="s">
        <v>249</v>
      </c>
      <c r="U202" t="s">
        <v>35</v>
      </c>
      <c r="V202">
        <v>2</v>
      </c>
      <c r="W202">
        <v>3</v>
      </c>
      <c r="X202" t="s">
        <v>490</v>
      </c>
      <c r="Y202" t="s">
        <v>292</v>
      </c>
      <c r="Z202" t="s">
        <v>60</v>
      </c>
      <c r="AA202" t="s">
        <v>491</v>
      </c>
    </row>
    <row r="203" spans="1:27" x14ac:dyDescent="0.2">
      <c r="A203" s="1">
        <v>45964</v>
      </c>
      <c r="B203" t="s">
        <v>334</v>
      </c>
      <c r="C203" t="s">
        <v>14</v>
      </c>
      <c r="D203" t="s">
        <v>19</v>
      </c>
      <c r="E203" t="s">
        <v>778</v>
      </c>
      <c r="F203" t="s">
        <v>14</v>
      </c>
      <c r="G203">
        <v>2</v>
      </c>
      <c r="H203">
        <v>3</v>
      </c>
      <c r="I203" s="13">
        <v>0.6</v>
      </c>
      <c r="J203" t="s">
        <v>249</v>
      </c>
      <c r="L203" t="s">
        <v>249</v>
      </c>
      <c r="M203" t="s">
        <v>779</v>
      </c>
      <c r="N203" t="s">
        <v>14</v>
      </c>
      <c r="O203">
        <v>2</v>
      </c>
      <c r="P203">
        <v>3</v>
      </c>
      <c r="Q203" s="13">
        <v>0.55093337655329999</v>
      </c>
      <c r="R203" t="s">
        <v>249</v>
      </c>
      <c r="S203">
        <v>-0.4423136208303281</v>
      </c>
      <c r="T203" t="s">
        <v>249</v>
      </c>
      <c r="U203" t="s">
        <v>19</v>
      </c>
      <c r="V203">
        <v>3</v>
      </c>
      <c r="W203">
        <v>4</v>
      </c>
      <c r="X203" t="s">
        <v>490</v>
      </c>
      <c r="Y203" t="s">
        <v>292</v>
      </c>
      <c r="Z203" t="s">
        <v>60</v>
      </c>
      <c r="AA203" t="s">
        <v>491</v>
      </c>
    </row>
    <row r="204" spans="1:27" x14ac:dyDescent="0.2">
      <c r="A204" s="1">
        <v>45965</v>
      </c>
      <c r="B204" t="s">
        <v>328</v>
      </c>
      <c r="C204" t="s">
        <v>21</v>
      </c>
      <c r="D204" t="s">
        <v>30</v>
      </c>
      <c r="E204" t="s">
        <v>422</v>
      </c>
      <c r="F204" t="s">
        <v>30</v>
      </c>
      <c r="G204">
        <v>2</v>
      </c>
      <c r="H204">
        <v>3</v>
      </c>
      <c r="I204" s="13">
        <v>0.6</v>
      </c>
      <c r="J204" t="s">
        <v>249</v>
      </c>
      <c r="L204" t="s">
        <v>249</v>
      </c>
      <c r="M204" t="s">
        <v>780</v>
      </c>
      <c r="N204" t="s">
        <v>30</v>
      </c>
      <c r="O204">
        <v>2</v>
      </c>
      <c r="P204">
        <v>3</v>
      </c>
      <c r="Q204" s="13">
        <v>0.54252615233038282</v>
      </c>
      <c r="R204" t="s">
        <v>249</v>
      </c>
      <c r="S204">
        <v>2.8738511929561401E-2</v>
      </c>
      <c r="T204" t="s">
        <v>249</v>
      </c>
      <c r="U204" t="s">
        <v>21</v>
      </c>
      <c r="V204">
        <v>4</v>
      </c>
      <c r="W204">
        <v>3</v>
      </c>
      <c r="X204" t="s">
        <v>496</v>
      </c>
      <c r="Y204" t="s">
        <v>292</v>
      </c>
      <c r="Z204" t="s">
        <v>60</v>
      </c>
      <c r="AA204" t="s">
        <v>491</v>
      </c>
    </row>
    <row r="205" spans="1:27" x14ac:dyDescent="0.2">
      <c r="A205" s="1">
        <v>45965</v>
      </c>
      <c r="B205" t="s">
        <v>322</v>
      </c>
      <c r="C205" t="s">
        <v>26</v>
      </c>
      <c r="D205" t="s">
        <v>20</v>
      </c>
      <c r="E205" t="s">
        <v>781</v>
      </c>
      <c r="F205" t="s">
        <v>20</v>
      </c>
      <c r="G205">
        <v>2</v>
      </c>
      <c r="H205">
        <v>3</v>
      </c>
      <c r="I205" s="13">
        <v>0.6</v>
      </c>
      <c r="J205" t="s">
        <v>249</v>
      </c>
      <c r="L205" t="s">
        <v>248</v>
      </c>
      <c r="M205" t="s">
        <v>510</v>
      </c>
      <c r="N205" t="s">
        <v>20</v>
      </c>
      <c r="O205">
        <v>2</v>
      </c>
      <c r="P205">
        <v>3</v>
      </c>
      <c r="Q205" s="13">
        <v>0.61949338759761874</v>
      </c>
      <c r="R205" t="s">
        <v>249</v>
      </c>
      <c r="S205">
        <v>0.68079948363483545</v>
      </c>
      <c r="T205" t="s">
        <v>248</v>
      </c>
      <c r="U205" t="s">
        <v>20</v>
      </c>
      <c r="V205">
        <v>0</v>
      </c>
      <c r="W205">
        <v>1</v>
      </c>
      <c r="X205" t="s">
        <v>490</v>
      </c>
      <c r="Y205" t="s">
        <v>292</v>
      </c>
      <c r="Z205" t="s">
        <v>60</v>
      </c>
      <c r="AA205" t="s">
        <v>491</v>
      </c>
    </row>
    <row r="206" spans="1:27" x14ac:dyDescent="0.2">
      <c r="A206" s="1">
        <v>45965</v>
      </c>
      <c r="B206" t="s">
        <v>328</v>
      </c>
      <c r="C206" t="s">
        <v>25</v>
      </c>
      <c r="D206" t="s">
        <v>15</v>
      </c>
      <c r="E206" t="s">
        <v>782</v>
      </c>
      <c r="F206" t="s">
        <v>25</v>
      </c>
      <c r="G206">
        <v>2</v>
      </c>
      <c r="H206">
        <v>3</v>
      </c>
      <c r="I206" s="13">
        <v>0.6</v>
      </c>
      <c r="J206" t="s">
        <v>249</v>
      </c>
      <c r="L206" t="s">
        <v>248</v>
      </c>
      <c r="M206" t="s">
        <v>450</v>
      </c>
      <c r="N206" t="s">
        <v>25</v>
      </c>
      <c r="O206">
        <v>2</v>
      </c>
      <c r="P206">
        <v>3</v>
      </c>
      <c r="Q206" s="13">
        <v>0.61036612327293382</v>
      </c>
      <c r="R206" t="s">
        <v>249</v>
      </c>
      <c r="S206">
        <v>-0.66580837288933281</v>
      </c>
      <c r="T206" t="s">
        <v>248</v>
      </c>
      <c r="U206" t="s">
        <v>25</v>
      </c>
      <c r="V206">
        <v>3</v>
      </c>
      <c r="W206">
        <v>0</v>
      </c>
      <c r="X206" t="s">
        <v>490</v>
      </c>
      <c r="Y206" t="s">
        <v>292</v>
      </c>
      <c r="Z206" t="s">
        <v>60</v>
      </c>
      <c r="AA206" t="s">
        <v>491</v>
      </c>
    </row>
    <row r="207" spans="1:27" x14ac:dyDescent="0.2">
      <c r="A207" s="1">
        <v>45965</v>
      </c>
      <c r="B207" t="s">
        <v>328</v>
      </c>
      <c r="C207" t="s">
        <v>27</v>
      </c>
      <c r="D207" t="s">
        <v>18</v>
      </c>
      <c r="E207" t="s">
        <v>783</v>
      </c>
      <c r="F207" t="s">
        <v>27</v>
      </c>
      <c r="G207">
        <v>2</v>
      </c>
      <c r="H207">
        <v>3</v>
      </c>
      <c r="I207" s="13">
        <v>0.6</v>
      </c>
      <c r="J207" t="s">
        <v>249</v>
      </c>
      <c r="L207" t="s">
        <v>248</v>
      </c>
      <c r="M207" t="s">
        <v>393</v>
      </c>
      <c r="N207" t="s">
        <v>27</v>
      </c>
      <c r="O207">
        <v>2</v>
      </c>
      <c r="P207">
        <v>3</v>
      </c>
      <c r="Q207" s="13">
        <v>0.52151594511207089</v>
      </c>
      <c r="R207" t="s">
        <v>249</v>
      </c>
      <c r="S207">
        <v>-0.16274929584434669</v>
      </c>
      <c r="T207" t="s">
        <v>248</v>
      </c>
      <c r="U207" t="s">
        <v>27</v>
      </c>
      <c r="V207">
        <v>5</v>
      </c>
      <c r="W207">
        <v>4</v>
      </c>
      <c r="X207" t="s">
        <v>496</v>
      </c>
      <c r="Y207" t="s">
        <v>292</v>
      </c>
      <c r="Z207" t="s">
        <v>60</v>
      </c>
      <c r="AA207" t="s">
        <v>491</v>
      </c>
    </row>
    <row r="208" spans="1:27" x14ac:dyDescent="0.2">
      <c r="A208" s="1">
        <v>45965</v>
      </c>
      <c r="B208" t="s">
        <v>324</v>
      </c>
      <c r="C208" t="s">
        <v>17</v>
      </c>
      <c r="D208" t="s">
        <v>39</v>
      </c>
      <c r="E208" t="s">
        <v>784</v>
      </c>
      <c r="F208" t="s">
        <v>39</v>
      </c>
      <c r="G208">
        <v>2</v>
      </c>
      <c r="H208">
        <v>3</v>
      </c>
      <c r="I208" s="13">
        <v>0.6</v>
      </c>
      <c r="J208" t="s">
        <v>249</v>
      </c>
      <c r="L208" t="s">
        <v>248</v>
      </c>
      <c r="M208" t="s">
        <v>398</v>
      </c>
      <c r="N208" t="s">
        <v>39</v>
      </c>
      <c r="O208">
        <v>2</v>
      </c>
      <c r="P208">
        <v>3</v>
      </c>
      <c r="Q208" s="13">
        <v>0.72183222092408972</v>
      </c>
      <c r="R208" t="s">
        <v>249</v>
      </c>
      <c r="S208">
        <v>1.2810899150158039</v>
      </c>
      <c r="T208" t="s">
        <v>248</v>
      </c>
      <c r="U208" t="s">
        <v>39</v>
      </c>
      <c r="V208">
        <v>3</v>
      </c>
      <c r="W208">
        <v>4</v>
      </c>
      <c r="X208" t="s">
        <v>496</v>
      </c>
      <c r="Y208" t="s">
        <v>292</v>
      </c>
      <c r="Z208" t="s">
        <v>60</v>
      </c>
      <c r="AA208" t="s">
        <v>491</v>
      </c>
    </row>
    <row r="209" spans="1:27" x14ac:dyDescent="0.2">
      <c r="A209" s="1">
        <v>45965</v>
      </c>
      <c r="B209" t="s">
        <v>340</v>
      </c>
      <c r="C209" t="s">
        <v>40</v>
      </c>
      <c r="D209" t="s">
        <v>13</v>
      </c>
      <c r="E209" t="s">
        <v>785</v>
      </c>
      <c r="F209" t="s">
        <v>13</v>
      </c>
      <c r="G209">
        <v>2</v>
      </c>
      <c r="H209">
        <v>3</v>
      </c>
      <c r="I209" s="13">
        <v>0.6</v>
      </c>
      <c r="J209" t="s">
        <v>249</v>
      </c>
      <c r="L209" t="s">
        <v>248</v>
      </c>
      <c r="M209" t="s">
        <v>628</v>
      </c>
      <c r="N209" t="s">
        <v>13</v>
      </c>
      <c r="O209">
        <v>2</v>
      </c>
      <c r="P209">
        <v>3</v>
      </c>
      <c r="Q209" s="13">
        <v>0.52213342134089591</v>
      </c>
      <c r="R209" t="s">
        <v>249</v>
      </c>
      <c r="S209">
        <v>2.4858974028740301E-2</v>
      </c>
      <c r="T209" t="s">
        <v>248</v>
      </c>
      <c r="U209" t="s">
        <v>13</v>
      </c>
      <c r="V209">
        <v>0</v>
      </c>
      <c r="W209">
        <v>3</v>
      </c>
      <c r="X209" t="s">
        <v>490</v>
      </c>
      <c r="Y209" t="s">
        <v>292</v>
      </c>
      <c r="Z209" t="s">
        <v>60</v>
      </c>
      <c r="AA209" t="s">
        <v>491</v>
      </c>
    </row>
    <row r="210" spans="1:27" x14ac:dyDescent="0.2">
      <c r="A210" s="1">
        <v>45965</v>
      </c>
      <c r="B210" t="s">
        <v>426</v>
      </c>
      <c r="C210" t="s">
        <v>37</v>
      </c>
      <c r="D210" t="s">
        <v>12</v>
      </c>
      <c r="E210" t="s">
        <v>786</v>
      </c>
      <c r="F210" t="s">
        <v>12</v>
      </c>
      <c r="G210">
        <v>2</v>
      </c>
      <c r="H210">
        <v>3</v>
      </c>
      <c r="I210" s="13">
        <v>0.6</v>
      </c>
      <c r="J210" t="s">
        <v>249</v>
      </c>
      <c r="L210" t="s">
        <v>248</v>
      </c>
      <c r="M210" t="s">
        <v>361</v>
      </c>
      <c r="N210" t="s">
        <v>12</v>
      </c>
      <c r="O210">
        <v>2</v>
      </c>
      <c r="P210">
        <v>3</v>
      </c>
      <c r="Q210" s="13">
        <v>0.69232205472725694</v>
      </c>
      <c r="R210" t="s">
        <v>249</v>
      </c>
      <c r="S210">
        <v>1.1712994606035341</v>
      </c>
      <c r="T210" t="s">
        <v>248</v>
      </c>
      <c r="U210" t="s">
        <v>12</v>
      </c>
      <c r="V210">
        <v>2</v>
      </c>
      <c r="W210">
        <v>3</v>
      </c>
      <c r="X210" t="s">
        <v>490</v>
      </c>
      <c r="Y210" t="s">
        <v>292</v>
      </c>
      <c r="Z210" t="s">
        <v>60</v>
      </c>
      <c r="AA210" t="s">
        <v>491</v>
      </c>
    </row>
    <row r="211" spans="1:27" x14ac:dyDescent="0.2">
      <c r="A211" s="1">
        <v>45965</v>
      </c>
      <c r="B211" t="s">
        <v>328</v>
      </c>
      <c r="C211" t="s">
        <v>55</v>
      </c>
      <c r="D211" t="s">
        <v>23</v>
      </c>
      <c r="E211" t="s">
        <v>787</v>
      </c>
      <c r="F211" t="s">
        <v>55</v>
      </c>
      <c r="G211">
        <v>2</v>
      </c>
      <c r="H211">
        <v>3</v>
      </c>
      <c r="I211" s="13">
        <v>0.6</v>
      </c>
      <c r="J211" t="s">
        <v>249</v>
      </c>
      <c r="L211" t="s">
        <v>248</v>
      </c>
      <c r="M211" t="s">
        <v>362</v>
      </c>
      <c r="N211" t="s">
        <v>55</v>
      </c>
      <c r="O211">
        <v>2</v>
      </c>
      <c r="P211">
        <v>3</v>
      </c>
      <c r="Q211" s="13">
        <v>0.45257342828487168</v>
      </c>
      <c r="R211" t="s">
        <v>249</v>
      </c>
      <c r="S211">
        <v>-2.30863977962447E-2</v>
      </c>
      <c r="T211" t="s">
        <v>248</v>
      </c>
      <c r="U211" t="s">
        <v>55</v>
      </c>
      <c r="V211">
        <v>2</v>
      </c>
      <c r="W211">
        <v>1</v>
      </c>
      <c r="X211" t="s">
        <v>496</v>
      </c>
      <c r="Y211" t="s">
        <v>292</v>
      </c>
      <c r="Z211" t="s">
        <v>60</v>
      </c>
      <c r="AA211" t="s">
        <v>491</v>
      </c>
    </row>
    <row r="212" spans="1:27" x14ac:dyDescent="0.2">
      <c r="A212" s="1">
        <v>45965</v>
      </c>
      <c r="B212" t="s">
        <v>322</v>
      </c>
      <c r="C212" t="s">
        <v>11</v>
      </c>
      <c r="D212" t="s">
        <v>31</v>
      </c>
      <c r="E212" t="s">
        <v>788</v>
      </c>
      <c r="F212" t="s">
        <v>31</v>
      </c>
      <c r="G212">
        <v>2</v>
      </c>
      <c r="H212">
        <v>3</v>
      </c>
      <c r="I212" s="13">
        <v>0.6</v>
      </c>
      <c r="J212" t="s">
        <v>249</v>
      </c>
      <c r="L212" t="s">
        <v>248</v>
      </c>
      <c r="M212" t="s">
        <v>291</v>
      </c>
      <c r="N212" t="s">
        <v>31</v>
      </c>
      <c r="O212">
        <v>2</v>
      </c>
      <c r="P212">
        <v>3</v>
      </c>
      <c r="Q212" s="13">
        <v>0.69289699646057179</v>
      </c>
      <c r="R212" t="s">
        <v>249</v>
      </c>
      <c r="S212">
        <v>0.62572206182653534</v>
      </c>
      <c r="T212" t="s">
        <v>248</v>
      </c>
      <c r="U212" t="s">
        <v>31</v>
      </c>
      <c r="V212">
        <v>3</v>
      </c>
      <c r="W212">
        <v>7</v>
      </c>
      <c r="X212" t="s">
        <v>490</v>
      </c>
      <c r="Y212" t="s">
        <v>292</v>
      </c>
      <c r="Z212" t="s">
        <v>60</v>
      </c>
      <c r="AA212" t="s">
        <v>491</v>
      </c>
    </row>
    <row r="213" spans="1:27" x14ac:dyDescent="0.2">
      <c r="A213" s="1">
        <v>45965</v>
      </c>
      <c r="B213" t="s">
        <v>324</v>
      </c>
      <c r="C213" t="s">
        <v>29</v>
      </c>
      <c r="D213" t="s">
        <v>34</v>
      </c>
      <c r="E213" t="s">
        <v>789</v>
      </c>
      <c r="F213" t="s">
        <v>34</v>
      </c>
      <c r="G213">
        <v>2</v>
      </c>
      <c r="H213">
        <v>3</v>
      </c>
      <c r="I213" s="13">
        <v>0.6</v>
      </c>
      <c r="J213" t="s">
        <v>249</v>
      </c>
      <c r="L213" t="s">
        <v>248</v>
      </c>
      <c r="M213" t="s">
        <v>343</v>
      </c>
      <c r="N213" t="s">
        <v>34</v>
      </c>
      <c r="O213">
        <v>2</v>
      </c>
      <c r="P213">
        <v>3</v>
      </c>
      <c r="Q213" s="13">
        <v>0.70109954920586415</v>
      </c>
      <c r="R213" t="s">
        <v>249</v>
      </c>
      <c r="S213">
        <v>1.379693245283744</v>
      </c>
      <c r="T213" t="s">
        <v>248</v>
      </c>
      <c r="U213" t="s">
        <v>34</v>
      </c>
      <c r="V213">
        <v>2</v>
      </c>
      <c r="W213">
        <v>3</v>
      </c>
      <c r="X213" t="s">
        <v>496</v>
      </c>
      <c r="Y213" t="s">
        <v>292</v>
      </c>
      <c r="Z213" t="s">
        <v>60</v>
      </c>
      <c r="AA213" t="s">
        <v>491</v>
      </c>
    </row>
    <row r="214" spans="1:27" x14ac:dyDescent="0.2">
      <c r="A214" s="1">
        <v>45966</v>
      </c>
      <c r="B214" t="s">
        <v>426</v>
      </c>
      <c r="C214" t="s">
        <v>28</v>
      </c>
      <c r="D214" t="s">
        <v>16</v>
      </c>
      <c r="E214" t="s">
        <v>790</v>
      </c>
      <c r="F214" t="s">
        <v>28</v>
      </c>
      <c r="G214">
        <v>2</v>
      </c>
      <c r="H214">
        <v>3</v>
      </c>
      <c r="I214" s="13">
        <v>0.6</v>
      </c>
      <c r="J214" t="s">
        <v>249</v>
      </c>
      <c r="L214" t="s">
        <v>249</v>
      </c>
      <c r="M214" t="s">
        <v>791</v>
      </c>
      <c r="N214" t="s">
        <v>28</v>
      </c>
      <c r="O214">
        <v>2</v>
      </c>
      <c r="P214">
        <v>3</v>
      </c>
      <c r="Q214" s="13">
        <v>0.51272140978381853</v>
      </c>
      <c r="R214" t="s">
        <v>249</v>
      </c>
      <c r="S214">
        <v>-0.42089112577091808</v>
      </c>
      <c r="T214" t="s">
        <v>249</v>
      </c>
      <c r="U214" t="s">
        <v>16</v>
      </c>
      <c r="V214">
        <v>1</v>
      </c>
      <c r="W214">
        <v>5</v>
      </c>
      <c r="X214" t="s">
        <v>490</v>
      </c>
      <c r="Y214" t="s">
        <v>292</v>
      </c>
      <c r="Z214" t="s">
        <v>60</v>
      </c>
      <c r="AA214" t="s">
        <v>491</v>
      </c>
    </row>
    <row r="215" spans="1:27" x14ac:dyDescent="0.2">
      <c r="A215" s="1">
        <v>45966</v>
      </c>
      <c r="B215" t="s">
        <v>322</v>
      </c>
      <c r="C215" t="s">
        <v>33</v>
      </c>
      <c r="D215" t="s">
        <v>32</v>
      </c>
      <c r="E215" t="s">
        <v>792</v>
      </c>
      <c r="F215" t="s">
        <v>33</v>
      </c>
      <c r="G215">
        <v>2</v>
      </c>
      <c r="H215">
        <v>3</v>
      </c>
      <c r="I215" s="13">
        <v>0.6</v>
      </c>
      <c r="J215" t="s">
        <v>249</v>
      </c>
      <c r="L215" t="s">
        <v>248</v>
      </c>
      <c r="M215" t="s">
        <v>309</v>
      </c>
      <c r="N215" t="s">
        <v>33</v>
      </c>
      <c r="O215">
        <v>2</v>
      </c>
      <c r="P215">
        <v>3</v>
      </c>
      <c r="Q215" s="13">
        <v>0.47729817289275139</v>
      </c>
      <c r="R215" t="s">
        <v>249</v>
      </c>
      <c r="S215">
        <v>-0.1481454939726842</v>
      </c>
      <c r="T215" t="s">
        <v>248</v>
      </c>
      <c r="U215" t="s">
        <v>33</v>
      </c>
      <c r="V215">
        <v>6</v>
      </c>
      <c r="W215">
        <v>1</v>
      </c>
      <c r="X215" t="s">
        <v>490</v>
      </c>
      <c r="Y215" t="s">
        <v>292</v>
      </c>
      <c r="Z215" t="s">
        <v>60</v>
      </c>
      <c r="AA215" t="s">
        <v>491</v>
      </c>
    </row>
    <row r="216" spans="1:27" x14ac:dyDescent="0.2">
      <c r="A216" s="1">
        <v>45966</v>
      </c>
      <c r="B216" t="s">
        <v>328</v>
      </c>
      <c r="C216" t="s">
        <v>55</v>
      </c>
      <c r="D216" t="s">
        <v>19</v>
      </c>
      <c r="E216" t="s">
        <v>793</v>
      </c>
      <c r="F216" t="s">
        <v>55</v>
      </c>
      <c r="G216">
        <v>2</v>
      </c>
      <c r="H216">
        <v>3</v>
      </c>
      <c r="I216" s="13">
        <v>0.6</v>
      </c>
      <c r="J216" t="s">
        <v>249</v>
      </c>
      <c r="L216" t="s">
        <v>249</v>
      </c>
      <c r="M216" t="s">
        <v>794</v>
      </c>
      <c r="N216" t="s">
        <v>55</v>
      </c>
      <c r="O216">
        <v>2</v>
      </c>
      <c r="P216">
        <v>3</v>
      </c>
      <c r="Q216" s="13">
        <v>0.48118749718455961</v>
      </c>
      <c r="R216" t="s">
        <v>249</v>
      </c>
      <c r="S216">
        <v>-0.18145455337463559</v>
      </c>
      <c r="T216" t="s">
        <v>249</v>
      </c>
      <c r="U216" t="s">
        <v>19</v>
      </c>
      <c r="V216">
        <v>3</v>
      </c>
      <c r="W216">
        <v>5</v>
      </c>
      <c r="X216" t="s">
        <v>490</v>
      </c>
      <c r="Y216" t="s">
        <v>292</v>
      </c>
      <c r="Z216" t="s">
        <v>60</v>
      </c>
      <c r="AA216" t="s">
        <v>491</v>
      </c>
    </row>
    <row r="217" spans="1:27" x14ac:dyDescent="0.2">
      <c r="A217" s="1">
        <v>45966</v>
      </c>
      <c r="B217" t="s">
        <v>322</v>
      </c>
      <c r="C217" t="s">
        <v>10</v>
      </c>
      <c r="D217" t="s">
        <v>38</v>
      </c>
      <c r="E217" t="s">
        <v>795</v>
      </c>
      <c r="F217" t="s">
        <v>10</v>
      </c>
      <c r="G217">
        <v>2</v>
      </c>
      <c r="H217">
        <v>3</v>
      </c>
      <c r="I217" s="13">
        <v>0.6</v>
      </c>
      <c r="J217" t="s">
        <v>249</v>
      </c>
      <c r="L217" t="s">
        <v>248</v>
      </c>
      <c r="M217" t="s">
        <v>303</v>
      </c>
      <c r="N217" t="s">
        <v>10</v>
      </c>
      <c r="O217">
        <v>2</v>
      </c>
      <c r="P217">
        <v>3</v>
      </c>
      <c r="Q217" s="13">
        <v>0.54425520245143921</v>
      </c>
      <c r="R217" t="s">
        <v>249</v>
      </c>
      <c r="S217">
        <v>-0.72158075100332808</v>
      </c>
      <c r="T217" t="s">
        <v>248</v>
      </c>
      <c r="U217" t="s">
        <v>10</v>
      </c>
      <c r="V217">
        <v>5</v>
      </c>
      <c r="W217">
        <v>2</v>
      </c>
      <c r="X217" t="s">
        <v>490</v>
      </c>
      <c r="Y217" t="s">
        <v>292</v>
      </c>
      <c r="Z217" t="s">
        <v>60</v>
      </c>
      <c r="AA217" t="s">
        <v>491</v>
      </c>
    </row>
    <row r="218" spans="1:27" x14ac:dyDescent="0.2">
      <c r="A218" s="1">
        <v>45966</v>
      </c>
      <c r="B218" t="s">
        <v>334</v>
      </c>
      <c r="C218" t="s">
        <v>35</v>
      </c>
      <c r="D218" t="s">
        <v>22</v>
      </c>
      <c r="E218" t="s">
        <v>796</v>
      </c>
      <c r="F218" t="s">
        <v>22</v>
      </c>
      <c r="G218">
        <v>2</v>
      </c>
      <c r="H218">
        <v>3</v>
      </c>
      <c r="I218" s="13">
        <v>0.6</v>
      </c>
      <c r="J218" t="s">
        <v>249</v>
      </c>
      <c r="L218" t="s">
        <v>248</v>
      </c>
      <c r="M218" t="s">
        <v>321</v>
      </c>
      <c r="N218" t="s">
        <v>22</v>
      </c>
      <c r="O218">
        <v>2</v>
      </c>
      <c r="P218">
        <v>3</v>
      </c>
      <c r="Q218" s="13">
        <v>0.78614938953531521</v>
      </c>
      <c r="R218" t="s">
        <v>249</v>
      </c>
      <c r="S218">
        <v>1.8850863537246421</v>
      </c>
      <c r="T218" t="s">
        <v>248</v>
      </c>
      <c r="U218" t="s">
        <v>22</v>
      </c>
      <c r="V218">
        <v>1</v>
      </c>
      <c r="W218">
        <v>6</v>
      </c>
      <c r="X218" t="s">
        <v>490</v>
      </c>
      <c r="Y218" t="s">
        <v>292</v>
      </c>
      <c r="Z218" t="s">
        <v>60</v>
      </c>
      <c r="AA218" t="s">
        <v>491</v>
      </c>
    </row>
    <row r="219" spans="1:27" x14ac:dyDescent="0.2">
      <c r="A219" s="1">
        <v>45967</v>
      </c>
      <c r="B219" t="s">
        <v>322</v>
      </c>
      <c r="C219" t="s">
        <v>37</v>
      </c>
      <c r="D219" t="s">
        <v>20</v>
      </c>
      <c r="E219" t="s">
        <v>797</v>
      </c>
      <c r="F219" t="s">
        <v>37</v>
      </c>
      <c r="G219">
        <v>2</v>
      </c>
      <c r="H219">
        <v>3</v>
      </c>
      <c r="I219" s="13">
        <v>0.6</v>
      </c>
      <c r="J219" t="s">
        <v>249</v>
      </c>
      <c r="L219" t="s">
        <v>248</v>
      </c>
      <c r="M219" t="s">
        <v>395</v>
      </c>
      <c r="N219" t="s">
        <v>37</v>
      </c>
      <c r="O219">
        <v>2</v>
      </c>
      <c r="P219">
        <v>3</v>
      </c>
      <c r="Q219" s="13">
        <v>0.63481060060307437</v>
      </c>
      <c r="R219" t="s">
        <v>249</v>
      </c>
      <c r="S219">
        <v>-0.70504502814407832</v>
      </c>
      <c r="T219" t="s">
        <v>248</v>
      </c>
      <c r="U219" t="s">
        <v>37</v>
      </c>
      <c r="V219">
        <v>6</v>
      </c>
      <c r="W219">
        <v>3</v>
      </c>
      <c r="X219" t="s">
        <v>490</v>
      </c>
      <c r="Y219" t="s">
        <v>292</v>
      </c>
      <c r="Z219" t="s">
        <v>60</v>
      </c>
      <c r="AA219" t="s">
        <v>491</v>
      </c>
    </row>
    <row r="220" spans="1:27" x14ac:dyDescent="0.2">
      <c r="A220" s="1">
        <v>45967</v>
      </c>
      <c r="B220" t="s">
        <v>334</v>
      </c>
      <c r="C220" t="s">
        <v>22</v>
      </c>
      <c r="D220" t="s">
        <v>14</v>
      </c>
      <c r="E220" t="s">
        <v>798</v>
      </c>
      <c r="F220" t="s">
        <v>22</v>
      </c>
      <c r="G220">
        <v>2</v>
      </c>
      <c r="H220">
        <v>3</v>
      </c>
      <c r="I220" s="13">
        <v>0.6</v>
      </c>
      <c r="J220" t="s">
        <v>249</v>
      </c>
      <c r="L220" t="s">
        <v>249</v>
      </c>
      <c r="M220" t="s">
        <v>799</v>
      </c>
      <c r="N220" t="s">
        <v>22</v>
      </c>
      <c r="O220">
        <v>2</v>
      </c>
      <c r="P220">
        <v>3</v>
      </c>
      <c r="Q220" s="13">
        <v>0.56475643524283603</v>
      </c>
      <c r="R220" t="s">
        <v>249</v>
      </c>
      <c r="S220">
        <v>-0.53307070549608448</v>
      </c>
      <c r="T220" t="s">
        <v>249</v>
      </c>
      <c r="U220" t="s">
        <v>14</v>
      </c>
      <c r="V220">
        <v>3</v>
      </c>
      <c r="W220">
        <v>5</v>
      </c>
      <c r="X220" t="s">
        <v>490</v>
      </c>
      <c r="Y220" t="s">
        <v>292</v>
      </c>
      <c r="Z220" t="s">
        <v>60</v>
      </c>
      <c r="AA220" t="s">
        <v>491</v>
      </c>
    </row>
    <row r="221" spans="1:27" x14ac:dyDescent="0.2">
      <c r="A221" s="1">
        <v>45967</v>
      </c>
      <c r="B221" t="s">
        <v>324</v>
      </c>
      <c r="C221" t="s">
        <v>27</v>
      </c>
      <c r="D221" t="s">
        <v>29</v>
      </c>
      <c r="E221" t="s">
        <v>800</v>
      </c>
      <c r="F221" t="s">
        <v>27</v>
      </c>
      <c r="G221">
        <v>2</v>
      </c>
      <c r="H221">
        <v>3</v>
      </c>
      <c r="I221" s="13">
        <v>0.6</v>
      </c>
      <c r="J221" t="s">
        <v>249</v>
      </c>
      <c r="L221" t="s">
        <v>248</v>
      </c>
      <c r="M221" t="s">
        <v>393</v>
      </c>
      <c r="N221" t="s">
        <v>27</v>
      </c>
      <c r="O221">
        <v>2</v>
      </c>
      <c r="P221">
        <v>3</v>
      </c>
      <c r="Q221" s="13">
        <v>0.61399686338983206</v>
      </c>
      <c r="R221" t="s">
        <v>249</v>
      </c>
      <c r="S221">
        <v>-0.95477695138058238</v>
      </c>
      <c r="T221" t="s">
        <v>248</v>
      </c>
      <c r="U221" t="s">
        <v>27</v>
      </c>
      <c r="V221">
        <v>3</v>
      </c>
      <c r="W221">
        <v>1</v>
      </c>
      <c r="X221" t="s">
        <v>490</v>
      </c>
      <c r="Y221" t="s">
        <v>292</v>
      </c>
      <c r="Z221" t="s">
        <v>60</v>
      </c>
      <c r="AA221" t="s">
        <v>491</v>
      </c>
    </row>
    <row r="222" spans="1:27" x14ac:dyDescent="0.2">
      <c r="A222" s="1">
        <v>45967</v>
      </c>
      <c r="B222" t="s">
        <v>328</v>
      </c>
      <c r="C222" t="s">
        <v>18</v>
      </c>
      <c r="D222" t="s">
        <v>24</v>
      </c>
      <c r="E222" t="s">
        <v>801</v>
      </c>
      <c r="F222" t="s">
        <v>24</v>
      </c>
      <c r="G222">
        <v>2</v>
      </c>
      <c r="H222">
        <v>3</v>
      </c>
      <c r="I222" s="13">
        <v>0.6</v>
      </c>
      <c r="J222" t="s">
        <v>249</v>
      </c>
      <c r="L222" t="s">
        <v>248</v>
      </c>
      <c r="M222" t="s">
        <v>449</v>
      </c>
      <c r="N222" t="s">
        <v>24</v>
      </c>
      <c r="O222">
        <v>2</v>
      </c>
      <c r="P222">
        <v>3</v>
      </c>
      <c r="Q222" s="13">
        <v>0.63773394280828299</v>
      </c>
      <c r="R222" t="s">
        <v>249</v>
      </c>
      <c r="S222">
        <v>0.64432062796159195</v>
      </c>
      <c r="T222" t="s">
        <v>248</v>
      </c>
      <c r="U222" t="s">
        <v>24</v>
      </c>
      <c r="V222">
        <v>3</v>
      </c>
      <c r="W222">
        <v>4</v>
      </c>
      <c r="X222" t="s">
        <v>496</v>
      </c>
      <c r="Y222" t="s">
        <v>292</v>
      </c>
      <c r="Z222" t="s">
        <v>60</v>
      </c>
      <c r="AA222" t="s">
        <v>491</v>
      </c>
    </row>
    <row r="223" spans="1:27" x14ac:dyDescent="0.2">
      <c r="A223" s="1">
        <v>45967</v>
      </c>
      <c r="B223" t="s">
        <v>322</v>
      </c>
      <c r="C223" t="s">
        <v>11</v>
      </c>
      <c r="D223" t="s">
        <v>13</v>
      </c>
      <c r="E223" t="s">
        <v>802</v>
      </c>
      <c r="F223" t="s">
        <v>13</v>
      </c>
      <c r="G223">
        <v>2</v>
      </c>
      <c r="H223">
        <v>3</v>
      </c>
      <c r="I223" s="13">
        <v>0.6</v>
      </c>
      <c r="J223" t="s">
        <v>249</v>
      </c>
      <c r="L223" t="s">
        <v>249</v>
      </c>
      <c r="M223" t="s">
        <v>803</v>
      </c>
      <c r="N223" t="s">
        <v>13</v>
      </c>
      <c r="O223">
        <v>2</v>
      </c>
      <c r="P223">
        <v>3</v>
      </c>
      <c r="Q223" s="13">
        <v>0.5526964675935252</v>
      </c>
      <c r="R223" t="s">
        <v>249</v>
      </c>
      <c r="S223">
        <v>0.1087354413100554</v>
      </c>
      <c r="T223" t="s">
        <v>249</v>
      </c>
      <c r="U223" t="s">
        <v>11</v>
      </c>
      <c r="V223">
        <v>5</v>
      </c>
      <c r="W223">
        <v>2</v>
      </c>
      <c r="X223" t="s">
        <v>490</v>
      </c>
      <c r="Y223" t="s">
        <v>292</v>
      </c>
      <c r="Z223" t="s">
        <v>60</v>
      </c>
      <c r="AA223" t="s">
        <v>491</v>
      </c>
    </row>
    <row r="224" spans="1:27" x14ac:dyDescent="0.2">
      <c r="A224" s="1">
        <v>45967</v>
      </c>
      <c r="B224" t="s">
        <v>324</v>
      </c>
      <c r="C224" t="s">
        <v>31</v>
      </c>
      <c r="D224" t="s">
        <v>39</v>
      </c>
      <c r="E224" t="s">
        <v>804</v>
      </c>
      <c r="F224" t="s">
        <v>39</v>
      </c>
      <c r="G224">
        <v>2</v>
      </c>
      <c r="H224">
        <v>3</v>
      </c>
      <c r="I224" s="13">
        <v>0.6</v>
      </c>
      <c r="J224" t="s">
        <v>249</v>
      </c>
      <c r="L224" t="s">
        <v>249</v>
      </c>
      <c r="M224" t="s">
        <v>805</v>
      </c>
      <c r="N224" t="s">
        <v>39</v>
      </c>
      <c r="O224">
        <v>2</v>
      </c>
      <c r="P224">
        <v>3</v>
      </c>
      <c r="Q224" s="13">
        <v>0.5849600856496151</v>
      </c>
      <c r="R224" t="s">
        <v>249</v>
      </c>
      <c r="S224">
        <v>0.28464022893901603</v>
      </c>
      <c r="T224" t="s">
        <v>249</v>
      </c>
      <c r="U224" t="s">
        <v>31</v>
      </c>
      <c r="V224">
        <v>7</v>
      </c>
      <c r="W224">
        <v>5</v>
      </c>
      <c r="X224" t="s">
        <v>490</v>
      </c>
      <c r="Y224" t="s">
        <v>292</v>
      </c>
      <c r="Z224" t="s">
        <v>60</v>
      </c>
      <c r="AA224" t="s">
        <v>491</v>
      </c>
    </row>
    <row r="225" spans="1:27" x14ac:dyDescent="0.2">
      <c r="A225" s="1">
        <v>45967</v>
      </c>
      <c r="B225" t="s">
        <v>328</v>
      </c>
      <c r="C225" t="s">
        <v>34</v>
      </c>
      <c r="D225" t="s">
        <v>25</v>
      </c>
      <c r="E225" t="s">
        <v>806</v>
      </c>
      <c r="F225" t="s">
        <v>25</v>
      </c>
      <c r="G225">
        <v>2</v>
      </c>
      <c r="H225">
        <v>3</v>
      </c>
      <c r="I225" s="13">
        <v>0.6</v>
      </c>
      <c r="J225" t="s">
        <v>249</v>
      </c>
      <c r="L225" t="s">
        <v>248</v>
      </c>
      <c r="M225" t="s">
        <v>450</v>
      </c>
      <c r="N225" t="s">
        <v>25</v>
      </c>
      <c r="O225">
        <v>2</v>
      </c>
      <c r="P225">
        <v>3</v>
      </c>
      <c r="Q225" s="13">
        <v>0.61196713623753951</v>
      </c>
      <c r="R225" t="s">
        <v>249</v>
      </c>
      <c r="S225">
        <v>0.530700673701194</v>
      </c>
      <c r="T225" t="s">
        <v>248</v>
      </c>
      <c r="U225" t="s">
        <v>25</v>
      </c>
      <c r="V225">
        <v>3</v>
      </c>
      <c r="W225">
        <v>4</v>
      </c>
      <c r="X225" t="s">
        <v>490</v>
      </c>
      <c r="Y225" t="s">
        <v>292</v>
      </c>
      <c r="Z225" t="s">
        <v>60</v>
      </c>
      <c r="AA225" t="s">
        <v>491</v>
      </c>
    </row>
    <row r="226" spans="1:27" x14ac:dyDescent="0.2">
      <c r="A226" s="1">
        <v>45967</v>
      </c>
      <c r="B226" t="s">
        <v>328</v>
      </c>
      <c r="C226" t="s">
        <v>35</v>
      </c>
      <c r="D226" t="s">
        <v>23</v>
      </c>
      <c r="E226" t="s">
        <v>807</v>
      </c>
      <c r="F226" t="s">
        <v>23</v>
      </c>
      <c r="G226">
        <v>2</v>
      </c>
      <c r="H226">
        <v>3</v>
      </c>
      <c r="I226" s="13">
        <v>0.6</v>
      </c>
      <c r="J226" t="s">
        <v>249</v>
      </c>
      <c r="L226" t="s">
        <v>249</v>
      </c>
      <c r="M226" t="s">
        <v>808</v>
      </c>
      <c r="N226" t="s">
        <v>23</v>
      </c>
      <c r="O226">
        <v>2</v>
      </c>
      <c r="P226">
        <v>3</v>
      </c>
      <c r="Q226" s="13">
        <v>0.66318190900357221</v>
      </c>
      <c r="R226" t="s">
        <v>249</v>
      </c>
      <c r="S226">
        <v>0.96826868513029518</v>
      </c>
      <c r="T226" t="s">
        <v>249</v>
      </c>
      <c r="U226" t="s">
        <v>35</v>
      </c>
      <c r="V226">
        <v>3</v>
      </c>
      <c r="W226">
        <v>0</v>
      </c>
      <c r="X226" t="s">
        <v>490</v>
      </c>
      <c r="Y226" t="s">
        <v>292</v>
      </c>
      <c r="Z226" t="s">
        <v>60</v>
      </c>
      <c r="AA226" t="s">
        <v>491</v>
      </c>
    </row>
    <row r="227" spans="1:27" x14ac:dyDescent="0.2">
      <c r="A227" s="1">
        <v>45967</v>
      </c>
      <c r="B227" t="s">
        <v>328</v>
      </c>
      <c r="C227" t="s">
        <v>36</v>
      </c>
      <c r="D227" t="s">
        <v>21</v>
      </c>
      <c r="E227" t="s">
        <v>809</v>
      </c>
      <c r="F227" t="s">
        <v>21</v>
      </c>
      <c r="G227">
        <v>2</v>
      </c>
      <c r="H227">
        <v>3</v>
      </c>
      <c r="I227" s="13">
        <v>0.6</v>
      </c>
      <c r="J227" t="s">
        <v>249</v>
      </c>
      <c r="L227" t="s">
        <v>248</v>
      </c>
      <c r="M227" t="s">
        <v>465</v>
      </c>
      <c r="N227" t="s">
        <v>21</v>
      </c>
      <c r="O227">
        <v>2</v>
      </c>
      <c r="P227">
        <v>3</v>
      </c>
      <c r="Q227" s="13">
        <v>0.62511283671022522</v>
      </c>
      <c r="R227" t="s">
        <v>249</v>
      </c>
      <c r="S227">
        <v>0.36150703934026951</v>
      </c>
      <c r="T227" t="s">
        <v>248</v>
      </c>
      <c r="U227" t="s">
        <v>21</v>
      </c>
      <c r="V227">
        <v>2</v>
      </c>
      <c r="W227">
        <v>3</v>
      </c>
      <c r="X227" t="s">
        <v>496</v>
      </c>
      <c r="Y227" t="s">
        <v>292</v>
      </c>
      <c r="Z227" t="s">
        <v>60</v>
      </c>
      <c r="AA227" t="s">
        <v>491</v>
      </c>
    </row>
    <row r="228" spans="1:27" x14ac:dyDescent="0.2">
      <c r="A228" s="1">
        <v>45968</v>
      </c>
      <c r="B228" t="s">
        <v>326</v>
      </c>
      <c r="C228" t="s">
        <v>10</v>
      </c>
      <c r="D228" t="s">
        <v>16</v>
      </c>
      <c r="E228" t="s">
        <v>810</v>
      </c>
      <c r="F228" t="s">
        <v>10</v>
      </c>
      <c r="G228">
        <v>2</v>
      </c>
      <c r="H228">
        <v>3</v>
      </c>
      <c r="I228" s="13">
        <v>0.6</v>
      </c>
      <c r="J228" t="s">
        <v>249</v>
      </c>
      <c r="L228" t="s">
        <v>248</v>
      </c>
      <c r="M228" t="s">
        <v>303</v>
      </c>
      <c r="N228" t="s">
        <v>10</v>
      </c>
      <c r="O228">
        <v>2</v>
      </c>
      <c r="P228">
        <v>3</v>
      </c>
      <c r="Q228" s="13">
        <v>0.55804553195432005</v>
      </c>
      <c r="R228" t="s">
        <v>249</v>
      </c>
      <c r="S228">
        <v>-0.8396842749371447</v>
      </c>
      <c r="T228" t="s">
        <v>248</v>
      </c>
      <c r="U228" t="s">
        <v>10</v>
      </c>
      <c r="V228">
        <v>4</v>
      </c>
      <c r="W228">
        <v>0</v>
      </c>
      <c r="X228" t="s">
        <v>490</v>
      </c>
      <c r="Y228" t="s">
        <v>292</v>
      </c>
      <c r="Z228" t="s">
        <v>60</v>
      </c>
      <c r="AA228" t="s">
        <v>491</v>
      </c>
    </row>
    <row r="229" spans="1:27" x14ac:dyDescent="0.2">
      <c r="A229" s="1">
        <v>45968</v>
      </c>
      <c r="B229" t="s">
        <v>328</v>
      </c>
      <c r="C229" t="s">
        <v>15</v>
      </c>
      <c r="D229" t="s">
        <v>26</v>
      </c>
      <c r="E229" t="s">
        <v>811</v>
      </c>
      <c r="F229" t="s">
        <v>15</v>
      </c>
      <c r="G229">
        <v>2</v>
      </c>
      <c r="H229">
        <v>3</v>
      </c>
      <c r="I229" s="13">
        <v>0.6</v>
      </c>
      <c r="J229" t="s">
        <v>249</v>
      </c>
      <c r="L229" t="s">
        <v>248</v>
      </c>
      <c r="M229" t="s">
        <v>518</v>
      </c>
      <c r="N229" t="s">
        <v>15</v>
      </c>
      <c r="O229">
        <v>2</v>
      </c>
      <c r="P229">
        <v>3</v>
      </c>
      <c r="Q229" s="13">
        <v>0.62259788249869552</v>
      </c>
      <c r="R229" t="s">
        <v>249</v>
      </c>
      <c r="S229">
        <v>-0.53540483162520447</v>
      </c>
      <c r="T229" t="s">
        <v>248</v>
      </c>
      <c r="U229" t="s">
        <v>15</v>
      </c>
      <c r="V229">
        <v>4</v>
      </c>
      <c r="W229">
        <v>1</v>
      </c>
      <c r="X229" t="s">
        <v>490</v>
      </c>
      <c r="Y229" t="s">
        <v>292</v>
      </c>
      <c r="Z229" t="s">
        <v>60</v>
      </c>
      <c r="AA229" t="s">
        <v>491</v>
      </c>
    </row>
    <row r="230" spans="1:27" x14ac:dyDescent="0.2">
      <c r="A230" s="1">
        <v>45968</v>
      </c>
      <c r="B230" t="s">
        <v>328</v>
      </c>
      <c r="C230" t="s">
        <v>34</v>
      </c>
      <c r="D230" t="s">
        <v>30</v>
      </c>
      <c r="E230" t="s">
        <v>812</v>
      </c>
      <c r="F230" t="s">
        <v>34</v>
      </c>
      <c r="G230">
        <v>2</v>
      </c>
      <c r="H230">
        <v>3</v>
      </c>
      <c r="I230" s="13">
        <v>0.6</v>
      </c>
      <c r="J230" t="s">
        <v>249</v>
      </c>
      <c r="L230" t="s">
        <v>248</v>
      </c>
      <c r="M230" t="s">
        <v>343</v>
      </c>
      <c r="N230" t="s">
        <v>34</v>
      </c>
      <c r="O230">
        <v>2</v>
      </c>
      <c r="P230">
        <v>3</v>
      </c>
      <c r="Q230" s="13">
        <v>0.51838164798004693</v>
      </c>
      <c r="R230" t="s">
        <v>249</v>
      </c>
      <c r="S230">
        <v>-0.13590646106869131</v>
      </c>
      <c r="T230" t="s">
        <v>248</v>
      </c>
      <c r="U230" t="s">
        <v>34</v>
      </c>
      <c r="V230">
        <v>5</v>
      </c>
      <c r="W230">
        <v>2</v>
      </c>
      <c r="X230" t="s">
        <v>490</v>
      </c>
      <c r="Y230" t="s">
        <v>292</v>
      </c>
      <c r="Z230" t="s">
        <v>60</v>
      </c>
      <c r="AA230" t="s">
        <v>491</v>
      </c>
    </row>
    <row r="231" spans="1:27" x14ac:dyDescent="0.2">
      <c r="A231" s="1">
        <v>45968</v>
      </c>
      <c r="B231" t="s">
        <v>322</v>
      </c>
      <c r="C231" t="s">
        <v>40</v>
      </c>
      <c r="D231" t="s">
        <v>33</v>
      </c>
      <c r="E231" t="s">
        <v>813</v>
      </c>
      <c r="F231" t="s">
        <v>40</v>
      </c>
      <c r="G231">
        <v>2</v>
      </c>
      <c r="H231">
        <v>3</v>
      </c>
      <c r="I231" s="13">
        <v>0.6</v>
      </c>
      <c r="J231" t="s">
        <v>249</v>
      </c>
      <c r="L231" t="s">
        <v>249</v>
      </c>
      <c r="M231" t="s">
        <v>814</v>
      </c>
      <c r="N231" t="s">
        <v>40</v>
      </c>
      <c r="O231">
        <v>2</v>
      </c>
      <c r="P231">
        <v>3</v>
      </c>
      <c r="Q231" s="13">
        <v>0.48088553485950469</v>
      </c>
      <c r="R231" t="s">
        <v>249</v>
      </c>
      <c r="S231">
        <v>-8.8188419676289306E-2</v>
      </c>
      <c r="T231" t="s">
        <v>249</v>
      </c>
      <c r="U231" t="s">
        <v>33</v>
      </c>
      <c r="V231">
        <v>1</v>
      </c>
      <c r="W231">
        <v>2</v>
      </c>
      <c r="X231" t="s">
        <v>490</v>
      </c>
      <c r="Y231" t="s">
        <v>292</v>
      </c>
      <c r="Z231" t="s">
        <v>60</v>
      </c>
      <c r="AA231" t="s">
        <v>491</v>
      </c>
    </row>
    <row r="232" spans="1:27" x14ac:dyDescent="0.2">
      <c r="A232" s="1">
        <v>45969</v>
      </c>
      <c r="B232" t="s">
        <v>322</v>
      </c>
      <c r="C232" t="s">
        <v>28</v>
      </c>
      <c r="D232" t="s">
        <v>38</v>
      </c>
      <c r="E232" t="s">
        <v>815</v>
      </c>
      <c r="F232" t="s">
        <v>28</v>
      </c>
      <c r="G232">
        <v>2</v>
      </c>
      <c r="H232">
        <v>3</v>
      </c>
      <c r="I232" s="13">
        <v>0.6</v>
      </c>
      <c r="J232" t="s">
        <v>249</v>
      </c>
      <c r="L232" t="s">
        <v>249</v>
      </c>
      <c r="M232" t="s">
        <v>816</v>
      </c>
      <c r="N232" t="s">
        <v>28</v>
      </c>
      <c r="O232">
        <v>2</v>
      </c>
      <c r="P232">
        <v>3</v>
      </c>
      <c r="Q232" s="13">
        <v>0.49893108028093769</v>
      </c>
      <c r="R232" t="s">
        <v>249</v>
      </c>
      <c r="S232">
        <v>-0.30278760183710141</v>
      </c>
      <c r="T232" t="s">
        <v>249</v>
      </c>
      <c r="U232" t="s">
        <v>38</v>
      </c>
      <c r="V232">
        <v>3</v>
      </c>
      <c r="W232">
        <v>4</v>
      </c>
      <c r="X232" t="s">
        <v>490</v>
      </c>
      <c r="Y232" t="s">
        <v>292</v>
      </c>
      <c r="Z232" t="s">
        <v>60</v>
      </c>
      <c r="AA232" t="s">
        <v>491</v>
      </c>
    </row>
    <row r="233" spans="1:27" x14ac:dyDescent="0.2">
      <c r="A233" s="1">
        <v>45969</v>
      </c>
      <c r="B233" t="s">
        <v>328</v>
      </c>
      <c r="C233" t="s">
        <v>21</v>
      </c>
      <c r="D233" t="s">
        <v>19</v>
      </c>
      <c r="E233" t="s">
        <v>817</v>
      </c>
      <c r="F233" t="s">
        <v>21</v>
      </c>
      <c r="G233">
        <v>2</v>
      </c>
      <c r="H233">
        <v>3</v>
      </c>
      <c r="I233" s="13">
        <v>0.6</v>
      </c>
      <c r="J233" t="s">
        <v>249</v>
      </c>
      <c r="L233" t="s">
        <v>248</v>
      </c>
      <c r="M233" t="s">
        <v>465</v>
      </c>
      <c r="N233" t="s">
        <v>21</v>
      </c>
      <c r="O233">
        <v>2</v>
      </c>
      <c r="P233">
        <v>3</v>
      </c>
      <c r="Q233" s="13">
        <v>0.50342622083801203</v>
      </c>
      <c r="R233" t="s">
        <v>249</v>
      </c>
      <c r="S233">
        <v>-0.3648080819480865</v>
      </c>
      <c r="T233" t="s">
        <v>248</v>
      </c>
      <c r="U233" t="s">
        <v>21</v>
      </c>
      <c r="V233">
        <v>5</v>
      </c>
      <c r="W233">
        <v>3</v>
      </c>
      <c r="X233" t="s">
        <v>490</v>
      </c>
      <c r="Y233" t="s">
        <v>292</v>
      </c>
      <c r="Z233" t="s">
        <v>60</v>
      </c>
      <c r="AA233" t="s">
        <v>491</v>
      </c>
    </row>
    <row r="234" spans="1:27" x14ac:dyDescent="0.2">
      <c r="A234" s="1">
        <v>45969</v>
      </c>
      <c r="B234" t="s">
        <v>328</v>
      </c>
      <c r="C234" t="s">
        <v>22</v>
      </c>
      <c r="D234" t="s">
        <v>37</v>
      </c>
      <c r="E234" t="s">
        <v>818</v>
      </c>
      <c r="F234" t="s">
        <v>37</v>
      </c>
      <c r="G234">
        <v>2</v>
      </c>
      <c r="H234">
        <v>3</v>
      </c>
      <c r="I234" s="13">
        <v>0.6</v>
      </c>
      <c r="J234" t="s">
        <v>249</v>
      </c>
      <c r="L234" t="s">
        <v>248</v>
      </c>
      <c r="M234" t="s">
        <v>395</v>
      </c>
      <c r="N234" t="s">
        <v>37</v>
      </c>
      <c r="O234">
        <v>2</v>
      </c>
      <c r="P234">
        <v>3</v>
      </c>
      <c r="Q234" s="13">
        <v>0.54409704408470561</v>
      </c>
      <c r="R234" t="s">
        <v>249</v>
      </c>
      <c r="S234">
        <v>0.11969846281600981</v>
      </c>
      <c r="T234" t="s">
        <v>248</v>
      </c>
      <c r="U234" t="s">
        <v>37</v>
      </c>
      <c r="V234">
        <v>2</v>
      </c>
      <c r="W234">
        <v>3</v>
      </c>
      <c r="X234" t="s">
        <v>490</v>
      </c>
      <c r="Y234" t="s">
        <v>292</v>
      </c>
      <c r="Z234" t="s">
        <v>60</v>
      </c>
      <c r="AA234" t="s">
        <v>491</v>
      </c>
    </row>
    <row r="235" spans="1:27" x14ac:dyDescent="0.2">
      <c r="A235" s="1">
        <v>45969</v>
      </c>
      <c r="B235" t="s">
        <v>328</v>
      </c>
      <c r="C235" t="s">
        <v>32</v>
      </c>
      <c r="D235" t="s">
        <v>35</v>
      </c>
      <c r="E235" t="s">
        <v>819</v>
      </c>
      <c r="F235" t="s">
        <v>32</v>
      </c>
      <c r="G235">
        <v>2</v>
      </c>
      <c r="H235">
        <v>3</v>
      </c>
      <c r="I235" s="13">
        <v>0.6</v>
      </c>
      <c r="J235" t="s">
        <v>249</v>
      </c>
      <c r="L235" t="s">
        <v>248</v>
      </c>
      <c r="M235" t="s">
        <v>673</v>
      </c>
      <c r="N235" t="s">
        <v>32</v>
      </c>
      <c r="O235">
        <v>2</v>
      </c>
      <c r="P235">
        <v>3</v>
      </c>
      <c r="Q235" s="13">
        <v>0.5411749056948274</v>
      </c>
      <c r="R235" t="s">
        <v>249</v>
      </c>
      <c r="S235">
        <v>-0.69520038774647008</v>
      </c>
      <c r="T235" t="s">
        <v>248</v>
      </c>
      <c r="U235" t="s">
        <v>32</v>
      </c>
      <c r="V235">
        <v>4</v>
      </c>
      <c r="W235">
        <v>3</v>
      </c>
      <c r="X235" t="s">
        <v>496</v>
      </c>
      <c r="Y235" t="s">
        <v>292</v>
      </c>
      <c r="Z235" t="s">
        <v>60</v>
      </c>
      <c r="AA235" t="s">
        <v>491</v>
      </c>
    </row>
    <row r="236" spans="1:27" x14ac:dyDescent="0.2">
      <c r="A236" s="1">
        <v>45969</v>
      </c>
      <c r="B236" t="s">
        <v>322</v>
      </c>
      <c r="C236" t="s">
        <v>11</v>
      </c>
      <c r="D236" t="s">
        <v>33</v>
      </c>
      <c r="E236" t="s">
        <v>820</v>
      </c>
      <c r="F236" t="s">
        <v>11</v>
      </c>
      <c r="G236">
        <v>2</v>
      </c>
      <c r="H236">
        <v>3</v>
      </c>
      <c r="I236" s="13">
        <v>0.6</v>
      </c>
      <c r="J236" t="s">
        <v>249</v>
      </c>
      <c r="L236" t="s">
        <v>249</v>
      </c>
      <c r="M236" t="s">
        <v>821</v>
      </c>
      <c r="N236" t="s">
        <v>11</v>
      </c>
      <c r="O236">
        <v>2</v>
      </c>
      <c r="P236">
        <v>3</v>
      </c>
      <c r="Q236" s="13">
        <v>0.45038123469323549</v>
      </c>
      <c r="R236" t="s">
        <v>249</v>
      </c>
      <c r="S236">
        <v>-4.3119523949742998E-3</v>
      </c>
      <c r="T236" t="s">
        <v>249</v>
      </c>
      <c r="U236" t="s">
        <v>33</v>
      </c>
      <c r="V236">
        <v>1</v>
      </c>
      <c r="W236">
        <v>3</v>
      </c>
      <c r="X236" t="s">
        <v>490</v>
      </c>
      <c r="Y236" t="s">
        <v>292</v>
      </c>
      <c r="Z236" t="s">
        <v>60</v>
      </c>
      <c r="AA236" t="s">
        <v>491</v>
      </c>
    </row>
    <row r="237" spans="1:27" x14ac:dyDescent="0.2">
      <c r="A237" s="1">
        <v>45969</v>
      </c>
      <c r="B237" t="s">
        <v>322</v>
      </c>
      <c r="C237" t="s">
        <v>31</v>
      </c>
      <c r="D237" t="s">
        <v>20</v>
      </c>
      <c r="E237" t="s">
        <v>822</v>
      </c>
      <c r="F237" t="s">
        <v>31</v>
      </c>
      <c r="G237">
        <v>2</v>
      </c>
      <c r="H237">
        <v>3</v>
      </c>
      <c r="I237" s="13">
        <v>0.6</v>
      </c>
      <c r="J237" t="s">
        <v>249</v>
      </c>
      <c r="L237" t="s">
        <v>248</v>
      </c>
      <c r="M237" t="s">
        <v>291</v>
      </c>
      <c r="N237" t="s">
        <v>31</v>
      </c>
      <c r="O237">
        <v>2</v>
      </c>
      <c r="P237">
        <v>3</v>
      </c>
      <c r="Q237" s="13">
        <v>0.52435087174716466</v>
      </c>
      <c r="R237" t="s">
        <v>249</v>
      </c>
      <c r="S237">
        <v>-0.37324310323674031</v>
      </c>
      <c r="T237" t="s">
        <v>248</v>
      </c>
      <c r="U237" t="s">
        <v>31</v>
      </c>
      <c r="V237">
        <v>4</v>
      </c>
      <c r="W237">
        <v>3</v>
      </c>
      <c r="X237" t="s">
        <v>496</v>
      </c>
      <c r="Y237" t="s">
        <v>292</v>
      </c>
      <c r="Z237" t="s">
        <v>60</v>
      </c>
      <c r="AA237" t="s">
        <v>491</v>
      </c>
    </row>
    <row r="238" spans="1:27" x14ac:dyDescent="0.2">
      <c r="A238" s="1">
        <v>45969</v>
      </c>
      <c r="B238" t="s">
        <v>328</v>
      </c>
      <c r="C238" t="s">
        <v>30</v>
      </c>
      <c r="D238" t="s">
        <v>15</v>
      </c>
      <c r="E238" t="s">
        <v>823</v>
      </c>
      <c r="F238" t="s">
        <v>15</v>
      </c>
      <c r="G238">
        <v>2</v>
      </c>
      <c r="H238">
        <v>3</v>
      </c>
      <c r="I238" s="13">
        <v>0.6</v>
      </c>
      <c r="J238" t="s">
        <v>249</v>
      </c>
      <c r="L238" t="s">
        <v>249</v>
      </c>
      <c r="M238" t="s">
        <v>824</v>
      </c>
      <c r="N238" t="s">
        <v>15</v>
      </c>
      <c r="O238">
        <v>2</v>
      </c>
      <c r="P238">
        <v>3</v>
      </c>
      <c r="Q238" s="13">
        <v>0.46747009813058232</v>
      </c>
      <c r="R238" t="s">
        <v>249</v>
      </c>
      <c r="S238">
        <v>7.9876188055240003E-4</v>
      </c>
      <c r="T238" t="s">
        <v>249</v>
      </c>
      <c r="U238" t="s">
        <v>30</v>
      </c>
      <c r="V238">
        <v>5</v>
      </c>
      <c r="W238">
        <v>0</v>
      </c>
      <c r="X238" t="s">
        <v>490</v>
      </c>
      <c r="Y238" t="s">
        <v>292</v>
      </c>
      <c r="Z238" t="s">
        <v>60</v>
      </c>
      <c r="AA238" t="s">
        <v>491</v>
      </c>
    </row>
    <row r="239" spans="1:27" x14ac:dyDescent="0.2">
      <c r="A239" s="1">
        <v>45969</v>
      </c>
      <c r="B239" t="s">
        <v>352</v>
      </c>
      <c r="C239" t="s">
        <v>39</v>
      </c>
      <c r="D239" t="s">
        <v>29</v>
      </c>
      <c r="E239" t="s">
        <v>699</v>
      </c>
      <c r="F239" t="s">
        <v>39</v>
      </c>
      <c r="G239">
        <v>2</v>
      </c>
      <c r="H239">
        <v>3</v>
      </c>
      <c r="I239" s="13">
        <v>0.6</v>
      </c>
      <c r="J239" t="s">
        <v>249</v>
      </c>
      <c r="L239" t="s">
        <v>248</v>
      </c>
      <c r="M239" t="s">
        <v>398</v>
      </c>
      <c r="N239" t="s">
        <v>39</v>
      </c>
      <c r="O239">
        <v>2</v>
      </c>
      <c r="P239">
        <v>3</v>
      </c>
      <c r="Q239" s="13">
        <v>0.7659561507622451</v>
      </c>
      <c r="R239" t="s">
        <v>249</v>
      </c>
      <c r="S239">
        <v>-1.7484590367420181</v>
      </c>
      <c r="T239" t="s">
        <v>248</v>
      </c>
      <c r="U239" t="s">
        <v>39</v>
      </c>
      <c r="V239">
        <v>5</v>
      </c>
      <c r="W239">
        <v>4</v>
      </c>
      <c r="X239" t="s">
        <v>490</v>
      </c>
      <c r="Y239" t="s">
        <v>292</v>
      </c>
      <c r="Z239" t="s">
        <v>60</v>
      </c>
      <c r="AA239" t="s">
        <v>491</v>
      </c>
    </row>
    <row r="240" spans="1:27" x14ac:dyDescent="0.2">
      <c r="A240" s="1">
        <v>45969</v>
      </c>
      <c r="B240" t="s">
        <v>555</v>
      </c>
      <c r="C240" t="s">
        <v>14</v>
      </c>
      <c r="D240" t="s">
        <v>24</v>
      </c>
      <c r="E240" t="s">
        <v>825</v>
      </c>
      <c r="F240" t="s">
        <v>24</v>
      </c>
      <c r="G240">
        <v>2</v>
      </c>
      <c r="H240">
        <v>3</v>
      </c>
      <c r="I240" s="13">
        <v>0.6</v>
      </c>
      <c r="J240" t="s">
        <v>249</v>
      </c>
      <c r="L240" t="s">
        <v>248</v>
      </c>
      <c r="M240" t="s">
        <v>449</v>
      </c>
      <c r="N240" t="s">
        <v>24</v>
      </c>
      <c r="O240">
        <v>2</v>
      </c>
      <c r="P240">
        <v>3</v>
      </c>
      <c r="Q240" s="13">
        <v>0.60470632805755864</v>
      </c>
      <c r="R240" t="s">
        <v>249</v>
      </c>
      <c r="S240">
        <v>0.19369522125325681</v>
      </c>
      <c r="T240" t="s">
        <v>248</v>
      </c>
      <c r="U240" t="s">
        <v>24</v>
      </c>
      <c r="V240">
        <v>1</v>
      </c>
      <c r="W240">
        <v>2</v>
      </c>
      <c r="X240" t="s">
        <v>496</v>
      </c>
      <c r="Y240" t="s">
        <v>292</v>
      </c>
      <c r="Z240" t="s">
        <v>60</v>
      </c>
      <c r="AA240" t="s">
        <v>491</v>
      </c>
    </row>
    <row r="241" spans="1:27" x14ac:dyDescent="0.2">
      <c r="A241" s="1">
        <v>45969</v>
      </c>
      <c r="B241" t="s">
        <v>328</v>
      </c>
      <c r="C241" t="s">
        <v>55</v>
      </c>
      <c r="D241" t="s">
        <v>18</v>
      </c>
      <c r="E241" t="s">
        <v>826</v>
      </c>
      <c r="F241" t="s">
        <v>55</v>
      </c>
      <c r="G241">
        <v>2</v>
      </c>
      <c r="H241">
        <v>3</v>
      </c>
      <c r="I241" s="13">
        <v>0.6</v>
      </c>
      <c r="J241" t="s">
        <v>249</v>
      </c>
      <c r="L241" t="s">
        <v>249</v>
      </c>
      <c r="M241" t="s">
        <v>827</v>
      </c>
      <c r="N241" t="s">
        <v>55</v>
      </c>
      <c r="O241">
        <v>2</v>
      </c>
      <c r="P241">
        <v>3</v>
      </c>
      <c r="Q241" s="13">
        <v>0.47633137193975128</v>
      </c>
      <c r="R241" t="s">
        <v>249</v>
      </c>
      <c r="S241">
        <v>-0.13986559032948029</v>
      </c>
      <c r="T241" t="s">
        <v>249</v>
      </c>
      <c r="U241" t="s">
        <v>18</v>
      </c>
      <c r="V241">
        <v>2</v>
      </c>
      <c r="W241">
        <v>6</v>
      </c>
      <c r="X241" t="s">
        <v>490</v>
      </c>
      <c r="Y241" t="s">
        <v>292</v>
      </c>
      <c r="Z241" t="s">
        <v>60</v>
      </c>
      <c r="AA241" t="s">
        <v>491</v>
      </c>
    </row>
    <row r="242" spans="1:27" x14ac:dyDescent="0.2">
      <c r="A242" s="1">
        <v>45969</v>
      </c>
      <c r="B242" t="s">
        <v>322</v>
      </c>
      <c r="C242" t="s">
        <v>12</v>
      </c>
      <c r="D242" t="s">
        <v>17</v>
      </c>
      <c r="E242" t="s">
        <v>828</v>
      </c>
      <c r="F242" t="s">
        <v>12</v>
      </c>
      <c r="G242">
        <v>2</v>
      </c>
      <c r="H242">
        <v>3</v>
      </c>
      <c r="I242" s="13">
        <v>0.6</v>
      </c>
      <c r="J242" t="s">
        <v>249</v>
      </c>
      <c r="L242" t="s">
        <v>248</v>
      </c>
      <c r="M242" t="s">
        <v>361</v>
      </c>
      <c r="N242" t="s">
        <v>12</v>
      </c>
      <c r="O242">
        <v>2</v>
      </c>
      <c r="P242">
        <v>3</v>
      </c>
      <c r="Q242" s="13">
        <v>0.80575362576568399</v>
      </c>
      <c r="R242" t="s">
        <v>249</v>
      </c>
      <c r="S242">
        <v>-2.3997495737413348</v>
      </c>
      <c r="T242" t="s">
        <v>248</v>
      </c>
      <c r="U242" t="s">
        <v>12</v>
      </c>
      <c r="V242">
        <v>9</v>
      </c>
      <c r="W242">
        <v>1</v>
      </c>
      <c r="X242" t="s">
        <v>490</v>
      </c>
      <c r="Y242" t="s">
        <v>292</v>
      </c>
      <c r="Z242" t="s">
        <v>60</v>
      </c>
      <c r="AA242" t="s">
        <v>491</v>
      </c>
    </row>
    <row r="243" spans="1:27" x14ac:dyDescent="0.2">
      <c r="A243" s="1">
        <v>45969</v>
      </c>
      <c r="B243" t="s">
        <v>347</v>
      </c>
      <c r="C243" t="s">
        <v>36</v>
      </c>
      <c r="D243" t="s">
        <v>27</v>
      </c>
      <c r="E243" t="s">
        <v>829</v>
      </c>
      <c r="F243" t="s">
        <v>27</v>
      </c>
      <c r="G243">
        <v>2</v>
      </c>
      <c r="H243">
        <v>3</v>
      </c>
      <c r="I243" s="13">
        <v>0.6</v>
      </c>
      <c r="J243" t="s">
        <v>249</v>
      </c>
      <c r="L243" t="s">
        <v>249</v>
      </c>
      <c r="M243" t="s">
        <v>650</v>
      </c>
      <c r="N243" t="s">
        <v>27</v>
      </c>
      <c r="O243">
        <v>2</v>
      </c>
      <c r="P243">
        <v>3</v>
      </c>
      <c r="Q243" s="13">
        <v>0.5774906825970495</v>
      </c>
      <c r="R243" t="s">
        <v>249</v>
      </c>
      <c r="S243">
        <v>0.20103721628168511</v>
      </c>
      <c r="T243" t="s">
        <v>249</v>
      </c>
      <c r="U243" t="s">
        <v>36</v>
      </c>
      <c r="V243">
        <v>3</v>
      </c>
      <c r="W243">
        <v>2</v>
      </c>
      <c r="X243" t="s">
        <v>496</v>
      </c>
      <c r="Y243" t="s">
        <v>292</v>
      </c>
      <c r="Z243" t="s">
        <v>60</v>
      </c>
      <c r="AA243" t="s">
        <v>491</v>
      </c>
    </row>
    <row r="244" spans="1:27" x14ac:dyDescent="0.2">
      <c r="A244" s="1">
        <v>45969</v>
      </c>
      <c r="B244" t="s">
        <v>328</v>
      </c>
      <c r="C244" t="s">
        <v>23</v>
      </c>
      <c r="D244" t="s">
        <v>25</v>
      </c>
      <c r="E244" t="s">
        <v>830</v>
      </c>
      <c r="F244" t="s">
        <v>25</v>
      </c>
      <c r="G244">
        <v>2</v>
      </c>
      <c r="H244">
        <v>3</v>
      </c>
      <c r="I244" s="13">
        <v>0.6</v>
      </c>
      <c r="J244" t="s">
        <v>249</v>
      </c>
      <c r="L244" t="s">
        <v>248</v>
      </c>
      <c r="M244" t="s">
        <v>450</v>
      </c>
      <c r="N244" t="s">
        <v>25</v>
      </c>
      <c r="O244">
        <v>2</v>
      </c>
      <c r="P244">
        <v>3</v>
      </c>
      <c r="Q244" s="13">
        <v>0.70283940031160697</v>
      </c>
      <c r="R244" t="s">
        <v>249</v>
      </c>
      <c r="S244">
        <v>0.95168632199230485</v>
      </c>
      <c r="T244" t="s">
        <v>248</v>
      </c>
      <c r="U244" t="s">
        <v>25</v>
      </c>
      <c r="V244">
        <v>3</v>
      </c>
      <c r="W244">
        <v>6</v>
      </c>
      <c r="X244" t="s">
        <v>490</v>
      </c>
      <c r="Y244" t="s">
        <v>292</v>
      </c>
      <c r="Z244" t="s">
        <v>60</v>
      </c>
      <c r="AA244" t="s">
        <v>491</v>
      </c>
    </row>
    <row r="245" spans="1:27" x14ac:dyDescent="0.2">
      <c r="A245" s="1">
        <v>45970</v>
      </c>
      <c r="B245" t="s">
        <v>322</v>
      </c>
      <c r="C245" t="s">
        <v>12</v>
      </c>
      <c r="D245" t="s">
        <v>38</v>
      </c>
      <c r="E245" t="s">
        <v>831</v>
      </c>
      <c r="F245" t="s">
        <v>12</v>
      </c>
      <c r="G245">
        <v>2</v>
      </c>
      <c r="H245">
        <v>3</v>
      </c>
      <c r="I245" s="13">
        <v>0.6</v>
      </c>
      <c r="J245" t="s">
        <v>249</v>
      </c>
      <c r="L245" t="s">
        <v>248</v>
      </c>
      <c r="M245" t="s">
        <v>361</v>
      </c>
      <c r="N245" t="s">
        <v>12</v>
      </c>
      <c r="O245">
        <v>2</v>
      </c>
      <c r="P245">
        <v>3</v>
      </c>
      <c r="Q245" s="13">
        <v>0.82800072212355857</v>
      </c>
      <c r="R245" t="s">
        <v>249</v>
      </c>
      <c r="S245">
        <v>-2.5296806646146179</v>
      </c>
      <c r="T245" t="s">
        <v>248</v>
      </c>
      <c r="U245" t="s">
        <v>12</v>
      </c>
      <c r="V245">
        <v>5</v>
      </c>
      <c r="W245">
        <v>4</v>
      </c>
      <c r="X245" t="s">
        <v>496</v>
      </c>
      <c r="Y245" t="s">
        <v>292</v>
      </c>
      <c r="Z245" t="s">
        <v>60</v>
      </c>
      <c r="AA245" t="s">
        <v>491</v>
      </c>
    </row>
    <row r="246" spans="1:27" x14ac:dyDescent="0.2">
      <c r="A246" s="1">
        <v>45970</v>
      </c>
      <c r="B246" t="s">
        <v>328</v>
      </c>
      <c r="C246" t="s">
        <v>25</v>
      </c>
      <c r="D246" t="s">
        <v>19</v>
      </c>
      <c r="E246" t="s">
        <v>832</v>
      </c>
      <c r="F246" t="s">
        <v>25</v>
      </c>
      <c r="G246">
        <v>2</v>
      </c>
      <c r="H246">
        <v>3</v>
      </c>
      <c r="I246" s="13">
        <v>0.6</v>
      </c>
      <c r="J246" t="s">
        <v>249</v>
      </c>
      <c r="L246" t="s">
        <v>248</v>
      </c>
      <c r="M246" t="s">
        <v>450</v>
      </c>
      <c r="N246" t="s">
        <v>25</v>
      </c>
      <c r="O246">
        <v>2</v>
      </c>
      <c r="P246">
        <v>3</v>
      </c>
      <c r="Q246" s="13">
        <v>0.6505851147604973</v>
      </c>
      <c r="R246" t="s">
        <v>249</v>
      </c>
      <c r="S246">
        <v>-1.0102529797243709</v>
      </c>
      <c r="T246" t="s">
        <v>248</v>
      </c>
      <c r="U246" t="s">
        <v>25</v>
      </c>
      <c r="V246">
        <v>5</v>
      </c>
      <c r="W246">
        <v>4</v>
      </c>
      <c r="X246" t="s">
        <v>490</v>
      </c>
      <c r="Y246" t="s">
        <v>292</v>
      </c>
      <c r="Z246" t="s">
        <v>60</v>
      </c>
      <c r="AA246" t="s">
        <v>491</v>
      </c>
    </row>
    <row r="247" spans="1:27" x14ac:dyDescent="0.2">
      <c r="A247" s="1">
        <v>45970</v>
      </c>
      <c r="B247" t="s">
        <v>459</v>
      </c>
      <c r="C247" t="s">
        <v>13</v>
      </c>
      <c r="D247" t="s">
        <v>14</v>
      </c>
      <c r="E247" t="s">
        <v>833</v>
      </c>
      <c r="F247" t="s">
        <v>14</v>
      </c>
      <c r="G247">
        <v>2</v>
      </c>
      <c r="H247">
        <v>3</v>
      </c>
      <c r="I247" s="13">
        <v>0.6</v>
      </c>
      <c r="J247" t="s">
        <v>249</v>
      </c>
      <c r="L247" t="s">
        <v>249</v>
      </c>
      <c r="M247" t="s">
        <v>834</v>
      </c>
      <c r="N247" t="s">
        <v>14</v>
      </c>
      <c r="O247">
        <v>2</v>
      </c>
      <c r="P247">
        <v>3</v>
      </c>
      <c r="Q247" s="13">
        <v>0.5023990147629066</v>
      </c>
      <c r="R247" t="s">
        <v>249</v>
      </c>
      <c r="S247">
        <v>0.24592012603488611</v>
      </c>
      <c r="T247" t="s">
        <v>249</v>
      </c>
      <c r="U247" t="s">
        <v>13</v>
      </c>
      <c r="V247">
        <v>3</v>
      </c>
      <c r="W247">
        <v>2</v>
      </c>
      <c r="X247" t="s">
        <v>490</v>
      </c>
      <c r="Y247" t="s">
        <v>292</v>
      </c>
      <c r="Z247" t="s">
        <v>60</v>
      </c>
      <c r="AA247" t="s">
        <v>491</v>
      </c>
    </row>
    <row r="248" spans="1:27" x14ac:dyDescent="0.2">
      <c r="A248" s="1">
        <v>45970</v>
      </c>
      <c r="B248" t="s">
        <v>324</v>
      </c>
      <c r="C248" t="s">
        <v>16</v>
      </c>
      <c r="D248" t="s">
        <v>34</v>
      </c>
      <c r="E248" t="s">
        <v>835</v>
      </c>
      <c r="F248" t="s">
        <v>34</v>
      </c>
      <c r="G248">
        <v>2</v>
      </c>
      <c r="H248">
        <v>3</v>
      </c>
      <c r="I248" s="13">
        <v>0.6</v>
      </c>
      <c r="J248" t="s">
        <v>249</v>
      </c>
      <c r="L248" t="s">
        <v>248</v>
      </c>
      <c r="M248" t="s">
        <v>343</v>
      </c>
      <c r="N248" t="s">
        <v>34</v>
      </c>
      <c r="O248">
        <v>2</v>
      </c>
      <c r="P248">
        <v>3</v>
      </c>
      <c r="Q248" s="13">
        <v>0.66383571053823376</v>
      </c>
      <c r="R248" t="s">
        <v>249</v>
      </c>
      <c r="S248">
        <v>1.0605572405183039</v>
      </c>
      <c r="T248" t="s">
        <v>248</v>
      </c>
      <c r="U248" t="s">
        <v>34</v>
      </c>
      <c r="V248">
        <v>0</v>
      </c>
      <c r="W248">
        <v>2</v>
      </c>
      <c r="X248" t="s">
        <v>490</v>
      </c>
      <c r="Y248" t="s">
        <v>292</v>
      </c>
      <c r="Z248" t="s">
        <v>60</v>
      </c>
      <c r="AA248" t="s">
        <v>491</v>
      </c>
    </row>
    <row r="249" spans="1:27" x14ac:dyDescent="0.2">
      <c r="A249" s="1">
        <v>45970</v>
      </c>
      <c r="B249" t="s">
        <v>347</v>
      </c>
      <c r="C249" t="s">
        <v>10</v>
      </c>
      <c r="D249" t="s">
        <v>26</v>
      </c>
      <c r="E249" t="s">
        <v>836</v>
      </c>
      <c r="F249" t="s">
        <v>10</v>
      </c>
      <c r="G249">
        <v>2</v>
      </c>
      <c r="H249">
        <v>3</v>
      </c>
      <c r="I249" s="13">
        <v>0.6</v>
      </c>
      <c r="J249" t="s">
        <v>249</v>
      </c>
      <c r="L249" t="s">
        <v>248</v>
      </c>
      <c r="M249" t="s">
        <v>303</v>
      </c>
      <c r="N249" t="s">
        <v>10</v>
      </c>
      <c r="O249">
        <v>2</v>
      </c>
      <c r="P249">
        <v>3</v>
      </c>
      <c r="Q249" s="13">
        <v>0.53580865112428755</v>
      </c>
      <c r="R249" t="s">
        <v>249</v>
      </c>
      <c r="S249">
        <v>-0.64924256092483335</v>
      </c>
      <c r="T249" t="s">
        <v>248</v>
      </c>
      <c r="U249" t="s">
        <v>10</v>
      </c>
      <c r="V249">
        <v>5</v>
      </c>
      <c r="W249">
        <v>1</v>
      </c>
      <c r="X249" t="s">
        <v>490</v>
      </c>
      <c r="Y249" t="s">
        <v>292</v>
      </c>
      <c r="Z249" t="s">
        <v>60</v>
      </c>
      <c r="AA249" t="s">
        <v>491</v>
      </c>
    </row>
    <row r="250" spans="1:27" x14ac:dyDescent="0.2">
      <c r="A250" s="1">
        <v>45970</v>
      </c>
      <c r="B250" t="s">
        <v>328</v>
      </c>
      <c r="C250" t="s">
        <v>32</v>
      </c>
      <c r="D250" t="s">
        <v>39</v>
      </c>
      <c r="E250" t="s">
        <v>837</v>
      </c>
      <c r="F250" t="s">
        <v>39</v>
      </c>
      <c r="G250">
        <v>2</v>
      </c>
      <c r="H250">
        <v>3</v>
      </c>
      <c r="I250" s="13">
        <v>0.6</v>
      </c>
      <c r="J250" t="s">
        <v>249</v>
      </c>
      <c r="L250" t="s">
        <v>248</v>
      </c>
      <c r="M250" t="s">
        <v>398</v>
      </c>
      <c r="N250" t="s">
        <v>39</v>
      </c>
      <c r="O250">
        <v>2</v>
      </c>
      <c r="P250">
        <v>3</v>
      </c>
      <c r="Q250" s="13">
        <v>0.70217260513765822</v>
      </c>
      <c r="R250" t="s">
        <v>249</v>
      </c>
      <c r="S250">
        <v>1.112720486056372</v>
      </c>
      <c r="T250" t="s">
        <v>248</v>
      </c>
      <c r="U250" t="s">
        <v>39</v>
      </c>
      <c r="V250">
        <v>1</v>
      </c>
      <c r="W250">
        <v>2</v>
      </c>
      <c r="X250" t="s">
        <v>490</v>
      </c>
      <c r="Y250" t="s">
        <v>292</v>
      </c>
      <c r="Z250" t="s">
        <v>60</v>
      </c>
      <c r="AA250" t="s">
        <v>491</v>
      </c>
    </row>
    <row r="251" spans="1:27" x14ac:dyDescent="0.2">
      <c r="A251" s="1">
        <v>45970</v>
      </c>
      <c r="B251" t="s">
        <v>322</v>
      </c>
      <c r="C251" t="s">
        <v>40</v>
      </c>
      <c r="D251" t="s">
        <v>31</v>
      </c>
      <c r="E251" t="s">
        <v>838</v>
      </c>
      <c r="F251" t="s">
        <v>31</v>
      </c>
      <c r="G251">
        <v>2</v>
      </c>
      <c r="H251">
        <v>3</v>
      </c>
      <c r="I251" s="13">
        <v>0.6</v>
      </c>
      <c r="J251" t="s">
        <v>249</v>
      </c>
      <c r="L251" t="s">
        <v>248</v>
      </c>
      <c r="M251" t="s">
        <v>291</v>
      </c>
      <c r="N251" t="s">
        <v>31</v>
      </c>
      <c r="O251">
        <v>2</v>
      </c>
      <c r="P251">
        <v>3</v>
      </c>
      <c r="Q251" s="13">
        <v>0.66326847023337154</v>
      </c>
      <c r="R251" t="s">
        <v>249</v>
      </c>
      <c r="S251">
        <v>0.5418455945452203</v>
      </c>
      <c r="T251" t="s">
        <v>248</v>
      </c>
      <c r="U251" t="s">
        <v>31</v>
      </c>
      <c r="V251">
        <v>1</v>
      </c>
      <c r="W251">
        <v>4</v>
      </c>
      <c r="X251" t="s">
        <v>490</v>
      </c>
      <c r="Y251" t="s">
        <v>292</v>
      </c>
      <c r="Z251" t="s">
        <v>60</v>
      </c>
      <c r="AA251" t="s">
        <v>491</v>
      </c>
    </row>
    <row r="252" spans="1:27" x14ac:dyDescent="0.2">
      <c r="A252" s="1">
        <v>45970</v>
      </c>
      <c r="B252" t="s">
        <v>328</v>
      </c>
      <c r="C252" t="s">
        <v>55</v>
      </c>
      <c r="D252" t="s">
        <v>36</v>
      </c>
      <c r="E252" t="s">
        <v>839</v>
      </c>
      <c r="F252" t="s">
        <v>55</v>
      </c>
      <c r="G252">
        <v>2</v>
      </c>
      <c r="H252">
        <v>3</v>
      </c>
      <c r="I252" s="13">
        <v>0.6</v>
      </c>
      <c r="J252" t="s">
        <v>249</v>
      </c>
      <c r="L252" t="s">
        <v>249</v>
      </c>
      <c r="M252" t="s">
        <v>840</v>
      </c>
      <c r="N252" t="s">
        <v>55</v>
      </c>
      <c r="O252">
        <v>2</v>
      </c>
      <c r="P252">
        <v>3</v>
      </c>
      <c r="Q252" s="13">
        <v>0.46665327469730561</v>
      </c>
      <c r="R252" t="s">
        <v>249</v>
      </c>
      <c r="S252">
        <v>-7.8352012920493597E-2</v>
      </c>
      <c r="T252" t="s">
        <v>249</v>
      </c>
      <c r="U252" t="s">
        <v>36</v>
      </c>
      <c r="V252">
        <v>2</v>
      </c>
      <c r="W252">
        <v>4</v>
      </c>
      <c r="X252" t="s">
        <v>490</v>
      </c>
      <c r="Y252" t="s">
        <v>292</v>
      </c>
      <c r="Z252" t="s">
        <v>60</v>
      </c>
      <c r="AA252" t="s">
        <v>491</v>
      </c>
    </row>
    <row r="253" spans="1:27" x14ac:dyDescent="0.2">
      <c r="A253" s="1">
        <v>45971</v>
      </c>
      <c r="B253" t="s">
        <v>416</v>
      </c>
      <c r="C253" t="s">
        <v>28</v>
      </c>
      <c r="D253" t="s">
        <v>17</v>
      </c>
      <c r="E253" t="s">
        <v>841</v>
      </c>
      <c r="F253" t="s">
        <v>28</v>
      </c>
      <c r="G253">
        <v>2</v>
      </c>
      <c r="H253">
        <v>3</v>
      </c>
      <c r="I253" s="13">
        <v>0.6</v>
      </c>
      <c r="J253" t="s">
        <v>249</v>
      </c>
      <c r="L253" t="s">
        <v>249</v>
      </c>
      <c r="M253" t="s">
        <v>842</v>
      </c>
      <c r="N253" t="s">
        <v>28</v>
      </c>
      <c r="O253">
        <v>2</v>
      </c>
      <c r="P253">
        <v>3</v>
      </c>
      <c r="Q253" s="13">
        <v>0.47670528796548239</v>
      </c>
      <c r="R253" t="s">
        <v>249</v>
      </c>
      <c r="S253">
        <v>-0.17285651096381899</v>
      </c>
      <c r="T253" t="s">
        <v>249</v>
      </c>
      <c r="U253" t="s">
        <v>17</v>
      </c>
      <c r="V253">
        <v>4</v>
      </c>
      <c r="W253">
        <v>5</v>
      </c>
      <c r="X253" t="s">
        <v>496</v>
      </c>
      <c r="Y253" t="s">
        <v>292</v>
      </c>
      <c r="Z253" t="s">
        <v>60</v>
      </c>
      <c r="AA253" t="s">
        <v>491</v>
      </c>
    </row>
    <row r="254" spans="1:27" x14ac:dyDescent="0.2">
      <c r="A254" s="1">
        <v>45971</v>
      </c>
      <c r="B254" t="s">
        <v>328</v>
      </c>
      <c r="C254" t="s">
        <v>30</v>
      </c>
      <c r="D254" t="s">
        <v>24</v>
      </c>
      <c r="E254" t="s">
        <v>843</v>
      </c>
      <c r="F254" t="s">
        <v>24</v>
      </c>
      <c r="G254">
        <v>2</v>
      </c>
      <c r="H254">
        <v>3</v>
      </c>
      <c r="I254" s="13">
        <v>0.6</v>
      </c>
      <c r="J254" t="s">
        <v>249</v>
      </c>
      <c r="L254" t="s">
        <v>249</v>
      </c>
      <c r="M254" t="s">
        <v>844</v>
      </c>
      <c r="N254" t="s">
        <v>24</v>
      </c>
      <c r="O254">
        <v>2</v>
      </c>
      <c r="P254">
        <v>3</v>
      </c>
      <c r="Q254" s="13">
        <v>0.58343346953258379</v>
      </c>
      <c r="R254" t="s">
        <v>249</v>
      </c>
      <c r="S254">
        <v>0.29236299712909941</v>
      </c>
      <c r="T254" t="s">
        <v>249</v>
      </c>
      <c r="U254" t="s">
        <v>30</v>
      </c>
      <c r="V254">
        <v>3</v>
      </c>
      <c r="W254">
        <v>2</v>
      </c>
      <c r="X254" t="s">
        <v>496</v>
      </c>
      <c r="Y254" t="s">
        <v>292</v>
      </c>
      <c r="Z254" t="s">
        <v>60</v>
      </c>
      <c r="AA254" t="s">
        <v>491</v>
      </c>
    </row>
    <row r="255" spans="1:27" x14ac:dyDescent="0.2">
      <c r="A255" s="1">
        <v>45971</v>
      </c>
      <c r="B255" t="s">
        <v>328</v>
      </c>
      <c r="C255" t="s">
        <v>29</v>
      </c>
      <c r="D255" t="s">
        <v>15</v>
      </c>
      <c r="E255" t="s">
        <v>845</v>
      </c>
      <c r="F255" t="s">
        <v>15</v>
      </c>
      <c r="G255">
        <v>2</v>
      </c>
      <c r="H255">
        <v>3</v>
      </c>
      <c r="I255" s="13">
        <v>0.6</v>
      </c>
      <c r="J255" t="s">
        <v>249</v>
      </c>
      <c r="L255" t="s">
        <v>248</v>
      </c>
      <c r="M255" t="s">
        <v>518</v>
      </c>
      <c r="N255" t="s">
        <v>15</v>
      </c>
      <c r="O255">
        <v>2</v>
      </c>
      <c r="P255">
        <v>3</v>
      </c>
      <c r="Q255" s="13">
        <v>0.67367043343978616</v>
      </c>
      <c r="R255" t="s">
        <v>249</v>
      </c>
      <c r="S255">
        <v>1.144784048249281</v>
      </c>
      <c r="T255" t="s">
        <v>248</v>
      </c>
      <c r="U255" t="s">
        <v>15</v>
      </c>
      <c r="V255">
        <v>3</v>
      </c>
      <c r="W255">
        <v>6</v>
      </c>
      <c r="X255" t="s">
        <v>490</v>
      </c>
      <c r="Y255" t="s">
        <v>292</v>
      </c>
      <c r="Z255" t="s">
        <v>60</v>
      </c>
      <c r="AA255" t="s">
        <v>491</v>
      </c>
    </row>
    <row r="256" spans="1:27" x14ac:dyDescent="0.2">
      <c r="A256" s="1">
        <v>45971</v>
      </c>
      <c r="B256" t="s">
        <v>322</v>
      </c>
      <c r="C256" t="s">
        <v>11</v>
      </c>
      <c r="D256" t="s">
        <v>20</v>
      </c>
      <c r="E256" t="s">
        <v>846</v>
      </c>
      <c r="F256" t="s">
        <v>20</v>
      </c>
      <c r="G256">
        <v>2</v>
      </c>
      <c r="H256">
        <v>3</v>
      </c>
      <c r="I256" s="13">
        <v>0.6</v>
      </c>
      <c r="J256" t="s">
        <v>249</v>
      </c>
      <c r="L256" t="s">
        <v>249</v>
      </c>
      <c r="M256" t="s">
        <v>682</v>
      </c>
      <c r="N256" t="s">
        <v>20</v>
      </c>
      <c r="O256">
        <v>2</v>
      </c>
      <c r="P256">
        <v>3</v>
      </c>
      <c r="Q256" s="13">
        <v>0.56365399581956632</v>
      </c>
      <c r="R256" t="s">
        <v>249</v>
      </c>
      <c r="S256">
        <v>0.20257820966663259</v>
      </c>
      <c r="T256" t="s">
        <v>249</v>
      </c>
      <c r="U256" t="s">
        <v>11</v>
      </c>
      <c r="V256">
        <v>3</v>
      </c>
      <c r="W256">
        <v>2</v>
      </c>
      <c r="X256" t="s">
        <v>490</v>
      </c>
      <c r="Y256" t="s">
        <v>292</v>
      </c>
      <c r="Z256" t="s">
        <v>60</v>
      </c>
      <c r="AA256" t="s">
        <v>491</v>
      </c>
    </row>
    <row r="257" spans="1:27" x14ac:dyDescent="0.2">
      <c r="A257" s="1">
        <v>45972</v>
      </c>
      <c r="B257" t="s">
        <v>324</v>
      </c>
      <c r="C257" t="s">
        <v>16</v>
      </c>
      <c r="D257" t="s">
        <v>35</v>
      </c>
      <c r="E257" t="s">
        <v>847</v>
      </c>
      <c r="F257" t="s">
        <v>16</v>
      </c>
      <c r="G257">
        <v>2</v>
      </c>
      <c r="H257">
        <v>3</v>
      </c>
      <c r="I257" s="13">
        <v>0.6</v>
      </c>
      <c r="J257" t="s">
        <v>249</v>
      </c>
      <c r="L257" t="s">
        <v>249</v>
      </c>
      <c r="M257" t="s">
        <v>525</v>
      </c>
      <c r="N257" t="s">
        <v>16</v>
      </c>
      <c r="O257">
        <v>2</v>
      </c>
      <c r="P257">
        <v>3</v>
      </c>
      <c r="Q257" s="13">
        <v>0.49255358790002218</v>
      </c>
      <c r="R257" t="s">
        <v>249</v>
      </c>
      <c r="S257">
        <v>-0.27879634397993919</v>
      </c>
      <c r="T257" t="s">
        <v>249</v>
      </c>
      <c r="U257" t="s">
        <v>35</v>
      </c>
      <c r="V257">
        <v>2</v>
      </c>
      <c r="W257">
        <v>3</v>
      </c>
      <c r="X257" t="s">
        <v>490</v>
      </c>
      <c r="Y257" t="s">
        <v>292</v>
      </c>
      <c r="Z257" t="s">
        <v>60</v>
      </c>
      <c r="AA257" t="s">
        <v>491</v>
      </c>
    </row>
    <row r="258" spans="1:27" x14ac:dyDescent="0.2">
      <c r="A258" s="1">
        <v>45972</v>
      </c>
      <c r="B258" t="s">
        <v>322</v>
      </c>
      <c r="C258" t="s">
        <v>40</v>
      </c>
      <c r="D258" t="s">
        <v>38</v>
      </c>
      <c r="E258" t="s">
        <v>848</v>
      </c>
      <c r="F258" t="s">
        <v>40</v>
      </c>
      <c r="G258">
        <v>2</v>
      </c>
      <c r="H258">
        <v>3</v>
      </c>
      <c r="I258" s="13">
        <v>0.6</v>
      </c>
      <c r="J258" t="s">
        <v>249</v>
      </c>
      <c r="L258" t="s">
        <v>248</v>
      </c>
      <c r="M258" t="s">
        <v>315</v>
      </c>
      <c r="N258" t="s">
        <v>40</v>
      </c>
      <c r="O258">
        <v>2</v>
      </c>
      <c r="P258">
        <v>3</v>
      </c>
      <c r="Q258" s="13">
        <v>0.54902234043856335</v>
      </c>
      <c r="R258" t="s">
        <v>249</v>
      </c>
      <c r="S258">
        <v>-0.58453518240485014</v>
      </c>
      <c r="T258" t="s">
        <v>248</v>
      </c>
      <c r="U258" t="s">
        <v>40</v>
      </c>
      <c r="V258">
        <v>5</v>
      </c>
      <c r="W258">
        <v>3</v>
      </c>
      <c r="X258" t="s">
        <v>490</v>
      </c>
      <c r="Y258" t="s">
        <v>292</v>
      </c>
      <c r="Z258" t="s">
        <v>60</v>
      </c>
      <c r="AA258" t="s">
        <v>491</v>
      </c>
    </row>
    <row r="259" spans="1:27" x14ac:dyDescent="0.2">
      <c r="A259" s="1">
        <v>45972</v>
      </c>
      <c r="B259" t="s">
        <v>322</v>
      </c>
      <c r="C259" t="s">
        <v>28</v>
      </c>
      <c r="D259" t="s">
        <v>32</v>
      </c>
      <c r="E259" t="s">
        <v>849</v>
      </c>
      <c r="F259" t="s">
        <v>28</v>
      </c>
      <c r="G259">
        <v>2</v>
      </c>
      <c r="H259">
        <v>3</v>
      </c>
      <c r="I259" s="13">
        <v>0.6</v>
      </c>
      <c r="J259" t="s">
        <v>249</v>
      </c>
      <c r="L259" t="s">
        <v>248</v>
      </c>
      <c r="M259" t="s">
        <v>730</v>
      </c>
      <c r="N259" t="s">
        <v>28</v>
      </c>
      <c r="O259">
        <v>2</v>
      </c>
      <c r="P259">
        <v>3</v>
      </c>
      <c r="Q259" s="13">
        <v>0.46410009198901342</v>
      </c>
      <c r="R259" t="s">
        <v>249</v>
      </c>
      <c r="S259">
        <v>-4.4870820043871997E-3</v>
      </c>
      <c r="T259" t="s">
        <v>248</v>
      </c>
      <c r="U259" t="s">
        <v>28</v>
      </c>
      <c r="V259">
        <v>2</v>
      </c>
      <c r="W259">
        <v>1</v>
      </c>
      <c r="X259" t="s">
        <v>496</v>
      </c>
      <c r="Y259" t="s">
        <v>292</v>
      </c>
      <c r="Z259" t="s">
        <v>60</v>
      </c>
      <c r="AA259" t="s">
        <v>491</v>
      </c>
    </row>
    <row r="260" spans="1:27" x14ac:dyDescent="0.2">
      <c r="A260" s="1">
        <v>45972</v>
      </c>
      <c r="B260" t="s">
        <v>328</v>
      </c>
      <c r="C260" t="s">
        <v>19</v>
      </c>
      <c r="D260" t="s">
        <v>21</v>
      </c>
      <c r="E260" t="s">
        <v>850</v>
      </c>
      <c r="F260" t="s">
        <v>21</v>
      </c>
      <c r="G260">
        <v>2</v>
      </c>
      <c r="H260">
        <v>3</v>
      </c>
      <c r="I260" s="13">
        <v>0.6</v>
      </c>
      <c r="J260" t="s">
        <v>249</v>
      </c>
      <c r="L260" t="s">
        <v>248</v>
      </c>
      <c r="M260" t="s">
        <v>465</v>
      </c>
      <c r="N260" t="s">
        <v>21</v>
      </c>
      <c r="O260">
        <v>2</v>
      </c>
      <c r="P260">
        <v>3</v>
      </c>
      <c r="Q260" s="13">
        <v>0.63715157999313932</v>
      </c>
      <c r="R260" t="s">
        <v>249</v>
      </c>
      <c r="S260">
        <v>0.46460957979441142</v>
      </c>
      <c r="T260" t="s">
        <v>248</v>
      </c>
      <c r="U260" t="s">
        <v>21</v>
      </c>
      <c r="V260">
        <v>3</v>
      </c>
      <c r="W260">
        <v>5</v>
      </c>
      <c r="X260" t="s">
        <v>490</v>
      </c>
      <c r="Y260" t="s">
        <v>292</v>
      </c>
      <c r="Z260" t="s">
        <v>60</v>
      </c>
      <c r="AA260" t="s">
        <v>491</v>
      </c>
    </row>
    <row r="261" spans="1:27" x14ac:dyDescent="0.2">
      <c r="A261" s="1">
        <v>45972</v>
      </c>
      <c r="B261" t="s">
        <v>328</v>
      </c>
      <c r="C261" t="s">
        <v>13</v>
      </c>
      <c r="D261" t="s">
        <v>18</v>
      </c>
      <c r="E261" t="s">
        <v>851</v>
      </c>
      <c r="F261" t="s">
        <v>13</v>
      </c>
      <c r="G261">
        <v>2</v>
      </c>
      <c r="H261">
        <v>3</v>
      </c>
      <c r="I261" s="13">
        <v>0.6</v>
      </c>
      <c r="J261" t="s">
        <v>249</v>
      </c>
      <c r="L261" t="s">
        <v>248</v>
      </c>
      <c r="M261" t="s">
        <v>628</v>
      </c>
      <c r="N261" t="s">
        <v>13</v>
      </c>
      <c r="O261">
        <v>2</v>
      </c>
      <c r="P261">
        <v>3</v>
      </c>
      <c r="Q261" s="13">
        <v>0.55021815222662374</v>
      </c>
      <c r="R261" t="s">
        <v>249</v>
      </c>
      <c r="S261">
        <v>-0.20470528067344909</v>
      </c>
      <c r="T261" t="s">
        <v>248</v>
      </c>
      <c r="U261" t="s">
        <v>13</v>
      </c>
      <c r="V261">
        <v>5</v>
      </c>
      <c r="W261">
        <v>1</v>
      </c>
      <c r="X261" t="s">
        <v>490</v>
      </c>
      <c r="Y261" t="s">
        <v>292</v>
      </c>
      <c r="Z261" t="s">
        <v>60</v>
      </c>
      <c r="AA261" t="s">
        <v>491</v>
      </c>
    </row>
    <row r="262" spans="1:27" x14ac:dyDescent="0.2">
      <c r="A262" s="1">
        <v>45972</v>
      </c>
      <c r="B262" t="s">
        <v>324</v>
      </c>
      <c r="C262" t="s">
        <v>33</v>
      </c>
      <c r="D262" t="s">
        <v>34</v>
      </c>
      <c r="E262" t="s">
        <v>695</v>
      </c>
      <c r="F262" t="s">
        <v>34</v>
      </c>
      <c r="G262">
        <v>2</v>
      </c>
      <c r="H262">
        <v>3</v>
      </c>
      <c r="I262" s="13">
        <v>0.6</v>
      </c>
      <c r="J262" t="s">
        <v>249</v>
      </c>
      <c r="L262" t="s">
        <v>249</v>
      </c>
      <c r="M262" t="s">
        <v>696</v>
      </c>
      <c r="N262" t="s">
        <v>34</v>
      </c>
      <c r="O262">
        <v>2</v>
      </c>
      <c r="P262">
        <v>3</v>
      </c>
      <c r="Q262" s="13">
        <v>0.59208957093140724</v>
      </c>
      <c r="R262" t="s">
        <v>249</v>
      </c>
      <c r="S262">
        <v>0.44610695385592702</v>
      </c>
      <c r="T262" t="s">
        <v>249</v>
      </c>
      <c r="U262" t="s">
        <v>33</v>
      </c>
      <c r="V262">
        <v>2</v>
      </c>
      <c r="W262">
        <v>1</v>
      </c>
      <c r="X262" t="s">
        <v>496</v>
      </c>
      <c r="Y262" t="s">
        <v>292</v>
      </c>
      <c r="Z262" t="s">
        <v>60</v>
      </c>
      <c r="AA262" t="s">
        <v>491</v>
      </c>
    </row>
    <row r="263" spans="1:27" x14ac:dyDescent="0.2">
      <c r="A263" s="1">
        <v>45972</v>
      </c>
      <c r="B263" t="s">
        <v>426</v>
      </c>
      <c r="C263" t="s">
        <v>31</v>
      </c>
      <c r="D263" t="s">
        <v>12</v>
      </c>
      <c r="E263" t="s">
        <v>852</v>
      </c>
      <c r="F263" t="s">
        <v>12</v>
      </c>
      <c r="G263">
        <v>2</v>
      </c>
      <c r="H263">
        <v>3</v>
      </c>
      <c r="I263" s="13">
        <v>0.6</v>
      </c>
      <c r="J263" t="s">
        <v>249</v>
      </c>
      <c r="L263" t="s">
        <v>248</v>
      </c>
      <c r="M263" t="s">
        <v>361</v>
      </c>
      <c r="N263" t="s">
        <v>12</v>
      </c>
      <c r="O263">
        <v>2</v>
      </c>
      <c r="P263">
        <v>3</v>
      </c>
      <c r="Q263" s="13">
        <v>0.8005092709515379</v>
      </c>
      <c r="R263" t="s">
        <v>249</v>
      </c>
      <c r="S263">
        <v>1.5031013855108719</v>
      </c>
      <c r="T263" t="s">
        <v>248</v>
      </c>
      <c r="U263" t="s">
        <v>12</v>
      </c>
      <c r="V263">
        <v>1</v>
      </c>
      <c r="W263">
        <v>4</v>
      </c>
      <c r="X263" t="s">
        <v>490</v>
      </c>
      <c r="Y263" t="s">
        <v>292</v>
      </c>
      <c r="Z263" t="s">
        <v>60</v>
      </c>
      <c r="AA263" t="s">
        <v>491</v>
      </c>
    </row>
    <row r="264" spans="1:27" x14ac:dyDescent="0.2">
      <c r="A264" s="1">
        <v>45972</v>
      </c>
      <c r="B264" t="s">
        <v>328</v>
      </c>
      <c r="C264" t="s">
        <v>39</v>
      </c>
      <c r="D264" t="s">
        <v>36</v>
      </c>
      <c r="E264" t="s">
        <v>853</v>
      </c>
      <c r="F264" t="s">
        <v>39</v>
      </c>
      <c r="G264">
        <v>2</v>
      </c>
      <c r="H264">
        <v>3</v>
      </c>
      <c r="I264" s="13">
        <v>0.6</v>
      </c>
      <c r="J264" t="s">
        <v>249</v>
      </c>
      <c r="L264" t="s">
        <v>248</v>
      </c>
      <c r="M264" t="s">
        <v>398</v>
      </c>
      <c r="N264" t="s">
        <v>39</v>
      </c>
      <c r="O264">
        <v>2</v>
      </c>
      <c r="P264">
        <v>3</v>
      </c>
      <c r="Q264" s="13">
        <v>0.66381689553569467</v>
      </c>
      <c r="R264" t="s">
        <v>249</v>
      </c>
      <c r="S264">
        <v>-0.89491780379679597</v>
      </c>
      <c r="T264" t="s">
        <v>248</v>
      </c>
      <c r="U264" t="s">
        <v>39</v>
      </c>
      <c r="V264">
        <v>3</v>
      </c>
      <c r="W264">
        <v>2</v>
      </c>
      <c r="X264" t="s">
        <v>496</v>
      </c>
      <c r="Y264" t="s">
        <v>292</v>
      </c>
      <c r="Z264" t="s">
        <v>60</v>
      </c>
      <c r="AA264" t="s">
        <v>491</v>
      </c>
    </row>
    <row r="265" spans="1:27" x14ac:dyDescent="0.2">
      <c r="A265" s="1">
        <v>45972</v>
      </c>
      <c r="B265" t="s">
        <v>328</v>
      </c>
      <c r="C265" t="s">
        <v>22</v>
      </c>
      <c r="D265" t="s">
        <v>25</v>
      </c>
      <c r="E265" t="s">
        <v>854</v>
      </c>
      <c r="F265" t="s">
        <v>25</v>
      </c>
      <c r="G265">
        <v>2</v>
      </c>
      <c r="H265">
        <v>3</v>
      </c>
      <c r="I265" s="13">
        <v>0.6</v>
      </c>
      <c r="J265" t="s">
        <v>249</v>
      </c>
      <c r="L265" t="s">
        <v>249</v>
      </c>
      <c r="M265" t="s">
        <v>855</v>
      </c>
      <c r="N265" t="s">
        <v>25</v>
      </c>
      <c r="O265">
        <v>2</v>
      </c>
      <c r="P265">
        <v>3</v>
      </c>
      <c r="Q265" s="13">
        <v>0.55407142990880653</v>
      </c>
      <c r="R265" t="s">
        <v>249</v>
      </c>
      <c r="S265">
        <v>3.4868653397958201E-2</v>
      </c>
      <c r="T265" t="s">
        <v>249</v>
      </c>
      <c r="U265" t="s">
        <v>22</v>
      </c>
      <c r="V265">
        <v>4</v>
      </c>
      <c r="W265">
        <v>1</v>
      </c>
      <c r="X265" t="s">
        <v>490</v>
      </c>
      <c r="Y265" t="s">
        <v>292</v>
      </c>
      <c r="Z265" t="s">
        <v>60</v>
      </c>
      <c r="AA265" t="s">
        <v>491</v>
      </c>
    </row>
    <row r="266" spans="1:27" x14ac:dyDescent="0.2">
      <c r="A266" s="1">
        <v>45973</v>
      </c>
      <c r="B266" t="s">
        <v>426</v>
      </c>
      <c r="C266" t="s">
        <v>24</v>
      </c>
      <c r="D266" t="s">
        <v>10</v>
      </c>
      <c r="E266" t="s">
        <v>856</v>
      </c>
      <c r="F266" t="s">
        <v>24</v>
      </c>
      <c r="G266">
        <v>2</v>
      </c>
      <c r="H266">
        <v>3</v>
      </c>
      <c r="I266" s="13">
        <v>0.6</v>
      </c>
      <c r="J266" t="s">
        <v>249</v>
      </c>
      <c r="L266" t="s">
        <v>248</v>
      </c>
      <c r="M266" t="s">
        <v>449</v>
      </c>
      <c r="N266" t="s">
        <v>24</v>
      </c>
      <c r="O266">
        <v>2</v>
      </c>
      <c r="P266">
        <v>3</v>
      </c>
      <c r="Q266" s="13">
        <v>0.49569477447551491</v>
      </c>
      <c r="R266" t="s">
        <v>249</v>
      </c>
      <c r="S266">
        <v>-0.12782575702575541</v>
      </c>
      <c r="T266" t="s">
        <v>248</v>
      </c>
      <c r="U266" t="s">
        <v>24</v>
      </c>
      <c r="V266">
        <v>4</v>
      </c>
      <c r="W266">
        <v>3</v>
      </c>
      <c r="X266" t="s">
        <v>496</v>
      </c>
      <c r="Y266" t="s">
        <v>292</v>
      </c>
      <c r="Z266" t="s">
        <v>60</v>
      </c>
      <c r="AA266" t="s">
        <v>491</v>
      </c>
    </row>
    <row r="267" spans="1:27" x14ac:dyDescent="0.2">
      <c r="A267" s="1">
        <v>45973</v>
      </c>
      <c r="B267" t="s">
        <v>334</v>
      </c>
      <c r="C267" t="s">
        <v>17</v>
      </c>
      <c r="D267" t="s">
        <v>27</v>
      </c>
      <c r="E267" t="s">
        <v>857</v>
      </c>
      <c r="F267" t="s">
        <v>27</v>
      </c>
      <c r="G267">
        <v>2</v>
      </c>
      <c r="H267">
        <v>3</v>
      </c>
      <c r="I267" s="13">
        <v>0.6</v>
      </c>
      <c r="J267" t="s">
        <v>249</v>
      </c>
      <c r="L267" t="s">
        <v>249</v>
      </c>
      <c r="M267" t="s">
        <v>858</v>
      </c>
      <c r="N267" t="s">
        <v>27</v>
      </c>
      <c r="O267">
        <v>2</v>
      </c>
      <c r="P267">
        <v>3</v>
      </c>
      <c r="Q267" s="13">
        <v>0.61092867823691233</v>
      </c>
      <c r="R267" t="s">
        <v>249</v>
      </c>
      <c r="S267">
        <v>0.48740782965436819</v>
      </c>
      <c r="T267" t="s">
        <v>249</v>
      </c>
      <c r="U267" t="s">
        <v>17</v>
      </c>
      <c r="V267">
        <v>2</v>
      </c>
      <c r="W267">
        <v>1</v>
      </c>
      <c r="X267" t="s">
        <v>496</v>
      </c>
      <c r="Y267" t="s">
        <v>292</v>
      </c>
      <c r="Z267" t="s">
        <v>60</v>
      </c>
      <c r="AA267" t="s">
        <v>491</v>
      </c>
    </row>
    <row r="268" spans="1:27" x14ac:dyDescent="0.2">
      <c r="A268" s="1">
        <v>45973</v>
      </c>
      <c r="B268" t="s">
        <v>328</v>
      </c>
      <c r="C268" t="s">
        <v>15</v>
      </c>
      <c r="D268" t="s">
        <v>37</v>
      </c>
      <c r="E268" t="s">
        <v>859</v>
      </c>
      <c r="F268" t="s">
        <v>37</v>
      </c>
      <c r="G268">
        <v>2</v>
      </c>
      <c r="H268">
        <v>3</v>
      </c>
      <c r="I268" s="13">
        <v>0.6</v>
      </c>
      <c r="J268" t="s">
        <v>249</v>
      </c>
      <c r="L268" t="s">
        <v>249</v>
      </c>
      <c r="M268" t="s">
        <v>860</v>
      </c>
      <c r="N268" t="s">
        <v>37</v>
      </c>
      <c r="O268">
        <v>2</v>
      </c>
      <c r="P268">
        <v>3</v>
      </c>
      <c r="Q268" s="13">
        <v>0.57162610749903808</v>
      </c>
      <c r="R268" t="s">
        <v>249</v>
      </c>
      <c r="S268">
        <v>0.8504396801537093</v>
      </c>
      <c r="T268" t="s">
        <v>249</v>
      </c>
      <c r="U268" t="s">
        <v>15</v>
      </c>
      <c r="V268">
        <v>7</v>
      </c>
      <c r="W268">
        <v>3</v>
      </c>
      <c r="X268" t="s">
        <v>490</v>
      </c>
      <c r="Y268" t="s">
        <v>292</v>
      </c>
      <c r="Z268" t="s">
        <v>60</v>
      </c>
      <c r="AA268" t="s">
        <v>491</v>
      </c>
    </row>
    <row r="269" spans="1:27" x14ac:dyDescent="0.2">
      <c r="A269" s="1">
        <v>45973</v>
      </c>
      <c r="B269" t="s">
        <v>326</v>
      </c>
      <c r="C269" t="s">
        <v>23</v>
      </c>
      <c r="D269" t="s">
        <v>55</v>
      </c>
      <c r="E269" t="s">
        <v>861</v>
      </c>
      <c r="F269" t="s">
        <v>55</v>
      </c>
      <c r="G269">
        <v>2</v>
      </c>
      <c r="H269">
        <v>3</v>
      </c>
      <c r="I269" s="13">
        <v>0.6</v>
      </c>
      <c r="J269" t="s">
        <v>249</v>
      </c>
      <c r="L269" t="s">
        <v>248</v>
      </c>
      <c r="M269" t="s">
        <v>362</v>
      </c>
      <c r="N269" t="s">
        <v>55</v>
      </c>
      <c r="O269">
        <v>2</v>
      </c>
      <c r="P269">
        <v>3</v>
      </c>
      <c r="Q269" s="13">
        <v>0.59478015295826725</v>
      </c>
      <c r="R269" t="s">
        <v>249</v>
      </c>
      <c r="S269">
        <v>0.1228878956425697</v>
      </c>
      <c r="T269" t="s">
        <v>248</v>
      </c>
      <c r="U269" t="s">
        <v>55</v>
      </c>
      <c r="V269">
        <v>2</v>
      </c>
      <c r="W269">
        <v>5</v>
      </c>
      <c r="X269" t="s">
        <v>490</v>
      </c>
      <c r="Y269" t="s">
        <v>292</v>
      </c>
      <c r="Z269" t="s">
        <v>60</v>
      </c>
      <c r="AA269" t="s">
        <v>491</v>
      </c>
    </row>
    <row r="270" spans="1:27" x14ac:dyDescent="0.2">
      <c r="A270" s="1">
        <v>45974</v>
      </c>
      <c r="B270" t="s">
        <v>322</v>
      </c>
      <c r="C270" t="s">
        <v>30</v>
      </c>
      <c r="D270" t="s">
        <v>20</v>
      </c>
      <c r="E270" t="s">
        <v>862</v>
      </c>
      <c r="F270" t="s">
        <v>20</v>
      </c>
      <c r="G270">
        <v>2</v>
      </c>
      <c r="H270">
        <v>3</v>
      </c>
      <c r="I270" s="13">
        <v>0.6</v>
      </c>
      <c r="J270" t="s">
        <v>249</v>
      </c>
      <c r="L270" t="s">
        <v>249</v>
      </c>
      <c r="M270" t="s">
        <v>863</v>
      </c>
      <c r="N270" t="s">
        <v>20</v>
      </c>
      <c r="O270">
        <v>2</v>
      </c>
      <c r="P270">
        <v>3</v>
      </c>
      <c r="Q270" s="13">
        <v>0.47279377178607768</v>
      </c>
      <c r="R270" t="s">
        <v>249</v>
      </c>
      <c r="S270">
        <v>4.6391916043858603E-2</v>
      </c>
      <c r="T270" t="s">
        <v>249</v>
      </c>
      <c r="U270" t="s">
        <v>30</v>
      </c>
      <c r="V270">
        <v>4</v>
      </c>
      <c r="W270">
        <v>3</v>
      </c>
      <c r="X270" t="s">
        <v>496</v>
      </c>
      <c r="Y270" t="s">
        <v>292</v>
      </c>
      <c r="Z270" t="s">
        <v>60</v>
      </c>
      <c r="AA270" t="s">
        <v>491</v>
      </c>
    </row>
    <row r="271" spans="1:27" x14ac:dyDescent="0.2">
      <c r="A271" s="1">
        <v>45974</v>
      </c>
      <c r="B271" t="s">
        <v>328</v>
      </c>
      <c r="C271" t="s">
        <v>13</v>
      </c>
      <c r="D271" t="s">
        <v>19</v>
      </c>
      <c r="E271" t="s">
        <v>864</v>
      </c>
      <c r="F271" t="s">
        <v>13</v>
      </c>
      <c r="G271">
        <v>2</v>
      </c>
      <c r="H271">
        <v>3</v>
      </c>
      <c r="I271" s="13">
        <v>0.6</v>
      </c>
      <c r="J271" t="s">
        <v>249</v>
      </c>
      <c r="L271" t="s">
        <v>248</v>
      </c>
      <c r="M271" t="s">
        <v>628</v>
      </c>
      <c r="N271" t="s">
        <v>13</v>
      </c>
      <c r="O271">
        <v>2</v>
      </c>
      <c r="P271">
        <v>3</v>
      </c>
      <c r="Q271" s="13">
        <v>0.55507427747143212</v>
      </c>
      <c r="R271" t="s">
        <v>249</v>
      </c>
      <c r="S271">
        <v>-0.24629424371860439</v>
      </c>
      <c r="T271" t="s">
        <v>248</v>
      </c>
      <c r="U271" t="s">
        <v>13</v>
      </c>
      <c r="V271">
        <v>4</v>
      </c>
      <c r="W271">
        <v>3</v>
      </c>
      <c r="X271" t="s">
        <v>496</v>
      </c>
      <c r="Y271" t="s">
        <v>292</v>
      </c>
      <c r="Z271" t="s">
        <v>60</v>
      </c>
      <c r="AA271" t="s">
        <v>491</v>
      </c>
    </row>
    <row r="272" spans="1:27" x14ac:dyDescent="0.2">
      <c r="A272" s="1">
        <v>45974</v>
      </c>
      <c r="B272" t="s">
        <v>322</v>
      </c>
      <c r="C272" t="s">
        <v>40</v>
      </c>
      <c r="D272" t="s">
        <v>32</v>
      </c>
      <c r="E272" t="s">
        <v>865</v>
      </c>
      <c r="F272" t="s">
        <v>40</v>
      </c>
      <c r="G272">
        <v>2</v>
      </c>
      <c r="H272">
        <v>3</v>
      </c>
      <c r="I272" s="13">
        <v>0.6</v>
      </c>
      <c r="J272" t="s">
        <v>249</v>
      </c>
      <c r="L272" t="s">
        <v>249</v>
      </c>
      <c r="M272" t="s">
        <v>652</v>
      </c>
      <c r="N272" t="s">
        <v>40</v>
      </c>
      <c r="O272">
        <v>2</v>
      </c>
      <c r="P272">
        <v>3</v>
      </c>
      <c r="Q272" s="13">
        <v>0.51419135214663902</v>
      </c>
      <c r="R272" t="s">
        <v>249</v>
      </c>
      <c r="S272">
        <v>-0.28623466257213598</v>
      </c>
      <c r="T272" t="s">
        <v>249</v>
      </c>
      <c r="U272" t="s">
        <v>32</v>
      </c>
      <c r="V272">
        <v>3</v>
      </c>
      <c r="W272">
        <v>5</v>
      </c>
      <c r="X272" t="s">
        <v>490</v>
      </c>
      <c r="Y272" t="s">
        <v>292</v>
      </c>
      <c r="Z272" t="s">
        <v>60</v>
      </c>
      <c r="AA272" t="s">
        <v>491</v>
      </c>
    </row>
    <row r="273" spans="1:27" x14ac:dyDescent="0.2">
      <c r="A273" s="1">
        <v>45974</v>
      </c>
      <c r="B273" t="s">
        <v>328</v>
      </c>
      <c r="C273" t="s">
        <v>21</v>
      </c>
      <c r="D273" t="s">
        <v>36</v>
      </c>
      <c r="E273" t="s">
        <v>702</v>
      </c>
      <c r="F273" t="s">
        <v>21</v>
      </c>
      <c r="G273">
        <v>2</v>
      </c>
      <c r="H273">
        <v>3</v>
      </c>
      <c r="I273" s="13">
        <v>0.6</v>
      </c>
      <c r="J273" t="s">
        <v>249</v>
      </c>
      <c r="L273" t="s">
        <v>249</v>
      </c>
      <c r="M273" t="s">
        <v>703</v>
      </c>
      <c r="N273" t="s">
        <v>21</v>
      </c>
      <c r="O273">
        <v>2</v>
      </c>
      <c r="P273">
        <v>3</v>
      </c>
      <c r="Q273" s="13">
        <v>0.48889131780087369</v>
      </c>
      <c r="R273" t="s">
        <v>249</v>
      </c>
      <c r="S273">
        <v>-0.26170554149394448</v>
      </c>
      <c r="T273" t="s">
        <v>249</v>
      </c>
      <c r="U273" t="s">
        <v>36</v>
      </c>
      <c r="V273">
        <v>3</v>
      </c>
      <c r="W273">
        <v>5</v>
      </c>
      <c r="X273" t="s">
        <v>490</v>
      </c>
      <c r="Y273" t="s">
        <v>292</v>
      </c>
      <c r="Z273" t="s">
        <v>60</v>
      </c>
      <c r="AA273" t="s">
        <v>491</v>
      </c>
    </row>
    <row r="274" spans="1:27" x14ac:dyDescent="0.2">
      <c r="A274" s="1">
        <v>45974</v>
      </c>
      <c r="B274" t="s">
        <v>326</v>
      </c>
      <c r="C274" t="s">
        <v>33</v>
      </c>
      <c r="D274" t="s">
        <v>16</v>
      </c>
      <c r="E274" t="s">
        <v>866</v>
      </c>
      <c r="F274" t="s">
        <v>33</v>
      </c>
      <c r="G274">
        <v>2</v>
      </c>
      <c r="H274">
        <v>3</v>
      </c>
      <c r="I274" s="13">
        <v>0.6</v>
      </c>
      <c r="J274" t="s">
        <v>249</v>
      </c>
      <c r="L274" t="s">
        <v>249</v>
      </c>
      <c r="M274" t="s">
        <v>867</v>
      </c>
      <c r="N274" t="s">
        <v>33</v>
      </c>
      <c r="O274">
        <v>2</v>
      </c>
      <c r="P274">
        <v>3</v>
      </c>
      <c r="Q274" s="13">
        <v>0.52591949068755661</v>
      </c>
      <c r="R274" t="s">
        <v>249</v>
      </c>
      <c r="S274">
        <v>-0.56454953773921501</v>
      </c>
      <c r="T274" t="s">
        <v>249</v>
      </c>
      <c r="U274" t="s">
        <v>16</v>
      </c>
      <c r="V274">
        <v>0</v>
      </c>
      <c r="W274">
        <v>2</v>
      </c>
      <c r="X274" t="s">
        <v>490</v>
      </c>
      <c r="Y274" t="s">
        <v>292</v>
      </c>
      <c r="Z274" t="s">
        <v>60</v>
      </c>
      <c r="AA274" t="s">
        <v>491</v>
      </c>
    </row>
    <row r="275" spans="1:27" x14ac:dyDescent="0.2">
      <c r="A275" s="1">
        <v>45974</v>
      </c>
      <c r="B275" t="s">
        <v>328</v>
      </c>
      <c r="C275" t="s">
        <v>22</v>
      </c>
      <c r="D275" t="s">
        <v>11</v>
      </c>
      <c r="E275" t="s">
        <v>868</v>
      </c>
      <c r="F275" t="s">
        <v>22</v>
      </c>
      <c r="G275">
        <v>2</v>
      </c>
      <c r="H275">
        <v>3</v>
      </c>
      <c r="I275" s="13">
        <v>0.6</v>
      </c>
      <c r="J275" t="s">
        <v>249</v>
      </c>
      <c r="L275" t="s">
        <v>249</v>
      </c>
      <c r="M275" t="s">
        <v>869</v>
      </c>
      <c r="N275" t="s">
        <v>22</v>
      </c>
      <c r="O275">
        <v>2</v>
      </c>
      <c r="P275">
        <v>3</v>
      </c>
      <c r="Q275" s="13">
        <v>0.58037393944359772</v>
      </c>
      <c r="R275" t="s">
        <v>249</v>
      </c>
      <c r="S275">
        <v>-0.78792477499470093</v>
      </c>
      <c r="T275" t="s">
        <v>249</v>
      </c>
      <c r="U275" t="s">
        <v>11</v>
      </c>
      <c r="V275">
        <v>3</v>
      </c>
      <c r="W275">
        <v>6</v>
      </c>
      <c r="X275" t="s">
        <v>490</v>
      </c>
      <c r="Y275" t="s">
        <v>292</v>
      </c>
      <c r="Z275" t="s">
        <v>60</v>
      </c>
      <c r="AA275" t="s">
        <v>491</v>
      </c>
    </row>
    <row r="276" spans="1:27" x14ac:dyDescent="0.2">
      <c r="A276" s="1">
        <v>45974</v>
      </c>
      <c r="B276" t="s">
        <v>328</v>
      </c>
      <c r="C276" t="s">
        <v>31</v>
      </c>
      <c r="D276" t="s">
        <v>26</v>
      </c>
      <c r="E276" t="s">
        <v>870</v>
      </c>
      <c r="F276" t="s">
        <v>31</v>
      </c>
      <c r="G276">
        <v>2</v>
      </c>
      <c r="H276">
        <v>3</v>
      </c>
      <c r="I276" s="13">
        <v>0.6</v>
      </c>
      <c r="J276" t="s">
        <v>249</v>
      </c>
      <c r="L276" t="s">
        <v>249</v>
      </c>
      <c r="M276" t="s">
        <v>871</v>
      </c>
      <c r="N276" t="s">
        <v>31</v>
      </c>
      <c r="O276">
        <v>2</v>
      </c>
      <c r="P276">
        <v>3</v>
      </c>
      <c r="Q276" s="13">
        <v>0.59801761042551338</v>
      </c>
      <c r="R276" t="s">
        <v>249</v>
      </c>
      <c r="S276">
        <v>-1.0041418379484131</v>
      </c>
      <c r="T276" t="s">
        <v>249</v>
      </c>
      <c r="U276" t="s">
        <v>26</v>
      </c>
      <c r="V276">
        <v>3</v>
      </c>
      <c r="W276">
        <v>6</v>
      </c>
      <c r="X276" t="s">
        <v>490</v>
      </c>
      <c r="Y276" t="s">
        <v>292</v>
      </c>
      <c r="Z276" t="s">
        <v>60</v>
      </c>
      <c r="AA276" t="s">
        <v>491</v>
      </c>
    </row>
    <row r="277" spans="1:27" x14ac:dyDescent="0.2">
      <c r="A277" s="1">
        <v>45974</v>
      </c>
      <c r="B277" t="s">
        <v>326</v>
      </c>
      <c r="C277" t="s">
        <v>23</v>
      </c>
      <c r="D277" t="s">
        <v>12</v>
      </c>
      <c r="E277" t="s">
        <v>872</v>
      </c>
      <c r="F277" t="s">
        <v>12</v>
      </c>
      <c r="G277">
        <v>2</v>
      </c>
      <c r="H277">
        <v>3</v>
      </c>
      <c r="I277" s="13">
        <v>0.6</v>
      </c>
      <c r="J277" t="s">
        <v>249</v>
      </c>
      <c r="L277" t="s">
        <v>248</v>
      </c>
      <c r="M277" t="s">
        <v>361</v>
      </c>
      <c r="N277" t="s">
        <v>12</v>
      </c>
      <c r="O277">
        <v>2</v>
      </c>
      <c r="P277">
        <v>3</v>
      </c>
      <c r="Q277" s="13">
        <v>0.89629830338808214</v>
      </c>
      <c r="R277" t="s">
        <v>249</v>
      </c>
      <c r="S277">
        <v>2.1579148430907278</v>
      </c>
      <c r="T277" t="s">
        <v>248</v>
      </c>
      <c r="U277" t="s">
        <v>12</v>
      </c>
      <c r="V277">
        <v>3</v>
      </c>
      <c r="W277">
        <v>6</v>
      </c>
      <c r="X277" t="s">
        <v>490</v>
      </c>
      <c r="Y277" t="s">
        <v>292</v>
      </c>
      <c r="Z277" t="s">
        <v>60</v>
      </c>
      <c r="AA277" t="s">
        <v>491</v>
      </c>
    </row>
    <row r="278" spans="1:27" x14ac:dyDescent="0.2">
      <c r="A278" s="1">
        <v>45974</v>
      </c>
      <c r="B278" t="s">
        <v>328</v>
      </c>
      <c r="C278" t="s">
        <v>39</v>
      </c>
      <c r="D278" t="s">
        <v>18</v>
      </c>
      <c r="E278" t="s">
        <v>873</v>
      </c>
      <c r="F278" t="s">
        <v>39</v>
      </c>
      <c r="G278">
        <v>2</v>
      </c>
      <c r="H278">
        <v>3</v>
      </c>
      <c r="I278" s="13">
        <v>0.6</v>
      </c>
      <c r="J278" t="s">
        <v>249</v>
      </c>
      <c r="L278" t="s">
        <v>248</v>
      </c>
      <c r="M278" t="s">
        <v>398</v>
      </c>
      <c r="N278" t="s">
        <v>39</v>
      </c>
      <c r="O278">
        <v>2</v>
      </c>
      <c r="P278">
        <v>3</v>
      </c>
      <c r="Q278" s="13">
        <v>0.67347523248448404</v>
      </c>
      <c r="R278" t="s">
        <v>249</v>
      </c>
      <c r="S278">
        <v>-0.95643138120578242</v>
      </c>
      <c r="T278" t="s">
        <v>248</v>
      </c>
      <c r="U278" t="s">
        <v>39</v>
      </c>
      <c r="V278">
        <v>7</v>
      </c>
      <c r="W278">
        <v>0</v>
      </c>
      <c r="X278" t="s">
        <v>490</v>
      </c>
      <c r="Y278" t="s">
        <v>292</v>
      </c>
      <c r="Z278" t="s">
        <v>60</v>
      </c>
      <c r="AA278" t="s">
        <v>491</v>
      </c>
    </row>
    <row r="279" spans="1:27" x14ac:dyDescent="0.2">
      <c r="A279" s="1">
        <v>45974</v>
      </c>
      <c r="B279" t="s">
        <v>334</v>
      </c>
      <c r="C279" t="s">
        <v>17</v>
      </c>
      <c r="D279" t="s">
        <v>28</v>
      </c>
      <c r="E279" t="s">
        <v>874</v>
      </c>
      <c r="F279" t="s">
        <v>28</v>
      </c>
      <c r="G279">
        <v>2</v>
      </c>
      <c r="H279">
        <v>3</v>
      </c>
      <c r="I279" s="13">
        <v>0.6</v>
      </c>
      <c r="J279" t="s">
        <v>249</v>
      </c>
      <c r="L279" t="s">
        <v>248</v>
      </c>
      <c r="M279" t="s">
        <v>730</v>
      </c>
      <c r="N279" t="s">
        <v>28</v>
      </c>
      <c r="O279">
        <v>2</v>
      </c>
      <c r="P279">
        <v>3</v>
      </c>
      <c r="Q279" s="13">
        <v>0.57183684667358736</v>
      </c>
      <c r="R279" t="s">
        <v>249</v>
      </c>
      <c r="S279">
        <v>0.2726580088101439</v>
      </c>
      <c r="T279" t="s">
        <v>248</v>
      </c>
      <c r="U279" t="s">
        <v>28</v>
      </c>
      <c r="V279">
        <v>4</v>
      </c>
      <c r="W279">
        <v>5</v>
      </c>
      <c r="X279" t="s">
        <v>490</v>
      </c>
      <c r="Y279" t="s">
        <v>292</v>
      </c>
      <c r="Z279" t="s">
        <v>60</v>
      </c>
      <c r="AA279" t="s">
        <v>491</v>
      </c>
    </row>
    <row r="280" spans="1:27" x14ac:dyDescent="0.2">
      <c r="A280" s="1">
        <v>45975</v>
      </c>
      <c r="B280" t="s">
        <v>326</v>
      </c>
      <c r="C280" t="s">
        <v>30</v>
      </c>
      <c r="D280" t="s">
        <v>55</v>
      </c>
      <c r="E280" t="s">
        <v>875</v>
      </c>
      <c r="F280" t="s">
        <v>30</v>
      </c>
      <c r="G280">
        <v>2</v>
      </c>
      <c r="H280">
        <v>3</v>
      </c>
      <c r="I280" s="13">
        <v>0.6</v>
      </c>
      <c r="J280" t="s">
        <v>249</v>
      </c>
      <c r="L280" t="s">
        <v>248</v>
      </c>
      <c r="M280" t="s">
        <v>580</v>
      </c>
      <c r="N280" t="s">
        <v>30</v>
      </c>
      <c r="O280">
        <v>2</v>
      </c>
      <c r="P280">
        <v>3</v>
      </c>
      <c r="Q280" s="13">
        <v>0.50473168987713912</v>
      </c>
      <c r="R280" t="s">
        <v>249</v>
      </c>
      <c r="S280">
        <v>-0.11229054265668741</v>
      </c>
      <c r="T280" t="s">
        <v>248</v>
      </c>
      <c r="U280" t="s">
        <v>30</v>
      </c>
      <c r="V280">
        <v>3</v>
      </c>
      <c r="W280">
        <v>2</v>
      </c>
      <c r="X280" t="s">
        <v>496</v>
      </c>
      <c r="Y280" t="s">
        <v>292</v>
      </c>
      <c r="Z280" t="s">
        <v>60</v>
      </c>
      <c r="AA280" t="s">
        <v>491</v>
      </c>
    </row>
    <row r="281" spans="1:27" x14ac:dyDescent="0.2">
      <c r="A281" s="1">
        <v>45975</v>
      </c>
      <c r="B281" t="s">
        <v>459</v>
      </c>
      <c r="C281" t="s">
        <v>14</v>
      </c>
      <c r="D281" t="s">
        <v>29</v>
      </c>
      <c r="E281" t="s">
        <v>876</v>
      </c>
      <c r="F281" t="s">
        <v>14</v>
      </c>
      <c r="G281">
        <v>2</v>
      </c>
      <c r="H281">
        <v>3</v>
      </c>
      <c r="I281" s="13">
        <v>0.6</v>
      </c>
      <c r="J281" t="s">
        <v>249</v>
      </c>
      <c r="L281" t="s">
        <v>249</v>
      </c>
      <c r="M281" t="s">
        <v>877</v>
      </c>
      <c r="N281" t="s">
        <v>14</v>
      </c>
      <c r="O281">
        <v>2</v>
      </c>
      <c r="P281">
        <v>3</v>
      </c>
      <c r="Q281" s="13">
        <v>0.63855816958625278</v>
      </c>
      <c r="R281" t="s">
        <v>249</v>
      </c>
      <c r="S281">
        <v>-1.192752313321408</v>
      </c>
      <c r="T281" t="s">
        <v>249</v>
      </c>
      <c r="U281" t="s">
        <v>29</v>
      </c>
      <c r="V281">
        <v>1</v>
      </c>
      <c r="W281">
        <v>2</v>
      </c>
      <c r="X281" t="s">
        <v>496</v>
      </c>
      <c r="Y281" t="s">
        <v>292</v>
      </c>
      <c r="Z281" t="s">
        <v>60</v>
      </c>
      <c r="AA281" t="s">
        <v>491</v>
      </c>
    </row>
    <row r="282" spans="1:27" x14ac:dyDescent="0.2">
      <c r="A282" s="1">
        <v>45975</v>
      </c>
      <c r="B282" t="s">
        <v>324</v>
      </c>
      <c r="C282" t="s">
        <v>27</v>
      </c>
      <c r="D282" t="s">
        <v>35</v>
      </c>
      <c r="E282" t="s">
        <v>878</v>
      </c>
      <c r="F282" t="s">
        <v>27</v>
      </c>
      <c r="G282">
        <v>2</v>
      </c>
      <c r="H282">
        <v>3</v>
      </c>
      <c r="I282" s="13">
        <v>0.6</v>
      </c>
      <c r="J282" t="s">
        <v>249</v>
      </c>
      <c r="L282" t="s">
        <v>248</v>
      </c>
      <c r="M282" t="s">
        <v>393</v>
      </c>
      <c r="N282" t="s">
        <v>27</v>
      </c>
      <c r="O282">
        <v>2</v>
      </c>
      <c r="P282">
        <v>3</v>
      </c>
      <c r="Q282" s="13">
        <v>0.61511326154149359</v>
      </c>
      <c r="R282" t="s">
        <v>249</v>
      </c>
      <c r="S282">
        <v>-0.96433803951824404</v>
      </c>
      <c r="T282" t="s">
        <v>248</v>
      </c>
      <c r="U282" t="s">
        <v>27</v>
      </c>
      <c r="V282">
        <v>6</v>
      </c>
      <c r="W282">
        <v>5</v>
      </c>
      <c r="X282" t="s">
        <v>496</v>
      </c>
      <c r="Y282" t="s">
        <v>292</v>
      </c>
      <c r="Z282" t="s">
        <v>60</v>
      </c>
      <c r="AA282" t="s">
        <v>491</v>
      </c>
    </row>
    <row r="283" spans="1:27" x14ac:dyDescent="0.2">
      <c r="A283" s="1">
        <v>45975</v>
      </c>
      <c r="B283" t="s">
        <v>328</v>
      </c>
      <c r="C283" t="s">
        <v>38</v>
      </c>
      <c r="D283" t="s">
        <v>25</v>
      </c>
      <c r="E283" t="s">
        <v>879</v>
      </c>
      <c r="F283" t="s">
        <v>25</v>
      </c>
      <c r="G283">
        <v>2</v>
      </c>
      <c r="H283">
        <v>3</v>
      </c>
      <c r="I283" s="13">
        <v>0.6</v>
      </c>
      <c r="J283" t="s">
        <v>249</v>
      </c>
      <c r="L283" t="s">
        <v>248</v>
      </c>
      <c r="M283" t="s">
        <v>450</v>
      </c>
      <c r="N283" t="s">
        <v>25</v>
      </c>
      <c r="O283">
        <v>2</v>
      </c>
      <c r="P283">
        <v>3</v>
      </c>
      <c r="Q283" s="13">
        <v>0.75442116247126945</v>
      </c>
      <c r="R283" t="s">
        <v>249</v>
      </c>
      <c r="S283">
        <v>1.423253641362519</v>
      </c>
      <c r="T283" t="s">
        <v>248</v>
      </c>
      <c r="U283" t="s">
        <v>25</v>
      </c>
      <c r="V283">
        <v>3</v>
      </c>
      <c r="W283">
        <v>4</v>
      </c>
      <c r="X283" t="s">
        <v>496</v>
      </c>
      <c r="Y283" t="s">
        <v>292</v>
      </c>
      <c r="Z283" t="s">
        <v>60</v>
      </c>
      <c r="AA283" t="s">
        <v>491</v>
      </c>
    </row>
    <row r="284" spans="1:27" x14ac:dyDescent="0.2">
      <c r="A284" s="1">
        <v>45976</v>
      </c>
      <c r="B284" t="s">
        <v>328</v>
      </c>
      <c r="C284" t="s">
        <v>24</v>
      </c>
      <c r="D284" t="s">
        <v>22</v>
      </c>
      <c r="E284" t="s">
        <v>880</v>
      </c>
      <c r="F284" t="s">
        <v>22</v>
      </c>
      <c r="G284">
        <v>2</v>
      </c>
      <c r="H284">
        <v>3</v>
      </c>
      <c r="I284" s="13">
        <v>0.6</v>
      </c>
      <c r="J284" t="s">
        <v>249</v>
      </c>
      <c r="L284" t="s">
        <v>249</v>
      </c>
      <c r="M284" t="s">
        <v>881</v>
      </c>
      <c r="N284" t="s">
        <v>22</v>
      </c>
      <c r="O284">
        <v>2</v>
      </c>
      <c r="P284">
        <v>3</v>
      </c>
      <c r="Q284" s="13">
        <v>0.6025615888223681</v>
      </c>
      <c r="R284" t="s">
        <v>249</v>
      </c>
      <c r="S284">
        <v>0.48907773101231511</v>
      </c>
      <c r="T284" t="s">
        <v>249</v>
      </c>
      <c r="U284" t="s">
        <v>24</v>
      </c>
      <c r="V284">
        <v>3</v>
      </c>
      <c r="W284">
        <v>2</v>
      </c>
      <c r="X284" t="s">
        <v>496</v>
      </c>
      <c r="Y284" t="s">
        <v>292</v>
      </c>
      <c r="Z284" t="s">
        <v>60</v>
      </c>
      <c r="AA284" t="s">
        <v>491</v>
      </c>
    </row>
    <row r="285" spans="1:27" x14ac:dyDescent="0.2">
      <c r="A285" s="1">
        <v>45976</v>
      </c>
      <c r="B285" t="s">
        <v>324</v>
      </c>
      <c r="C285" t="s">
        <v>20</v>
      </c>
      <c r="D285" t="s">
        <v>35</v>
      </c>
      <c r="E285" t="s">
        <v>882</v>
      </c>
      <c r="F285" t="s">
        <v>20</v>
      </c>
      <c r="G285">
        <v>2</v>
      </c>
      <c r="H285">
        <v>3</v>
      </c>
      <c r="I285" s="13">
        <v>0.6</v>
      </c>
      <c r="J285" t="s">
        <v>249</v>
      </c>
      <c r="L285" t="s">
        <v>248</v>
      </c>
      <c r="M285" t="s">
        <v>510</v>
      </c>
      <c r="N285" t="s">
        <v>20</v>
      </c>
      <c r="O285">
        <v>2</v>
      </c>
      <c r="P285">
        <v>3</v>
      </c>
      <c r="Q285" s="13">
        <v>0.58845720740840357</v>
      </c>
      <c r="R285" t="s">
        <v>249</v>
      </c>
      <c r="S285">
        <v>-1.1001367927039241</v>
      </c>
      <c r="T285" t="s">
        <v>248</v>
      </c>
      <c r="U285" t="s">
        <v>20</v>
      </c>
      <c r="V285">
        <v>4</v>
      </c>
      <c r="W285">
        <v>1</v>
      </c>
      <c r="X285" t="s">
        <v>490</v>
      </c>
      <c r="Y285" t="s">
        <v>292</v>
      </c>
      <c r="Z285" t="s">
        <v>60</v>
      </c>
      <c r="AA285" t="s">
        <v>491</v>
      </c>
    </row>
    <row r="286" spans="1:27" x14ac:dyDescent="0.2">
      <c r="A286" s="1">
        <v>45976</v>
      </c>
      <c r="B286" t="s">
        <v>322</v>
      </c>
      <c r="C286" t="s">
        <v>33</v>
      </c>
      <c r="D286" t="s">
        <v>32</v>
      </c>
      <c r="E286" t="s">
        <v>792</v>
      </c>
      <c r="F286" t="s">
        <v>33</v>
      </c>
      <c r="G286">
        <v>2</v>
      </c>
      <c r="H286">
        <v>3</v>
      </c>
      <c r="I286" s="13">
        <v>0.6</v>
      </c>
      <c r="J286" t="s">
        <v>249</v>
      </c>
      <c r="L286" t="s">
        <v>249</v>
      </c>
      <c r="M286" t="s">
        <v>883</v>
      </c>
      <c r="N286" t="s">
        <v>33</v>
      </c>
      <c r="O286">
        <v>2</v>
      </c>
      <c r="P286">
        <v>3</v>
      </c>
      <c r="Q286" s="13">
        <v>0.47729817289275139</v>
      </c>
      <c r="R286" t="s">
        <v>249</v>
      </c>
      <c r="S286">
        <v>-0.1481454939726842</v>
      </c>
      <c r="T286" t="s">
        <v>249</v>
      </c>
      <c r="U286" t="s">
        <v>32</v>
      </c>
      <c r="V286">
        <v>1</v>
      </c>
      <c r="W286">
        <v>4</v>
      </c>
      <c r="X286" t="s">
        <v>490</v>
      </c>
      <c r="Y286" t="s">
        <v>292</v>
      </c>
      <c r="Z286" t="s">
        <v>60</v>
      </c>
      <c r="AA286" t="s">
        <v>491</v>
      </c>
    </row>
    <row r="287" spans="1:27" x14ac:dyDescent="0.2">
      <c r="A287" s="1">
        <v>45976</v>
      </c>
      <c r="B287" t="s">
        <v>328</v>
      </c>
      <c r="C287" t="s">
        <v>21</v>
      </c>
      <c r="D287" t="s">
        <v>18</v>
      </c>
      <c r="E287" t="s">
        <v>884</v>
      </c>
      <c r="F287" t="s">
        <v>21</v>
      </c>
      <c r="G287">
        <v>2</v>
      </c>
      <c r="H287">
        <v>3</v>
      </c>
      <c r="I287" s="13">
        <v>0.6</v>
      </c>
      <c r="J287" t="s">
        <v>249</v>
      </c>
      <c r="L287" t="s">
        <v>248</v>
      </c>
      <c r="M287" t="s">
        <v>465</v>
      </c>
      <c r="N287" t="s">
        <v>21</v>
      </c>
      <c r="O287">
        <v>2</v>
      </c>
      <c r="P287">
        <v>3</v>
      </c>
      <c r="Q287" s="13">
        <v>0.49857009559320381</v>
      </c>
      <c r="R287" t="s">
        <v>249</v>
      </c>
      <c r="S287">
        <v>-0.32321911890293109</v>
      </c>
      <c r="T287" t="s">
        <v>248</v>
      </c>
      <c r="U287" t="s">
        <v>21</v>
      </c>
      <c r="V287">
        <v>3</v>
      </c>
      <c r="W287">
        <v>2</v>
      </c>
      <c r="X287" t="s">
        <v>490</v>
      </c>
      <c r="Y287" t="s">
        <v>292</v>
      </c>
      <c r="Z287" t="s">
        <v>60</v>
      </c>
      <c r="AA287" t="s">
        <v>491</v>
      </c>
    </row>
    <row r="288" spans="1:27" x14ac:dyDescent="0.2">
      <c r="A288" s="1">
        <v>45976</v>
      </c>
      <c r="B288" t="s">
        <v>469</v>
      </c>
      <c r="C288" t="s">
        <v>31</v>
      </c>
      <c r="D288" t="s">
        <v>34</v>
      </c>
      <c r="E288" t="s">
        <v>885</v>
      </c>
      <c r="F288" t="s">
        <v>31</v>
      </c>
      <c r="G288">
        <v>2</v>
      </c>
      <c r="H288">
        <v>3</v>
      </c>
      <c r="I288" s="13">
        <v>0.6</v>
      </c>
      <c r="J288" t="s">
        <v>249</v>
      </c>
      <c r="L288" t="s">
        <v>249</v>
      </c>
      <c r="M288" t="s">
        <v>886</v>
      </c>
      <c r="N288" t="s">
        <v>31</v>
      </c>
      <c r="O288">
        <v>2</v>
      </c>
      <c r="P288">
        <v>3</v>
      </c>
      <c r="Q288" s="13">
        <v>0.50224542963658214</v>
      </c>
      <c r="R288" t="s">
        <v>249</v>
      </c>
      <c r="S288">
        <v>-0.18392706036558271</v>
      </c>
      <c r="T288" t="s">
        <v>249</v>
      </c>
      <c r="U288" t="s">
        <v>34</v>
      </c>
      <c r="V288">
        <v>0</v>
      </c>
      <c r="W288">
        <v>2</v>
      </c>
      <c r="X288" t="s">
        <v>490</v>
      </c>
      <c r="Y288" t="s">
        <v>292</v>
      </c>
      <c r="Z288" t="s">
        <v>60</v>
      </c>
      <c r="AA288" t="s">
        <v>491</v>
      </c>
    </row>
    <row r="289" spans="1:27" x14ac:dyDescent="0.2">
      <c r="A289" s="1">
        <v>45976</v>
      </c>
      <c r="B289" t="s">
        <v>328</v>
      </c>
      <c r="C289" t="s">
        <v>13</v>
      </c>
      <c r="D289" t="s">
        <v>36</v>
      </c>
      <c r="E289" t="s">
        <v>887</v>
      </c>
      <c r="F289" t="s">
        <v>13</v>
      </c>
      <c r="G289">
        <v>2</v>
      </c>
      <c r="H289">
        <v>3</v>
      </c>
      <c r="I289" s="13">
        <v>0.6</v>
      </c>
      <c r="J289" t="s">
        <v>249</v>
      </c>
      <c r="L289" t="s">
        <v>248</v>
      </c>
      <c r="M289" t="s">
        <v>628</v>
      </c>
      <c r="N289" t="s">
        <v>13</v>
      </c>
      <c r="O289">
        <v>2</v>
      </c>
      <c r="P289">
        <v>3</v>
      </c>
      <c r="Q289" s="13">
        <v>0.54052926852435756</v>
      </c>
      <c r="R289" t="s">
        <v>249</v>
      </c>
      <c r="S289">
        <v>-0.14319170326446251</v>
      </c>
      <c r="T289" t="s">
        <v>248</v>
      </c>
      <c r="U289" t="s">
        <v>13</v>
      </c>
      <c r="V289">
        <v>1</v>
      </c>
      <c r="W289">
        <v>0</v>
      </c>
      <c r="X289" t="s">
        <v>490</v>
      </c>
      <c r="Y289" t="s">
        <v>292</v>
      </c>
      <c r="Z289" t="s">
        <v>60</v>
      </c>
      <c r="AA289" t="s">
        <v>491</v>
      </c>
    </row>
    <row r="290" spans="1:27" x14ac:dyDescent="0.2">
      <c r="A290" s="1">
        <v>45976</v>
      </c>
      <c r="B290" t="s">
        <v>324</v>
      </c>
      <c r="C290" t="s">
        <v>27</v>
      </c>
      <c r="D290" t="s">
        <v>39</v>
      </c>
      <c r="E290" t="s">
        <v>888</v>
      </c>
      <c r="F290" t="s">
        <v>39</v>
      </c>
      <c r="G290">
        <v>2</v>
      </c>
      <c r="H290">
        <v>3</v>
      </c>
      <c r="I290" s="13">
        <v>0.6</v>
      </c>
      <c r="J290" t="s">
        <v>249</v>
      </c>
      <c r="L290" t="s">
        <v>248</v>
      </c>
      <c r="M290" t="s">
        <v>398</v>
      </c>
      <c r="N290" t="s">
        <v>39</v>
      </c>
      <c r="O290">
        <v>2</v>
      </c>
      <c r="P290">
        <v>3</v>
      </c>
      <c r="Q290" s="13">
        <v>0.62862122822447553</v>
      </c>
      <c r="R290" t="s">
        <v>249</v>
      </c>
      <c r="S290">
        <v>0.84358283428459835</v>
      </c>
      <c r="T290" t="s">
        <v>248</v>
      </c>
      <c r="U290" t="s">
        <v>39</v>
      </c>
      <c r="V290">
        <v>1</v>
      </c>
      <c r="W290">
        <v>5</v>
      </c>
      <c r="X290" t="s">
        <v>490</v>
      </c>
      <c r="Y290" t="s">
        <v>292</v>
      </c>
      <c r="Z290" t="s">
        <v>60</v>
      </c>
      <c r="AA290" t="s">
        <v>491</v>
      </c>
    </row>
    <row r="291" spans="1:27" x14ac:dyDescent="0.2">
      <c r="A291" s="1">
        <v>45976</v>
      </c>
      <c r="B291" t="s">
        <v>328</v>
      </c>
      <c r="C291" t="s">
        <v>19</v>
      </c>
      <c r="D291" t="s">
        <v>10</v>
      </c>
      <c r="E291" t="s">
        <v>889</v>
      </c>
      <c r="F291" t="s">
        <v>10</v>
      </c>
      <c r="G291">
        <v>2</v>
      </c>
      <c r="H291">
        <v>3</v>
      </c>
      <c r="I291" s="13">
        <v>0.6</v>
      </c>
      <c r="J291" t="s">
        <v>249</v>
      </c>
      <c r="L291" t="s">
        <v>248</v>
      </c>
      <c r="M291" t="s">
        <v>303</v>
      </c>
      <c r="N291" t="s">
        <v>10</v>
      </c>
      <c r="O291">
        <v>2</v>
      </c>
      <c r="P291">
        <v>3</v>
      </c>
      <c r="Q291" s="13">
        <v>0.59933787542753747</v>
      </c>
      <c r="R291" t="s">
        <v>249</v>
      </c>
      <c r="S291">
        <v>0.50818308505782939</v>
      </c>
      <c r="T291" t="s">
        <v>248</v>
      </c>
      <c r="U291" t="s">
        <v>10</v>
      </c>
      <c r="V291">
        <v>2</v>
      </c>
      <c r="W291">
        <v>3</v>
      </c>
      <c r="X291" t="s">
        <v>490</v>
      </c>
      <c r="Y291" t="s">
        <v>292</v>
      </c>
      <c r="Z291" t="s">
        <v>60</v>
      </c>
      <c r="AA291" t="s">
        <v>491</v>
      </c>
    </row>
    <row r="292" spans="1:27" x14ac:dyDescent="0.2">
      <c r="A292" s="1">
        <v>45976</v>
      </c>
      <c r="B292" t="s">
        <v>322</v>
      </c>
      <c r="C292" t="s">
        <v>40</v>
      </c>
      <c r="D292" t="s">
        <v>16</v>
      </c>
      <c r="E292" t="s">
        <v>618</v>
      </c>
      <c r="F292" t="s">
        <v>40</v>
      </c>
      <c r="G292">
        <v>2</v>
      </c>
      <c r="H292">
        <v>3</v>
      </c>
      <c r="I292" s="13">
        <v>0.6</v>
      </c>
      <c r="J292" t="s">
        <v>249</v>
      </c>
      <c r="L292" t="s">
        <v>248</v>
      </c>
      <c r="M292" t="s">
        <v>315</v>
      </c>
      <c r="N292" t="s">
        <v>40</v>
      </c>
      <c r="O292">
        <v>2</v>
      </c>
      <c r="P292">
        <v>3</v>
      </c>
      <c r="Q292" s="13">
        <v>0.56281266994144419</v>
      </c>
      <c r="R292" t="s">
        <v>249</v>
      </c>
      <c r="S292">
        <v>-0.70263870633866676</v>
      </c>
      <c r="T292" t="s">
        <v>248</v>
      </c>
      <c r="U292" t="s">
        <v>40</v>
      </c>
      <c r="V292">
        <v>4</v>
      </c>
      <c r="W292">
        <v>3</v>
      </c>
      <c r="X292" t="s">
        <v>496</v>
      </c>
      <c r="Y292" t="s">
        <v>292</v>
      </c>
      <c r="Z292" t="s">
        <v>60</v>
      </c>
      <c r="AA292" t="s">
        <v>491</v>
      </c>
    </row>
    <row r="293" spans="1:27" x14ac:dyDescent="0.2">
      <c r="A293" s="1">
        <v>45976</v>
      </c>
      <c r="B293" t="s">
        <v>328</v>
      </c>
      <c r="C293" t="s">
        <v>15</v>
      </c>
      <c r="D293" t="s">
        <v>28</v>
      </c>
      <c r="E293" t="s">
        <v>890</v>
      </c>
      <c r="F293" t="s">
        <v>15</v>
      </c>
      <c r="G293">
        <v>2</v>
      </c>
      <c r="H293">
        <v>3</v>
      </c>
      <c r="I293" s="13">
        <v>0.6</v>
      </c>
      <c r="J293" t="s">
        <v>249</v>
      </c>
      <c r="L293" t="s">
        <v>248</v>
      </c>
      <c r="M293" t="s">
        <v>518</v>
      </c>
      <c r="N293" t="s">
        <v>15</v>
      </c>
      <c r="O293">
        <v>2</v>
      </c>
      <c r="P293">
        <v>3</v>
      </c>
      <c r="Q293" s="13">
        <v>0.5898628635660369</v>
      </c>
      <c r="R293" t="s">
        <v>249</v>
      </c>
      <c r="S293">
        <v>-0.2550546709434352</v>
      </c>
      <c r="T293" t="s">
        <v>248</v>
      </c>
      <c r="U293" t="s">
        <v>15</v>
      </c>
      <c r="V293">
        <v>2</v>
      </c>
      <c r="W293">
        <v>1</v>
      </c>
      <c r="X293" t="s">
        <v>496</v>
      </c>
      <c r="Y293" t="s">
        <v>292</v>
      </c>
      <c r="Z293" t="s">
        <v>60</v>
      </c>
      <c r="AA293" t="s">
        <v>491</v>
      </c>
    </row>
    <row r="294" spans="1:27" x14ac:dyDescent="0.2">
      <c r="A294" s="1">
        <v>45976</v>
      </c>
      <c r="B294" t="s">
        <v>328</v>
      </c>
      <c r="C294" t="s">
        <v>17</v>
      </c>
      <c r="D294" t="s">
        <v>25</v>
      </c>
      <c r="E294" t="s">
        <v>891</v>
      </c>
      <c r="F294" t="s">
        <v>25</v>
      </c>
      <c r="G294">
        <v>2</v>
      </c>
      <c r="H294">
        <v>3</v>
      </c>
      <c r="I294" s="13">
        <v>0.6</v>
      </c>
      <c r="J294" t="s">
        <v>249</v>
      </c>
      <c r="L294" t="s">
        <v>249</v>
      </c>
      <c r="M294" t="s">
        <v>892</v>
      </c>
      <c r="N294" t="s">
        <v>25</v>
      </c>
      <c r="O294">
        <v>2</v>
      </c>
      <c r="P294">
        <v>3</v>
      </c>
      <c r="Q294" s="13">
        <v>0.74273047217949051</v>
      </c>
      <c r="R294" t="s">
        <v>249</v>
      </c>
      <c r="S294">
        <v>1.2933225504892369</v>
      </c>
      <c r="T294" t="s">
        <v>249</v>
      </c>
      <c r="U294" t="s">
        <v>17</v>
      </c>
      <c r="V294">
        <v>4</v>
      </c>
      <c r="W294">
        <v>3</v>
      </c>
      <c r="X294" t="s">
        <v>496</v>
      </c>
      <c r="Y294" t="s">
        <v>292</v>
      </c>
      <c r="Z294" t="s">
        <v>60</v>
      </c>
      <c r="AA294" t="s">
        <v>491</v>
      </c>
    </row>
    <row r="295" spans="1:27" x14ac:dyDescent="0.2">
      <c r="A295" s="1">
        <v>45976</v>
      </c>
      <c r="B295" t="s">
        <v>328</v>
      </c>
      <c r="C295" t="s">
        <v>23</v>
      </c>
      <c r="D295" t="s">
        <v>26</v>
      </c>
      <c r="E295" t="s">
        <v>893</v>
      </c>
      <c r="F295" t="s">
        <v>23</v>
      </c>
      <c r="G295">
        <v>2</v>
      </c>
      <c r="H295">
        <v>3</v>
      </c>
      <c r="I295" s="13">
        <v>0.6</v>
      </c>
      <c r="J295" t="s">
        <v>249</v>
      </c>
      <c r="L295" t="s">
        <v>248</v>
      </c>
      <c r="M295" t="s">
        <v>296</v>
      </c>
      <c r="N295" t="s">
        <v>23</v>
      </c>
      <c r="O295">
        <v>2</v>
      </c>
      <c r="P295">
        <v>3</v>
      </c>
      <c r="Q295" s="13">
        <v>0.5007892441269548</v>
      </c>
      <c r="R295" t="s">
        <v>249</v>
      </c>
      <c r="S295">
        <v>-0.34932838036855729</v>
      </c>
      <c r="T295" t="s">
        <v>248</v>
      </c>
      <c r="U295" t="s">
        <v>23</v>
      </c>
      <c r="V295">
        <v>5</v>
      </c>
      <c r="W295">
        <v>4</v>
      </c>
      <c r="X295" t="s">
        <v>496</v>
      </c>
      <c r="Y295" t="s">
        <v>292</v>
      </c>
      <c r="Z295" t="s">
        <v>60</v>
      </c>
      <c r="AA295" t="s">
        <v>491</v>
      </c>
    </row>
    <row r="296" spans="1:27" x14ac:dyDescent="0.2">
      <c r="A296" s="1">
        <v>45976</v>
      </c>
      <c r="B296" t="s">
        <v>365</v>
      </c>
      <c r="C296" t="s">
        <v>37</v>
      </c>
      <c r="D296" t="s">
        <v>11</v>
      </c>
      <c r="E296" t="s">
        <v>894</v>
      </c>
      <c r="F296" t="s">
        <v>37</v>
      </c>
      <c r="G296">
        <v>2</v>
      </c>
      <c r="H296">
        <v>3</v>
      </c>
      <c r="I296" s="13">
        <v>0.6</v>
      </c>
      <c r="J296" t="s">
        <v>249</v>
      </c>
      <c r="L296" t="s">
        <v>248</v>
      </c>
      <c r="M296" t="s">
        <v>395</v>
      </c>
      <c r="N296" t="s">
        <v>37</v>
      </c>
      <c r="O296">
        <v>2</v>
      </c>
      <c r="P296">
        <v>3</v>
      </c>
      <c r="Q296" s="13">
        <v>0.63861329811960532</v>
      </c>
      <c r="R296" t="s">
        <v>249</v>
      </c>
      <c r="S296">
        <v>-0.85772248888754832</v>
      </c>
      <c r="T296" t="s">
        <v>248</v>
      </c>
      <c r="U296" t="s">
        <v>37</v>
      </c>
      <c r="V296">
        <v>3</v>
      </c>
      <c r="W296">
        <v>1</v>
      </c>
      <c r="X296" t="s">
        <v>490</v>
      </c>
      <c r="Y296" t="s">
        <v>292</v>
      </c>
      <c r="Z296" t="s">
        <v>60</v>
      </c>
      <c r="AA296" t="s">
        <v>491</v>
      </c>
    </row>
    <row r="297" spans="1:27" x14ac:dyDescent="0.2">
      <c r="A297" s="1">
        <v>45977</v>
      </c>
      <c r="B297" t="s">
        <v>326</v>
      </c>
      <c r="C297" t="s">
        <v>30</v>
      </c>
      <c r="D297" t="s">
        <v>12</v>
      </c>
      <c r="E297" t="s">
        <v>895</v>
      </c>
      <c r="F297" t="s">
        <v>12</v>
      </c>
      <c r="G297">
        <v>2</v>
      </c>
      <c r="H297">
        <v>3</v>
      </c>
      <c r="I297" s="13">
        <v>0.6</v>
      </c>
      <c r="J297" t="s">
        <v>249</v>
      </c>
      <c r="L297" t="s">
        <v>248</v>
      </c>
      <c r="M297" t="s">
        <v>361</v>
      </c>
      <c r="N297" t="s">
        <v>12</v>
      </c>
      <c r="O297">
        <v>2</v>
      </c>
      <c r="P297">
        <v>3</v>
      </c>
      <c r="Q297" s="13">
        <v>0.79972909176145879</v>
      </c>
      <c r="R297" t="s">
        <v>249</v>
      </c>
      <c r="S297">
        <v>1.922736404791471</v>
      </c>
      <c r="T297" t="s">
        <v>248</v>
      </c>
      <c r="U297" t="s">
        <v>12</v>
      </c>
      <c r="V297">
        <v>1</v>
      </c>
      <c r="W297">
        <v>4</v>
      </c>
      <c r="X297" t="s">
        <v>490</v>
      </c>
      <c r="Y297" t="s">
        <v>292</v>
      </c>
      <c r="Z297" t="s">
        <v>60</v>
      </c>
      <c r="AA297" t="s">
        <v>491</v>
      </c>
    </row>
    <row r="298" spans="1:27" x14ac:dyDescent="0.2">
      <c r="A298" s="1">
        <v>45977</v>
      </c>
      <c r="B298" t="s">
        <v>469</v>
      </c>
      <c r="C298" t="s">
        <v>20</v>
      </c>
      <c r="D298" t="s">
        <v>34</v>
      </c>
      <c r="E298" t="s">
        <v>896</v>
      </c>
      <c r="F298" t="s">
        <v>34</v>
      </c>
      <c r="G298">
        <v>2</v>
      </c>
      <c r="H298">
        <v>3</v>
      </c>
      <c r="I298" s="13">
        <v>0.6</v>
      </c>
      <c r="J298" t="s">
        <v>249</v>
      </c>
      <c r="L298" t="s">
        <v>248</v>
      </c>
      <c r="M298" t="s">
        <v>343</v>
      </c>
      <c r="N298" t="s">
        <v>34</v>
      </c>
      <c r="O298">
        <v>2</v>
      </c>
      <c r="P298">
        <v>3</v>
      </c>
      <c r="Q298" s="13">
        <v>0.56793209102985243</v>
      </c>
      <c r="R298" t="s">
        <v>249</v>
      </c>
      <c r="S298">
        <v>0.23921679179432001</v>
      </c>
      <c r="T298" t="s">
        <v>248</v>
      </c>
      <c r="U298" t="s">
        <v>34</v>
      </c>
      <c r="V298">
        <v>2</v>
      </c>
      <c r="W298">
        <v>3</v>
      </c>
      <c r="X298" t="s">
        <v>496</v>
      </c>
      <c r="Y298" t="s">
        <v>292</v>
      </c>
      <c r="Z298" t="s">
        <v>60</v>
      </c>
      <c r="AA298" t="s">
        <v>491</v>
      </c>
    </row>
    <row r="299" spans="1:27" x14ac:dyDescent="0.2">
      <c r="A299" s="1">
        <v>45977</v>
      </c>
      <c r="B299" t="s">
        <v>328</v>
      </c>
      <c r="C299" t="s">
        <v>26</v>
      </c>
      <c r="D299" t="s">
        <v>15</v>
      </c>
      <c r="E299" t="s">
        <v>897</v>
      </c>
      <c r="F299" t="s">
        <v>15</v>
      </c>
      <c r="G299">
        <v>2</v>
      </c>
      <c r="H299">
        <v>3</v>
      </c>
      <c r="I299" s="13">
        <v>0.6</v>
      </c>
      <c r="J299" t="s">
        <v>249</v>
      </c>
      <c r="L299" t="s">
        <v>249</v>
      </c>
      <c r="M299" t="s">
        <v>898</v>
      </c>
      <c r="N299" t="s">
        <v>15</v>
      </c>
      <c r="O299">
        <v>2</v>
      </c>
      <c r="P299">
        <v>3</v>
      </c>
      <c r="Q299" s="13">
        <v>0.61416971394212327</v>
      </c>
      <c r="R299" t="s">
        <v>249</v>
      </c>
      <c r="S299">
        <v>0.63520632947152933</v>
      </c>
      <c r="T299" t="s">
        <v>249</v>
      </c>
      <c r="U299" t="s">
        <v>26</v>
      </c>
      <c r="V299">
        <v>2</v>
      </c>
      <c r="W299">
        <v>1</v>
      </c>
      <c r="X299" t="s">
        <v>490</v>
      </c>
      <c r="Y299" t="s">
        <v>292</v>
      </c>
      <c r="Z299" t="s">
        <v>60</v>
      </c>
      <c r="AA299" t="s">
        <v>491</v>
      </c>
    </row>
    <row r="300" spans="1:27" x14ac:dyDescent="0.2">
      <c r="A300" s="1">
        <v>45977</v>
      </c>
      <c r="B300" t="s">
        <v>899</v>
      </c>
      <c r="C300" t="s">
        <v>29</v>
      </c>
      <c r="D300" t="s">
        <v>14</v>
      </c>
      <c r="E300" t="s">
        <v>900</v>
      </c>
      <c r="F300" t="s">
        <v>14</v>
      </c>
      <c r="G300">
        <v>2</v>
      </c>
      <c r="H300">
        <v>3</v>
      </c>
      <c r="I300" s="13">
        <v>0.6</v>
      </c>
      <c r="J300" t="s">
        <v>249</v>
      </c>
      <c r="L300" t="s">
        <v>248</v>
      </c>
      <c r="M300" t="s">
        <v>451</v>
      </c>
      <c r="N300" t="s">
        <v>14</v>
      </c>
      <c r="O300">
        <v>2</v>
      </c>
      <c r="P300">
        <v>3</v>
      </c>
      <c r="Q300" s="13">
        <v>0.69092473418656142</v>
      </c>
      <c r="R300" t="s">
        <v>249</v>
      </c>
      <c r="S300">
        <v>1.292553811167733</v>
      </c>
      <c r="T300" t="s">
        <v>248</v>
      </c>
      <c r="U300" t="s">
        <v>14</v>
      </c>
      <c r="V300">
        <v>0</v>
      </c>
      <c r="W300">
        <v>4</v>
      </c>
      <c r="X300" t="s">
        <v>490</v>
      </c>
      <c r="Y300" t="s">
        <v>292</v>
      </c>
      <c r="Z300" t="s">
        <v>60</v>
      </c>
      <c r="AA300" t="s">
        <v>491</v>
      </c>
    </row>
    <row r="301" spans="1:27" x14ac:dyDescent="0.2">
      <c r="A301" s="1">
        <v>45977</v>
      </c>
      <c r="B301" t="s">
        <v>365</v>
      </c>
      <c r="C301" t="s">
        <v>38</v>
      </c>
      <c r="D301" t="s">
        <v>37</v>
      </c>
      <c r="E301" t="s">
        <v>901</v>
      </c>
      <c r="F301" t="s">
        <v>37</v>
      </c>
      <c r="G301">
        <v>2</v>
      </c>
      <c r="H301">
        <v>3</v>
      </c>
      <c r="I301" s="13">
        <v>0.6</v>
      </c>
      <c r="J301" t="s">
        <v>249</v>
      </c>
      <c r="L301" t="s">
        <v>249</v>
      </c>
      <c r="M301" t="s">
        <v>902</v>
      </c>
      <c r="N301" t="s">
        <v>37</v>
      </c>
      <c r="O301">
        <v>2</v>
      </c>
      <c r="P301">
        <v>3</v>
      </c>
      <c r="Q301" s="13">
        <v>0.74481137974873002</v>
      </c>
      <c r="R301" t="s">
        <v>249</v>
      </c>
      <c r="S301">
        <v>1.5080834507805709</v>
      </c>
      <c r="T301" t="s">
        <v>249</v>
      </c>
      <c r="U301" t="s">
        <v>38</v>
      </c>
      <c r="V301">
        <v>6</v>
      </c>
      <c r="W301">
        <v>2</v>
      </c>
      <c r="X301" t="s">
        <v>490</v>
      </c>
      <c r="Y301" t="s">
        <v>292</v>
      </c>
      <c r="Z301" t="s">
        <v>60</v>
      </c>
      <c r="AA301" t="s">
        <v>491</v>
      </c>
    </row>
    <row r="302" spans="1:27" x14ac:dyDescent="0.2">
      <c r="A302" s="1">
        <v>45978</v>
      </c>
      <c r="B302" t="s">
        <v>289</v>
      </c>
      <c r="C302" t="s">
        <v>55</v>
      </c>
      <c r="D302" t="s">
        <v>31</v>
      </c>
      <c r="E302" t="s">
        <v>290</v>
      </c>
      <c r="F302" t="s">
        <v>31</v>
      </c>
      <c r="G302">
        <v>4</v>
      </c>
      <c r="H302">
        <v>5</v>
      </c>
      <c r="I302" s="13">
        <v>0.96</v>
      </c>
      <c r="J302" t="s">
        <v>249</v>
      </c>
      <c r="L302" t="s">
        <v>248</v>
      </c>
      <c r="M302" t="s">
        <v>291</v>
      </c>
      <c r="N302" t="s">
        <v>31</v>
      </c>
      <c r="O302">
        <v>2</v>
      </c>
      <c r="P302">
        <v>4</v>
      </c>
      <c r="Q302" s="13">
        <v>0.75549999999999995</v>
      </c>
      <c r="R302" t="s">
        <v>249</v>
      </c>
      <c r="S302">
        <v>0.8</v>
      </c>
      <c r="T302" t="s">
        <v>248</v>
      </c>
      <c r="U302" t="s">
        <v>31</v>
      </c>
      <c r="V302">
        <v>2</v>
      </c>
      <c r="W302">
        <v>3</v>
      </c>
      <c r="X302" t="s">
        <v>496</v>
      </c>
      <c r="Y302" t="s">
        <v>292</v>
      </c>
      <c r="Z302" t="s">
        <v>60</v>
      </c>
      <c r="AA302" t="s">
        <v>491</v>
      </c>
    </row>
    <row r="303" spans="1:27" x14ac:dyDescent="0.2">
      <c r="A303" s="1">
        <v>45978</v>
      </c>
      <c r="B303" t="s">
        <v>293</v>
      </c>
      <c r="C303" t="s">
        <v>25</v>
      </c>
      <c r="D303" t="s">
        <v>21</v>
      </c>
      <c r="E303" t="s">
        <v>294</v>
      </c>
      <c r="F303" t="s">
        <v>21</v>
      </c>
      <c r="G303">
        <v>3</v>
      </c>
      <c r="H303">
        <v>4</v>
      </c>
      <c r="I303" s="13">
        <v>0.54630000000000001</v>
      </c>
      <c r="J303" t="s">
        <v>249</v>
      </c>
      <c r="L303" t="s">
        <v>249</v>
      </c>
      <c r="M303" t="s">
        <v>379</v>
      </c>
      <c r="N303" t="s">
        <v>25</v>
      </c>
      <c r="O303">
        <v>2</v>
      </c>
      <c r="P303">
        <v>3</v>
      </c>
      <c r="Q303" s="13">
        <v>0.54330000000000001</v>
      </c>
      <c r="R303" t="s">
        <v>249</v>
      </c>
      <c r="S303">
        <v>-0.47</v>
      </c>
      <c r="T303" t="s">
        <v>248</v>
      </c>
      <c r="U303" t="s">
        <v>25</v>
      </c>
      <c r="V303">
        <v>3</v>
      </c>
      <c r="W303">
        <v>1</v>
      </c>
      <c r="X303" t="s">
        <v>490</v>
      </c>
      <c r="Y303" t="s">
        <v>292</v>
      </c>
      <c r="Z303" t="s">
        <v>60</v>
      </c>
      <c r="AA303" t="s">
        <v>491</v>
      </c>
    </row>
    <row r="304" spans="1:27" x14ac:dyDescent="0.2">
      <c r="A304" s="1">
        <v>45978</v>
      </c>
      <c r="B304" t="s">
        <v>293</v>
      </c>
      <c r="C304" t="s">
        <v>17</v>
      </c>
      <c r="D304" t="s">
        <v>23</v>
      </c>
      <c r="E304" t="s">
        <v>295</v>
      </c>
      <c r="F304" t="s">
        <v>23</v>
      </c>
      <c r="G304">
        <v>3</v>
      </c>
      <c r="H304">
        <v>4</v>
      </c>
      <c r="I304" s="13">
        <v>0.55500000000000005</v>
      </c>
      <c r="J304" t="s">
        <v>249</v>
      </c>
      <c r="L304" t="s">
        <v>248</v>
      </c>
      <c r="M304" t="s">
        <v>296</v>
      </c>
      <c r="N304" t="s">
        <v>17</v>
      </c>
      <c r="O304">
        <v>2</v>
      </c>
      <c r="P304">
        <v>3</v>
      </c>
      <c r="Q304" s="13">
        <v>0.47189999999999999</v>
      </c>
      <c r="R304" t="s">
        <v>248</v>
      </c>
      <c r="S304">
        <v>-0.09</v>
      </c>
      <c r="T304" t="s">
        <v>249</v>
      </c>
      <c r="U304" t="s">
        <v>23</v>
      </c>
      <c r="V304">
        <v>1</v>
      </c>
      <c r="W304">
        <v>5</v>
      </c>
      <c r="X304" t="s">
        <v>490</v>
      </c>
      <c r="Y304" t="s">
        <v>292</v>
      </c>
      <c r="Z304" t="s">
        <v>60</v>
      </c>
      <c r="AA304" t="s">
        <v>491</v>
      </c>
    </row>
    <row r="305" spans="1:27" x14ac:dyDescent="0.2">
      <c r="A305" s="1">
        <v>45978</v>
      </c>
      <c r="B305" t="s">
        <v>297</v>
      </c>
      <c r="C305" t="s">
        <v>18</v>
      </c>
      <c r="D305" t="s">
        <v>28</v>
      </c>
      <c r="E305" t="s">
        <v>298</v>
      </c>
      <c r="F305" t="s">
        <v>18</v>
      </c>
      <c r="G305">
        <v>4</v>
      </c>
      <c r="H305">
        <v>3</v>
      </c>
      <c r="I305" s="13">
        <v>0.7097</v>
      </c>
      <c r="J305" t="s">
        <v>249</v>
      </c>
      <c r="L305" t="s">
        <v>249</v>
      </c>
      <c r="M305" t="s">
        <v>380</v>
      </c>
      <c r="N305" t="s">
        <v>28</v>
      </c>
      <c r="O305">
        <v>2</v>
      </c>
      <c r="P305">
        <v>3</v>
      </c>
      <c r="Q305" s="13">
        <v>0.50209999999999999</v>
      </c>
      <c r="R305" t="s">
        <v>248</v>
      </c>
      <c r="S305">
        <v>0.28000000000000003</v>
      </c>
      <c r="T305" t="s">
        <v>248</v>
      </c>
      <c r="U305" t="s">
        <v>28</v>
      </c>
      <c r="V305">
        <v>3</v>
      </c>
      <c r="W305">
        <v>4</v>
      </c>
      <c r="X305" t="s">
        <v>496</v>
      </c>
      <c r="Y305" t="s">
        <v>292</v>
      </c>
      <c r="Z305" t="s">
        <v>60</v>
      </c>
      <c r="AA305" t="s">
        <v>491</v>
      </c>
    </row>
    <row r="306" spans="1:27" x14ac:dyDescent="0.2">
      <c r="A306" s="1">
        <v>45978</v>
      </c>
      <c r="B306" t="s">
        <v>293</v>
      </c>
      <c r="C306" t="s">
        <v>38</v>
      </c>
      <c r="D306" t="s">
        <v>11</v>
      </c>
      <c r="E306" t="s">
        <v>299</v>
      </c>
      <c r="F306" t="s">
        <v>38</v>
      </c>
      <c r="G306">
        <v>5</v>
      </c>
      <c r="H306">
        <v>4</v>
      </c>
      <c r="I306" s="13">
        <v>0.5766</v>
      </c>
      <c r="J306" t="s">
        <v>249</v>
      </c>
      <c r="L306" t="s">
        <v>249</v>
      </c>
      <c r="M306" t="s">
        <v>381</v>
      </c>
      <c r="N306" t="s">
        <v>11</v>
      </c>
      <c r="O306">
        <v>2</v>
      </c>
      <c r="P306">
        <v>4</v>
      </c>
      <c r="Q306" s="13">
        <v>0.62919999999999998</v>
      </c>
      <c r="R306" t="s">
        <v>249</v>
      </c>
      <c r="S306">
        <v>0.56999999999999995</v>
      </c>
      <c r="T306" t="s">
        <v>248</v>
      </c>
      <c r="U306" t="s">
        <v>11</v>
      </c>
      <c r="V306">
        <v>5</v>
      </c>
      <c r="W306">
        <v>8</v>
      </c>
      <c r="X306" t="s">
        <v>490</v>
      </c>
      <c r="Y306" t="s">
        <v>292</v>
      </c>
      <c r="Z306" t="s">
        <v>60</v>
      </c>
      <c r="AA306" t="s">
        <v>491</v>
      </c>
    </row>
    <row r="307" spans="1:27" x14ac:dyDescent="0.2">
      <c r="A307" s="1">
        <v>45978</v>
      </c>
      <c r="B307" t="s">
        <v>293</v>
      </c>
      <c r="C307" t="s">
        <v>13</v>
      </c>
      <c r="D307" t="s">
        <v>22</v>
      </c>
      <c r="E307" t="s">
        <v>300</v>
      </c>
      <c r="F307" t="s">
        <v>13</v>
      </c>
      <c r="G307">
        <v>4</v>
      </c>
      <c r="H307">
        <v>1</v>
      </c>
      <c r="I307" s="13">
        <v>0.84499999999999997</v>
      </c>
      <c r="J307" t="s">
        <v>249</v>
      </c>
      <c r="L307" t="s">
        <v>249</v>
      </c>
      <c r="M307" t="s">
        <v>382</v>
      </c>
      <c r="N307" t="s">
        <v>22</v>
      </c>
      <c r="O307">
        <v>2</v>
      </c>
      <c r="P307">
        <v>3</v>
      </c>
      <c r="Q307" s="13">
        <v>0.44309999999999999</v>
      </c>
      <c r="R307" t="s">
        <v>248</v>
      </c>
      <c r="S307">
        <v>0.18</v>
      </c>
      <c r="T307" t="s">
        <v>248</v>
      </c>
      <c r="U307" t="s">
        <v>22</v>
      </c>
      <c r="V307">
        <v>1</v>
      </c>
      <c r="W307">
        <v>2</v>
      </c>
      <c r="X307" t="s">
        <v>490</v>
      </c>
      <c r="Y307" t="s">
        <v>292</v>
      </c>
      <c r="Z307" t="s">
        <v>60</v>
      </c>
      <c r="AA307" t="s">
        <v>491</v>
      </c>
    </row>
    <row r="308" spans="1:27" x14ac:dyDescent="0.2">
      <c r="A308" s="1">
        <v>45979</v>
      </c>
      <c r="B308" t="s">
        <v>293</v>
      </c>
      <c r="C308" t="s">
        <v>24</v>
      </c>
      <c r="D308" t="s">
        <v>37</v>
      </c>
      <c r="E308" t="s">
        <v>310</v>
      </c>
      <c r="F308" t="s">
        <v>24</v>
      </c>
      <c r="G308">
        <v>4</v>
      </c>
      <c r="H308">
        <v>3</v>
      </c>
      <c r="I308" s="13">
        <v>0.66</v>
      </c>
      <c r="J308" t="s">
        <v>249</v>
      </c>
      <c r="L308" t="s">
        <v>249</v>
      </c>
      <c r="M308" t="s">
        <v>384</v>
      </c>
      <c r="N308" t="s">
        <v>24</v>
      </c>
      <c r="O308">
        <v>2</v>
      </c>
      <c r="P308">
        <v>3</v>
      </c>
      <c r="Q308" s="13">
        <v>0.59699999999999998</v>
      </c>
      <c r="R308" t="s">
        <v>249</v>
      </c>
      <c r="S308">
        <v>-0.49</v>
      </c>
      <c r="T308" t="s">
        <v>249</v>
      </c>
      <c r="U308" t="s">
        <v>37</v>
      </c>
      <c r="V308">
        <v>1</v>
      </c>
      <c r="W308">
        <v>5</v>
      </c>
      <c r="X308" t="s">
        <v>490</v>
      </c>
      <c r="Y308" t="s">
        <v>292</v>
      </c>
      <c r="Z308" t="s">
        <v>60</v>
      </c>
      <c r="AA308" t="s">
        <v>491</v>
      </c>
    </row>
    <row r="309" spans="1:27" x14ac:dyDescent="0.2">
      <c r="A309" s="1">
        <v>45979</v>
      </c>
      <c r="B309" t="s">
        <v>289</v>
      </c>
      <c r="C309" t="s">
        <v>55</v>
      </c>
      <c r="D309" t="s">
        <v>33</v>
      </c>
      <c r="E309" t="s">
        <v>308</v>
      </c>
      <c r="F309" t="s">
        <v>33</v>
      </c>
      <c r="G309">
        <v>3</v>
      </c>
      <c r="H309">
        <v>4</v>
      </c>
      <c r="I309" s="13">
        <v>0.51419999999999999</v>
      </c>
      <c r="J309" t="s">
        <v>249</v>
      </c>
      <c r="L309" t="s">
        <v>248</v>
      </c>
      <c r="M309" t="s">
        <v>309</v>
      </c>
      <c r="N309" t="s">
        <v>55</v>
      </c>
      <c r="O309">
        <v>2</v>
      </c>
      <c r="P309">
        <v>3</v>
      </c>
      <c r="Q309" s="13">
        <v>0.47210000000000002</v>
      </c>
      <c r="R309" t="s">
        <v>248</v>
      </c>
      <c r="S309">
        <v>-0.08</v>
      </c>
      <c r="T309" t="s">
        <v>249</v>
      </c>
      <c r="U309" t="s">
        <v>33</v>
      </c>
      <c r="V309">
        <v>2</v>
      </c>
      <c r="W309">
        <v>3</v>
      </c>
      <c r="X309" t="s">
        <v>496</v>
      </c>
      <c r="Y309" t="s">
        <v>292</v>
      </c>
      <c r="Z309" t="s">
        <v>60</v>
      </c>
      <c r="AA309" t="s">
        <v>491</v>
      </c>
    </row>
    <row r="310" spans="1:27" x14ac:dyDescent="0.2">
      <c r="A310" s="1">
        <v>45979</v>
      </c>
      <c r="B310" t="s">
        <v>293</v>
      </c>
      <c r="C310" t="s">
        <v>32</v>
      </c>
      <c r="D310" t="s">
        <v>26</v>
      </c>
      <c r="E310" t="s">
        <v>306</v>
      </c>
      <c r="F310" t="s">
        <v>26</v>
      </c>
      <c r="G310">
        <v>3</v>
      </c>
      <c r="H310">
        <v>4</v>
      </c>
      <c r="I310" s="13">
        <v>0.51580000000000004</v>
      </c>
      <c r="J310" t="s">
        <v>249</v>
      </c>
      <c r="L310" t="s">
        <v>248</v>
      </c>
      <c r="M310" t="s">
        <v>307</v>
      </c>
      <c r="N310" t="s">
        <v>26</v>
      </c>
      <c r="O310">
        <v>2</v>
      </c>
      <c r="P310">
        <v>3</v>
      </c>
      <c r="Q310" s="13">
        <v>0.57440000000000002</v>
      </c>
      <c r="R310" t="s">
        <v>248</v>
      </c>
      <c r="S310">
        <v>0.06</v>
      </c>
      <c r="T310" t="s">
        <v>248</v>
      </c>
      <c r="U310" t="s">
        <v>26</v>
      </c>
      <c r="V310">
        <v>2</v>
      </c>
      <c r="W310">
        <v>4</v>
      </c>
      <c r="X310" t="s">
        <v>490</v>
      </c>
      <c r="Y310" t="s">
        <v>292</v>
      </c>
      <c r="Z310" t="s">
        <v>60</v>
      </c>
      <c r="AA310" t="s">
        <v>491</v>
      </c>
    </row>
    <row r="311" spans="1:27" x14ac:dyDescent="0.2">
      <c r="A311" s="1">
        <v>45979</v>
      </c>
      <c r="B311" t="s">
        <v>304</v>
      </c>
      <c r="C311" t="s">
        <v>28</v>
      </c>
      <c r="D311" t="s">
        <v>40</v>
      </c>
      <c r="E311" t="s">
        <v>314</v>
      </c>
      <c r="F311" t="s">
        <v>40</v>
      </c>
      <c r="G311">
        <v>3</v>
      </c>
      <c r="H311">
        <v>4</v>
      </c>
      <c r="I311" s="13">
        <v>0.67559999999999998</v>
      </c>
      <c r="J311" t="s">
        <v>249</v>
      </c>
      <c r="L311" t="s">
        <v>248</v>
      </c>
      <c r="M311" t="s">
        <v>315</v>
      </c>
      <c r="N311" t="s">
        <v>40</v>
      </c>
      <c r="O311">
        <v>2</v>
      </c>
      <c r="P311">
        <v>4</v>
      </c>
      <c r="Q311" s="13">
        <v>0.64970000000000006</v>
      </c>
      <c r="R311" t="s">
        <v>249</v>
      </c>
      <c r="S311">
        <v>0.66</v>
      </c>
      <c r="T311" t="s">
        <v>248</v>
      </c>
      <c r="U311" t="s">
        <v>40</v>
      </c>
      <c r="V311">
        <v>2</v>
      </c>
      <c r="W311">
        <v>5</v>
      </c>
      <c r="X311" t="s">
        <v>490</v>
      </c>
      <c r="Y311" t="s">
        <v>292</v>
      </c>
      <c r="Z311" t="s">
        <v>60</v>
      </c>
      <c r="AA311" t="s">
        <v>491</v>
      </c>
    </row>
    <row r="312" spans="1:27" x14ac:dyDescent="0.2">
      <c r="A312" s="1">
        <v>45979</v>
      </c>
      <c r="B312" t="s">
        <v>293</v>
      </c>
      <c r="C312" t="s">
        <v>35</v>
      </c>
      <c r="D312" t="s">
        <v>19</v>
      </c>
      <c r="E312" t="s">
        <v>311</v>
      </c>
      <c r="F312" t="s">
        <v>19</v>
      </c>
      <c r="G312">
        <v>3</v>
      </c>
      <c r="H312">
        <v>4</v>
      </c>
      <c r="I312" s="13">
        <v>0.5917</v>
      </c>
      <c r="J312" t="s">
        <v>249</v>
      </c>
      <c r="L312" t="s">
        <v>248</v>
      </c>
      <c r="M312" t="s">
        <v>312</v>
      </c>
      <c r="N312" t="s">
        <v>19</v>
      </c>
      <c r="O312">
        <v>2</v>
      </c>
      <c r="P312">
        <v>4</v>
      </c>
      <c r="Q312" s="13">
        <v>0.7107</v>
      </c>
      <c r="R312" t="s">
        <v>249</v>
      </c>
      <c r="S312">
        <v>1.19</v>
      </c>
      <c r="T312" t="s">
        <v>248</v>
      </c>
      <c r="U312" t="s">
        <v>19</v>
      </c>
      <c r="V312">
        <v>2</v>
      </c>
      <c r="W312">
        <v>3</v>
      </c>
      <c r="X312" t="s">
        <v>496</v>
      </c>
      <c r="Y312" t="s">
        <v>292</v>
      </c>
      <c r="Z312" t="s">
        <v>60</v>
      </c>
      <c r="AA312" t="s">
        <v>491</v>
      </c>
    </row>
    <row r="313" spans="1:27" x14ac:dyDescent="0.2">
      <c r="A313" s="1">
        <v>45979</v>
      </c>
      <c r="B313" t="s">
        <v>289</v>
      </c>
      <c r="C313" t="s">
        <v>15</v>
      </c>
      <c r="D313" t="s">
        <v>20</v>
      </c>
      <c r="E313" t="s">
        <v>313</v>
      </c>
      <c r="F313" t="s">
        <v>15</v>
      </c>
      <c r="G313">
        <v>5</v>
      </c>
      <c r="H313">
        <v>4</v>
      </c>
      <c r="I313" s="13">
        <v>0.55930000000000002</v>
      </c>
      <c r="J313" t="s">
        <v>249</v>
      </c>
      <c r="L313" t="s">
        <v>249</v>
      </c>
      <c r="M313" t="s">
        <v>385</v>
      </c>
      <c r="N313" t="s">
        <v>20</v>
      </c>
      <c r="O313">
        <v>2</v>
      </c>
      <c r="P313">
        <v>4</v>
      </c>
      <c r="Q313" s="13">
        <v>0.47089999999999999</v>
      </c>
      <c r="R313" t="s">
        <v>249</v>
      </c>
      <c r="S313">
        <v>0.51</v>
      </c>
      <c r="T313" t="s">
        <v>248</v>
      </c>
      <c r="U313" t="s">
        <v>20</v>
      </c>
      <c r="V313">
        <v>2</v>
      </c>
      <c r="W313">
        <v>3</v>
      </c>
      <c r="X313" t="s">
        <v>490</v>
      </c>
      <c r="Y313" t="s">
        <v>292</v>
      </c>
      <c r="Z313" t="s">
        <v>60</v>
      </c>
      <c r="AA313" t="s">
        <v>491</v>
      </c>
    </row>
    <row r="314" spans="1:27" x14ac:dyDescent="0.2">
      <c r="A314" s="1">
        <v>45979</v>
      </c>
      <c r="B314" t="s">
        <v>304</v>
      </c>
      <c r="C314" t="s">
        <v>30</v>
      </c>
      <c r="D314" t="s">
        <v>39</v>
      </c>
      <c r="E314" t="s">
        <v>305</v>
      </c>
      <c r="F314" t="s">
        <v>39</v>
      </c>
      <c r="G314">
        <v>3</v>
      </c>
      <c r="H314">
        <v>4</v>
      </c>
      <c r="I314" s="13">
        <v>0.60160000000000002</v>
      </c>
      <c r="J314" t="s">
        <v>249</v>
      </c>
      <c r="L314" t="s">
        <v>249</v>
      </c>
      <c r="M314" t="s">
        <v>383</v>
      </c>
      <c r="N314" t="s">
        <v>39</v>
      </c>
      <c r="O314">
        <v>2</v>
      </c>
      <c r="P314">
        <v>3</v>
      </c>
      <c r="Q314" s="13">
        <v>0.58560000000000001</v>
      </c>
      <c r="R314" t="s">
        <v>249</v>
      </c>
      <c r="S314">
        <v>0.43</v>
      </c>
      <c r="T314" t="s">
        <v>249</v>
      </c>
      <c r="U314" t="s">
        <v>30</v>
      </c>
      <c r="V314">
        <v>3</v>
      </c>
      <c r="W314">
        <v>2</v>
      </c>
      <c r="X314" t="s">
        <v>490</v>
      </c>
      <c r="Y314" t="s">
        <v>292</v>
      </c>
      <c r="Z314" t="s">
        <v>60</v>
      </c>
      <c r="AA314" t="s">
        <v>491</v>
      </c>
    </row>
    <row r="315" spans="1:27" x14ac:dyDescent="0.2">
      <c r="A315" s="1">
        <v>45979</v>
      </c>
      <c r="B315" t="s">
        <v>301</v>
      </c>
      <c r="C315" t="s">
        <v>16</v>
      </c>
      <c r="D315" t="s">
        <v>10</v>
      </c>
      <c r="E315" t="s">
        <v>302</v>
      </c>
      <c r="F315" t="s">
        <v>10</v>
      </c>
      <c r="G315">
        <v>4</v>
      </c>
      <c r="H315">
        <v>5</v>
      </c>
      <c r="I315" s="13">
        <v>0.66520000000000001</v>
      </c>
      <c r="J315" t="s">
        <v>249</v>
      </c>
      <c r="L315" t="s">
        <v>248</v>
      </c>
      <c r="M315" t="s">
        <v>303</v>
      </c>
      <c r="N315" t="s">
        <v>10</v>
      </c>
      <c r="O315">
        <v>2</v>
      </c>
      <c r="P315">
        <v>5</v>
      </c>
      <c r="Q315" s="13">
        <v>0.80840000000000001</v>
      </c>
      <c r="R315" t="s">
        <v>249</v>
      </c>
      <c r="S315">
        <v>1.87</v>
      </c>
      <c r="T315" t="s">
        <v>248</v>
      </c>
      <c r="U315" t="s">
        <v>10</v>
      </c>
      <c r="V315">
        <v>2</v>
      </c>
      <c r="W315">
        <v>5</v>
      </c>
      <c r="X315" t="s">
        <v>490</v>
      </c>
      <c r="Y315" t="s">
        <v>292</v>
      </c>
      <c r="Z315" t="s">
        <v>60</v>
      </c>
      <c r="AA315" t="s">
        <v>491</v>
      </c>
    </row>
    <row r="316" spans="1:27" x14ac:dyDescent="0.2">
      <c r="A316" s="1">
        <v>45980</v>
      </c>
      <c r="B316" t="s">
        <v>289</v>
      </c>
      <c r="C316" t="s">
        <v>21</v>
      </c>
      <c r="D316" t="s">
        <v>31</v>
      </c>
      <c r="E316" t="s">
        <v>316</v>
      </c>
      <c r="F316" t="s">
        <v>31</v>
      </c>
      <c r="G316">
        <v>4</v>
      </c>
      <c r="H316">
        <v>5</v>
      </c>
      <c r="I316" s="13">
        <v>0.84830000000000005</v>
      </c>
      <c r="J316" t="s">
        <v>249</v>
      </c>
      <c r="L316" t="s">
        <v>248</v>
      </c>
      <c r="M316" t="s">
        <v>291</v>
      </c>
      <c r="N316" t="s">
        <v>31</v>
      </c>
      <c r="O316">
        <v>2</v>
      </c>
      <c r="P316">
        <v>4</v>
      </c>
      <c r="Q316" s="13">
        <v>0.76080000000000003</v>
      </c>
      <c r="R316" t="s">
        <v>249</v>
      </c>
      <c r="S316">
        <v>0.77</v>
      </c>
      <c r="T316" t="s">
        <v>248</v>
      </c>
      <c r="U316" t="s">
        <v>31</v>
      </c>
      <c r="V316">
        <v>3</v>
      </c>
      <c r="W316">
        <v>4</v>
      </c>
      <c r="X316" t="s">
        <v>490</v>
      </c>
      <c r="Y316" t="s">
        <v>292</v>
      </c>
      <c r="Z316" t="s">
        <v>60</v>
      </c>
      <c r="AA316" t="s">
        <v>491</v>
      </c>
    </row>
    <row r="317" spans="1:27" x14ac:dyDescent="0.2">
      <c r="A317" s="1">
        <v>45980</v>
      </c>
      <c r="B317" t="s">
        <v>297</v>
      </c>
      <c r="C317" t="s">
        <v>16</v>
      </c>
      <c r="D317" t="s">
        <v>23</v>
      </c>
      <c r="E317" t="s">
        <v>317</v>
      </c>
      <c r="F317" t="s">
        <v>23</v>
      </c>
      <c r="G317">
        <v>3</v>
      </c>
      <c r="H317">
        <v>4</v>
      </c>
      <c r="I317" s="13">
        <v>0.82420000000000004</v>
      </c>
      <c r="J317" t="s">
        <v>249</v>
      </c>
      <c r="L317" t="s">
        <v>249</v>
      </c>
      <c r="M317" t="s">
        <v>386</v>
      </c>
      <c r="N317" t="s">
        <v>23</v>
      </c>
      <c r="O317">
        <v>2</v>
      </c>
      <c r="P317">
        <v>4</v>
      </c>
      <c r="Q317" s="13">
        <v>0.68479999999999996</v>
      </c>
      <c r="R317" t="s">
        <v>249</v>
      </c>
      <c r="S317">
        <v>0.99</v>
      </c>
      <c r="T317" t="s">
        <v>249</v>
      </c>
      <c r="U317" t="s">
        <v>16</v>
      </c>
      <c r="V317">
        <v>6</v>
      </c>
      <c r="W317">
        <v>2</v>
      </c>
      <c r="X317" t="s">
        <v>490</v>
      </c>
      <c r="Y317" t="s">
        <v>292</v>
      </c>
      <c r="Z317" t="s">
        <v>60</v>
      </c>
      <c r="AA317" t="s">
        <v>491</v>
      </c>
    </row>
    <row r="318" spans="1:27" x14ac:dyDescent="0.2">
      <c r="A318" s="1">
        <v>45980</v>
      </c>
      <c r="B318" t="s">
        <v>318</v>
      </c>
      <c r="C318" t="s">
        <v>25</v>
      </c>
      <c r="D318" t="s">
        <v>34</v>
      </c>
      <c r="E318" t="s">
        <v>319</v>
      </c>
      <c r="F318" t="s">
        <v>25</v>
      </c>
      <c r="G318">
        <v>5</v>
      </c>
      <c r="H318">
        <v>4</v>
      </c>
      <c r="I318" s="13">
        <v>0.62329999999999997</v>
      </c>
      <c r="J318" t="s">
        <v>249</v>
      </c>
      <c r="L318" t="s">
        <v>249</v>
      </c>
      <c r="M318" t="s">
        <v>387</v>
      </c>
      <c r="N318" t="s">
        <v>25</v>
      </c>
      <c r="O318">
        <v>2</v>
      </c>
      <c r="P318">
        <v>4</v>
      </c>
      <c r="Q318" s="13">
        <v>0.72150000000000003</v>
      </c>
      <c r="R318" t="s">
        <v>249</v>
      </c>
      <c r="S318">
        <v>-1.0900000000000001</v>
      </c>
      <c r="T318" t="s">
        <v>249</v>
      </c>
      <c r="U318" t="s">
        <v>34</v>
      </c>
      <c r="V318">
        <v>3</v>
      </c>
      <c r="W318">
        <v>4</v>
      </c>
      <c r="X318" t="s">
        <v>496</v>
      </c>
      <c r="Y318" t="s">
        <v>292</v>
      </c>
      <c r="Z318" t="s">
        <v>60</v>
      </c>
      <c r="AA318" t="s">
        <v>491</v>
      </c>
    </row>
    <row r="319" spans="1:27" x14ac:dyDescent="0.2">
      <c r="A319" s="1">
        <v>45980</v>
      </c>
      <c r="B319" t="s">
        <v>293</v>
      </c>
      <c r="C319" t="s">
        <v>17</v>
      </c>
      <c r="D319" t="s">
        <v>22</v>
      </c>
      <c r="E319" t="s">
        <v>320</v>
      </c>
      <c r="F319" t="s">
        <v>22</v>
      </c>
      <c r="G319">
        <v>3</v>
      </c>
      <c r="H319">
        <v>4</v>
      </c>
      <c r="I319" s="13">
        <v>0.54659999999999997</v>
      </c>
      <c r="J319" t="s">
        <v>249</v>
      </c>
      <c r="L319" t="s">
        <v>248</v>
      </c>
      <c r="M319" t="s">
        <v>321</v>
      </c>
      <c r="N319" t="s">
        <v>22</v>
      </c>
      <c r="O319">
        <v>2</v>
      </c>
      <c r="P319">
        <v>4</v>
      </c>
      <c r="Q319" s="13">
        <v>0.68869999999999998</v>
      </c>
      <c r="R319" t="s">
        <v>249</v>
      </c>
      <c r="S319">
        <v>1.03</v>
      </c>
      <c r="T319" t="s">
        <v>248</v>
      </c>
      <c r="U319" t="s">
        <v>22</v>
      </c>
      <c r="V319">
        <v>4</v>
      </c>
      <c r="W319">
        <v>7</v>
      </c>
      <c r="X319" t="s">
        <v>490</v>
      </c>
      <c r="Y319" t="s">
        <v>292</v>
      </c>
      <c r="Z319" t="s">
        <v>60</v>
      </c>
      <c r="AA319" t="s">
        <v>491</v>
      </c>
    </row>
    <row r="320" spans="1:27" x14ac:dyDescent="0.2">
      <c r="A320" s="1">
        <v>45981</v>
      </c>
      <c r="B320" t="s">
        <v>326</v>
      </c>
      <c r="C320" t="s">
        <v>20</v>
      </c>
      <c r="D320" t="s">
        <v>55</v>
      </c>
      <c r="E320" t="s">
        <v>337</v>
      </c>
      <c r="F320" t="s">
        <v>55</v>
      </c>
      <c r="G320">
        <v>3</v>
      </c>
      <c r="H320">
        <v>4</v>
      </c>
      <c r="I320" s="13">
        <v>0.67815371762740195</v>
      </c>
      <c r="J320" t="s">
        <v>248</v>
      </c>
      <c r="K320" s="18">
        <v>0.54</v>
      </c>
      <c r="L320" t="s">
        <v>249</v>
      </c>
      <c r="M320" t="s">
        <v>397</v>
      </c>
      <c r="N320" t="s">
        <v>20</v>
      </c>
      <c r="O320">
        <v>2</v>
      </c>
      <c r="P320">
        <v>3</v>
      </c>
      <c r="Q320" s="13">
        <v>0.41674861628270699</v>
      </c>
      <c r="R320" t="s">
        <v>248</v>
      </c>
      <c r="S320">
        <v>-0.04</v>
      </c>
      <c r="T320" t="s">
        <v>248</v>
      </c>
      <c r="U320" t="s">
        <v>20</v>
      </c>
      <c r="V320">
        <v>4</v>
      </c>
      <c r="W320">
        <v>1</v>
      </c>
      <c r="X320" t="s">
        <v>490</v>
      </c>
      <c r="Y320" t="s">
        <v>292</v>
      </c>
      <c r="Z320" t="s">
        <v>60</v>
      </c>
      <c r="AA320" t="s">
        <v>491</v>
      </c>
    </row>
    <row r="321" spans="1:27" x14ac:dyDescent="0.2">
      <c r="A321" s="1">
        <v>45981</v>
      </c>
      <c r="B321" t="s">
        <v>328</v>
      </c>
      <c r="C321" t="s">
        <v>28</v>
      </c>
      <c r="D321" t="s">
        <v>19</v>
      </c>
      <c r="E321" t="s">
        <v>336</v>
      </c>
      <c r="F321" t="s">
        <v>19</v>
      </c>
      <c r="G321">
        <v>3</v>
      </c>
      <c r="H321">
        <v>4</v>
      </c>
      <c r="I321" s="13">
        <v>0.56100667919398595</v>
      </c>
      <c r="J321" t="s">
        <v>249</v>
      </c>
      <c r="K321" s="18">
        <v>0.11600000000000001</v>
      </c>
      <c r="L321" t="s">
        <v>249</v>
      </c>
      <c r="M321" t="s">
        <v>396</v>
      </c>
      <c r="N321" t="s">
        <v>19</v>
      </c>
      <c r="O321">
        <v>2</v>
      </c>
      <c r="P321">
        <v>3</v>
      </c>
      <c r="Q321" s="13">
        <v>0.55864324773890295</v>
      </c>
      <c r="R321" t="s">
        <v>248</v>
      </c>
      <c r="S321">
        <v>0.03</v>
      </c>
      <c r="T321" t="s">
        <v>249</v>
      </c>
      <c r="U321" t="s">
        <v>28</v>
      </c>
      <c r="V321">
        <v>3</v>
      </c>
      <c r="W321">
        <v>2</v>
      </c>
      <c r="X321" t="s">
        <v>496</v>
      </c>
      <c r="Y321" t="s">
        <v>292</v>
      </c>
      <c r="Z321" t="s">
        <v>60</v>
      </c>
      <c r="AA321" t="s">
        <v>491</v>
      </c>
    </row>
    <row r="322" spans="1:27" x14ac:dyDescent="0.2">
      <c r="A322" s="1">
        <v>45981</v>
      </c>
      <c r="B322" t="s">
        <v>334</v>
      </c>
      <c r="C322" t="s">
        <v>17</v>
      </c>
      <c r="D322" t="s">
        <v>37</v>
      </c>
      <c r="E322" t="s">
        <v>335</v>
      </c>
      <c r="F322" t="s">
        <v>37</v>
      </c>
      <c r="G322">
        <v>3</v>
      </c>
      <c r="H322">
        <v>4</v>
      </c>
      <c r="I322" s="13">
        <v>0.77119047619047598</v>
      </c>
      <c r="J322" t="s">
        <v>248</v>
      </c>
      <c r="K322" s="18">
        <v>0.61599999999999999</v>
      </c>
      <c r="L322" t="s">
        <v>248</v>
      </c>
      <c r="M322" t="s">
        <v>395</v>
      </c>
      <c r="N322" t="s">
        <v>37</v>
      </c>
      <c r="O322">
        <v>2</v>
      </c>
      <c r="P322">
        <v>4</v>
      </c>
      <c r="Q322" s="13">
        <v>0.711970082114465</v>
      </c>
      <c r="R322" t="s">
        <v>249</v>
      </c>
      <c r="S322">
        <v>1.25</v>
      </c>
      <c r="T322" t="s">
        <v>248</v>
      </c>
      <c r="U322" t="s">
        <v>37</v>
      </c>
      <c r="V322">
        <v>1</v>
      </c>
      <c r="W322">
        <v>2</v>
      </c>
      <c r="X322" t="s">
        <v>496</v>
      </c>
      <c r="Y322" t="s">
        <v>292</v>
      </c>
      <c r="Z322" t="s">
        <v>60</v>
      </c>
      <c r="AA322" t="s">
        <v>491</v>
      </c>
    </row>
    <row r="323" spans="1:27" x14ac:dyDescent="0.2">
      <c r="A323" s="1">
        <v>45981</v>
      </c>
      <c r="B323" t="s">
        <v>322</v>
      </c>
      <c r="C323" t="s">
        <v>39</v>
      </c>
      <c r="D323" t="s">
        <v>38</v>
      </c>
      <c r="E323" t="s">
        <v>338</v>
      </c>
      <c r="F323" t="s">
        <v>39</v>
      </c>
      <c r="G323">
        <v>5</v>
      </c>
      <c r="H323">
        <v>4</v>
      </c>
      <c r="I323" s="13">
        <v>0.73677777777777798</v>
      </c>
      <c r="J323" t="s">
        <v>249</v>
      </c>
      <c r="K323" s="18">
        <v>0.39100000000000001</v>
      </c>
      <c r="L323" t="s">
        <v>248</v>
      </c>
      <c r="M323" t="s">
        <v>398</v>
      </c>
      <c r="N323" t="s">
        <v>39</v>
      </c>
      <c r="O323">
        <v>2</v>
      </c>
      <c r="P323">
        <v>4</v>
      </c>
      <c r="Q323" s="13">
        <v>0.65070700646466895</v>
      </c>
      <c r="R323" t="s">
        <v>249</v>
      </c>
      <c r="S323">
        <v>-0.71</v>
      </c>
      <c r="T323" t="s">
        <v>248</v>
      </c>
      <c r="U323" t="s">
        <v>39</v>
      </c>
      <c r="V323">
        <v>4</v>
      </c>
      <c r="W323">
        <v>2</v>
      </c>
      <c r="X323" t="s">
        <v>490</v>
      </c>
      <c r="Y323" t="s">
        <v>292</v>
      </c>
      <c r="Z323" t="s">
        <v>60</v>
      </c>
      <c r="AA323" t="s">
        <v>491</v>
      </c>
    </row>
    <row r="324" spans="1:27" x14ac:dyDescent="0.2">
      <c r="A324" s="1">
        <v>45981</v>
      </c>
      <c r="B324" t="s">
        <v>322</v>
      </c>
      <c r="C324" t="s">
        <v>36</v>
      </c>
      <c r="D324" t="s">
        <v>31</v>
      </c>
      <c r="E324" t="s">
        <v>323</v>
      </c>
      <c r="F324" t="s">
        <v>31</v>
      </c>
      <c r="G324">
        <v>3</v>
      </c>
      <c r="H324">
        <v>4</v>
      </c>
      <c r="I324" s="13">
        <v>0.79971067821067798</v>
      </c>
      <c r="J324" t="s">
        <v>248</v>
      </c>
      <c r="K324" s="18">
        <v>0.53300000000000003</v>
      </c>
      <c r="L324" t="s">
        <v>249</v>
      </c>
      <c r="M324" t="s">
        <v>388</v>
      </c>
      <c r="N324" t="s">
        <v>31</v>
      </c>
      <c r="O324">
        <v>2</v>
      </c>
      <c r="P324">
        <v>4</v>
      </c>
      <c r="Q324" s="13">
        <v>0.82141601872248204</v>
      </c>
      <c r="R324" t="s">
        <v>249</v>
      </c>
      <c r="S324">
        <v>1.21</v>
      </c>
      <c r="T324" t="s">
        <v>249</v>
      </c>
      <c r="U324" t="s">
        <v>36</v>
      </c>
      <c r="V324">
        <v>3</v>
      </c>
      <c r="W324">
        <v>2</v>
      </c>
      <c r="X324" t="s">
        <v>490</v>
      </c>
      <c r="Y324" t="s">
        <v>292</v>
      </c>
      <c r="Z324" t="s">
        <v>60</v>
      </c>
      <c r="AA324" t="s">
        <v>491</v>
      </c>
    </row>
    <row r="325" spans="1:27" x14ac:dyDescent="0.2">
      <c r="A325" s="1">
        <v>45981</v>
      </c>
      <c r="B325" t="s">
        <v>328</v>
      </c>
      <c r="C325" t="s">
        <v>35</v>
      </c>
      <c r="D325" t="s">
        <v>27</v>
      </c>
      <c r="E325" t="s">
        <v>332</v>
      </c>
      <c r="F325" t="s">
        <v>27</v>
      </c>
      <c r="G325">
        <v>3</v>
      </c>
      <c r="H325">
        <v>4</v>
      </c>
      <c r="I325" s="13">
        <v>0.78318759018758999</v>
      </c>
      <c r="J325" t="s">
        <v>249</v>
      </c>
      <c r="K325" s="18">
        <v>0.42499999999999999</v>
      </c>
      <c r="L325" t="s">
        <v>248</v>
      </c>
      <c r="M325" t="s">
        <v>393</v>
      </c>
      <c r="N325" t="s">
        <v>27</v>
      </c>
      <c r="O325">
        <v>2</v>
      </c>
      <c r="P325">
        <v>4</v>
      </c>
      <c r="Q325" s="13">
        <v>0.72316153141538597</v>
      </c>
      <c r="R325" t="s">
        <v>249</v>
      </c>
      <c r="S325">
        <v>1.31</v>
      </c>
      <c r="T325" t="s">
        <v>248</v>
      </c>
      <c r="U325" t="s">
        <v>27</v>
      </c>
      <c r="V325">
        <v>2</v>
      </c>
      <c r="W325">
        <v>3</v>
      </c>
      <c r="X325" t="s">
        <v>496</v>
      </c>
      <c r="Y325" t="s">
        <v>292</v>
      </c>
      <c r="Z325" t="s">
        <v>60</v>
      </c>
      <c r="AA325" t="s">
        <v>491</v>
      </c>
    </row>
    <row r="326" spans="1:27" x14ac:dyDescent="0.2">
      <c r="A326" s="1">
        <v>45981</v>
      </c>
      <c r="B326" t="s">
        <v>324</v>
      </c>
      <c r="C326" t="s">
        <v>32</v>
      </c>
      <c r="D326" t="s">
        <v>10</v>
      </c>
      <c r="E326" t="s">
        <v>325</v>
      </c>
      <c r="F326" t="s">
        <v>10</v>
      </c>
      <c r="G326">
        <v>3</v>
      </c>
      <c r="H326">
        <v>4</v>
      </c>
      <c r="I326" s="13">
        <v>0.81409746588693999</v>
      </c>
      <c r="J326" t="s">
        <v>248</v>
      </c>
      <c r="K326" s="18">
        <v>0.50700000000000001</v>
      </c>
      <c r="L326" t="s">
        <v>249</v>
      </c>
      <c r="M326" t="s">
        <v>389</v>
      </c>
      <c r="N326" t="s">
        <v>10</v>
      </c>
      <c r="O326">
        <v>2</v>
      </c>
      <c r="P326">
        <v>4</v>
      </c>
      <c r="Q326" s="13">
        <v>0.68955873942591095</v>
      </c>
      <c r="R326" t="s">
        <v>249</v>
      </c>
      <c r="S326">
        <v>1.04</v>
      </c>
      <c r="T326" t="s">
        <v>249</v>
      </c>
      <c r="U326" t="s">
        <v>32</v>
      </c>
      <c r="V326">
        <v>3</v>
      </c>
      <c r="W326">
        <v>2</v>
      </c>
      <c r="X326" t="s">
        <v>490</v>
      </c>
      <c r="Y326" t="s">
        <v>292</v>
      </c>
      <c r="Z326" t="s">
        <v>60</v>
      </c>
      <c r="AA326" t="s">
        <v>491</v>
      </c>
    </row>
    <row r="327" spans="1:27" x14ac:dyDescent="0.2">
      <c r="A327" s="1">
        <v>45981</v>
      </c>
      <c r="B327" t="s">
        <v>326</v>
      </c>
      <c r="C327" t="s">
        <v>15</v>
      </c>
      <c r="D327" t="s">
        <v>12</v>
      </c>
      <c r="E327" t="s">
        <v>327</v>
      </c>
      <c r="F327" t="s">
        <v>12</v>
      </c>
      <c r="G327">
        <v>3</v>
      </c>
      <c r="H327">
        <v>4</v>
      </c>
      <c r="I327" s="13">
        <v>0.68089417989418</v>
      </c>
      <c r="J327" t="s">
        <v>249</v>
      </c>
      <c r="K327" s="18">
        <v>0.28699999999999998</v>
      </c>
      <c r="L327" t="s">
        <v>248</v>
      </c>
      <c r="M327" t="s">
        <v>361</v>
      </c>
      <c r="N327" t="s">
        <v>12</v>
      </c>
      <c r="O327">
        <v>1</v>
      </c>
      <c r="P327">
        <v>5</v>
      </c>
      <c r="Q327" s="13">
        <v>0.79009355708149598</v>
      </c>
      <c r="R327" t="s">
        <v>249</v>
      </c>
      <c r="S327">
        <v>2.04</v>
      </c>
      <c r="T327" t="s">
        <v>248</v>
      </c>
      <c r="U327" t="s">
        <v>12</v>
      </c>
      <c r="V327">
        <v>3</v>
      </c>
      <c r="W327">
        <v>6</v>
      </c>
      <c r="X327" t="s">
        <v>490</v>
      </c>
      <c r="Y327" t="s">
        <v>292</v>
      </c>
      <c r="Z327" t="s">
        <v>60</v>
      </c>
      <c r="AA327" t="s">
        <v>491</v>
      </c>
    </row>
    <row r="328" spans="1:27" x14ac:dyDescent="0.2">
      <c r="A328" s="1">
        <v>45981</v>
      </c>
      <c r="B328" t="s">
        <v>322</v>
      </c>
      <c r="C328" t="s">
        <v>13</v>
      </c>
      <c r="D328" t="s">
        <v>33</v>
      </c>
      <c r="E328" t="s">
        <v>333</v>
      </c>
      <c r="F328" t="s">
        <v>13</v>
      </c>
      <c r="G328">
        <v>5</v>
      </c>
      <c r="H328">
        <v>4</v>
      </c>
      <c r="I328" s="13">
        <v>0.68822126022125996</v>
      </c>
      <c r="J328" t="s">
        <v>249</v>
      </c>
      <c r="K328" s="18">
        <v>0.28199999999999997</v>
      </c>
      <c r="L328" t="s">
        <v>249</v>
      </c>
      <c r="M328" t="s">
        <v>394</v>
      </c>
      <c r="N328" t="s">
        <v>13</v>
      </c>
      <c r="O328">
        <v>2</v>
      </c>
      <c r="P328">
        <v>3</v>
      </c>
      <c r="Q328" s="13">
        <v>0.56836235759955001</v>
      </c>
      <c r="R328" t="s">
        <v>248</v>
      </c>
      <c r="S328">
        <v>-0.05</v>
      </c>
      <c r="T328" t="s">
        <v>249</v>
      </c>
      <c r="U328" t="s">
        <v>33</v>
      </c>
      <c r="V328">
        <v>3</v>
      </c>
      <c r="W328">
        <v>4</v>
      </c>
      <c r="X328" t="s">
        <v>496</v>
      </c>
      <c r="Y328" t="s">
        <v>292</v>
      </c>
      <c r="Z328" t="s">
        <v>60</v>
      </c>
      <c r="AA328" t="s">
        <v>491</v>
      </c>
    </row>
    <row r="329" spans="1:27" x14ac:dyDescent="0.2">
      <c r="A329" s="1">
        <v>45981</v>
      </c>
      <c r="B329" t="s">
        <v>328</v>
      </c>
      <c r="C329" t="s">
        <v>24</v>
      </c>
      <c r="D329" t="s">
        <v>11</v>
      </c>
      <c r="E329" t="s">
        <v>330</v>
      </c>
      <c r="F329" t="s">
        <v>11</v>
      </c>
      <c r="G329">
        <v>3</v>
      </c>
      <c r="H329">
        <v>4</v>
      </c>
      <c r="I329" s="13">
        <v>0.61979461279461301</v>
      </c>
      <c r="J329" t="s">
        <v>249</v>
      </c>
      <c r="K329" s="18">
        <v>0.38100000000000001</v>
      </c>
      <c r="L329" t="s">
        <v>248</v>
      </c>
      <c r="M329" t="s">
        <v>391</v>
      </c>
      <c r="N329" t="s">
        <v>24</v>
      </c>
      <c r="O329">
        <v>2</v>
      </c>
      <c r="P329">
        <v>3</v>
      </c>
      <c r="Q329" s="13">
        <v>0.47717133510972898</v>
      </c>
      <c r="R329" t="s">
        <v>248</v>
      </c>
      <c r="S329">
        <v>-0.28000000000000003</v>
      </c>
      <c r="T329" t="s">
        <v>249</v>
      </c>
      <c r="U329" t="s">
        <v>11</v>
      </c>
      <c r="V329">
        <v>0</v>
      </c>
      <c r="W329">
        <v>1</v>
      </c>
      <c r="X329" t="s">
        <v>490</v>
      </c>
      <c r="Y329" t="s">
        <v>292</v>
      </c>
      <c r="Z329" t="s">
        <v>60</v>
      </c>
      <c r="AA329" t="s">
        <v>491</v>
      </c>
    </row>
    <row r="330" spans="1:27" x14ac:dyDescent="0.2">
      <c r="A330" s="1">
        <v>45981</v>
      </c>
      <c r="B330" t="s">
        <v>328</v>
      </c>
      <c r="C330" t="s">
        <v>22</v>
      </c>
      <c r="D330" t="s">
        <v>18</v>
      </c>
      <c r="E330" t="s">
        <v>331</v>
      </c>
      <c r="F330" t="s">
        <v>18</v>
      </c>
      <c r="G330">
        <v>3</v>
      </c>
      <c r="H330">
        <v>4</v>
      </c>
      <c r="I330" s="13">
        <v>0.75639782537151001</v>
      </c>
      <c r="J330" t="s">
        <v>248</v>
      </c>
      <c r="K330" s="18">
        <v>0.63100000000000001</v>
      </c>
      <c r="L330" t="s">
        <v>249</v>
      </c>
      <c r="M330" t="s">
        <v>392</v>
      </c>
      <c r="N330" t="s">
        <v>22</v>
      </c>
      <c r="O330">
        <v>2</v>
      </c>
      <c r="P330">
        <v>3</v>
      </c>
      <c r="Q330" s="13">
        <v>0.52653488689618599</v>
      </c>
      <c r="R330" t="s">
        <v>249</v>
      </c>
      <c r="S330">
        <v>-0.48</v>
      </c>
      <c r="T330" t="s">
        <v>248</v>
      </c>
      <c r="U330" t="s">
        <v>22</v>
      </c>
      <c r="V330">
        <v>8</v>
      </c>
      <c r="W330">
        <v>4</v>
      </c>
      <c r="X330" t="s">
        <v>490</v>
      </c>
      <c r="Y330" t="s">
        <v>292</v>
      </c>
      <c r="Z330" t="s">
        <v>60</v>
      </c>
      <c r="AA330" t="s">
        <v>491</v>
      </c>
    </row>
    <row r="331" spans="1:27" x14ac:dyDescent="0.2">
      <c r="A331" s="1">
        <v>45981</v>
      </c>
      <c r="B331" t="s">
        <v>328</v>
      </c>
      <c r="C331" t="s">
        <v>30</v>
      </c>
      <c r="D331" t="s">
        <v>26</v>
      </c>
      <c r="E331" t="s">
        <v>329</v>
      </c>
      <c r="F331" t="s">
        <v>26</v>
      </c>
      <c r="G331">
        <v>3</v>
      </c>
      <c r="H331">
        <v>4</v>
      </c>
      <c r="I331" s="13">
        <v>0.507202173213117</v>
      </c>
      <c r="J331" t="s">
        <v>249</v>
      </c>
      <c r="K331" s="18">
        <v>0.44</v>
      </c>
      <c r="L331" t="s">
        <v>249</v>
      </c>
      <c r="M331" t="s">
        <v>390</v>
      </c>
      <c r="N331" t="s">
        <v>30</v>
      </c>
      <c r="O331">
        <v>2</v>
      </c>
      <c r="P331">
        <v>3</v>
      </c>
      <c r="Q331" s="13">
        <v>0.50783942088355705</v>
      </c>
      <c r="R331" t="s">
        <v>248</v>
      </c>
      <c r="S331">
        <v>-0.21</v>
      </c>
      <c r="T331" t="s">
        <v>248</v>
      </c>
      <c r="U331" t="s">
        <v>30</v>
      </c>
      <c r="V331">
        <v>5</v>
      </c>
      <c r="W331">
        <v>0</v>
      </c>
      <c r="X331" t="s">
        <v>490</v>
      </c>
      <c r="Y331" t="s">
        <v>292</v>
      </c>
      <c r="Z331" t="s">
        <v>60</v>
      </c>
      <c r="AA331" t="s">
        <v>491</v>
      </c>
    </row>
    <row r="332" spans="1:27" x14ac:dyDescent="0.2">
      <c r="A332" s="1">
        <v>45982</v>
      </c>
      <c r="B332" t="s">
        <v>328</v>
      </c>
      <c r="C332" t="s">
        <v>10</v>
      </c>
      <c r="D332" t="s">
        <v>23</v>
      </c>
      <c r="E332" t="s">
        <v>339</v>
      </c>
      <c r="F332" t="s">
        <v>10</v>
      </c>
      <c r="G332">
        <v>4</v>
      </c>
      <c r="H332">
        <v>3</v>
      </c>
      <c r="I332" s="13">
        <v>0.58904761904761893</v>
      </c>
      <c r="J332" t="s">
        <v>248</v>
      </c>
      <c r="K332" s="18">
        <v>0.58099999999999996</v>
      </c>
      <c r="L332" t="s">
        <v>249</v>
      </c>
      <c r="M332" t="s">
        <v>399</v>
      </c>
      <c r="N332" t="s">
        <v>10</v>
      </c>
      <c r="O332">
        <v>2</v>
      </c>
      <c r="P332">
        <v>4</v>
      </c>
      <c r="Q332" s="13">
        <v>0.62127138852721631</v>
      </c>
      <c r="R332" t="s">
        <v>249</v>
      </c>
      <c r="S332">
        <v>-1.01</v>
      </c>
      <c r="T332" t="s">
        <v>249</v>
      </c>
      <c r="U332" t="s">
        <v>23</v>
      </c>
      <c r="V332">
        <v>3</v>
      </c>
      <c r="W332">
        <v>9</v>
      </c>
      <c r="X332" t="s">
        <v>490</v>
      </c>
      <c r="Y332" t="s">
        <v>292</v>
      </c>
      <c r="Z332" t="s">
        <v>60</v>
      </c>
      <c r="AA332" t="s">
        <v>491</v>
      </c>
    </row>
    <row r="333" spans="1:27" x14ac:dyDescent="0.2">
      <c r="A333" s="1">
        <v>45982</v>
      </c>
      <c r="B333" t="s">
        <v>340</v>
      </c>
      <c r="C333" t="s">
        <v>21</v>
      </c>
      <c r="D333" t="s">
        <v>13</v>
      </c>
      <c r="E333" t="s">
        <v>341</v>
      </c>
      <c r="F333" t="s">
        <v>13</v>
      </c>
      <c r="G333">
        <v>3</v>
      </c>
      <c r="H333">
        <v>4</v>
      </c>
      <c r="I333" s="13">
        <v>0.54508201058201067</v>
      </c>
      <c r="J333" t="s">
        <v>248</v>
      </c>
      <c r="K333" s="18">
        <v>0.63700000000000001</v>
      </c>
      <c r="L333" t="s">
        <v>249</v>
      </c>
      <c r="M333" t="s">
        <v>400</v>
      </c>
      <c r="N333" t="s">
        <v>13</v>
      </c>
      <c r="O333">
        <v>2</v>
      </c>
      <c r="P333">
        <v>3</v>
      </c>
      <c r="Q333" s="13">
        <v>0.54352487978663888</v>
      </c>
      <c r="R333" t="s">
        <v>248</v>
      </c>
      <c r="S333">
        <v>0.03</v>
      </c>
      <c r="T333" t="s">
        <v>249</v>
      </c>
      <c r="U333" t="s">
        <v>21</v>
      </c>
      <c r="V333">
        <v>2</v>
      </c>
      <c r="W333">
        <v>1</v>
      </c>
      <c r="X333" t="s">
        <v>496</v>
      </c>
      <c r="Y333" t="s">
        <v>292</v>
      </c>
      <c r="Z333" t="s">
        <v>60</v>
      </c>
      <c r="AA333" t="s">
        <v>491</v>
      </c>
    </row>
    <row r="334" spans="1:27" x14ac:dyDescent="0.2">
      <c r="A334" s="1">
        <v>45982</v>
      </c>
      <c r="B334" t="s">
        <v>328</v>
      </c>
      <c r="C334" t="s">
        <v>34</v>
      </c>
      <c r="D334" t="s">
        <v>14</v>
      </c>
      <c r="E334" t="s">
        <v>342</v>
      </c>
      <c r="F334" t="s">
        <v>34</v>
      </c>
      <c r="G334">
        <v>3</v>
      </c>
      <c r="H334">
        <v>2</v>
      </c>
      <c r="I334" s="13">
        <v>0.51067724867724873</v>
      </c>
      <c r="J334" t="s">
        <v>249</v>
      </c>
      <c r="K334" s="18">
        <v>0.44400000000000001</v>
      </c>
      <c r="L334" t="s">
        <v>248</v>
      </c>
      <c r="M334" t="s">
        <v>343</v>
      </c>
      <c r="N334" t="s">
        <v>14</v>
      </c>
      <c r="O334">
        <v>2</v>
      </c>
      <c r="P334">
        <v>4</v>
      </c>
      <c r="Q334" s="13">
        <v>0.69427003530691833</v>
      </c>
      <c r="R334" t="s">
        <v>249</v>
      </c>
      <c r="S334">
        <v>0.85</v>
      </c>
      <c r="T334" t="s">
        <v>249</v>
      </c>
      <c r="U334" t="s">
        <v>34</v>
      </c>
      <c r="V334">
        <v>5</v>
      </c>
      <c r="W334">
        <v>0</v>
      </c>
      <c r="X334" t="s">
        <v>490</v>
      </c>
      <c r="Y334" t="s">
        <v>292</v>
      </c>
      <c r="Z334" t="s">
        <v>60</v>
      </c>
      <c r="AA334" t="s">
        <v>491</v>
      </c>
    </row>
    <row r="335" spans="1:27" x14ac:dyDescent="0.2">
      <c r="A335" s="1">
        <v>45982</v>
      </c>
      <c r="B335" t="s">
        <v>324</v>
      </c>
      <c r="C335" t="s">
        <v>25</v>
      </c>
      <c r="D335" t="s">
        <v>40</v>
      </c>
      <c r="E335" t="s">
        <v>344</v>
      </c>
      <c r="F335" t="s">
        <v>40</v>
      </c>
      <c r="G335">
        <v>3</v>
      </c>
      <c r="H335">
        <v>4</v>
      </c>
      <c r="I335" s="13">
        <v>0.75196825396825406</v>
      </c>
      <c r="J335" t="s">
        <v>248</v>
      </c>
      <c r="K335" s="18">
        <v>0.64800000000000002</v>
      </c>
      <c r="L335" t="s">
        <v>249</v>
      </c>
      <c r="M335" t="s">
        <v>401</v>
      </c>
      <c r="N335" t="s">
        <v>25</v>
      </c>
      <c r="O335">
        <v>2</v>
      </c>
      <c r="P335">
        <v>3</v>
      </c>
      <c r="Q335" s="13">
        <v>0.52384786307493458</v>
      </c>
      <c r="R335" t="s">
        <v>248</v>
      </c>
      <c r="S335">
        <v>-0.26</v>
      </c>
      <c r="T335" t="s">
        <v>248</v>
      </c>
      <c r="U335" t="s">
        <v>25</v>
      </c>
      <c r="V335">
        <v>4</v>
      </c>
      <c r="W335">
        <v>3</v>
      </c>
      <c r="X335" t="s">
        <v>490</v>
      </c>
      <c r="Y335" t="s">
        <v>292</v>
      </c>
      <c r="Z335" t="s">
        <v>60</v>
      </c>
      <c r="AA335" t="s">
        <v>491</v>
      </c>
    </row>
    <row r="336" spans="1:27" x14ac:dyDescent="0.2">
      <c r="A336" s="1">
        <v>45983</v>
      </c>
      <c r="B336" t="s">
        <v>326</v>
      </c>
      <c r="C336" t="s">
        <v>15</v>
      </c>
      <c r="D336" t="s">
        <v>55</v>
      </c>
      <c r="E336" t="s">
        <v>357</v>
      </c>
      <c r="F336" t="s">
        <v>55</v>
      </c>
      <c r="G336">
        <v>3</v>
      </c>
      <c r="H336">
        <v>4</v>
      </c>
      <c r="I336" s="13">
        <v>0.6337840563691628</v>
      </c>
      <c r="J336" t="s">
        <v>249</v>
      </c>
      <c r="K336" s="18">
        <v>0.313</v>
      </c>
      <c r="L336" t="s">
        <v>248</v>
      </c>
      <c r="M336" t="s">
        <v>362</v>
      </c>
      <c r="N336" t="s">
        <v>55</v>
      </c>
      <c r="O336">
        <v>2</v>
      </c>
      <c r="P336">
        <v>3</v>
      </c>
      <c r="Q336" s="13">
        <v>0.51017063196028578</v>
      </c>
      <c r="R336" t="s">
        <v>248</v>
      </c>
      <c r="S336">
        <v>0.25</v>
      </c>
      <c r="T336" t="s">
        <v>248</v>
      </c>
      <c r="U336" t="s">
        <v>55</v>
      </c>
      <c r="V336">
        <v>2</v>
      </c>
      <c r="W336">
        <v>3</v>
      </c>
      <c r="X336" t="s">
        <v>490</v>
      </c>
      <c r="Y336" t="s">
        <v>292</v>
      </c>
      <c r="Z336" t="s">
        <v>60</v>
      </c>
      <c r="AA336" t="s">
        <v>491</v>
      </c>
    </row>
    <row r="337" spans="1:27" x14ac:dyDescent="0.2">
      <c r="A337" s="1">
        <v>45983</v>
      </c>
      <c r="B337" t="s">
        <v>328</v>
      </c>
      <c r="C337" t="s">
        <v>36</v>
      </c>
      <c r="D337" t="s">
        <v>33</v>
      </c>
      <c r="E337" t="s">
        <v>356</v>
      </c>
      <c r="F337" t="s">
        <v>33</v>
      </c>
      <c r="G337">
        <v>4</v>
      </c>
      <c r="H337">
        <v>5</v>
      </c>
      <c r="I337" s="13">
        <v>0.57873187202660858</v>
      </c>
      <c r="J337" t="s">
        <v>248</v>
      </c>
      <c r="K337" s="18">
        <v>0.627</v>
      </c>
      <c r="L337" t="s">
        <v>249</v>
      </c>
      <c r="M337" t="s">
        <v>407</v>
      </c>
      <c r="N337" t="s">
        <v>33</v>
      </c>
      <c r="O337">
        <v>2</v>
      </c>
      <c r="P337">
        <v>3</v>
      </c>
      <c r="Q337" s="13">
        <v>0.5625647207386173</v>
      </c>
      <c r="R337" t="s">
        <v>248</v>
      </c>
      <c r="S337">
        <v>0.16</v>
      </c>
      <c r="T337" t="s">
        <v>249</v>
      </c>
      <c r="U337" t="s">
        <v>36</v>
      </c>
      <c r="V337">
        <v>3</v>
      </c>
      <c r="W337">
        <v>2</v>
      </c>
      <c r="X337" t="s">
        <v>490</v>
      </c>
      <c r="Y337" t="s">
        <v>292</v>
      </c>
      <c r="Z337" t="s">
        <v>60</v>
      </c>
      <c r="AA337" t="s">
        <v>491</v>
      </c>
    </row>
    <row r="338" spans="1:27" x14ac:dyDescent="0.2">
      <c r="A338" s="1">
        <v>45983</v>
      </c>
      <c r="B338" t="s">
        <v>328</v>
      </c>
      <c r="C338" t="s">
        <v>32</v>
      </c>
      <c r="D338" t="s">
        <v>14</v>
      </c>
      <c r="E338" t="s">
        <v>355</v>
      </c>
      <c r="F338" t="s">
        <v>14</v>
      </c>
      <c r="G338">
        <v>3</v>
      </c>
      <c r="H338">
        <v>4</v>
      </c>
      <c r="I338" s="13">
        <v>0.53547883597883605</v>
      </c>
      <c r="J338" t="s">
        <v>249</v>
      </c>
      <c r="K338" s="18">
        <v>0.40500000000000003</v>
      </c>
      <c r="L338" t="s">
        <v>249</v>
      </c>
      <c r="M338" t="s">
        <v>406</v>
      </c>
      <c r="N338" t="s">
        <v>14</v>
      </c>
      <c r="O338">
        <v>2</v>
      </c>
      <c r="P338">
        <v>4</v>
      </c>
      <c r="Q338" s="13">
        <v>0.62760419841259008</v>
      </c>
      <c r="R338" t="s">
        <v>249</v>
      </c>
      <c r="S338">
        <v>0.56000000000000005</v>
      </c>
      <c r="T338" t="s">
        <v>249</v>
      </c>
      <c r="U338" t="s">
        <v>32</v>
      </c>
      <c r="V338">
        <v>3</v>
      </c>
      <c r="W338">
        <v>2</v>
      </c>
      <c r="X338" t="s">
        <v>496</v>
      </c>
      <c r="Y338" t="s">
        <v>292</v>
      </c>
      <c r="Z338" t="s">
        <v>60</v>
      </c>
      <c r="AA338" t="s">
        <v>491</v>
      </c>
    </row>
    <row r="339" spans="1:27" x14ac:dyDescent="0.2">
      <c r="A339" s="1">
        <v>45983</v>
      </c>
      <c r="B339" t="s">
        <v>328</v>
      </c>
      <c r="C339" t="s">
        <v>24</v>
      </c>
      <c r="D339" t="s">
        <v>27</v>
      </c>
      <c r="E339" t="s">
        <v>354</v>
      </c>
      <c r="F339" t="s">
        <v>24</v>
      </c>
      <c r="G339">
        <v>4</v>
      </c>
      <c r="H339">
        <v>3</v>
      </c>
      <c r="I339" s="13">
        <v>0.63601404151404162</v>
      </c>
      <c r="J339" t="s">
        <v>249</v>
      </c>
      <c r="K339" s="18">
        <v>0.44</v>
      </c>
      <c r="L339" t="s">
        <v>249</v>
      </c>
      <c r="M339" t="s">
        <v>405</v>
      </c>
      <c r="N339" t="s">
        <v>24</v>
      </c>
      <c r="O339">
        <v>2</v>
      </c>
      <c r="P339">
        <v>4</v>
      </c>
      <c r="Q339" s="13">
        <v>0.55265687829531895</v>
      </c>
      <c r="R339" t="s">
        <v>249</v>
      </c>
      <c r="S339">
        <v>-0.63</v>
      </c>
      <c r="T339" t="s">
        <v>249</v>
      </c>
      <c r="U339" t="s">
        <v>27</v>
      </c>
      <c r="V339">
        <v>3</v>
      </c>
      <c r="W339">
        <v>6</v>
      </c>
      <c r="X339" t="s">
        <v>490</v>
      </c>
      <c r="Y339" t="s">
        <v>292</v>
      </c>
      <c r="Z339" t="s">
        <v>60</v>
      </c>
      <c r="AA339" t="s">
        <v>491</v>
      </c>
    </row>
    <row r="340" spans="1:27" x14ac:dyDescent="0.2">
      <c r="A340" s="1">
        <v>45983</v>
      </c>
      <c r="B340" t="s">
        <v>328</v>
      </c>
      <c r="C340" t="s">
        <v>17</v>
      </c>
      <c r="D340" t="s">
        <v>11</v>
      </c>
      <c r="E340" t="s">
        <v>349</v>
      </c>
      <c r="F340" t="s">
        <v>11</v>
      </c>
      <c r="G340">
        <v>3</v>
      </c>
      <c r="H340">
        <v>4</v>
      </c>
      <c r="I340" s="13">
        <v>0.71271640211640208</v>
      </c>
      <c r="J340" t="s">
        <v>249</v>
      </c>
      <c r="K340" s="18">
        <v>0.317</v>
      </c>
      <c r="L340" t="s">
        <v>249</v>
      </c>
      <c r="M340" t="s">
        <v>403</v>
      </c>
      <c r="N340" t="s">
        <v>11</v>
      </c>
      <c r="O340">
        <v>2</v>
      </c>
      <c r="P340">
        <v>4</v>
      </c>
      <c r="Q340" s="13">
        <v>0.7567456775048037</v>
      </c>
      <c r="R340" t="s">
        <v>249</v>
      </c>
      <c r="S340">
        <v>1</v>
      </c>
      <c r="T340" t="s">
        <v>249</v>
      </c>
      <c r="U340" t="s">
        <v>17</v>
      </c>
      <c r="V340">
        <v>6</v>
      </c>
      <c r="W340">
        <v>3</v>
      </c>
      <c r="X340" t="s">
        <v>490</v>
      </c>
      <c r="Y340" t="s">
        <v>292</v>
      </c>
      <c r="Z340" t="s">
        <v>60</v>
      </c>
      <c r="AA340" t="s">
        <v>491</v>
      </c>
    </row>
    <row r="341" spans="1:27" x14ac:dyDescent="0.2">
      <c r="A341" s="1">
        <v>45983</v>
      </c>
      <c r="B341" t="s">
        <v>324</v>
      </c>
      <c r="C341" t="s">
        <v>12</v>
      </c>
      <c r="D341" t="s">
        <v>29</v>
      </c>
      <c r="E341" t="s">
        <v>351</v>
      </c>
      <c r="F341" t="s">
        <v>12</v>
      </c>
      <c r="G341">
        <v>4</v>
      </c>
      <c r="H341">
        <v>3</v>
      </c>
      <c r="I341" s="13">
        <v>0.79329100529100538</v>
      </c>
      <c r="J341" t="s">
        <v>249</v>
      </c>
      <c r="K341" s="18">
        <v>0.34200000000000003</v>
      </c>
      <c r="L341" t="s">
        <v>248</v>
      </c>
      <c r="M341" t="s">
        <v>361</v>
      </c>
      <c r="N341" t="s">
        <v>12</v>
      </c>
      <c r="O341">
        <v>1</v>
      </c>
      <c r="P341">
        <v>6</v>
      </c>
      <c r="Q341" s="13">
        <v>0.93629488580979003</v>
      </c>
      <c r="R341" t="s">
        <v>249</v>
      </c>
      <c r="S341">
        <v>-2.83</v>
      </c>
      <c r="T341" t="s">
        <v>248</v>
      </c>
      <c r="U341" t="s">
        <v>12</v>
      </c>
      <c r="V341">
        <v>3</v>
      </c>
      <c r="W341">
        <v>0</v>
      </c>
      <c r="X341" t="s">
        <v>490</v>
      </c>
      <c r="Y341" t="s">
        <v>292</v>
      </c>
      <c r="Z341" t="s">
        <v>60</v>
      </c>
      <c r="AA341" t="s">
        <v>491</v>
      </c>
    </row>
    <row r="342" spans="1:27" x14ac:dyDescent="0.2">
      <c r="A342" s="1">
        <v>45983</v>
      </c>
      <c r="B342" t="s">
        <v>328</v>
      </c>
      <c r="C342" t="s">
        <v>19</v>
      </c>
      <c r="D342" t="s">
        <v>18</v>
      </c>
      <c r="E342" t="s">
        <v>350</v>
      </c>
      <c r="F342" t="s">
        <v>18</v>
      </c>
      <c r="G342">
        <v>4</v>
      </c>
      <c r="H342">
        <v>5</v>
      </c>
      <c r="I342" s="13">
        <v>0.53974867724867714</v>
      </c>
      <c r="J342" t="s">
        <v>249</v>
      </c>
      <c r="K342" s="18">
        <v>0.46300000000000002</v>
      </c>
      <c r="L342" t="s">
        <v>248</v>
      </c>
      <c r="M342" t="s">
        <v>360</v>
      </c>
      <c r="N342" t="s">
        <v>18</v>
      </c>
      <c r="O342">
        <v>2</v>
      </c>
      <c r="P342">
        <v>3</v>
      </c>
      <c r="Q342" s="13">
        <v>0.55269401670466733</v>
      </c>
      <c r="R342" t="s">
        <v>248</v>
      </c>
      <c r="S342">
        <v>0.09</v>
      </c>
      <c r="T342" t="s">
        <v>248</v>
      </c>
      <c r="U342" t="s">
        <v>18</v>
      </c>
      <c r="V342">
        <v>2</v>
      </c>
      <c r="W342">
        <v>5</v>
      </c>
      <c r="X342" t="s">
        <v>490</v>
      </c>
      <c r="Y342" t="s">
        <v>292</v>
      </c>
      <c r="Z342" t="s">
        <v>60</v>
      </c>
      <c r="AA342" t="s">
        <v>491</v>
      </c>
    </row>
    <row r="343" spans="1:27" x14ac:dyDescent="0.2">
      <c r="A343" s="1">
        <v>45983</v>
      </c>
      <c r="B343" t="s">
        <v>347</v>
      </c>
      <c r="C343" t="s">
        <v>28</v>
      </c>
      <c r="D343" t="s">
        <v>26</v>
      </c>
      <c r="E343" t="s">
        <v>348</v>
      </c>
      <c r="F343" t="s">
        <v>26</v>
      </c>
      <c r="G343">
        <v>2</v>
      </c>
      <c r="H343">
        <v>3</v>
      </c>
      <c r="I343" s="13">
        <v>0.70020214957327953</v>
      </c>
      <c r="J343" t="s">
        <v>249</v>
      </c>
      <c r="K343" s="18">
        <v>0.36799999999999999</v>
      </c>
      <c r="L343" t="s">
        <v>248</v>
      </c>
      <c r="M343" t="s">
        <v>307</v>
      </c>
      <c r="N343" t="s">
        <v>28</v>
      </c>
      <c r="O343">
        <v>2</v>
      </c>
      <c r="P343">
        <v>3</v>
      </c>
      <c r="Q343" s="13">
        <v>0.46548155836437699</v>
      </c>
      <c r="R343" t="s">
        <v>248</v>
      </c>
      <c r="S343">
        <v>-0.03</v>
      </c>
      <c r="T343" t="s">
        <v>249</v>
      </c>
      <c r="U343" t="s">
        <v>26</v>
      </c>
      <c r="V343">
        <v>3</v>
      </c>
      <c r="W343">
        <v>4</v>
      </c>
      <c r="X343" t="s">
        <v>496</v>
      </c>
      <c r="Y343" t="s">
        <v>292</v>
      </c>
      <c r="Z343" t="s">
        <v>60</v>
      </c>
      <c r="AA343" t="s">
        <v>491</v>
      </c>
    </row>
    <row r="344" spans="1:27" x14ac:dyDescent="0.2">
      <c r="A344" s="1">
        <v>45983</v>
      </c>
      <c r="B344" t="s">
        <v>322</v>
      </c>
      <c r="C344" t="s">
        <v>20</v>
      </c>
      <c r="D344" t="s">
        <v>31</v>
      </c>
      <c r="E344" t="s">
        <v>345</v>
      </c>
      <c r="F344" t="s">
        <v>31</v>
      </c>
      <c r="G344">
        <v>3</v>
      </c>
      <c r="H344">
        <v>4</v>
      </c>
      <c r="I344" s="13">
        <v>0.7439365079365079</v>
      </c>
      <c r="J344" t="s">
        <v>248</v>
      </c>
      <c r="K344" s="18">
        <v>0.59399999999999997</v>
      </c>
      <c r="L344" t="s">
        <v>248</v>
      </c>
      <c r="M344" t="s">
        <v>291</v>
      </c>
      <c r="N344" t="s">
        <v>31</v>
      </c>
      <c r="O344">
        <v>2</v>
      </c>
      <c r="P344">
        <v>3</v>
      </c>
      <c r="Q344" s="13">
        <v>0.63411411850668342</v>
      </c>
      <c r="R344" t="s">
        <v>249</v>
      </c>
      <c r="S344">
        <v>0.35</v>
      </c>
      <c r="T344" t="s">
        <v>248</v>
      </c>
      <c r="U344" t="s">
        <v>31</v>
      </c>
      <c r="V344">
        <v>3</v>
      </c>
      <c r="W344">
        <v>4</v>
      </c>
      <c r="X344" t="s">
        <v>496</v>
      </c>
      <c r="Y344" t="s">
        <v>292</v>
      </c>
      <c r="Z344" t="s">
        <v>60</v>
      </c>
      <c r="AA344" t="s">
        <v>491</v>
      </c>
    </row>
    <row r="345" spans="1:27" x14ac:dyDescent="0.2">
      <c r="A345" s="1">
        <v>45983</v>
      </c>
      <c r="B345" t="s">
        <v>352</v>
      </c>
      <c r="C345" t="s">
        <v>35</v>
      </c>
      <c r="D345" t="s">
        <v>30</v>
      </c>
      <c r="E345" t="s">
        <v>353</v>
      </c>
      <c r="F345" t="s">
        <v>30</v>
      </c>
      <c r="G345">
        <v>3</v>
      </c>
      <c r="H345">
        <v>4</v>
      </c>
      <c r="I345" s="13">
        <v>0.82961190476190472</v>
      </c>
      <c r="J345" t="s">
        <v>249</v>
      </c>
      <c r="K345" s="18">
        <v>0.44800000000000001</v>
      </c>
      <c r="L345" t="s">
        <v>249</v>
      </c>
      <c r="M345" t="s">
        <v>404</v>
      </c>
      <c r="N345" t="s">
        <v>30</v>
      </c>
      <c r="O345">
        <v>1</v>
      </c>
      <c r="P345">
        <v>5</v>
      </c>
      <c r="Q345" s="13">
        <v>0.83238050643354911</v>
      </c>
      <c r="R345" t="s">
        <v>249</v>
      </c>
      <c r="S345">
        <v>2.02</v>
      </c>
      <c r="T345" t="s">
        <v>249</v>
      </c>
      <c r="U345" t="s">
        <v>35</v>
      </c>
      <c r="V345">
        <v>2</v>
      </c>
      <c r="W345">
        <v>1</v>
      </c>
      <c r="X345" t="s">
        <v>490</v>
      </c>
      <c r="Y345" t="s">
        <v>292</v>
      </c>
      <c r="Z345" t="s">
        <v>60</v>
      </c>
      <c r="AA345" t="s">
        <v>491</v>
      </c>
    </row>
    <row r="346" spans="1:27" x14ac:dyDescent="0.2">
      <c r="A346" s="1">
        <v>45983</v>
      </c>
      <c r="B346" t="s">
        <v>328</v>
      </c>
      <c r="C346" t="s">
        <v>37</v>
      </c>
      <c r="D346" t="s">
        <v>22</v>
      </c>
      <c r="E346" t="s">
        <v>358</v>
      </c>
      <c r="F346" t="s">
        <v>22</v>
      </c>
      <c r="G346">
        <v>3</v>
      </c>
      <c r="H346">
        <v>4</v>
      </c>
      <c r="I346" s="13">
        <v>0.64363278171788785</v>
      </c>
      <c r="J346" t="s">
        <v>248</v>
      </c>
      <c r="K346" s="18">
        <v>0.54700000000000004</v>
      </c>
      <c r="L346" t="s">
        <v>249</v>
      </c>
      <c r="M346" t="s">
        <v>408</v>
      </c>
      <c r="N346" t="s">
        <v>22</v>
      </c>
      <c r="O346">
        <v>2</v>
      </c>
      <c r="P346">
        <v>3</v>
      </c>
      <c r="Q346" s="13">
        <v>0.5417979763641656</v>
      </c>
      <c r="R346" t="s">
        <v>249</v>
      </c>
      <c r="S346">
        <v>0.32</v>
      </c>
      <c r="T346" t="s">
        <v>249</v>
      </c>
      <c r="U346" t="s">
        <v>37</v>
      </c>
      <c r="V346">
        <v>5</v>
      </c>
      <c r="W346">
        <v>3</v>
      </c>
      <c r="X346" t="s">
        <v>490</v>
      </c>
      <c r="Y346" t="s">
        <v>292</v>
      </c>
      <c r="Z346" t="s">
        <v>60</v>
      </c>
      <c r="AA346" t="s">
        <v>491</v>
      </c>
    </row>
    <row r="347" spans="1:27" x14ac:dyDescent="0.2">
      <c r="A347" s="1">
        <v>45983</v>
      </c>
      <c r="B347" t="s">
        <v>322</v>
      </c>
      <c r="C347" t="s">
        <v>39</v>
      </c>
      <c r="D347" t="s">
        <v>16</v>
      </c>
      <c r="E347" t="s">
        <v>346</v>
      </c>
      <c r="F347" t="s">
        <v>39</v>
      </c>
      <c r="G347">
        <v>5</v>
      </c>
      <c r="H347">
        <v>4</v>
      </c>
      <c r="I347" s="13">
        <v>0.59559788359788357</v>
      </c>
      <c r="J347" t="s">
        <v>249</v>
      </c>
      <c r="K347" s="18">
        <v>0.39600000000000002</v>
      </c>
      <c r="L347" t="s">
        <v>249</v>
      </c>
      <c r="M347" t="s">
        <v>402</v>
      </c>
      <c r="N347" t="s">
        <v>39</v>
      </c>
      <c r="O347">
        <v>2</v>
      </c>
      <c r="P347">
        <v>4</v>
      </c>
      <c r="Q347" s="13">
        <v>0.75479145950448245</v>
      </c>
      <c r="R347" t="s">
        <v>249</v>
      </c>
      <c r="S347">
        <v>-1.31</v>
      </c>
      <c r="T347" t="s">
        <v>249</v>
      </c>
      <c r="U347" t="s">
        <v>16</v>
      </c>
      <c r="V347">
        <v>2</v>
      </c>
      <c r="W347">
        <v>3</v>
      </c>
      <c r="X347" t="s">
        <v>496</v>
      </c>
      <c r="Y347" t="s">
        <v>292</v>
      </c>
      <c r="Z347" t="s">
        <v>60</v>
      </c>
      <c r="AA347" t="s">
        <v>491</v>
      </c>
    </row>
    <row r="348" spans="1:27" x14ac:dyDescent="0.2">
      <c r="A348" s="1">
        <v>45984</v>
      </c>
      <c r="B348" t="s">
        <v>347</v>
      </c>
      <c r="C348" t="s">
        <v>25</v>
      </c>
      <c r="D348" t="s">
        <v>23</v>
      </c>
      <c r="E348" t="s">
        <v>363</v>
      </c>
      <c r="F348" t="s">
        <v>25</v>
      </c>
      <c r="G348">
        <v>4</v>
      </c>
      <c r="H348">
        <v>3</v>
      </c>
      <c r="I348" s="13">
        <v>0.746</v>
      </c>
      <c r="J348" t="s">
        <v>249</v>
      </c>
      <c r="K348" s="18">
        <v>0.33900000000000002</v>
      </c>
      <c r="L348" t="s">
        <v>249</v>
      </c>
      <c r="M348" t="s">
        <v>409</v>
      </c>
      <c r="N348" t="s">
        <v>25</v>
      </c>
      <c r="O348">
        <v>4</v>
      </c>
      <c r="P348">
        <v>2</v>
      </c>
      <c r="Q348" s="13">
        <v>0.70099999999999996</v>
      </c>
      <c r="R348" t="s">
        <v>249</v>
      </c>
      <c r="S348">
        <v>-1.1599999999999999</v>
      </c>
      <c r="T348" t="s">
        <v>249</v>
      </c>
      <c r="U348" t="s">
        <v>23</v>
      </c>
      <c r="V348">
        <v>1</v>
      </c>
      <c r="W348">
        <v>4</v>
      </c>
      <c r="X348" t="s">
        <v>490</v>
      </c>
      <c r="Y348" t="s">
        <v>292</v>
      </c>
      <c r="Z348" t="s">
        <v>359</v>
      </c>
      <c r="AA348" t="s">
        <v>491</v>
      </c>
    </row>
    <row r="349" spans="1:27" x14ac:dyDescent="0.2">
      <c r="A349" s="1">
        <v>45984</v>
      </c>
      <c r="B349" t="s">
        <v>328</v>
      </c>
      <c r="C349" t="s">
        <v>12</v>
      </c>
      <c r="D349" t="s">
        <v>10</v>
      </c>
      <c r="E349" t="s">
        <v>364</v>
      </c>
      <c r="F349" t="s">
        <v>12</v>
      </c>
      <c r="G349">
        <v>5</v>
      </c>
      <c r="H349">
        <v>4</v>
      </c>
      <c r="I349" s="13">
        <v>0.65200000000000002</v>
      </c>
      <c r="J349" t="s">
        <v>248</v>
      </c>
      <c r="K349" s="18">
        <v>0.53400000000000003</v>
      </c>
      <c r="L349" t="s">
        <v>248</v>
      </c>
      <c r="M349" t="s">
        <v>361</v>
      </c>
      <c r="N349" t="s">
        <v>12</v>
      </c>
      <c r="O349">
        <v>4</v>
      </c>
      <c r="P349">
        <v>2</v>
      </c>
      <c r="Q349" s="13">
        <v>0.73299999999999998</v>
      </c>
      <c r="R349" t="s">
        <v>249</v>
      </c>
      <c r="S349">
        <v>-1.5</v>
      </c>
      <c r="T349" t="s">
        <v>248</v>
      </c>
      <c r="U349" t="s">
        <v>12</v>
      </c>
      <c r="V349">
        <v>1</v>
      </c>
      <c r="W349">
        <v>0</v>
      </c>
      <c r="X349" t="s">
        <v>490</v>
      </c>
      <c r="Y349" t="s">
        <v>292</v>
      </c>
      <c r="Z349" t="s">
        <v>359</v>
      </c>
      <c r="AA349" t="s">
        <v>491</v>
      </c>
    </row>
    <row r="350" spans="1:27" x14ac:dyDescent="0.2">
      <c r="A350" s="1">
        <v>45984</v>
      </c>
      <c r="B350" t="s">
        <v>365</v>
      </c>
      <c r="C350" t="s">
        <v>32</v>
      </c>
      <c r="D350" t="s">
        <v>30</v>
      </c>
      <c r="E350" t="s">
        <v>366</v>
      </c>
      <c r="F350" t="s">
        <v>32</v>
      </c>
      <c r="G350">
        <v>5</v>
      </c>
      <c r="H350">
        <v>4</v>
      </c>
      <c r="I350" s="13">
        <v>0.57899999999999996</v>
      </c>
      <c r="J350" t="s">
        <v>249</v>
      </c>
      <c r="K350" s="18">
        <v>0.48799999999999999</v>
      </c>
      <c r="L350" t="s">
        <v>249</v>
      </c>
      <c r="M350" t="s">
        <v>410</v>
      </c>
      <c r="N350" t="s">
        <v>30</v>
      </c>
      <c r="O350">
        <v>2</v>
      </c>
      <c r="P350">
        <v>4</v>
      </c>
      <c r="Q350" s="13">
        <v>0.61299999999999999</v>
      </c>
      <c r="R350" t="s">
        <v>249</v>
      </c>
      <c r="S350">
        <v>0.56999999999999995</v>
      </c>
      <c r="T350" t="s">
        <v>248</v>
      </c>
      <c r="U350" t="s">
        <v>30</v>
      </c>
      <c r="V350">
        <v>0</v>
      </c>
      <c r="W350">
        <v>1</v>
      </c>
      <c r="X350" t="s">
        <v>496</v>
      </c>
      <c r="Y350" t="s">
        <v>292</v>
      </c>
      <c r="Z350" t="s">
        <v>359</v>
      </c>
      <c r="AA350" t="s">
        <v>491</v>
      </c>
    </row>
    <row r="351" spans="1:27" x14ac:dyDescent="0.2">
      <c r="A351" s="1">
        <v>45984</v>
      </c>
      <c r="B351" t="s">
        <v>324</v>
      </c>
      <c r="C351" t="s">
        <v>21</v>
      </c>
      <c r="D351" t="s">
        <v>33</v>
      </c>
      <c r="E351" t="s">
        <v>367</v>
      </c>
      <c r="F351" t="s">
        <v>33</v>
      </c>
      <c r="G351">
        <v>3</v>
      </c>
      <c r="H351">
        <v>4</v>
      </c>
      <c r="I351" s="13">
        <v>0.51900000000000002</v>
      </c>
      <c r="J351" t="s">
        <v>249</v>
      </c>
      <c r="K351" s="18">
        <v>0.27900000000000003</v>
      </c>
      <c r="L351" t="s">
        <v>248</v>
      </c>
      <c r="M351" t="s">
        <v>309</v>
      </c>
      <c r="N351" t="s">
        <v>21</v>
      </c>
      <c r="O351">
        <v>3</v>
      </c>
      <c r="P351">
        <v>2</v>
      </c>
      <c r="Q351" s="13">
        <v>0.49399999999999999</v>
      </c>
      <c r="R351" t="s">
        <v>248</v>
      </c>
      <c r="S351">
        <v>-0.26</v>
      </c>
      <c r="T351" t="s">
        <v>249</v>
      </c>
      <c r="U351" t="s">
        <v>33</v>
      </c>
      <c r="V351">
        <v>1</v>
      </c>
      <c r="W351">
        <v>3</v>
      </c>
      <c r="X351" t="s">
        <v>490</v>
      </c>
      <c r="Y351" t="s">
        <v>292</v>
      </c>
      <c r="Z351" t="s">
        <v>359</v>
      </c>
      <c r="AA351" t="s">
        <v>491</v>
      </c>
    </row>
    <row r="352" spans="1:27" x14ac:dyDescent="0.2">
      <c r="A352" s="1">
        <v>45984</v>
      </c>
      <c r="B352" t="s">
        <v>326</v>
      </c>
      <c r="C352" t="s">
        <v>16</v>
      </c>
      <c r="D352" t="s">
        <v>38</v>
      </c>
      <c r="E352" t="s">
        <v>368</v>
      </c>
      <c r="F352" t="s">
        <v>16</v>
      </c>
      <c r="G352">
        <v>4</v>
      </c>
      <c r="H352">
        <v>2</v>
      </c>
      <c r="I352" s="13">
        <v>0.53600000000000003</v>
      </c>
      <c r="J352" t="s">
        <v>249</v>
      </c>
      <c r="K352" s="18">
        <v>0.182</v>
      </c>
      <c r="L352" t="s">
        <v>248</v>
      </c>
      <c r="M352" t="s">
        <v>372</v>
      </c>
      <c r="N352" t="s">
        <v>38</v>
      </c>
      <c r="O352">
        <v>2</v>
      </c>
      <c r="P352">
        <v>3</v>
      </c>
      <c r="Q352" s="13">
        <v>0.59</v>
      </c>
      <c r="R352" t="s">
        <v>249</v>
      </c>
      <c r="S352">
        <v>0.39</v>
      </c>
      <c r="T352" t="s">
        <v>249</v>
      </c>
      <c r="U352" t="s">
        <v>16</v>
      </c>
      <c r="V352">
        <v>5</v>
      </c>
      <c r="W352">
        <v>2</v>
      </c>
      <c r="X352" t="s">
        <v>490</v>
      </c>
      <c r="Y352" t="s">
        <v>292</v>
      </c>
      <c r="Z352" t="s">
        <v>359</v>
      </c>
      <c r="AA352" t="s">
        <v>491</v>
      </c>
    </row>
    <row r="353" spans="1:27" x14ac:dyDescent="0.2">
      <c r="A353" s="1">
        <v>45984</v>
      </c>
      <c r="B353" t="s">
        <v>369</v>
      </c>
      <c r="C353" t="s">
        <v>34</v>
      </c>
      <c r="D353" t="s">
        <v>40</v>
      </c>
      <c r="E353" t="s">
        <v>370</v>
      </c>
      <c r="F353" t="s">
        <v>40</v>
      </c>
      <c r="G353">
        <v>3</v>
      </c>
      <c r="H353">
        <v>4</v>
      </c>
      <c r="I353" s="13">
        <v>0.78</v>
      </c>
      <c r="J353" t="s">
        <v>249</v>
      </c>
      <c r="K353" s="18">
        <v>0.24199999999999999</v>
      </c>
      <c r="L353" t="s">
        <v>249</v>
      </c>
      <c r="M353" t="s">
        <v>411</v>
      </c>
      <c r="N353" t="s">
        <v>40</v>
      </c>
      <c r="O353">
        <v>2</v>
      </c>
      <c r="P353">
        <v>4</v>
      </c>
      <c r="Q353" s="13">
        <v>0.63400000000000001</v>
      </c>
      <c r="R353" t="s">
        <v>249</v>
      </c>
      <c r="S353">
        <v>0.53</v>
      </c>
      <c r="T353" t="s">
        <v>249</v>
      </c>
      <c r="U353" t="s">
        <v>34</v>
      </c>
      <c r="V353">
        <v>3</v>
      </c>
      <c r="W353">
        <v>0</v>
      </c>
      <c r="X353" t="s">
        <v>490</v>
      </c>
      <c r="Y353" t="s">
        <v>292</v>
      </c>
      <c r="Z353" t="s">
        <v>359</v>
      </c>
      <c r="AA353" t="s">
        <v>491</v>
      </c>
    </row>
    <row r="354" spans="1:27" x14ac:dyDescent="0.2">
      <c r="A354" s="1">
        <v>45985</v>
      </c>
      <c r="B354" t="s">
        <v>326</v>
      </c>
      <c r="C354" t="s">
        <v>36</v>
      </c>
      <c r="D354" t="s">
        <v>13</v>
      </c>
      <c r="E354" t="s">
        <v>373</v>
      </c>
      <c r="F354" t="s">
        <v>36</v>
      </c>
      <c r="G354">
        <v>5</v>
      </c>
      <c r="H354">
        <v>4</v>
      </c>
      <c r="I354" s="13">
        <v>0.60899999999999999</v>
      </c>
      <c r="J354" t="s">
        <v>249</v>
      </c>
      <c r="K354" s="18">
        <v>0.40400000000000003</v>
      </c>
      <c r="L354" t="s">
        <v>249</v>
      </c>
      <c r="M354" t="s">
        <v>903</v>
      </c>
      <c r="N354" t="s">
        <v>13</v>
      </c>
      <c r="O354">
        <v>2</v>
      </c>
      <c r="P354">
        <v>3</v>
      </c>
      <c r="Q354" s="13">
        <v>0.53200000000000003</v>
      </c>
      <c r="R354" t="s">
        <v>248</v>
      </c>
      <c r="S354">
        <v>0.09</v>
      </c>
      <c r="T354" t="s">
        <v>248</v>
      </c>
      <c r="U354" t="s">
        <v>13</v>
      </c>
      <c r="V354">
        <v>1</v>
      </c>
      <c r="W354">
        <v>2</v>
      </c>
      <c r="X354" t="s">
        <v>490</v>
      </c>
      <c r="Y354" t="s">
        <v>292</v>
      </c>
      <c r="Z354" t="s">
        <v>371</v>
      </c>
      <c r="AA354" t="s">
        <v>491</v>
      </c>
    </row>
    <row r="355" spans="1:27" x14ac:dyDescent="0.2">
      <c r="A355" s="1">
        <v>45985</v>
      </c>
      <c r="B355" t="s">
        <v>328</v>
      </c>
      <c r="C355" t="s">
        <v>26</v>
      </c>
      <c r="D355" t="s">
        <v>24</v>
      </c>
      <c r="E355" t="s">
        <v>374</v>
      </c>
      <c r="F355" t="s">
        <v>24</v>
      </c>
      <c r="G355">
        <v>3</v>
      </c>
      <c r="H355">
        <v>4</v>
      </c>
      <c r="I355" s="13">
        <v>0.77800000000000002</v>
      </c>
      <c r="J355" t="s">
        <v>249</v>
      </c>
      <c r="K355" s="18">
        <v>0.39800000000000002</v>
      </c>
      <c r="L355" t="s">
        <v>248</v>
      </c>
      <c r="M355" t="s">
        <v>449</v>
      </c>
      <c r="N355" t="s">
        <v>24</v>
      </c>
      <c r="O355">
        <v>2</v>
      </c>
      <c r="P355">
        <v>4</v>
      </c>
      <c r="Q355" s="13">
        <v>0.71599999999999997</v>
      </c>
      <c r="R355" t="s">
        <v>249</v>
      </c>
      <c r="S355">
        <v>0.78</v>
      </c>
      <c r="T355" t="s">
        <v>248</v>
      </c>
      <c r="U355" t="s">
        <v>24</v>
      </c>
      <c r="V355">
        <v>3</v>
      </c>
      <c r="W355">
        <v>4</v>
      </c>
      <c r="X355" t="s">
        <v>490</v>
      </c>
      <c r="Y355" t="s">
        <v>292</v>
      </c>
      <c r="Z355" t="s">
        <v>371</v>
      </c>
      <c r="AA355" t="s">
        <v>491</v>
      </c>
    </row>
    <row r="356" spans="1:27" x14ac:dyDescent="0.2">
      <c r="A356" s="1">
        <v>45985</v>
      </c>
      <c r="B356" t="s">
        <v>324</v>
      </c>
      <c r="C356" t="s">
        <v>11</v>
      </c>
      <c r="D356" t="s">
        <v>29</v>
      </c>
      <c r="E356" t="s">
        <v>375</v>
      </c>
      <c r="F356" t="s">
        <v>11</v>
      </c>
      <c r="G356">
        <v>5</v>
      </c>
      <c r="H356">
        <v>4</v>
      </c>
      <c r="I356" s="13">
        <v>0.50600000000000001</v>
      </c>
      <c r="J356" t="s">
        <v>249</v>
      </c>
      <c r="K356" s="18">
        <v>0.22700000000000001</v>
      </c>
      <c r="L356" t="s">
        <v>248</v>
      </c>
      <c r="M356" t="s">
        <v>391</v>
      </c>
      <c r="N356" t="s">
        <v>11</v>
      </c>
      <c r="O356">
        <v>4</v>
      </c>
      <c r="P356">
        <v>2</v>
      </c>
      <c r="Q356" s="13">
        <v>0.59099999999999997</v>
      </c>
      <c r="R356" t="s">
        <v>249</v>
      </c>
      <c r="S356">
        <v>-0.98</v>
      </c>
      <c r="T356" t="s">
        <v>248</v>
      </c>
      <c r="U356" t="s">
        <v>11</v>
      </c>
      <c r="V356">
        <v>8</v>
      </c>
      <c r="W356">
        <v>3</v>
      </c>
      <c r="X356" t="s">
        <v>490</v>
      </c>
      <c r="Y356" t="s">
        <v>292</v>
      </c>
      <c r="Z356" t="s">
        <v>371</v>
      </c>
      <c r="AA356" t="s">
        <v>491</v>
      </c>
    </row>
    <row r="357" spans="1:27" x14ac:dyDescent="0.2">
      <c r="A357" s="1">
        <v>45985</v>
      </c>
      <c r="B357" t="s">
        <v>328</v>
      </c>
      <c r="C357" t="s">
        <v>35</v>
      </c>
      <c r="D357" t="s">
        <v>15</v>
      </c>
      <c r="E357" t="s">
        <v>376</v>
      </c>
      <c r="F357" t="s">
        <v>15</v>
      </c>
      <c r="G357">
        <v>3</v>
      </c>
      <c r="H357">
        <v>4</v>
      </c>
      <c r="I357" s="13">
        <v>0.63800000000000001</v>
      </c>
      <c r="J357" t="s">
        <v>249</v>
      </c>
      <c r="K357" s="18">
        <v>0.35499999999999998</v>
      </c>
      <c r="L357" t="s">
        <v>248</v>
      </c>
      <c r="M357" t="s">
        <v>518</v>
      </c>
      <c r="N357" t="s">
        <v>15</v>
      </c>
      <c r="O357">
        <v>2</v>
      </c>
      <c r="P357">
        <v>4</v>
      </c>
      <c r="Q357" s="13">
        <v>0.7</v>
      </c>
      <c r="R357" t="s">
        <v>249</v>
      </c>
      <c r="S357">
        <v>1.2</v>
      </c>
      <c r="T357" t="s">
        <v>248</v>
      </c>
      <c r="U357" t="s">
        <v>15</v>
      </c>
      <c r="V357">
        <v>2</v>
      </c>
      <c r="W357">
        <v>3</v>
      </c>
      <c r="X357" t="s">
        <v>490</v>
      </c>
      <c r="Y357" t="s">
        <v>292</v>
      </c>
      <c r="Z357" t="s">
        <v>371</v>
      </c>
      <c r="AA357" t="s">
        <v>491</v>
      </c>
    </row>
    <row r="358" spans="1:27" x14ac:dyDescent="0.2">
      <c r="A358" s="1">
        <v>45985</v>
      </c>
      <c r="B358" t="s">
        <v>328</v>
      </c>
      <c r="C358" t="s">
        <v>27</v>
      </c>
      <c r="D358" t="s">
        <v>37</v>
      </c>
      <c r="E358" t="s">
        <v>377</v>
      </c>
      <c r="F358" t="s">
        <v>37</v>
      </c>
      <c r="G358">
        <v>2</v>
      </c>
      <c r="H358">
        <v>3</v>
      </c>
      <c r="I358" s="13">
        <v>0.71899999999999997</v>
      </c>
      <c r="J358" t="s">
        <v>248</v>
      </c>
      <c r="K358" s="18">
        <v>0.501</v>
      </c>
      <c r="L358" t="s">
        <v>248</v>
      </c>
      <c r="M358" t="s">
        <v>395</v>
      </c>
      <c r="N358" t="s">
        <v>37</v>
      </c>
      <c r="O358">
        <v>2</v>
      </c>
      <c r="P358">
        <v>4</v>
      </c>
      <c r="Q358" s="13">
        <v>0.627</v>
      </c>
      <c r="R358" t="s">
        <v>249</v>
      </c>
      <c r="S358">
        <v>0.63</v>
      </c>
      <c r="T358" t="s">
        <v>248</v>
      </c>
      <c r="U358" t="s">
        <v>37</v>
      </c>
      <c r="V358">
        <v>0</v>
      </c>
      <c r="W358">
        <v>3</v>
      </c>
      <c r="X358" t="s">
        <v>490</v>
      </c>
      <c r="Y358" t="s">
        <v>292</v>
      </c>
      <c r="Z358" t="s">
        <v>371</v>
      </c>
      <c r="AA358" t="s">
        <v>491</v>
      </c>
    </row>
    <row r="359" spans="1:27" x14ac:dyDescent="0.2">
      <c r="A359" s="1">
        <v>45985</v>
      </c>
      <c r="B359" t="s">
        <v>326</v>
      </c>
      <c r="C359" t="s">
        <v>20</v>
      </c>
      <c r="D359" t="s">
        <v>55</v>
      </c>
      <c r="E359" t="s">
        <v>337</v>
      </c>
      <c r="F359" t="s">
        <v>55</v>
      </c>
      <c r="G359">
        <v>3</v>
      </c>
      <c r="H359">
        <v>4</v>
      </c>
      <c r="I359" s="13">
        <v>0.754</v>
      </c>
      <c r="J359" t="s">
        <v>249</v>
      </c>
      <c r="K359" s="18">
        <v>0.438</v>
      </c>
      <c r="L359" t="s">
        <v>248</v>
      </c>
      <c r="M359" t="s">
        <v>362</v>
      </c>
      <c r="N359" t="s">
        <v>20</v>
      </c>
      <c r="O359">
        <v>3</v>
      </c>
      <c r="P359">
        <v>2</v>
      </c>
      <c r="Q359" s="13">
        <v>0.46800000000000003</v>
      </c>
      <c r="R359" t="s">
        <v>248</v>
      </c>
      <c r="S359">
        <v>-0.28999999999999998</v>
      </c>
      <c r="T359" t="s">
        <v>249</v>
      </c>
      <c r="U359" t="s">
        <v>55</v>
      </c>
      <c r="V359">
        <v>1</v>
      </c>
      <c r="W359">
        <v>5</v>
      </c>
      <c r="X359" t="s">
        <v>490</v>
      </c>
      <c r="Y359" t="s">
        <v>292</v>
      </c>
      <c r="Z359" t="s">
        <v>371</v>
      </c>
      <c r="AA359" t="s">
        <v>491</v>
      </c>
    </row>
    <row r="360" spans="1:27" x14ac:dyDescent="0.2">
      <c r="A360" s="1">
        <v>45985</v>
      </c>
      <c r="B360" t="s">
        <v>328</v>
      </c>
      <c r="C360" t="s">
        <v>28</v>
      </c>
      <c r="D360" t="s">
        <v>22</v>
      </c>
      <c r="E360" t="s">
        <v>378</v>
      </c>
      <c r="F360" t="s">
        <v>22</v>
      </c>
      <c r="G360">
        <v>3</v>
      </c>
      <c r="H360">
        <v>4</v>
      </c>
      <c r="I360" s="13">
        <v>0.59399999999999997</v>
      </c>
      <c r="J360" t="s">
        <v>249</v>
      </c>
      <c r="K360" s="18">
        <v>0.48699999999999999</v>
      </c>
      <c r="L360" t="s">
        <v>248</v>
      </c>
      <c r="M360" t="s">
        <v>321</v>
      </c>
      <c r="N360" t="s">
        <v>22</v>
      </c>
      <c r="O360">
        <v>2</v>
      </c>
      <c r="P360">
        <v>4</v>
      </c>
      <c r="Q360" s="13">
        <v>0.64500000000000002</v>
      </c>
      <c r="R360" t="s">
        <v>249</v>
      </c>
      <c r="S360">
        <v>0.8</v>
      </c>
      <c r="T360" t="s">
        <v>248</v>
      </c>
      <c r="U360" t="s">
        <v>22</v>
      </c>
      <c r="V360">
        <v>1</v>
      </c>
      <c r="W360">
        <v>5</v>
      </c>
      <c r="X360" t="s">
        <v>490</v>
      </c>
      <c r="Y360" t="s">
        <v>292</v>
      </c>
      <c r="Z360" t="s">
        <v>371</v>
      </c>
      <c r="AA360" t="s">
        <v>491</v>
      </c>
    </row>
    <row r="361" spans="1:27" x14ac:dyDescent="0.2">
      <c r="A361" s="1">
        <v>45986</v>
      </c>
      <c r="B361" t="s">
        <v>326</v>
      </c>
      <c r="C361" t="s">
        <v>39</v>
      </c>
      <c r="D361" t="s">
        <v>17</v>
      </c>
      <c r="E361" t="s">
        <v>904</v>
      </c>
      <c r="F361" t="s">
        <v>39</v>
      </c>
      <c r="G361">
        <v>2</v>
      </c>
      <c r="H361">
        <v>3</v>
      </c>
      <c r="I361" s="13">
        <v>0.6</v>
      </c>
      <c r="J361" t="s">
        <v>249</v>
      </c>
      <c r="L361" t="s">
        <v>248</v>
      </c>
      <c r="M361" t="s">
        <v>398</v>
      </c>
      <c r="N361" t="s">
        <v>39</v>
      </c>
      <c r="O361">
        <v>2</v>
      </c>
      <c r="P361">
        <v>3</v>
      </c>
      <c r="Q361" s="13">
        <v>0.69272737782519755</v>
      </c>
      <c r="R361" t="s">
        <v>249</v>
      </c>
      <c r="S361">
        <v>-1.1812884171694791</v>
      </c>
      <c r="T361" t="s">
        <v>248</v>
      </c>
      <c r="U361" t="s">
        <v>39</v>
      </c>
      <c r="V361">
        <v>8</v>
      </c>
      <c r="W361">
        <v>3</v>
      </c>
      <c r="X361" t="s">
        <v>490</v>
      </c>
      <c r="Y361" t="s">
        <v>292</v>
      </c>
      <c r="Z361" t="s">
        <v>60</v>
      </c>
      <c r="AA361" t="s">
        <v>491</v>
      </c>
    </row>
    <row r="362" spans="1:27" x14ac:dyDescent="0.2">
      <c r="A362" s="1">
        <v>45987</v>
      </c>
      <c r="B362" t="s">
        <v>328</v>
      </c>
      <c r="C362" t="s">
        <v>40</v>
      </c>
      <c r="D362" t="s">
        <v>22</v>
      </c>
      <c r="E362" t="s">
        <v>429</v>
      </c>
      <c r="F362" t="s">
        <v>22</v>
      </c>
      <c r="G362">
        <v>3</v>
      </c>
      <c r="H362">
        <v>4</v>
      </c>
      <c r="I362" s="13">
        <v>0.56299999999999994</v>
      </c>
      <c r="J362" t="s">
        <v>248</v>
      </c>
      <c r="K362" s="18">
        <v>0.53500000000000003</v>
      </c>
      <c r="L362" t="s">
        <v>248</v>
      </c>
      <c r="M362" t="s">
        <v>321</v>
      </c>
      <c r="N362" t="s">
        <v>22</v>
      </c>
      <c r="O362">
        <v>2</v>
      </c>
      <c r="P362">
        <v>3</v>
      </c>
      <c r="Q362" s="13">
        <v>0.53600000000000003</v>
      </c>
      <c r="R362" t="s">
        <v>249</v>
      </c>
      <c r="S362">
        <v>0.45</v>
      </c>
      <c r="T362" t="s">
        <v>248</v>
      </c>
      <c r="U362" t="s">
        <v>22</v>
      </c>
      <c r="V362">
        <v>3</v>
      </c>
      <c r="W362">
        <v>4</v>
      </c>
      <c r="X362" t="s">
        <v>490</v>
      </c>
      <c r="Y362" t="s">
        <v>292</v>
      </c>
      <c r="Z362" t="s">
        <v>430</v>
      </c>
      <c r="AA362" t="s">
        <v>491</v>
      </c>
    </row>
    <row r="363" spans="1:27" x14ac:dyDescent="0.2">
      <c r="A363" s="1">
        <v>45987</v>
      </c>
      <c r="B363" t="s">
        <v>328</v>
      </c>
      <c r="C363" t="s">
        <v>29</v>
      </c>
      <c r="D363" t="s">
        <v>26</v>
      </c>
      <c r="E363" t="s">
        <v>419</v>
      </c>
      <c r="F363" t="s">
        <v>26</v>
      </c>
      <c r="G363">
        <v>3</v>
      </c>
      <c r="H363">
        <v>4</v>
      </c>
      <c r="I363" s="13">
        <v>0.89500000000000002</v>
      </c>
      <c r="J363" t="s">
        <v>249</v>
      </c>
      <c r="K363" s="18">
        <v>0.44</v>
      </c>
      <c r="L363" t="s">
        <v>249</v>
      </c>
      <c r="M363" t="s">
        <v>905</v>
      </c>
      <c r="N363" t="s">
        <v>26</v>
      </c>
      <c r="O363">
        <v>2</v>
      </c>
      <c r="P363">
        <v>4</v>
      </c>
      <c r="Q363" s="13">
        <v>0.73499999999999999</v>
      </c>
      <c r="R363" t="s">
        <v>249</v>
      </c>
      <c r="S363">
        <v>1.17</v>
      </c>
      <c r="T363" t="s">
        <v>249</v>
      </c>
      <c r="U363" t="s">
        <v>29</v>
      </c>
      <c r="V363">
        <v>6</v>
      </c>
      <c r="W363">
        <v>3</v>
      </c>
      <c r="X363" t="s">
        <v>490</v>
      </c>
      <c r="Y363" t="s">
        <v>292</v>
      </c>
      <c r="Z363" t="s">
        <v>430</v>
      </c>
      <c r="AA363" t="s">
        <v>491</v>
      </c>
    </row>
    <row r="364" spans="1:27" x14ac:dyDescent="0.2">
      <c r="A364" s="1">
        <v>45987</v>
      </c>
      <c r="B364" t="s">
        <v>328</v>
      </c>
      <c r="C364" t="s">
        <v>15</v>
      </c>
      <c r="D364" t="s">
        <v>25</v>
      </c>
      <c r="E364" t="s">
        <v>414</v>
      </c>
      <c r="F364" t="s">
        <v>15</v>
      </c>
      <c r="G364">
        <v>5</v>
      </c>
      <c r="H364">
        <v>4</v>
      </c>
      <c r="I364" s="13">
        <v>0.54400000000000004</v>
      </c>
      <c r="J364" t="s">
        <v>249</v>
      </c>
      <c r="K364" s="18">
        <v>0.38300000000000001</v>
      </c>
      <c r="L364" t="s">
        <v>248</v>
      </c>
      <c r="M364" t="s">
        <v>518</v>
      </c>
      <c r="N364" t="s">
        <v>25</v>
      </c>
      <c r="O364">
        <v>2</v>
      </c>
      <c r="P364">
        <v>4</v>
      </c>
      <c r="Q364" s="13">
        <v>0.66</v>
      </c>
      <c r="R364" t="s">
        <v>249</v>
      </c>
      <c r="S364">
        <v>1.0900000000000001</v>
      </c>
      <c r="T364" t="s">
        <v>249</v>
      </c>
      <c r="U364" t="s">
        <v>15</v>
      </c>
      <c r="V364">
        <v>4</v>
      </c>
      <c r="W364">
        <v>2</v>
      </c>
      <c r="X364" t="s">
        <v>490</v>
      </c>
      <c r="Y364" t="s">
        <v>292</v>
      </c>
      <c r="Z364" t="s">
        <v>430</v>
      </c>
      <c r="AA364" t="s">
        <v>491</v>
      </c>
    </row>
    <row r="365" spans="1:27" x14ac:dyDescent="0.2">
      <c r="A365" s="1">
        <v>45987</v>
      </c>
      <c r="B365" t="s">
        <v>322</v>
      </c>
      <c r="C365" t="s">
        <v>38</v>
      </c>
      <c r="D365" t="s">
        <v>31</v>
      </c>
      <c r="E365" t="s">
        <v>413</v>
      </c>
      <c r="F365" t="s">
        <v>31</v>
      </c>
      <c r="G365">
        <v>3</v>
      </c>
      <c r="H365">
        <v>5</v>
      </c>
      <c r="I365" s="13">
        <v>0.73499999999999999</v>
      </c>
      <c r="J365" t="s">
        <v>249</v>
      </c>
      <c r="K365" s="18">
        <v>0.44500000000000001</v>
      </c>
      <c r="L365" t="s">
        <v>249</v>
      </c>
      <c r="M365" t="s">
        <v>906</v>
      </c>
      <c r="N365" t="s">
        <v>31</v>
      </c>
      <c r="O365">
        <v>2</v>
      </c>
      <c r="P365">
        <v>5</v>
      </c>
      <c r="Q365" s="13">
        <v>0.84299999999999997</v>
      </c>
      <c r="R365" t="s">
        <v>249</v>
      </c>
      <c r="S365">
        <v>1.64</v>
      </c>
      <c r="T365" t="s">
        <v>249</v>
      </c>
      <c r="U365" t="s">
        <v>38</v>
      </c>
      <c r="V365">
        <v>5</v>
      </c>
      <c r="W365">
        <v>4</v>
      </c>
      <c r="X365" t="s">
        <v>490</v>
      </c>
      <c r="Y365" t="s">
        <v>292</v>
      </c>
      <c r="Z365" t="s">
        <v>430</v>
      </c>
      <c r="AA365" t="s">
        <v>491</v>
      </c>
    </row>
    <row r="366" spans="1:27" x14ac:dyDescent="0.2">
      <c r="A366" s="1">
        <v>45987</v>
      </c>
      <c r="B366" t="s">
        <v>426</v>
      </c>
      <c r="C366" t="s">
        <v>18</v>
      </c>
      <c r="D366" t="s">
        <v>55</v>
      </c>
      <c r="E366" t="s">
        <v>427</v>
      </c>
      <c r="F366" t="s">
        <v>55</v>
      </c>
      <c r="G366">
        <v>3</v>
      </c>
      <c r="H366">
        <v>4</v>
      </c>
      <c r="I366" s="13">
        <v>0.81100000000000005</v>
      </c>
      <c r="J366" t="s">
        <v>249</v>
      </c>
      <c r="K366" s="18">
        <v>0.45600000000000002</v>
      </c>
      <c r="L366" t="s">
        <v>249</v>
      </c>
      <c r="M366" t="s">
        <v>827</v>
      </c>
      <c r="N366" t="s">
        <v>55</v>
      </c>
      <c r="O366">
        <v>2</v>
      </c>
      <c r="P366">
        <v>4</v>
      </c>
      <c r="Q366" s="13">
        <v>0.66600000000000004</v>
      </c>
      <c r="R366" t="s">
        <v>249</v>
      </c>
      <c r="S366">
        <v>0.78</v>
      </c>
      <c r="T366" t="s">
        <v>249</v>
      </c>
      <c r="U366" t="s">
        <v>18</v>
      </c>
      <c r="V366">
        <v>4</v>
      </c>
      <c r="W366">
        <v>3</v>
      </c>
      <c r="X366" t="s">
        <v>490</v>
      </c>
      <c r="Y366" t="s">
        <v>292</v>
      </c>
      <c r="Z366" t="s">
        <v>430</v>
      </c>
      <c r="AA366" t="s">
        <v>491</v>
      </c>
    </row>
    <row r="367" spans="1:27" x14ac:dyDescent="0.2">
      <c r="A367" s="1">
        <v>45987</v>
      </c>
      <c r="B367" t="s">
        <v>328</v>
      </c>
      <c r="C367" t="s">
        <v>16</v>
      </c>
      <c r="D367" t="s">
        <v>37</v>
      </c>
      <c r="E367" t="s">
        <v>425</v>
      </c>
      <c r="F367" t="s">
        <v>37</v>
      </c>
      <c r="G367">
        <v>2</v>
      </c>
      <c r="H367">
        <v>3</v>
      </c>
      <c r="I367" s="13">
        <v>0.86699999999999999</v>
      </c>
      <c r="J367" t="s">
        <v>248</v>
      </c>
      <c r="K367" s="18">
        <v>0.72199999999999998</v>
      </c>
      <c r="L367" t="s">
        <v>248</v>
      </c>
      <c r="M367" t="s">
        <v>395</v>
      </c>
      <c r="N367" t="s">
        <v>37</v>
      </c>
      <c r="O367">
        <v>2</v>
      </c>
      <c r="P367">
        <v>4</v>
      </c>
      <c r="Q367" s="13">
        <v>0.76200000000000001</v>
      </c>
      <c r="R367" t="s">
        <v>249</v>
      </c>
      <c r="S367">
        <v>1.46</v>
      </c>
      <c r="T367" t="s">
        <v>248</v>
      </c>
      <c r="U367" t="s">
        <v>37</v>
      </c>
      <c r="V367">
        <v>1</v>
      </c>
      <c r="W367">
        <v>5</v>
      </c>
      <c r="X367" t="s">
        <v>490</v>
      </c>
      <c r="Y367" t="s">
        <v>292</v>
      </c>
      <c r="Z367" t="s">
        <v>430</v>
      </c>
      <c r="AA367" t="s">
        <v>491</v>
      </c>
    </row>
    <row r="368" spans="1:27" x14ac:dyDescent="0.2">
      <c r="A368" s="1">
        <v>45987</v>
      </c>
      <c r="B368" t="s">
        <v>322</v>
      </c>
      <c r="C368" t="s">
        <v>39</v>
      </c>
      <c r="D368" t="s">
        <v>32</v>
      </c>
      <c r="E368" t="s">
        <v>424</v>
      </c>
      <c r="F368" t="s">
        <v>32</v>
      </c>
      <c r="G368">
        <v>4</v>
      </c>
      <c r="H368">
        <v>5</v>
      </c>
      <c r="I368" s="13">
        <v>0.60299999999999998</v>
      </c>
      <c r="J368" t="s">
        <v>249</v>
      </c>
      <c r="K368" s="18">
        <v>0.44900000000000001</v>
      </c>
      <c r="L368" t="s">
        <v>249</v>
      </c>
      <c r="M368" t="s">
        <v>907</v>
      </c>
      <c r="N368" t="s">
        <v>39</v>
      </c>
      <c r="O368">
        <v>3</v>
      </c>
      <c r="P368">
        <v>2</v>
      </c>
      <c r="Q368" s="13">
        <v>0.56799999999999995</v>
      </c>
      <c r="R368" t="s">
        <v>249</v>
      </c>
      <c r="S368">
        <v>-0.3</v>
      </c>
      <c r="T368" t="s">
        <v>248</v>
      </c>
      <c r="U368" t="s">
        <v>39</v>
      </c>
      <c r="V368">
        <v>3</v>
      </c>
      <c r="W368">
        <v>2</v>
      </c>
      <c r="X368" t="s">
        <v>490</v>
      </c>
      <c r="Y368" t="s">
        <v>292</v>
      </c>
      <c r="Z368" t="s">
        <v>430</v>
      </c>
      <c r="AA368" t="s">
        <v>491</v>
      </c>
    </row>
    <row r="369" spans="1:27" x14ac:dyDescent="0.2">
      <c r="A369" s="1">
        <v>45987</v>
      </c>
      <c r="B369" t="s">
        <v>328</v>
      </c>
      <c r="C369" t="s">
        <v>21</v>
      </c>
      <c r="D369" t="s">
        <v>30</v>
      </c>
      <c r="E369" t="s">
        <v>422</v>
      </c>
      <c r="F369" t="s">
        <v>30</v>
      </c>
      <c r="G369">
        <v>2</v>
      </c>
      <c r="H369">
        <v>5</v>
      </c>
      <c r="I369" s="13">
        <v>0.85799999999999998</v>
      </c>
      <c r="J369" t="s">
        <v>249</v>
      </c>
      <c r="K369" s="18">
        <v>0.38900000000000001</v>
      </c>
      <c r="L369" t="s">
        <v>249</v>
      </c>
      <c r="M369" t="s">
        <v>780</v>
      </c>
      <c r="N369" t="s">
        <v>30</v>
      </c>
      <c r="O369">
        <v>2</v>
      </c>
      <c r="P369">
        <v>3</v>
      </c>
      <c r="Q369" s="13">
        <v>0.57999999999999996</v>
      </c>
      <c r="R369" t="s">
        <v>248</v>
      </c>
      <c r="S369">
        <v>0.28999999999999998</v>
      </c>
      <c r="T369" t="s">
        <v>249</v>
      </c>
      <c r="U369" t="s">
        <v>21</v>
      </c>
      <c r="V369">
        <v>3</v>
      </c>
      <c r="W369">
        <v>1</v>
      </c>
      <c r="X369" t="s">
        <v>490</v>
      </c>
      <c r="Y369" t="s">
        <v>292</v>
      </c>
      <c r="Z369" t="s">
        <v>430</v>
      </c>
      <c r="AA369" t="s">
        <v>491</v>
      </c>
    </row>
    <row r="370" spans="1:27" x14ac:dyDescent="0.2">
      <c r="A370" s="1">
        <v>45987</v>
      </c>
      <c r="B370" t="s">
        <v>328</v>
      </c>
      <c r="C370" t="s">
        <v>23</v>
      </c>
      <c r="D370" t="s">
        <v>14</v>
      </c>
      <c r="E370" t="s">
        <v>423</v>
      </c>
      <c r="F370" t="s">
        <v>14</v>
      </c>
      <c r="G370">
        <v>3</v>
      </c>
      <c r="H370">
        <v>4</v>
      </c>
      <c r="I370" s="13">
        <v>0.76300000000000001</v>
      </c>
      <c r="J370" t="s">
        <v>249</v>
      </c>
      <c r="K370" s="18">
        <v>0.495</v>
      </c>
      <c r="L370" t="s">
        <v>248</v>
      </c>
      <c r="M370" t="s">
        <v>451</v>
      </c>
      <c r="N370" t="s">
        <v>14</v>
      </c>
      <c r="O370">
        <v>2</v>
      </c>
      <c r="P370">
        <v>3</v>
      </c>
      <c r="Q370" s="13">
        <v>0.60099999999999998</v>
      </c>
      <c r="R370" t="s">
        <v>249</v>
      </c>
      <c r="S370">
        <v>0.44</v>
      </c>
      <c r="T370" t="s">
        <v>248</v>
      </c>
      <c r="U370" t="s">
        <v>14</v>
      </c>
      <c r="V370">
        <v>2</v>
      </c>
      <c r="W370">
        <v>4</v>
      </c>
      <c r="X370" t="s">
        <v>490</v>
      </c>
      <c r="Y370" t="s">
        <v>292</v>
      </c>
      <c r="Z370" t="s">
        <v>430</v>
      </c>
      <c r="AA370" t="s">
        <v>491</v>
      </c>
    </row>
    <row r="371" spans="1:27" x14ac:dyDescent="0.2">
      <c r="A371" s="1">
        <v>45987</v>
      </c>
      <c r="B371" t="s">
        <v>328</v>
      </c>
      <c r="C371" t="s">
        <v>27</v>
      </c>
      <c r="D371" t="s">
        <v>11</v>
      </c>
      <c r="E371" t="s">
        <v>420</v>
      </c>
      <c r="F371" t="s">
        <v>11</v>
      </c>
      <c r="G371">
        <v>3</v>
      </c>
      <c r="H371">
        <v>4</v>
      </c>
      <c r="I371" s="13">
        <v>0.78400000000000003</v>
      </c>
      <c r="J371" t="s">
        <v>248</v>
      </c>
      <c r="K371" s="18">
        <v>0.67900000000000005</v>
      </c>
      <c r="L371" t="s">
        <v>249</v>
      </c>
      <c r="M371" t="s">
        <v>908</v>
      </c>
      <c r="N371" t="s">
        <v>11</v>
      </c>
      <c r="O371">
        <v>2</v>
      </c>
      <c r="P371">
        <v>3</v>
      </c>
      <c r="Q371" s="13">
        <v>0.66</v>
      </c>
      <c r="R371" t="s">
        <v>249</v>
      </c>
      <c r="S371">
        <v>0.49</v>
      </c>
      <c r="T371" t="s">
        <v>249</v>
      </c>
      <c r="U371" t="s">
        <v>27</v>
      </c>
      <c r="V371">
        <v>4</v>
      </c>
      <c r="W371">
        <v>2</v>
      </c>
      <c r="X371" t="s">
        <v>490</v>
      </c>
      <c r="Y371" t="s">
        <v>292</v>
      </c>
      <c r="Z371" t="s">
        <v>430</v>
      </c>
      <c r="AA371" t="s">
        <v>491</v>
      </c>
    </row>
    <row r="372" spans="1:27" x14ac:dyDescent="0.2">
      <c r="A372" s="1">
        <v>45987</v>
      </c>
      <c r="B372" t="s">
        <v>322</v>
      </c>
      <c r="C372" t="s">
        <v>36</v>
      </c>
      <c r="D372" t="s">
        <v>20</v>
      </c>
      <c r="E372" t="s">
        <v>428</v>
      </c>
      <c r="F372" t="s">
        <v>36</v>
      </c>
      <c r="G372">
        <v>4</v>
      </c>
      <c r="H372">
        <v>2</v>
      </c>
      <c r="I372" s="13">
        <v>0.64300000000000002</v>
      </c>
      <c r="J372" t="s">
        <v>249</v>
      </c>
      <c r="K372" s="18">
        <v>0.42599999999999999</v>
      </c>
      <c r="L372" t="s">
        <v>248</v>
      </c>
      <c r="M372" t="s">
        <v>582</v>
      </c>
      <c r="N372" t="s">
        <v>20</v>
      </c>
      <c r="O372">
        <v>2</v>
      </c>
      <c r="P372">
        <v>3</v>
      </c>
      <c r="Q372" s="13">
        <v>0.60499999999999998</v>
      </c>
      <c r="R372" t="s">
        <v>249</v>
      </c>
      <c r="S372">
        <v>0.47</v>
      </c>
      <c r="T372" t="s">
        <v>249</v>
      </c>
      <c r="U372" t="s">
        <v>36</v>
      </c>
      <c r="V372">
        <v>4</v>
      </c>
      <c r="W372">
        <v>3</v>
      </c>
      <c r="X372" t="s">
        <v>496</v>
      </c>
      <c r="Y372" t="s">
        <v>292</v>
      </c>
      <c r="Z372" t="s">
        <v>430</v>
      </c>
      <c r="AA372" t="s">
        <v>491</v>
      </c>
    </row>
    <row r="373" spans="1:27" x14ac:dyDescent="0.2">
      <c r="A373" s="1">
        <v>45987</v>
      </c>
      <c r="B373" t="s">
        <v>326</v>
      </c>
      <c r="C373" t="s">
        <v>33</v>
      </c>
      <c r="D373" t="s">
        <v>12</v>
      </c>
      <c r="E373" t="s">
        <v>418</v>
      </c>
      <c r="F373" t="s">
        <v>12</v>
      </c>
      <c r="G373">
        <v>2</v>
      </c>
      <c r="H373">
        <v>4</v>
      </c>
      <c r="I373" s="13">
        <v>0.84299999999999997</v>
      </c>
      <c r="J373" t="s">
        <v>249</v>
      </c>
      <c r="K373" s="18">
        <v>0.34399999999999997</v>
      </c>
      <c r="L373" t="s">
        <v>248</v>
      </c>
      <c r="M373" t="s">
        <v>361</v>
      </c>
      <c r="N373" t="s">
        <v>12</v>
      </c>
      <c r="O373">
        <v>2</v>
      </c>
      <c r="P373">
        <v>5</v>
      </c>
      <c r="Q373" s="13">
        <v>0.90800000000000003</v>
      </c>
      <c r="R373" t="s">
        <v>249</v>
      </c>
      <c r="S373">
        <v>1.97</v>
      </c>
      <c r="T373" t="s">
        <v>248</v>
      </c>
      <c r="U373" t="s">
        <v>12</v>
      </c>
      <c r="V373">
        <v>0</v>
      </c>
      <c r="W373">
        <v>6</v>
      </c>
      <c r="X373" t="s">
        <v>490</v>
      </c>
      <c r="Y373" t="s">
        <v>292</v>
      </c>
      <c r="Z373" t="s">
        <v>430</v>
      </c>
      <c r="AA373" t="s">
        <v>491</v>
      </c>
    </row>
    <row r="374" spans="1:27" x14ac:dyDescent="0.2">
      <c r="A374" s="1">
        <v>45987</v>
      </c>
      <c r="B374" t="s">
        <v>416</v>
      </c>
      <c r="C374" t="s">
        <v>34</v>
      </c>
      <c r="D374" t="s">
        <v>10</v>
      </c>
      <c r="E374" t="s">
        <v>417</v>
      </c>
      <c r="F374" t="s">
        <v>34</v>
      </c>
      <c r="G374">
        <v>4</v>
      </c>
      <c r="H374">
        <v>3</v>
      </c>
      <c r="I374" s="13">
        <v>0.57699999999999996</v>
      </c>
      <c r="J374" t="s">
        <v>249</v>
      </c>
      <c r="K374" s="18">
        <v>0.313</v>
      </c>
      <c r="L374" t="s">
        <v>248</v>
      </c>
      <c r="M374" t="s">
        <v>343</v>
      </c>
      <c r="N374" t="s">
        <v>10</v>
      </c>
      <c r="O374">
        <v>2</v>
      </c>
      <c r="P374">
        <v>3</v>
      </c>
      <c r="Q374" s="13">
        <v>0.54800000000000004</v>
      </c>
      <c r="R374" t="s">
        <v>248</v>
      </c>
      <c r="S374">
        <v>0.2</v>
      </c>
      <c r="T374" t="s">
        <v>249</v>
      </c>
      <c r="U374" t="s">
        <v>34</v>
      </c>
      <c r="V374">
        <v>4</v>
      </c>
      <c r="W374">
        <v>3</v>
      </c>
      <c r="X374" t="s">
        <v>496</v>
      </c>
      <c r="Y374" t="s">
        <v>292</v>
      </c>
      <c r="Z374" t="s">
        <v>430</v>
      </c>
      <c r="AA374" t="s">
        <v>491</v>
      </c>
    </row>
    <row r="375" spans="1:27" x14ac:dyDescent="0.2">
      <c r="A375" s="1">
        <v>45987</v>
      </c>
      <c r="B375" t="s">
        <v>328</v>
      </c>
      <c r="C375" t="s">
        <v>19</v>
      </c>
      <c r="D375" t="s">
        <v>28</v>
      </c>
      <c r="E375" t="s">
        <v>415</v>
      </c>
      <c r="F375" t="s">
        <v>28</v>
      </c>
      <c r="G375">
        <v>4</v>
      </c>
      <c r="H375">
        <v>5</v>
      </c>
      <c r="I375" s="13">
        <v>0.81299999999999994</v>
      </c>
      <c r="J375" t="s">
        <v>249</v>
      </c>
      <c r="K375" s="18">
        <v>0.442</v>
      </c>
      <c r="L375" t="s">
        <v>249</v>
      </c>
      <c r="M375" t="s">
        <v>909</v>
      </c>
      <c r="N375" t="s">
        <v>28</v>
      </c>
      <c r="O375">
        <v>2</v>
      </c>
      <c r="P375">
        <v>3</v>
      </c>
      <c r="Q375" s="13">
        <v>0.60199999999999998</v>
      </c>
      <c r="R375" t="s">
        <v>249</v>
      </c>
      <c r="S375">
        <v>0.4</v>
      </c>
      <c r="T375" t="s">
        <v>249</v>
      </c>
      <c r="U375" t="s">
        <v>19</v>
      </c>
      <c r="V375">
        <v>2</v>
      </c>
      <c r="W375">
        <v>1</v>
      </c>
      <c r="X375" t="s">
        <v>496</v>
      </c>
      <c r="Y375" t="s">
        <v>292</v>
      </c>
      <c r="Z375" t="s">
        <v>430</v>
      </c>
      <c r="AA375" t="s">
        <v>491</v>
      </c>
    </row>
    <row r="376" spans="1:27" x14ac:dyDescent="0.2">
      <c r="A376" s="1">
        <v>45987</v>
      </c>
      <c r="B376" t="s">
        <v>328</v>
      </c>
      <c r="C376" t="s">
        <v>35</v>
      </c>
      <c r="D376" t="s">
        <v>24</v>
      </c>
      <c r="E376" t="s">
        <v>421</v>
      </c>
      <c r="F376" t="s">
        <v>24</v>
      </c>
      <c r="G376">
        <v>3</v>
      </c>
      <c r="H376">
        <v>4</v>
      </c>
      <c r="I376" s="13">
        <v>0.872</v>
      </c>
      <c r="J376" t="s">
        <v>249</v>
      </c>
      <c r="K376" s="18">
        <v>0.25900000000000001</v>
      </c>
      <c r="L376" t="s">
        <v>248</v>
      </c>
      <c r="M376" t="s">
        <v>449</v>
      </c>
      <c r="N376" t="s">
        <v>24</v>
      </c>
      <c r="O376">
        <v>2</v>
      </c>
      <c r="P376">
        <v>5</v>
      </c>
      <c r="Q376" s="13">
        <v>0.90100000000000002</v>
      </c>
      <c r="R376" t="s">
        <v>249</v>
      </c>
      <c r="S376">
        <v>1.74</v>
      </c>
      <c r="T376" t="s">
        <v>248</v>
      </c>
      <c r="U376" t="s">
        <v>24</v>
      </c>
      <c r="V376">
        <v>2</v>
      </c>
      <c r="W376">
        <v>3</v>
      </c>
      <c r="X376" t="s">
        <v>496</v>
      </c>
      <c r="Y376" t="s">
        <v>292</v>
      </c>
      <c r="Z376" t="s">
        <v>430</v>
      </c>
      <c r="AA376" t="s">
        <v>491</v>
      </c>
    </row>
    <row r="377" spans="1:27" x14ac:dyDescent="0.2">
      <c r="A377" s="1">
        <v>45989</v>
      </c>
      <c r="B377" t="s">
        <v>369</v>
      </c>
      <c r="C377" t="s">
        <v>27</v>
      </c>
      <c r="D377" t="s">
        <v>30</v>
      </c>
      <c r="E377" t="s">
        <v>443</v>
      </c>
      <c r="F377" t="s">
        <v>27</v>
      </c>
      <c r="G377">
        <v>4</v>
      </c>
      <c r="H377">
        <v>3</v>
      </c>
      <c r="I377" s="13">
        <v>0.53200000000000003</v>
      </c>
      <c r="J377" t="s">
        <v>249</v>
      </c>
      <c r="K377" s="18">
        <v>0.42499999999999999</v>
      </c>
      <c r="L377" t="s">
        <v>248</v>
      </c>
      <c r="M377" t="s">
        <v>393</v>
      </c>
      <c r="N377" t="s">
        <v>30</v>
      </c>
      <c r="O377">
        <v>2</v>
      </c>
      <c r="P377">
        <v>3</v>
      </c>
      <c r="Q377" s="13">
        <v>0.59199999999999997</v>
      </c>
      <c r="R377" t="s">
        <v>249</v>
      </c>
      <c r="S377">
        <v>0.41</v>
      </c>
      <c r="T377" t="s">
        <v>249</v>
      </c>
      <c r="U377" t="s">
        <v>27</v>
      </c>
      <c r="V377">
        <v>4</v>
      </c>
      <c r="W377">
        <v>3</v>
      </c>
      <c r="X377" t="s">
        <v>496</v>
      </c>
      <c r="Y377" t="s">
        <v>292</v>
      </c>
      <c r="Z377" t="s">
        <v>432</v>
      </c>
      <c r="AA377" t="s">
        <v>491</v>
      </c>
    </row>
    <row r="378" spans="1:27" x14ac:dyDescent="0.2">
      <c r="A378" s="1">
        <v>45989</v>
      </c>
      <c r="B378" t="s">
        <v>365</v>
      </c>
      <c r="C378" t="s">
        <v>19</v>
      </c>
      <c r="D378" t="s">
        <v>22</v>
      </c>
      <c r="E378" t="s">
        <v>447</v>
      </c>
      <c r="F378" t="s">
        <v>22</v>
      </c>
      <c r="G378">
        <v>3</v>
      </c>
      <c r="H378">
        <v>4</v>
      </c>
      <c r="I378" s="13">
        <v>0.80500000000000005</v>
      </c>
      <c r="J378" t="s">
        <v>249</v>
      </c>
      <c r="K378" s="18">
        <v>0.29899999999999999</v>
      </c>
      <c r="L378" t="s">
        <v>248</v>
      </c>
      <c r="M378" t="s">
        <v>321</v>
      </c>
      <c r="N378" t="s">
        <v>22</v>
      </c>
      <c r="O378">
        <v>2</v>
      </c>
      <c r="P378">
        <v>4</v>
      </c>
      <c r="Q378" s="13">
        <v>0.71199999999999997</v>
      </c>
      <c r="R378" t="s">
        <v>249</v>
      </c>
      <c r="S378">
        <v>1.25</v>
      </c>
      <c r="T378" t="s">
        <v>248</v>
      </c>
      <c r="U378" t="s">
        <v>22</v>
      </c>
      <c r="V378">
        <v>2</v>
      </c>
      <c r="W378">
        <v>4</v>
      </c>
      <c r="X378" t="s">
        <v>490</v>
      </c>
      <c r="Y378" t="s">
        <v>292</v>
      </c>
      <c r="Z378" t="s">
        <v>432</v>
      </c>
      <c r="AA378" t="s">
        <v>491</v>
      </c>
    </row>
    <row r="379" spans="1:27" x14ac:dyDescent="0.2">
      <c r="A379" s="1">
        <v>45989</v>
      </c>
      <c r="B379" t="s">
        <v>369</v>
      </c>
      <c r="C379" t="s">
        <v>36</v>
      </c>
      <c r="D379" t="s">
        <v>35</v>
      </c>
      <c r="E379" t="s">
        <v>445</v>
      </c>
      <c r="F379" t="s">
        <v>36</v>
      </c>
      <c r="G379">
        <v>5</v>
      </c>
      <c r="H379">
        <v>4</v>
      </c>
      <c r="I379" s="13">
        <v>0.80500000000000005</v>
      </c>
      <c r="J379" t="s">
        <v>249</v>
      </c>
      <c r="K379" s="18">
        <v>0.46300000000000002</v>
      </c>
      <c r="L379" t="s">
        <v>249</v>
      </c>
      <c r="M379" t="s">
        <v>910</v>
      </c>
      <c r="N379" t="s">
        <v>36</v>
      </c>
      <c r="O379">
        <v>4</v>
      </c>
      <c r="P379">
        <v>2</v>
      </c>
      <c r="Q379" s="13">
        <v>0.626</v>
      </c>
      <c r="R379" t="s">
        <v>249</v>
      </c>
      <c r="S379">
        <v>-1.1499999999999999</v>
      </c>
      <c r="T379" t="s">
        <v>249</v>
      </c>
      <c r="U379" t="s">
        <v>35</v>
      </c>
      <c r="V379">
        <v>3</v>
      </c>
      <c r="W379">
        <v>4</v>
      </c>
      <c r="X379" t="s">
        <v>490</v>
      </c>
      <c r="Y379" t="s">
        <v>292</v>
      </c>
      <c r="Z379" t="s">
        <v>432</v>
      </c>
      <c r="AA379" t="s">
        <v>491</v>
      </c>
    </row>
    <row r="380" spans="1:27" x14ac:dyDescent="0.2">
      <c r="A380" s="1">
        <v>45989</v>
      </c>
      <c r="B380" t="s">
        <v>369</v>
      </c>
      <c r="C380" t="s">
        <v>38</v>
      </c>
      <c r="D380" t="s">
        <v>33</v>
      </c>
      <c r="E380" t="s">
        <v>444</v>
      </c>
      <c r="F380" t="s">
        <v>33</v>
      </c>
      <c r="G380">
        <v>3</v>
      </c>
      <c r="H380">
        <v>4</v>
      </c>
      <c r="I380" s="13">
        <v>0.54800000000000004</v>
      </c>
      <c r="J380" t="s">
        <v>249</v>
      </c>
      <c r="K380" s="18">
        <v>0.36899999999999999</v>
      </c>
      <c r="L380" t="s">
        <v>248</v>
      </c>
      <c r="M380" t="s">
        <v>309</v>
      </c>
      <c r="N380" t="s">
        <v>33</v>
      </c>
      <c r="O380">
        <v>2</v>
      </c>
      <c r="P380">
        <v>4</v>
      </c>
      <c r="Q380" s="13">
        <v>0.57399999999999995</v>
      </c>
      <c r="R380" t="s">
        <v>249</v>
      </c>
      <c r="S380">
        <v>0.57999999999999996</v>
      </c>
      <c r="T380" t="s">
        <v>248</v>
      </c>
      <c r="U380" t="s">
        <v>33</v>
      </c>
      <c r="V380">
        <v>2</v>
      </c>
      <c r="W380">
        <v>3</v>
      </c>
      <c r="X380" t="s">
        <v>490</v>
      </c>
      <c r="Y380" t="s">
        <v>292</v>
      </c>
      <c r="Z380" t="s">
        <v>432</v>
      </c>
      <c r="AA380" t="s">
        <v>491</v>
      </c>
    </row>
    <row r="381" spans="1:27" x14ac:dyDescent="0.2">
      <c r="A381" s="1">
        <v>45989</v>
      </c>
      <c r="B381" t="s">
        <v>352</v>
      </c>
      <c r="C381" t="s">
        <v>12</v>
      </c>
      <c r="D381" t="s">
        <v>34</v>
      </c>
      <c r="E381" t="s">
        <v>442</v>
      </c>
      <c r="F381" t="s">
        <v>12</v>
      </c>
      <c r="G381">
        <v>5</v>
      </c>
      <c r="H381">
        <v>4</v>
      </c>
      <c r="I381" s="13">
        <v>0.72299999999999998</v>
      </c>
      <c r="J381" t="s">
        <v>249</v>
      </c>
      <c r="K381" s="18">
        <v>0.371</v>
      </c>
      <c r="L381" t="s">
        <v>249</v>
      </c>
      <c r="M381" t="s">
        <v>911</v>
      </c>
      <c r="N381" t="s">
        <v>12</v>
      </c>
      <c r="O381">
        <v>5</v>
      </c>
      <c r="P381">
        <v>2</v>
      </c>
      <c r="Q381" s="13">
        <v>0.75900000000000001</v>
      </c>
      <c r="R381" t="s">
        <v>249</v>
      </c>
      <c r="S381">
        <v>-1.63</v>
      </c>
      <c r="T381" t="s">
        <v>249</v>
      </c>
      <c r="U381" t="s">
        <v>34</v>
      </c>
      <c r="V381">
        <v>2</v>
      </c>
      <c r="W381">
        <v>3</v>
      </c>
      <c r="X381" t="s">
        <v>496</v>
      </c>
      <c r="Y381" t="s">
        <v>292</v>
      </c>
      <c r="Z381" t="s">
        <v>432</v>
      </c>
      <c r="AA381" t="s">
        <v>491</v>
      </c>
    </row>
    <row r="382" spans="1:27" x14ac:dyDescent="0.2">
      <c r="A382" s="1">
        <v>45989</v>
      </c>
      <c r="B382" t="s">
        <v>369</v>
      </c>
      <c r="C382" t="s">
        <v>18</v>
      </c>
      <c r="D382" t="s">
        <v>20</v>
      </c>
      <c r="E382" t="s">
        <v>446</v>
      </c>
      <c r="F382" t="s">
        <v>18</v>
      </c>
      <c r="G382">
        <v>4</v>
      </c>
      <c r="H382">
        <v>3</v>
      </c>
      <c r="I382" s="13">
        <v>0.70499999999999996</v>
      </c>
      <c r="J382" t="s">
        <v>249</v>
      </c>
      <c r="K382" s="18">
        <v>0.44800000000000001</v>
      </c>
      <c r="L382" t="s">
        <v>248</v>
      </c>
      <c r="M382" t="s">
        <v>360</v>
      </c>
      <c r="N382" t="s">
        <v>20</v>
      </c>
      <c r="O382">
        <v>2</v>
      </c>
      <c r="P382">
        <v>4</v>
      </c>
      <c r="Q382" s="13">
        <v>0.55400000000000005</v>
      </c>
      <c r="R382" t="s">
        <v>249</v>
      </c>
      <c r="S382">
        <v>0.63</v>
      </c>
      <c r="T382" t="s">
        <v>249</v>
      </c>
      <c r="U382" t="s">
        <v>18</v>
      </c>
      <c r="V382">
        <v>4</v>
      </c>
      <c r="W382">
        <v>1</v>
      </c>
      <c r="X382" t="s">
        <v>490</v>
      </c>
      <c r="Y382" t="s">
        <v>292</v>
      </c>
      <c r="Z382" t="s">
        <v>432</v>
      </c>
      <c r="AA382" t="s">
        <v>491</v>
      </c>
    </row>
    <row r="383" spans="1:27" x14ac:dyDescent="0.2">
      <c r="A383" s="1">
        <v>45989</v>
      </c>
      <c r="B383" t="s">
        <v>439</v>
      </c>
      <c r="C383" t="s">
        <v>37</v>
      </c>
      <c r="D383" t="s">
        <v>26</v>
      </c>
      <c r="E383" t="s">
        <v>440</v>
      </c>
      <c r="F383" t="s">
        <v>37</v>
      </c>
      <c r="G383">
        <v>4</v>
      </c>
      <c r="H383">
        <v>3</v>
      </c>
      <c r="I383" s="13">
        <v>0.68200000000000005</v>
      </c>
      <c r="J383" t="s">
        <v>249</v>
      </c>
      <c r="K383" s="18">
        <v>0.311</v>
      </c>
      <c r="L383" t="s">
        <v>248</v>
      </c>
      <c r="M383" t="s">
        <v>395</v>
      </c>
      <c r="N383" t="s">
        <v>37</v>
      </c>
      <c r="O383">
        <v>4</v>
      </c>
      <c r="P383">
        <v>2</v>
      </c>
      <c r="Q383" s="13">
        <v>0.64600000000000002</v>
      </c>
      <c r="R383" t="s">
        <v>249</v>
      </c>
      <c r="S383">
        <v>-1.06</v>
      </c>
      <c r="T383" t="s">
        <v>248</v>
      </c>
      <c r="U383" t="s">
        <v>37</v>
      </c>
      <c r="V383">
        <v>6</v>
      </c>
      <c r="W383">
        <v>3</v>
      </c>
      <c r="X383" t="s">
        <v>490</v>
      </c>
      <c r="Y383" t="s">
        <v>292</v>
      </c>
      <c r="Z383" t="s">
        <v>432</v>
      </c>
      <c r="AA383" t="s">
        <v>491</v>
      </c>
    </row>
    <row r="384" spans="1:27" x14ac:dyDescent="0.2">
      <c r="A384" s="1">
        <v>45989</v>
      </c>
      <c r="B384" t="s">
        <v>347</v>
      </c>
      <c r="C384" t="s">
        <v>15</v>
      </c>
      <c r="D384" t="s">
        <v>21</v>
      </c>
      <c r="E384" t="s">
        <v>433</v>
      </c>
      <c r="F384" t="s">
        <v>21</v>
      </c>
      <c r="G384">
        <v>2</v>
      </c>
      <c r="H384">
        <v>5</v>
      </c>
      <c r="I384" s="13">
        <v>0.66300000000000003</v>
      </c>
      <c r="J384" t="s">
        <v>249</v>
      </c>
      <c r="K384" s="18">
        <v>0.41599999999999998</v>
      </c>
      <c r="L384" t="s">
        <v>249</v>
      </c>
      <c r="M384" t="s">
        <v>912</v>
      </c>
      <c r="N384" t="s">
        <v>21</v>
      </c>
      <c r="O384">
        <v>2</v>
      </c>
      <c r="P384">
        <v>3</v>
      </c>
      <c r="Q384" s="13">
        <v>0.55900000000000005</v>
      </c>
      <c r="R384" t="s">
        <v>249</v>
      </c>
      <c r="S384">
        <v>0.46</v>
      </c>
      <c r="T384" t="s">
        <v>249</v>
      </c>
      <c r="U384" t="s">
        <v>15</v>
      </c>
      <c r="V384">
        <v>6</v>
      </c>
      <c r="W384">
        <v>2</v>
      </c>
      <c r="X384" t="s">
        <v>490</v>
      </c>
      <c r="Y384" t="s">
        <v>292</v>
      </c>
      <c r="Z384" t="s">
        <v>432</v>
      </c>
      <c r="AA384" t="s">
        <v>491</v>
      </c>
    </row>
    <row r="385" spans="1:27" x14ac:dyDescent="0.2">
      <c r="A385" s="1">
        <v>45989</v>
      </c>
      <c r="B385" t="s">
        <v>369</v>
      </c>
      <c r="C385" t="s">
        <v>16</v>
      </c>
      <c r="D385" t="s">
        <v>11</v>
      </c>
      <c r="E385" t="s">
        <v>441</v>
      </c>
      <c r="F385" t="s">
        <v>11</v>
      </c>
      <c r="G385">
        <v>3</v>
      </c>
      <c r="H385">
        <v>4</v>
      </c>
      <c r="I385" s="13">
        <v>0.83899999999999997</v>
      </c>
      <c r="J385" t="s">
        <v>249</v>
      </c>
      <c r="K385" s="18">
        <v>0.47299999999999998</v>
      </c>
      <c r="L385" t="s">
        <v>249</v>
      </c>
      <c r="M385" t="s">
        <v>913</v>
      </c>
      <c r="N385" t="s">
        <v>11</v>
      </c>
      <c r="O385">
        <v>2</v>
      </c>
      <c r="P385">
        <v>4</v>
      </c>
      <c r="Q385" s="13">
        <v>0.7</v>
      </c>
      <c r="R385" t="s">
        <v>249</v>
      </c>
      <c r="S385">
        <v>1.01</v>
      </c>
      <c r="T385" t="s">
        <v>249</v>
      </c>
      <c r="U385" t="s">
        <v>16</v>
      </c>
      <c r="V385">
        <v>5</v>
      </c>
      <c r="W385">
        <v>3</v>
      </c>
      <c r="X385" t="s">
        <v>490</v>
      </c>
      <c r="Y385" t="s">
        <v>292</v>
      </c>
      <c r="Z385" t="s">
        <v>432</v>
      </c>
      <c r="AA385" t="s">
        <v>491</v>
      </c>
    </row>
    <row r="386" spans="1:27" x14ac:dyDescent="0.2">
      <c r="A386" s="1">
        <v>45989</v>
      </c>
      <c r="B386" t="s">
        <v>369</v>
      </c>
      <c r="C386" t="s">
        <v>24</v>
      </c>
      <c r="D386" t="s">
        <v>23</v>
      </c>
      <c r="E386" t="s">
        <v>434</v>
      </c>
      <c r="F386" t="s">
        <v>24</v>
      </c>
      <c r="G386">
        <v>4</v>
      </c>
      <c r="H386">
        <v>3</v>
      </c>
      <c r="I386" s="13">
        <v>0.60199999999999998</v>
      </c>
      <c r="J386" t="s">
        <v>249</v>
      </c>
      <c r="K386" s="18">
        <v>0.48499999999999999</v>
      </c>
      <c r="L386" t="s">
        <v>248</v>
      </c>
      <c r="M386" t="s">
        <v>449</v>
      </c>
      <c r="N386" t="s">
        <v>24</v>
      </c>
      <c r="O386">
        <v>3</v>
      </c>
      <c r="P386">
        <v>2</v>
      </c>
      <c r="Q386" s="13">
        <v>0.501</v>
      </c>
      <c r="R386" t="s">
        <v>249</v>
      </c>
      <c r="S386">
        <v>-0.43</v>
      </c>
      <c r="T386" t="s">
        <v>248</v>
      </c>
      <c r="U386" t="s">
        <v>24</v>
      </c>
      <c r="V386">
        <v>5</v>
      </c>
      <c r="W386">
        <v>0</v>
      </c>
      <c r="X386" t="s">
        <v>490</v>
      </c>
      <c r="Y386" t="s">
        <v>292</v>
      </c>
      <c r="Z386" t="s">
        <v>432</v>
      </c>
      <c r="AA386" t="s">
        <v>491</v>
      </c>
    </row>
    <row r="387" spans="1:27" x14ac:dyDescent="0.2">
      <c r="A387" s="1">
        <v>45989</v>
      </c>
      <c r="B387" t="s">
        <v>324</v>
      </c>
      <c r="C387" t="s">
        <v>29</v>
      </c>
      <c r="D387" t="s">
        <v>10</v>
      </c>
      <c r="E387" t="s">
        <v>437</v>
      </c>
      <c r="F387" t="s">
        <v>10</v>
      </c>
      <c r="G387">
        <v>2</v>
      </c>
      <c r="H387">
        <v>4</v>
      </c>
      <c r="I387" s="13">
        <v>0.82499999999999996</v>
      </c>
      <c r="J387" t="s">
        <v>249</v>
      </c>
      <c r="K387" s="18">
        <v>0.28999999999999998</v>
      </c>
      <c r="L387" t="s">
        <v>249</v>
      </c>
      <c r="M387" t="s">
        <v>914</v>
      </c>
      <c r="N387" t="s">
        <v>10</v>
      </c>
      <c r="O387">
        <v>2</v>
      </c>
      <c r="P387">
        <v>4</v>
      </c>
      <c r="Q387" s="13">
        <v>0.71199999999999997</v>
      </c>
      <c r="R387" t="s">
        <v>249</v>
      </c>
      <c r="S387">
        <v>1.36</v>
      </c>
      <c r="T387" t="s">
        <v>249</v>
      </c>
      <c r="U387" t="s">
        <v>29</v>
      </c>
      <c r="V387">
        <v>4</v>
      </c>
      <c r="W387">
        <v>3</v>
      </c>
      <c r="X387" t="s">
        <v>490</v>
      </c>
      <c r="Y387" t="s">
        <v>292</v>
      </c>
      <c r="Z387" t="s">
        <v>432</v>
      </c>
      <c r="AA387" t="s">
        <v>491</v>
      </c>
    </row>
    <row r="388" spans="1:27" x14ac:dyDescent="0.2">
      <c r="A388" s="1">
        <v>45989</v>
      </c>
      <c r="B388" t="s">
        <v>328</v>
      </c>
      <c r="C388" t="s">
        <v>14</v>
      </c>
      <c r="D388" t="s">
        <v>28</v>
      </c>
      <c r="E388" t="s">
        <v>436</v>
      </c>
      <c r="F388" t="s">
        <v>14</v>
      </c>
      <c r="G388">
        <v>4</v>
      </c>
      <c r="H388">
        <v>3</v>
      </c>
      <c r="I388" s="13">
        <v>0.55700000000000005</v>
      </c>
      <c r="J388" t="s">
        <v>248</v>
      </c>
      <c r="K388" s="18">
        <v>0.51500000000000001</v>
      </c>
      <c r="L388" t="s">
        <v>248</v>
      </c>
      <c r="M388" t="s">
        <v>451</v>
      </c>
      <c r="N388" t="s">
        <v>14</v>
      </c>
      <c r="O388">
        <v>4</v>
      </c>
      <c r="P388">
        <v>2</v>
      </c>
      <c r="Q388" s="13">
        <v>0.52700000000000002</v>
      </c>
      <c r="R388" t="s">
        <v>249</v>
      </c>
      <c r="S388">
        <v>-0.53</v>
      </c>
      <c r="T388" t="s">
        <v>248</v>
      </c>
      <c r="U388" t="s">
        <v>14</v>
      </c>
      <c r="V388">
        <v>4</v>
      </c>
      <c r="W388">
        <v>3</v>
      </c>
      <c r="X388" t="s">
        <v>496</v>
      </c>
      <c r="Y388" t="s">
        <v>292</v>
      </c>
      <c r="Z388" t="s">
        <v>432</v>
      </c>
      <c r="AA388" t="s">
        <v>491</v>
      </c>
    </row>
    <row r="389" spans="1:27" x14ac:dyDescent="0.2">
      <c r="A389" s="1">
        <v>45989</v>
      </c>
      <c r="B389" t="s">
        <v>324</v>
      </c>
      <c r="C389" t="s">
        <v>55</v>
      </c>
      <c r="D389" t="s">
        <v>39</v>
      </c>
      <c r="E389" t="s">
        <v>438</v>
      </c>
      <c r="F389" t="s">
        <v>39</v>
      </c>
      <c r="G389">
        <v>3</v>
      </c>
      <c r="H389">
        <v>4</v>
      </c>
      <c r="I389" s="13">
        <v>0.85899999999999999</v>
      </c>
      <c r="J389" t="s">
        <v>249</v>
      </c>
      <c r="K389" s="18">
        <v>0.42599999999999999</v>
      </c>
      <c r="L389" t="s">
        <v>248</v>
      </c>
      <c r="M389" t="s">
        <v>398</v>
      </c>
      <c r="N389" t="s">
        <v>39</v>
      </c>
      <c r="O389">
        <v>2</v>
      </c>
      <c r="P389">
        <v>4</v>
      </c>
      <c r="Q389" s="13">
        <v>0.61</v>
      </c>
      <c r="R389" t="s">
        <v>249</v>
      </c>
      <c r="S389">
        <v>0.54</v>
      </c>
      <c r="T389" t="s">
        <v>248</v>
      </c>
      <c r="U389" t="s">
        <v>39</v>
      </c>
      <c r="V389">
        <v>3</v>
      </c>
      <c r="W389">
        <v>4</v>
      </c>
      <c r="X389" t="s">
        <v>490</v>
      </c>
      <c r="Y389" t="s">
        <v>292</v>
      </c>
      <c r="Z389" t="s">
        <v>432</v>
      </c>
      <c r="AA389" t="s">
        <v>491</v>
      </c>
    </row>
    <row r="390" spans="1:27" x14ac:dyDescent="0.2">
      <c r="A390" s="1">
        <v>45989</v>
      </c>
      <c r="B390" t="s">
        <v>365</v>
      </c>
      <c r="C390" t="s">
        <v>40</v>
      </c>
      <c r="D390" t="s">
        <v>25</v>
      </c>
      <c r="E390" t="s">
        <v>435</v>
      </c>
      <c r="F390" t="s">
        <v>25</v>
      </c>
      <c r="G390">
        <v>3</v>
      </c>
      <c r="H390">
        <v>4</v>
      </c>
      <c r="I390" s="13">
        <v>0.64400000000000002</v>
      </c>
      <c r="J390" t="s">
        <v>248</v>
      </c>
      <c r="K390" s="18">
        <v>0.52600000000000002</v>
      </c>
      <c r="L390" t="s">
        <v>248</v>
      </c>
      <c r="M390" t="s">
        <v>450</v>
      </c>
      <c r="N390" t="s">
        <v>25</v>
      </c>
      <c r="O390">
        <v>2</v>
      </c>
      <c r="P390">
        <v>3</v>
      </c>
      <c r="Q390" s="13">
        <v>0.58699999999999997</v>
      </c>
      <c r="R390" t="s">
        <v>249</v>
      </c>
      <c r="S390">
        <v>0.5</v>
      </c>
      <c r="T390" t="s">
        <v>248</v>
      </c>
      <c r="U390" t="s">
        <v>25</v>
      </c>
      <c r="V390">
        <v>1</v>
      </c>
      <c r="W390">
        <v>5</v>
      </c>
      <c r="X390" t="s">
        <v>490</v>
      </c>
      <c r="Y390" t="s">
        <v>292</v>
      </c>
      <c r="Z390" t="s">
        <v>432</v>
      </c>
      <c r="AA390" t="s">
        <v>491</v>
      </c>
    </row>
    <row r="391" spans="1:27" x14ac:dyDescent="0.2">
      <c r="A391" s="1">
        <v>45989</v>
      </c>
      <c r="B391" t="s">
        <v>369</v>
      </c>
      <c r="C391" t="s">
        <v>13</v>
      </c>
      <c r="D391" t="s">
        <v>31</v>
      </c>
      <c r="E391" t="s">
        <v>431</v>
      </c>
      <c r="F391" t="s">
        <v>31</v>
      </c>
      <c r="G391">
        <v>3</v>
      </c>
      <c r="H391">
        <v>4</v>
      </c>
      <c r="I391" s="13">
        <v>0.748</v>
      </c>
      <c r="J391" t="s">
        <v>249</v>
      </c>
      <c r="K391" s="18">
        <v>0.36399999999999999</v>
      </c>
      <c r="L391" t="s">
        <v>248</v>
      </c>
      <c r="M391" t="s">
        <v>291</v>
      </c>
      <c r="N391" t="s">
        <v>31</v>
      </c>
      <c r="O391">
        <v>2</v>
      </c>
      <c r="P391">
        <v>4</v>
      </c>
      <c r="Q391" s="13">
        <v>0.61399999999999999</v>
      </c>
      <c r="R391" t="s">
        <v>249</v>
      </c>
      <c r="S391">
        <v>0.66</v>
      </c>
      <c r="T391" t="s">
        <v>248</v>
      </c>
      <c r="U391" t="s">
        <v>31</v>
      </c>
      <c r="V391">
        <v>4</v>
      </c>
      <c r="W391">
        <v>5</v>
      </c>
      <c r="X391" t="s">
        <v>496</v>
      </c>
      <c r="Y391" t="s">
        <v>292</v>
      </c>
      <c r="Z391" t="s">
        <v>432</v>
      </c>
      <c r="AA391" t="s">
        <v>491</v>
      </c>
    </row>
    <row r="392" spans="1:27" x14ac:dyDescent="0.2">
      <c r="A392" s="1">
        <v>45990</v>
      </c>
      <c r="B392" t="s">
        <v>324</v>
      </c>
      <c r="C392" t="s">
        <v>55</v>
      </c>
      <c r="D392" t="s">
        <v>35</v>
      </c>
      <c r="E392" t="s">
        <v>463</v>
      </c>
      <c r="F392" t="s">
        <v>55</v>
      </c>
      <c r="G392">
        <v>6</v>
      </c>
      <c r="H392">
        <v>5</v>
      </c>
      <c r="I392" s="13">
        <v>0.52800000000000002</v>
      </c>
      <c r="J392" t="s">
        <v>249</v>
      </c>
      <c r="K392" s="18">
        <v>0.34599999999999997</v>
      </c>
      <c r="L392" t="s">
        <v>249</v>
      </c>
      <c r="M392" t="s">
        <v>915</v>
      </c>
      <c r="N392" t="s">
        <v>55</v>
      </c>
      <c r="O392">
        <v>4</v>
      </c>
      <c r="P392">
        <v>2</v>
      </c>
      <c r="Q392" s="13">
        <v>0.58799999999999997</v>
      </c>
      <c r="R392" t="s">
        <v>249</v>
      </c>
      <c r="S392">
        <v>-1.1000000000000001</v>
      </c>
      <c r="T392" t="s">
        <v>249</v>
      </c>
      <c r="U392" t="s">
        <v>35</v>
      </c>
      <c r="V392">
        <v>0</v>
      </c>
      <c r="W392">
        <v>1</v>
      </c>
      <c r="X392" t="s">
        <v>490</v>
      </c>
      <c r="Y392" t="s">
        <v>292</v>
      </c>
      <c r="Z392" t="s">
        <v>448</v>
      </c>
      <c r="AA392" t="s">
        <v>491</v>
      </c>
    </row>
    <row r="393" spans="1:27" x14ac:dyDescent="0.2">
      <c r="A393" s="1">
        <v>45990</v>
      </c>
      <c r="B393" t="s">
        <v>328</v>
      </c>
      <c r="C393" t="s">
        <v>19</v>
      </c>
      <c r="D393" t="s">
        <v>14</v>
      </c>
      <c r="E393" t="s">
        <v>461</v>
      </c>
      <c r="F393" t="s">
        <v>14</v>
      </c>
      <c r="G393">
        <v>4</v>
      </c>
      <c r="H393">
        <v>5</v>
      </c>
      <c r="I393" s="13">
        <v>0.72599999999999998</v>
      </c>
      <c r="J393" t="s">
        <v>249</v>
      </c>
      <c r="K393" s="18">
        <v>0.32500000000000001</v>
      </c>
      <c r="L393" t="s">
        <v>249</v>
      </c>
      <c r="M393" t="s">
        <v>779</v>
      </c>
      <c r="N393" t="s">
        <v>14</v>
      </c>
      <c r="O393">
        <v>2</v>
      </c>
      <c r="P393">
        <v>4</v>
      </c>
      <c r="Q393" s="13">
        <v>0.64800000000000002</v>
      </c>
      <c r="R393" t="s">
        <v>249</v>
      </c>
      <c r="S393">
        <v>0.91</v>
      </c>
      <c r="T393" t="s">
        <v>249</v>
      </c>
      <c r="U393" t="s">
        <v>19</v>
      </c>
      <c r="V393">
        <v>7</v>
      </c>
      <c r="W393">
        <v>2</v>
      </c>
      <c r="X393" t="s">
        <v>490</v>
      </c>
      <c r="Y393" t="s">
        <v>292</v>
      </c>
      <c r="Z393" t="s">
        <v>448</v>
      </c>
      <c r="AA393" t="s">
        <v>491</v>
      </c>
    </row>
    <row r="394" spans="1:27" x14ac:dyDescent="0.2">
      <c r="A394" s="1">
        <v>45990</v>
      </c>
      <c r="B394" t="s">
        <v>459</v>
      </c>
      <c r="C394" t="s">
        <v>37</v>
      </c>
      <c r="D394" t="s">
        <v>15</v>
      </c>
      <c r="E394" t="s">
        <v>460</v>
      </c>
      <c r="F394" t="s">
        <v>37</v>
      </c>
      <c r="G394">
        <v>4</v>
      </c>
      <c r="H394">
        <v>2</v>
      </c>
      <c r="I394" s="13">
        <v>0.63800000000000001</v>
      </c>
      <c r="J394" t="s">
        <v>249</v>
      </c>
      <c r="K394" s="18">
        <v>0.39400000000000002</v>
      </c>
      <c r="L394" t="s">
        <v>248</v>
      </c>
      <c r="M394" t="s">
        <v>395</v>
      </c>
      <c r="N394" t="s">
        <v>37</v>
      </c>
      <c r="O394">
        <v>4</v>
      </c>
      <c r="P394">
        <v>2</v>
      </c>
      <c r="Q394" s="13">
        <v>0.60399999999999998</v>
      </c>
      <c r="R394" t="s">
        <v>249</v>
      </c>
      <c r="S394">
        <v>-0.54</v>
      </c>
      <c r="T394" t="s">
        <v>248</v>
      </c>
      <c r="U394" t="s">
        <v>37</v>
      </c>
      <c r="V394">
        <v>4</v>
      </c>
      <c r="W394">
        <v>1</v>
      </c>
      <c r="X394" t="s">
        <v>490</v>
      </c>
      <c r="Y394" t="s">
        <v>292</v>
      </c>
      <c r="Z394" t="s">
        <v>448</v>
      </c>
      <c r="AA394" t="s">
        <v>491</v>
      </c>
    </row>
    <row r="395" spans="1:27" x14ac:dyDescent="0.2">
      <c r="A395" s="1">
        <v>45990</v>
      </c>
      <c r="B395" t="s">
        <v>322</v>
      </c>
      <c r="C395" t="s">
        <v>33</v>
      </c>
      <c r="D395" t="s">
        <v>20</v>
      </c>
      <c r="E395" t="s">
        <v>464</v>
      </c>
      <c r="F395" t="s">
        <v>33</v>
      </c>
      <c r="G395">
        <v>4</v>
      </c>
      <c r="H395">
        <v>3</v>
      </c>
      <c r="I395" s="13">
        <v>0.54700000000000004</v>
      </c>
      <c r="J395" t="s">
        <v>249</v>
      </c>
      <c r="K395" s="18">
        <v>0.35399999999999998</v>
      </c>
      <c r="L395" t="s">
        <v>249</v>
      </c>
      <c r="M395" t="s">
        <v>916</v>
      </c>
      <c r="N395" t="s">
        <v>20</v>
      </c>
      <c r="O395">
        <v>2</v>
      </c>
      <c r="P395">
        <v>3</v>
      </c>
      <c r="Q395" s="13">
        <v>0.57799999999999996</v>
      </c>
      <c r="R395" t="s">
        <v>249</v>
      </c>
      <c r="S395">
        <v>0.32</v>
      </c>
      <c r="T395" t="s">
        <v>248</v>
      </c>
      <c r="U395" t="s">
        <v>20</v>
      </c>
      <c r="V395">
        <v>3</v>
      </c>
      <c r="W395">
        <v>4</v>
      </c>
      <c r="X395" t="s">
        <v>490</v>
      </c>
      <c r="Y395" t="s">
        <v>292</v>
      </c>
      <c r="Z395" t="s">
        <v>448</v>
      </c>
      <c r="AA395" t="s">
        <v>491</v>
      </c>
    </row>
    <row r="396" spans="1:27" x14ac:dyDescent="0.2">
      <c r="A396" s="1">
        <v>45990</v>
      </c>
      <c r="B396" t="s">
        <v>328</v>
      </c>
      <c r="C396" t="s">
        <v>27</v>
      </c>
      <c r="D396" t="s">
        <v>24</v>
      </c>
      <c r="E396" t="s">
        <v>457</v>
      </c>
      <c r="F396" t="s">
        <v>24</v>
      </c>
      <c r="G396">
        <v>3</v>
      </c>
      <c r="H396">
        <v>4</v>
      </c>
      <c r="I396" s="13">
        <v>0.64200000000000002</v>
      </c>
      <c r="J396" t="s">
        <v>249</v>
      </c>
      <c r="K396" s="18">
        <v>0.35899999999999999</v>
      </c>
      <c r="L396" t="s">
        <v>249</v>
      </c>
      <c r="M396" t="s">
        <v>405</v>
      </c>
      <c r="N396" t="s">
        <v>24</v>
      </c>
      <c r="O396">
        <v>2</v>
      </c>
      <c r="P396">
        <v>4</v>
      </c>
      <c r="Q396" s="13">
        <v>0.70699999999999996</v>
      </c>
      <c r="R396" t="s">
        <v>249</v>
      </c>
      <c r="S396">
        <v>0.55000000000000004</v>
      </c>
      <c r="T396" t="s">
        <v>249</v>
      </c>
      <c r="U396" t="s">
        <v>27</v>
      </c>
      <c r="V396">
        <v>5</v>
      </c>
      <c r="W396">
        <v>3</v>
      </c>
      <c r="X396" t="s">
        <v>490</v>
      </c>
      <c r="Y396" t="s">
        <v>292</v>
      </c>
      <c r="Z396" t="s">
        <v>448</v>
      </c>
      <c r="AA396" t="s">
        <v>491</v>
      </c>
    </row>
    <row r="397" spans="1:27" x14ac:dyDescent="0.2">
      <c r="A397" s="1">
        <v>45990</v>
      </c>
      <c r="B397" t="s">
        <v>324</v>
      </c>
      <c r="C397" t="s">
        <v>23</v>
      </c>
      <c r="D397" t="s">
        <v>34</v>
      </c>
      <c r="E397" t="s">
        <v>456</v>
      </c>
      <c r="F397" t="s">
        <v>34</v>
      </c>
      <c r="G397">
        <v>3</v>
      </c>
      <c r="H397">
        <v>4</v>
      </c>
      <c r="I397" s="13">
        <v>0.70699999999999996</v>
      </c>
      <c r="J397" t="s">
        <v>249</v>
      </c>
      <c r="K397" s="18">
        <v>0.40600000000000003</v>
      </c>
      <c r="L397" t="s">
        <v>249</v>
      </c>
      <c r="M397" t="s">
        <v>917</v>
      </c>
      <c r="N397" t="s">
        <v>34</v>
      </c>
      <c r="O397">
        <v>2</v>
      </c>
      <c r="P397">
        <v>4</v>
      </c>
      <c r="Q397" s="13">
        <v>0.65100000000000002</v>
      </c>
      <c r="R397" t="s">
        <v>249</v>
      </c>
      <c r="S397">
        <v>0.83</v>
      </c>
      <c r="T397" t="s">
        <v>249</v>
      </c>
      <c r="U397" t="s">
        <v>23</v>
      </c>
      <c r="V397">
        <v>3</v>
      </c>
      <c r="W397">
        <v>2</v>
      </c>
      <c r="X397" t="s">
        <v>496</v>
      </c>
      <c r="Y397" t="s">
        <v>292</v>
      </c>
      <c r="Z397" t="s">
        <v>448</v>
      </c>
      <c r="AA397" t="s">
        <v>491</v>
      </c>
    </row>
    <row r="398" spans="1:27" x14ac:dyDescent="0.2">
      <c r="A398" s="1">
        <v>45990</v>
      </c>
      <c r="B398" t="s">
        <v>322</v>
      </c>
      <c r="C398" t="s">
        <v>38</v>
      </c>
      <c r="D398" t="s">
        <v>13</v>
      </c>
      <c r="E398" t="s">
        <v>455</v>
      </c>
      <c r="F398" t="s">
        <v>38</v>
      </c>
      <c r="G398">
        <v>4</v>
      </c>
      <c r="H398">
        <v>2</v>
      </c>
      <c r="I398" s="13">
        <v>0.51700000000000002</v>
      </c>
      <c r="J398" t="s">
        <v>249</v>
      </c>
      <c r="K398" s="18">
        <v>0.27600000000000002</v>
      </c>
      <c r="L398" t="s">
        <v>249</v>
      </c>
      <c r="M398" t="s">
        <v>918</v>
      </c>
      <c r="N398" t="s">
        <v>13</v>
      </c>
      <c r="O398">
        <v>2</v>
      </c>
      <c r="P398">
        <v>4</v>
      </c>
      <c r="Q398" s="13">
        <v>0.60199999999999998</v>
      </c>
      <c r="R398" t="s">
        <v>249</v>
      </c>
      <c r="S398">
        <v>0.71</v>
      </c>
      <c r="T398" t="s">
        <v>248</v>
      </c>
      <c r="U398" t="s">
        <v>13</v>
      </c>
      <c r="V398">
        <v>1</v>
      </c>
      <c r="W398">
        <v>2</v>
      </c>
      <c r="X398" t="s">
        <v>496</v>
      </c>
      <c r="Y398" t="s">
        <v>292</v>
      </c>
      <c r="Z398" t="s">
        <v>448</v>
      </c>
      <c r="AA398" t="s">
        <v>491</v>
      </c>
    </row>
    <row r="399" spans="1:27" x14ac:dyDescent="0.2">
      <c r="A399" s="1">
        <v>45990</v>
      </c>
      <c r="B399" t="s">
        <v>453</v>
      </c>
      <c r="C399" t="s">
        <v>18</v>
      </c>
      <c r="D399" t="s">
        <v>12</v>
      </c>
      <c r="E399" t="s">
        <v>454</v>
      </c>
      <c r="F399" t="s">
        <v>12</v>
      </c>
      <c r="G399">
        <v>2</v>
      </c>
      <c r="H399">
        <v>3</v>
      </c>
      <c r="I399" s="13">
        <v>0.88</v>
      </c>
      <c r="J399" t="s">
        <v>248</v>
      </c>
      <c r="K399" s="18">
        <v>0.54900000000000004</v>
      </c>
      <c r="L399" t="s">
        <v>248</v>
      </c>
      <c r="M399" t="s">
        <v>361</v>
      </c>
      <c r="N399" t="s">
        <v>12</v>
      </c>
      <c r="O399">
        <v>1</v>
      </c>
      <c r="P399">
        <v>5</v>
      </c>
      <c r="Q399" s="13">
        <v>0.80500000000000005</v>
      </c>
      <c r="R399" t="s">
        <v>249</v>
      </c>
      <c r="S399">
        <v>2.08</v>
      </c>
      <c r="T399" t="s">
        <v>248</v>
      </c>
      <c r="U399" t="s">
        <v>12</v>
      </c>
      <c r="V399">
        <v>2</v>
      </c>
      <c r="W399">
        <v>7</v>
      </c>
      <c r="X399" t="s">
        <v>490</v>
      </c>
      <c r="Y399" t="s">
        <v>292</v>
      </c>
      <c r="Z399" t="s">
        <v>448</v>
      </c>
      <c r="AA399" t="s">
        <v>491</v>
      </c>
    </row>
    <row r="400" spans="1:27" x14ac:dyDescent="0.2">
      <c r="A400" s="1">
        <v>45990</v>
      </c>
      <c r="B400" t="s">
        <v>328</v>
      </c>
      <c r="C400" t="s">
        <v>26</v>
      </c>
      <c r="D400" t="s">
        <v>21</v>
      </c>
      <c r="E400" t="s">
        <v>452</v>
      </c>
      <c r="F400" t="s">
        <v>21</v>
      </c>
      <c r="G400">
        <v>3</v>
      </c>
      <c r="H400">
        <v>4</v>
      </c>
      <c r="I400" s="13">
        <v>0.64900000000000002</v>
      </c>
      <c r="J400" t="s">
        <v>249</v>
      </c>
      <c r="K400" s="18">
        <v>0.433</v>
      </c>
      <c r="L400" t="s">
        <v>248</v>
      </c>
      <c r="M400" t="s">
        <v>465</v>
      </c>
      <c r="N400" t="s">
        <v>21</v>
      </c>
      <c r="O400">
        <v>2</v>
      </c>
      <c r="P400">
        <v>4</v>
      </c>
      <c r="Q400" s="13">
        <v>0.63800000000000001</v>
      </c>
      <c r="R400" t="s">
        <v>249</v>
      </c>
      <c r="S400">
        <v>0.74</v>
      </c>
      <c r="T400" t="s">
        <v>248</v>
      </c>
      <c r="U400" t="s">
        <v>21</v>
      </c>
      <c r="V400">
        <v>2</v>
      </c>
      <c r="W400">
        <v>3</v>
      </c>
      <c r="X400" t="s">
        <v>496</v>
      </c>
      <c r="Y400" t="s">
        <v>292</v>
      </c>
      <c r="Z400" t="s">
        <v>448</v>
      </c>
      <c r="AA400" t="s">
        <v>491</v>
      </c>
    </row>
    <row r="401" spans="1:27" x14ac:dyDescent="0.2">
      <c r="A401" s="1">
        <v>45990</v>
      </c>
      <c r="B401" t="s">
        <v>328</v>
      </c>
      <c r="C401" t="s">
        <v>40</v>
      </c>
      <c r="D401" t="s">
        <v>29</v>
      </c>
      <c r="E401" t="s">
        <v>458</v>
      </c>
      <c r="F401" t="s">
        <v>40</v>
      </c>
      <c r="G401">
        <v>4</v>
      </c>
      <c r="H401">
        <v>3</v>
      </c>
      <c r="I401" s="13">
        <v>0.70499999999999996</v>
      </c>
      <c r="J401" t="s">
        <v>248</v>
      </c>
      <c r="K401" s="18">
        <v>0.53300000000000003</v>
      </c>
      <c r="L401" t="s">
        <v>248</v>
      </c>
      <c r="M401" t="s">
        <v>315</v>
      </c>
      <c r="N401" t="s">
        <v>40</v>
      </c>
      <c r="O401">
        <v>4</v>
      </c>
      <c r="P401">
        <v>2</v>
      </c>
      <c r="Q401" s="13">
        <v>0.6</v>
      </c>
      <c r="R401" t="s">
        <v>249</v>
      </c>
      <c r="S401">
        <v>-1.02</v>
      </c>
      <c r="T401" t="s">
        <v>248</v>
      </c>
      <c r="U401" t="s">
        <v>40</v>
      </c>
      <c r="V401">
        <v>5</v>
      </c>
      <c r="W401">
        <v>2</v>
      </c>
      <c r="X401" t="s">
        <v>490</v>
      </c>
      <c r="Y401" t="s">
        <v>292</v>
      </c>
      <c r="Z401" t="s">
        <v>448</v>
      </c>
      <c r="AA401" t="s">
        <v>491</v>
      </c>
    </row>
    <row r="402" spans="1:27" x14ac:dyDescent="0.2">
      <c r="A402" s="1">
        <v>45990</v>
      </c>
      <c r="B402" t="s">
        <v>369</v>
      </c>
      <c r="C402" t="s">
        <v>17</v>
      </c>
      <c r="D402" t="s">
        <v>32</v>
      </c>
      <c r="E402" t="s">
        <v>462</v>
      </c>
      <c r="F402" t="s">
        <v>32</v>
      </c>
      <c r="G402">
        <v>4</v>
      </c>
      <c r="H402">
        <v>5</v>
      </c>
      <c r="I402" s="13">
        <v>0.71599999999999997</v>
      </c>
      <c r="J402" t="s">
        <v>249</v>
      </c>
      <c r="K402" s="18">
        <v>0.308</v>
      </c>
      <c r="L402" t="s">
        <v>249</v>
      </c>
      <c r="M402" t="s">
        <v>919</v>
      </c>
      <c r="N402" t="s">
        <v>32</v>
      </c>
      <c r="O402">
        <v>2</v>
      </c>
      <c r="P402">
        <v>4</v>
      </c>
      <c r="Q402" s="13">
        <v>0.61199999999999999</v>
      </c>
      <c r="R402" t="s">
        <v>249</v>
      </c>
      <c r="S402">
        <v>0.59</v>
      </c>
      <c r="T402" t="s">
        <v>249</v>
      </c>
      <c r="U402" t="s">
        <v>17</v>
      </c>
      <c r="V402">
        <v>4</v>
      </c>
      <c r="W402">
        <v>0</v>
      </c>
      <c r="X402" t="s">
        <v>490</v>
      </c>
      <c r="Y402" t="s">
        <v>292</v>
      </c>
      <c r="Z402" t="s">
        <v>448</v>
      </c>
      <c r="AA402" t="s">
        <v>491</v>
      </c>
    </row>
    <row r="403" spans="1:27" x14ac:dyDescent="0.2">
      <c r="A403" s="1">
        <v>45991</v>
      </c>
      <c r="B403" t="s">
        <v>365</v>
      </c>
      <c r="C403" t="s">
        <v>16</v>
      </c>
      <c r="D403" t="s">
        <v>25</v>
      </c>
      <c r="E403" t="s">
        <v>467</v>
      </c>
      <c r="F403" t="s">
        <v>25</v>
      </c>
      <c r="G403">
        <v>2</v>
      </c>
      <c r="H403">
        <v>4</v>
      </c>
      <c r="I403" s="13">
        <v>0.77100000000000002</v>
      </c>
      <c r="J403" t="s">
        <v>249</v>
      </c>
      <c r="K403" s="18">
        <v>0.29799999999999999</v>
      </c>
      <c r="L403" t="s">
        <v>248</v>
      </c>
      <c r="M403" t="s">
        <v>450</v>
      </c>
      <c r="N403" t="s">
        <v>25</v>
      </c>
      <c r="O403">
        <v>2</v>
      </c>
      <c r="P403">
        <v>5</v>
      </c>
      <c r="Q403" s="13">
        <v>0.76700000000000002</v>
      </c>
      <c r="R403" t="s">
        <v>249</v>
      </c>
      <c r="S403">
        <v>1.57</v>
      </c>
      <c r="T403" t="s">
        <v>248</v>
      </c>
      <c r="U403" t="s">
        <v>25</v>
      </c>
      <c r="V403">
        <v>0</v>
      </c>
      <c r="W403">
        <v>1</v>
      </c>
      <c r="X403" t="s">
        <v>496</v>
      </c>
      <c r="Y403" t="s">
        <v>292</v>
      </c>
      <c r="Z403" t="s">
        <v>466</v>
      </c>
      <c r="AA403" t="s">
        <v>491</v>
      </c>
    </row>
    <row r="404" spans="1:27" x14ac:dyDescent="0.2">
      <c r="A404" s="1">
        <v>45991</v>
      </c>
      <c r="B404" t="s">
        <v>352</v>
      </c>
      <c r="C404" t="s">
        <v>31</v>
      </c>
      <c r="D404" t="s">
        <v>10</v>
      </c>
      <c r="E404" t="s">
        <v>468</v>
      </c>
      <c r="F404" t="s">
        <v>31</v>
      </c>
      <c r="G404">
        <v>5</v>
      </c>
      <c r="H404">
        <v>4</v>
      </c>
      <c r="I404" s="13">
        <v>0.78800000000000003</v>
      </c>
      <c r="J404" t="s">
        <v>249</v>
      </c>
      <c r="K404" s="18">
        <v>0.20899999999999999</v>
      </c>
      <c r="L404" t="s">
        <v>249</v>
      </c>
      <c r="M404" t="s">
        <v>611</v>
      </c>
      <c r="N404" t="s">
        <v>31</v>
      </c>
      <c r="O404">
        <v>3</v>
      </c>
      <c r="P404">
        <v>2</v>
      </c>
      <c r="Q404" s="13">
        <v>0.53200000000000003</v>
      </c>
      <c r="R404" t="s">
        <v>249</v>
      </c>
      <c r="S404">
        <v>-0.43</v>
      </c>
      <c r="T404" t="s">
        <v>249</v>
      </c>
      <c r="U404" t="s">
        <v>10</v>
      </c>
      <c r="V404">
        <v>3</v>
      </c>
      <c r="W404">
        <v>5</v>
      </c>
      <c r="X404" t="s">
        <v>490</v>
      </c>
      <c r="Y404" t="s">
        <v>292</v>
      </c>
      <c r="Z404" t="s">
        <v>466</v>
      </c>
      <c r="AA404" t="s">
        <v>491</v>
      </c>
    </row>
    <row r="405" spans="1:27" x14ac:dyDescent="0.2">
      <c r="A405" s="1">
        <v>45991</v>
      </c>
      <c r="B405" t="s">
        <v>469</v>
      </c>
      <c r="C405" t="s">
        <v>36</v>
      </c>
      <c r="D405" t="s">
        <v>39</v>
      </c>
      <c r="E405" t="s">
        <v>470</v>
      </c>
      <c r="F405" t="s">
        <v>39</v>
      </c>
      <c r="G405">
        <v>3</v>
      </c>
      <c r="H405">
        <v>4</v>
      </c>
      <c r="I405" s="13">
        <v>0.73099999999999998</v>
      </c>
      <c r="J405" t="s">
        <v>249</v>
      </c>
      <c r="K405" s="18">
        <v>0.307</v>
      </c>
      <c r="L405" t="s">
        <v>248</v>
      </c>
      <c r="M405" t="s">
        <v>398</v>
      </c>
      <c r="N405" t="s">
        <v>39</v>
      </c>
      <c r="O405">
        <v>2</v>
      </c>
      <c r="P405">
        <v>4</v>
      </c>
      <c r="Q405" s="13">
        <v>0.63900000000000001</v>
      </c>
      <c r="R405" t="s">
        <v>249</v>
      </c>
      <c r="S405">
        <v>0.68</v>
      </c>
      <c r="T405" t="s">
        <v>248</v>
      </c>
      <c r="U405" t="s">
        <v>39</v>
      </c>
      <c r="V405">
        <v>1</v>
      </c>
      <c r="W405">
        <v>6</v>
      </c>
      <c r="X405" t="s">
        <v>490</v>
      </c>
      <c r="Y405" t="s">
        <v>292</v>
      </c>
      <c r="Z405" t="s">
        <v>466</v>
      </c>
      <c r="AA405" t="s">
        <v>491</v>
      </c>
    </row>
    <row r="406" spans="1:27" x14ac:dyDescent="0.2">
      <c r="A406" s="1">
        <v>45991</v>
      </c>
      <c r="B406" t="s">
        <v>347</v>
      </c>
      <c r="C406" t="s">
        <v>22</v>
      </c>
      <c r="D406" t="s">
        <v>30</v>
      </c>
      <c r="E406" t="s">
        <v>471</v>
      </c>
      <c r="F406" t="s">
        <v>22</v>
      </c>
      <c r="G406">
        <v>4</v>
      </c>
      <c r="H406">
        <v>3</v>
      </c>
      <c r="I406" s="13">
        <v>0.78800000000000003</v>
      </c>
      <c r="J406" t="s">
        <v>248</v>
      </c>
      <c r="K406" s="18">
        <v>0.61799999999999999</v>
      </c>
      <c r="L406" t="s">
        <v>248</v>
      </c>
      <c r="M406" t="s">
        <v>321</v>
      </c>
      <c r="N406" t="s">
        <v>22</v>
      </c>
      <c r="O406">
        <v>3</v>
      </c>
      <c r="P406">
        <v>2</v>
      </c>
      <c r="Q406" s="13">
        <v>0.53200000000000003</v>
      </c>
      <c r="R406" t="s">
        <v>249</v>
      </c>
      <c r="S406">
        <v>-0.43</v>
      </c>
      <c r="T406" t="s">
        <v>248</v>
      </c>
      <c r="U406" t="s">
        <v>22</v>
      </c>
      <c r="V406">
        <v>4</v>
      </c>
      <c r="W406">
        <v>1</v>
      </c>
      <c r="X406" t="s">
        <v>490</v>
      </c>
      <c r="Y406" t="s">
        <v>292</v>
      </c>
      <c r="Z406" t="s">
        <v>466</v>
      </c>
      <c r="AA406" t="s">
        <v>491</v>
      </c>
    </row>
    <row r="407" spans="1:27" x14ac:dyDescent="0.2">
      <c r="A407" s="1">
        <v>45992</v>
      </c>
      <c r="B407" t="s">
        <v>334</v>
      </c>
      <c r="C407" t="s">
        <v>40</v>
      </c>
      <c r="D407" t="s">
        <v>23</v>
      </c>
      <c r="E407" t="s">
        <v>472</v>
      </c>
      <c r="F407" t="s">
        <v>23</v>
      </c>
      <c r="G407">
        <v>3</v>
      </c>
      <c r="H407">
        <v>4</v>
      </c>
      <c r="I407" s="13">
        <v>0.61</v>
      </c>
      <c r="J407" t="s">
        <v>249</v>
      </c>
      <c r="K407" s="18">
        <v>0.40400000000000003</v>
      </c>
      <c r="L407" t="s">
        <v>248</v>
      </c>
      <c r="M407" t="s">
        <v>296</v>
      </c>
      <c r="N407" t="s">
        <v>40</v>
      </c>
      <c r="O407">
        <v>3</v>
      </c>
      <c r="P407">
        <v>2</v>
      </c>
      <c r="Q407" s="13">
        <v>0.55300000000000005</v>
      </c>
      <c r="R407" t="s">
        <v>249</v>
      </c>
      <c r="S407">
        <v>-0.44</v>
      </c>
      <c r="T407" t="s">
        <v>249</v>
      </c>
      <c r="U407" t="s">
        <v>23</v>
      </c>
      <c r="V407">
        <v>1</v>
      </c>
      <c r="W407">
        <v>5</v>
      </c>
      <c r="X407" t="s">
        <v>490</v>
      </c>
      <c r="Y407" t="s">
        <v>292</v>
      </c>
      <c r="Z407" t="s">
        <v>473</v>
      </c>
      <c r="AA407" t="s">
        <v>491</v>
      </c>
    </row>
    <row r="408" spans="1:27" x14ac:dyDescent="0.2">
      <c r="A408" s="1">
        <v>45992</v>
      </c>
      <c r="B408" t="s">
        <v>328</v>
      </c>
      <c r="C408" t="s">
        <v>28</v>
      </c>
      <c r="D408" t="s">
        <v>24</v>
      </c>
      <c r="E408" t="s">
        <v>474</v>
      </c>
      <c r="F408" t="s">
        <v>24</v>
      </c>
      <c r="G408">
        <v>4</v>
      </c>
      <c r="H408">
        <v>5</v>
      </c>
      <c r="I408" s="13">
        <v>0.79800000000000004</v>
      </c>
      <c r="J408" t="s">
        <v>249</v>
      </c>
      <c r="K408" s="18">
        <v>0.28899999999999998</v>
      </c>
      <c r="L408" t="s">
        <v>249</v>
      </c>
      <c r="M408" t="s">
        <v>920</v>
      </c>
      <c r="N408" t="s">
        <v>24</v>
      </c>
      <c r="O408">
        <v>2</v>
      </c>
      <c r="P408">
        <v>4</v>
      </c>
      <c r="Q408" s="13">
        <v>0.74399999999999999</v>
      </c>
      <c r="R408" t="s">
        <v>249</v>
      </c>
      <c r="S408">
        <v>0.86</v>
      </c>
      <c r="T408" t="s">
        <v>249</v>
      </c>
      <c r="U408" t="s">
        <v>28</v>
      </c>
      <c r="V408">
        <v>5</v>
      </c>
      <c r="W408">
        <v>3</v>
      </c>
      <c r="X408" t="s">
        <v>490</v>
      </c>
      <c r="Y408" t="s">
        <v>292</v>
      </c>
      <c r="Z408" t="s">
        <v>473</v>
      </c>
      <c r="AA408" t="s">
        <v>491</v>
      </c>
    </row>
    <row r="409" spans="1:27" x14ac:dyDescent="0.2">
      <c r="A409" s="1">
        <v>45992</v>
      </c>
      <c r="B409" t="s">
        <v>328</v>
      </c>
      <c r="C409" t="s">
        <v>14</v>
      </c>
      <c r="D409" t="s">
        <v>27</v>
      </c>
      <c r="E409" t="s">
        <v>475</v>
      </c>
      <c r="F409" t="s">
        <v>27</v>
      </c>
      <c r="G409">
        <v>2</v>
      </c>
      <c r="H409">
        <v>3</v>
      </c>
      <c r="I409" s="13">
        <v>0.52700000000000002</v>
      </c>
      <c r="J409" t="s">
        <v>248</v>
      </c>
      <c r="K409" s="18">
        <v>0.59</v>
      </c>
      <c r="L409" t="s">
        <v>249</v>
      </c>
      <c r="M409" t="s">
        <v>921</v>
      </c>
      <c r="N409" t="s">
        <v>27</v>
      </c>
      <c r="O409">
        <v>2</v>
      </c>
      <c r="P409">
        <v>3</v>
      </c>
      <c r="Q409" s="13">
        <v>0.57099999999999995</v>
      </c>
      <c r="R409" t="s">
        <v>248</v>
      </c>
      <c r="S409">
        <v>0.16</v>
      </c>
      <c r="T409" t="s">
        <v>249</v>
      </c>
      <c r="U409" t="s">
        <v>14</v>
      </c>
      <c r="V409">
        <v>5</v>
      </c>
      <c r="W409">
        <v>1</v>
      </c>
      <c r="X409" t="s">
        <v>490</v>
      </c>
      <c r="Y409" t="s">
        <v>292</v>
      </c>
      <c r="Z409" t="s">
        <v>473</v>
      </c>
      <c r="AA409" t="s">
        <v>491</v>
      </c>
    </row>
    <row r="410" spans="1:27" x14ac:dyDescent="0.2">
      <c r="A410" s="1">
        <v>45992</v>
      </c>
      <c r="B410" t="s">
        <v>322</v>
      </c>
      <c r="C410" t="s">
        <v>55</v>
      </c>
      <c r="D410" t="s">
        <v>33</v>
      </c>
      <c r="E410" t="s">
        <v>308</v>
      </c>
      <c r="F410" t="s">
        <v>33</v>
      </c>
      <c r="G410">
        <v>2</v>
      </c>
      <c r="H410">
        <v>3</v>
      </c>
      <c r="I410" s="13">
        <v>0.78100000000000003</v>
      </c>
      <c r="J410" t="s">
        <v>248</v>
      </c>
      <c r="K410" s="18">
        <v>0.61499999999999999</v>
      </c>
      <c r="L410" t="s">
        <v>248</v>
      </c>
      <c r="M410" t="s">
        <v>309</v>
      </c>
      <c r="N410" t="s">
        <v>55</v>
      </c>
      <c r="O410">
        <v>3</v>
      </c>
      <c r="P410">
        <v>2</v>
      </c>
      <c r="Q410" s="13">
        <v>0.48399999999999999</v>
      </c>
      <c r="R410" t="s">
        <v>248</v>
      </c>
      <c r="S410">
        <v>-0.2</v>
      </c>
      <c r="T410" t="s">
        <v>249</v>
      </c>
      <c r="U410" t="s">
        <v>33</v>
      </c>
      <c r="V410">
        <v>3</v>
      </c>
      <c r="W410">
        <v>6</v>
      </c>
      <c r="X410" t="s">
        <v>490</v>
      </c>
      <c r="Y410" t="s">
        <v>292</v>
      </c>
      <c r="Z410" t="s">
        <v>473</v>
      </c>
      <c r="AA410" t="s">
        <v>491</v>
      </c>
    </row>
    <row r="411" spans="1:27" x14ac:dyDescent="0.2">
      <c r="A411" s="1">
        <v>45992</v>
      </c>
      <c r="B411" t="s">
        <v>324</v>
      </c>
      <c r="C411" t="s">
        <v>31</v>
      </c>
      <c r="D411" t="s">
        <v>35</v>
      </c>
      <c r="E411" t="s">
        <v>476</v>
      </c>
      <c r="F411" t="s">
        <v>31</v>
      </c>
      <c r="G411">
        <v>4</v>
      </c>
      <c r="H411">
        <v>3</v>
      </c>
      <c r="I411" s="13">
        <v>0.66100000000000003</v>
      </c>
      <c r="J411" t="s">
        <v>249</v>
      </c>
      <c r="K411" s="18">
        <v>0.309</v>
      </c>
      <c r="L411" t="s">
        <v>248</v>
      </c>
      <c r="M411" t="s">
        <v>291</v>
      </c>
      <c r="N411" t="s">
        <v>31</v>
      </c>
      <c r="O411">
        <v>4</v>
      </c>
      <c r="P411">
        <v>2</v>
      </c>
      <c r="Q411" s="13">
        <v>0.63</v>
      </c>
      <c r="R411" t="s">
        <v>249</v>
      </c>
      <c r="S411">
        <v>-1.4</v>
      </c>
      <c r="T411" t="s">
        <v>248</v>
      </c>
      <c r="U411" t="s">
        <v>31</v>
      </c>
      <c r="V411">
        <v>4</v>
      </c>
      <c r="W411">
        <v>1</v>
      </c>
      <c r="X411" t="s">
        <v>490</v>
      </c>
      <c r="Y411" t="s">
        <v>292</v>
      </c>
      <c r="Z411" t="s">
        <v>473</v>
      </c>
      <c r="AA411" t="s">
        <v>491</v>
      </c>
    </row>
    <row r="412" spans="1:27" x14ac:dyDescent="0.2">
      <c r="A412" s="1">
        <v>45993</v>
      </c>
      <c r="B412" t="s">
        <v>328</v>
      </c>
      <c r="C412" t="s">
        <v>39</v>
      </c>
      <c r="D412" t="s">
        <v>15</v>
      </c>
      <c r="E412" t="s">
        <v>486</v>
      </c>
      <c r="F412" t="s">
        <v>39</v>
      </c>
      <c r="G412">
        <v>5</v>
      </c>
      <c r="H412">
        <v>3</v>
      </c>
      <c r="I412" s="13">
        <v>0.69599999999999995</v>
      </c>
      <c r="J412" t="s">
        <v>249</v>
      </c>
      <c r="K412" s="18">
        <v>0.22800000000000001</v>
      </c>
      <c r="L412" t="s">
        <v>249</v>
      </c>
      <c r="M412" t="s">
        <v>1521</v>
      </c>
      <c r="N412" t="s">
        <v>39</v>
      </c>
      <c r="O412">
        <v>4</v>
      </c>
      <c r="P412">
        <v>2</v>
      </c>
      <c r="Q412" s="13">
        <v>0.63800000000000001</v>
      </c>
      <c r="R412" t="s">
        <v>249</v>
      </c>
      <c r="S412">
        <v>-0.65</v>
      </c>
      <c r="T412" t="s">
        <v>249</v>
      </c>
      <c r="U412" t="s">
        <v>15</v>
      </c>
      <c r="X412" t="s">
        <v>60</v>
      </c>
      <c r="Y412" t="s">
        <v>292</v>
      </c>
      <c r="Z412" t="s">
        <v>477</v>
      </c>
      <c r="AA412" t="s">
        <v>1522</v>
      </c>
    </row>
    <row r="413" spans="1:27" x14ac:dyDescent="0.2">
      <c r="A413" s="1">
        <v>45993</v>
      </c>
      <c r="B413" t="s">
        <v>322</v>
      </c>
      <c r="C413" t="s">
        <v>10</v>
      </c>
      <c r="D413" t="s">
        <v>20</v>
      </c>
      <c r="E413" t="s">
        <v>487</v>
      </c>
      <c r="F413" t="s">
        <v>10</v>
      </c>
      <c r="G413">
        <v>5</v>
      </c>
      <c r="H413">
        <v>4</v>
      </c>
      <c r="I413" s="13">
        <v>0.61099999999999999</v>
      </c>
      <c r="J413" t="s">
        <v>249</v>
      </c>
      <c r="K413" s="18">
        <v>0.47</v>
      </c>
      <c r="L413" t="s">
        <v>248</v>
      </c>
      <c r="M413" t="s">
        <v>303</v>
      </c>
      <c r="N413" t="s">
        <v>10</v>
      </c>
      <c r="O413">
        <v>3</v>
      </c>
      <c r="P413">
        <v>2</v>
      </c>
      <c r="Q413" s="13">
        <v>0.46200000000000002</v>
      </c>
      <c r="R413" t="s">
        <v>248</v>
      </c>
      <c r="S413">
        <v>-0.02</v>
      </c>
      <c r="T413" t="s">
        <v>248</v>
      </c>
      <c r="U413" t="s">
        <v>10</v>
      </c>
      <c r="X413" t="s">
        <v>60</v>
      </c>
      <c r="Y413" t="s">
        <v>292</v>
      </c>
      <c r="Z413" t="s">
        <v>477</v>
      </c>
      <c r="AA413" t="s">
        <v>1522</v>
      </c>
    </row>
    <row r="414" spans="1:27" x14ac:dyDescent="0.2">
      <c r="A414" s="1">
        <v>45993</v>
      </c>
      <c r="B414" t="s">
        <v>326</v>
      </c>
      <c r="C414" t="s">
        <v>38</v>
      </c>
      <c r="D414" t="s">
        <v>12</v>
      </c>
      <c r="E414" t="s">
        <v>478</v>
      </c>
      <c r="F414" t="s">
        <v>12</v>
      </c>
      <c r="G414">
        <v>3</v>
      </c>
      <c r="H414">
        <v>4</v>
      </c>
      <c r="I414" s="13">
        <v>0.74</v>
      </c>
      <c r="J414" t="s">
        <v>249</v>
      </c>
      <c r="K414" s="18">
        <v>0.157</v>
      </c>
      <c r="L414" t="s">
        <v>248</v>
      </c>
      <c r="M414" t="s">
        <v>361</v>
      </c>
      <c r="N414" t="s">
        <v>12</v>
      </c>
      <c r="O414">
        <v>1</v>
      </c>
      <c r="P414">
        <v>6</v>
      </c>
      <c r="Q414" s="13">
        <v>0.94799999999999995</v>
      </c>
      <c r="R414" t="s">
        <v>249</v>
      </c>
      <c r="S414">
        <v>2.63</v>
      </c>
      <c r="T414" t="s">
        <v>248</v>
      </c>
      <c r="U414" t="s">
        <v>12</v>
      </c>
      <c r="X414" t="s">
        <v>60</v>
      </c>
      <c r="Y414" t="s">
        <v>292</v>
      </c>
      <c r="Z414" t="s">
        <v>477</v>
      </c>
      <c r="AA414" t="s">
        <v>1522</v>
      </c>
    </row>
    <row r="415" spans="1:27" x14ac:dyDescent="0.2">
      <c r="A415" s="1">
        <v>45993</v>
      </c>
      <c r="B415" t="s">
        <v>328</v>
      </c>
      <c r="C415" t="s">
        <v>21</v>
      </c>
      <c r="D415" t="s">
        <v>26</v>
      </c>
      <c r="E415" t="s">
        <v>479</v>
      </c>
      <c r="F415" t="s">
        <v>21</v>
      </c>
      <c r="G415">
        <v>4</v>
      </c>
      <c r="H415">
        <v>3</v>
      </c>
      <c r="I415" s="13">
        <v>0.51300000000000001</v>
      </c>
      <c r="J415" t="s">
        <v>249</v>
      </c>
      <c r="K415" s="18">
        <v>0.315</v>
      </c>
      <c r="L415" t="s">
        <v>249</v>
      </c>
      <c r="M415" t="s">
        <v>1523</v>
      </c>
      <c r="N415" t="s">
        <v>21</v>
      </c>
      <c r="O415">
        <v>4</v>
      </c>
      <c r="P415">
        <v>2</v>
      </c>
      <c r="Q415" s="13">
        <v>0.53200000000000003</v>
      </c>
      <c r="R415" t="s">
        <v>249</v>
      </c>
      <c r="S415">
        <v>-0.61</v>
      </c>
      <c r="T415" t="s">
        <v>249</v>
      </c>
      <c r="U415" t="s">
        <v>26</v>
      </c>
      <c r="X415" t="s">
        <v>60</v>
      </c>
      <c r="Y415" t="s">
        <v>292</v>
      </c>
      <c r="Z415" t="s">
        <v>477</v>
      </c>
      <c r="AA415" t="s">
        <v>1522</v>
      </c>
    </row>
    <row r="416" spans="1:27" x14ac:dyDescent="0.2">
      <c r="A416" s="1">
        <v>45993</v>
      </c>
      <c r="B416" t="s">
        <v>326</v>
      </c>
      <c r="C416" t="s">
        <v>34</v>
      </c>
      <c r="D416" t="s">
        <v>17</v>
      </c>
      <c r="E416" t="s">
        <v>480</v>
      </c>
      <c r="F416" t="s">
        <v>17</v>
      </c>
      <c r="G416">
        <v>4</v>
      </c>
      <c r="H416">
        <v>5</v>
      </c>
      <c r="I416" s="13">
        <v>0.625</v>
      </c>
      <c r="J416" t="s">
        <v>249</v>
      </c>
      <c r="K416" s="18">
        <v>0.33</v>
      </c>
      <c r="L416" t="s">
        <v>249</v>
      </c>
      <c r="M416" t="s">
        <v>1524</v>
      </c>
      <c r="N416" t="s">
        <v>34</v>
      </c>
      <c r="O416">
        <v>4</v>
      </c>
      <c r="P416">
        <v>2</v>
      </c>
      <c r="Q416" s="13">
        <v>0.57899999999999996</v>
      </c>
      <c r="R416" t="s">
        <v>249</v>
      </c>
      <c r="S416">
        <v>-0.71</v>
      </c>
      <c r="T416" t="s">
        <v>248</v>
      </c>
      <c r="U416" t="s">
        <v>34</v>
      </c>
      <c r="X416" t="s">
        <v>60</v>
      </c>
      <c r="Y416" t="s">
        <v>292</v>
      </c>
      <c r="Z416" t="s">
        <v>477</v>
      </c>
      <c r="AA416" t="s">
        <v>1522</v>
      </c>
    </row>
    <row r="417" spans="1:27" x14ac:dyDescent="0.2">
      <c r="A417" s="1">
        <v>45993</v>
      </c>
      <c r="B417" t="s">
        <v>334</v>
      </c>
      <c r="C417" t="s">
        <v>19</v>
      </c>
      <c r="D417" t="s">
        <v>11</v>
      </c>
      <c r="E417" t="s">
        <v>481</v>
      </c>
      <c r="F417" t="s">
        <v>11</v>
      </c>
      <c r="G417">
        <v>3</v>
      </c>
      <c r="H417">
        <v>4</v>
      </c>
      <c r="I417" s="13">
        <v>0.72799999999999998</v>
      </c>
      <c r="J417" t="s">
        <v>248</v>
      </c>
      <c r="K417" s="18">
        <v>0.71799999999999997</v>
      </c>
      <c r="L417" t="s">
        <v>249</v>
      </c>
      <c r="M417" t="s">
        <v>1525</v>
      </c>
      <c r="N417" t="s">
        <v>11</v>
      </c>
      <c r="O417">
        <v>2</v>
      </c>
      <c r="P417">
        <v>3</v>
      </c>
      <c r="Q417" s="13">
        <v>0.58799999999999997</v>
      </c>
      <c r="R417" t="s">
        <v>248</v>
      </c>
      <c r="S417">
        <v>0.28999999999999998</v>
      </c>
      <c r="T417" t="s">
        <v>249</v>
      </c>
      <c r="U417" t="s">
        <v>19</v>
      </c>
      <c r="X417" t="s">
        <v>60</v>
      </c>
      <c r="Y417" t="s">
        <v>292</v>
      </c>
      <c r="Z417" t="s">
        <v>477</v>
      </c>
      <c r="AA417" t="s">
        <v>1522</v>
      </c>
    </row>
    <row r="418" spans="1:27" x14ac:dyDescent="0.2">
      <c r="A418" s="1">
        <v>45993</v>
      </c>
      <c r="B418" t="s">
        <v>340</v>
      </c>
      <c r="C418" t="s">
        <v>22</v>
      </c>
      <c r="D418" t="s">
        <v>13</v>
      </c>
      <c r="E418" t="s">
        <v>482</v>
      </c>
      <c r="F418" t="s">
        <v>22</v>
      </c>
      <c r="G418">
        <v>6</v>
      </c>
      <c r="H418">
        <v>5</v>
      </c>
      <c r="I418" s="13">
        <v>0.76700000000000002</v>
      </c>
      <c r="J418" t="s">
        <v>249</v>
      </c>
      <c r="K418" s="18">
        <v>0.29699999999999999</v>
      </c>
      <c r="L418" t="s">
        <v>248</v>
      </c>
      <c r="M418" t="s">
        <v>321</v>
      </c>
      <c r="N418" t="s">
        <v>22</v>
      </c>
      <c r="O418">
        <v>4</v>
      </c>
      <c r="P418">
        <v>2</v>
      </c>
      <c r="Q418" s="13">
        <v>0.58799999999999997</v>
      </c>
      <c r="R418" t="s">
        <v>249</v>
      </c>
      <c r="S418">
        <v>-0.73</v>
      </c>
      <c r="T418" t="s">
        <v>248</v>
      </c>
      <c r="U418" t="s">
        <v>22</v>
      </c>
      <c r="X418" t="s">
        <v>60</v>
      </c>
      <c r="Y418" t="s">
        <v>292</v>
      </c>
      <c r="Z418" t="s">
        <v>477</v>
      </c>
      <c r="AA418" t="s">
        <v>1522</v>
      </c>
    </row>
    <row r="419" spans="1:27" x14ac:dyDescent="0.2">
      <c r="A419" s="1">
        <v>45993</v>
      </c>
      <c r="B419" t="s">
        <v>328</v>
      </c>
      <c r="C419" t="s">
        <v>36</v>
      </c>
      <c r="D419" t="s">
        <v>18</v>
      </c>
      <c r="E419" t="s">
        <v>483</v>
      </c>
      <c r="F419" t="s">
        <v>36</v>
      </c>
      <c r="G419">
        <v>4</v>
      </c>
      <c r="H419">
        <v>3</v>
      </c>
      <c r="I419" s="13">
        <v>0.67800000000000005</v>
      </c>
      <c r="J419" t="s">
        <v>248</v>
      </c>
      <c r="K419" s="18">
        <v>0.65100000000000002</v>
      </c>
      <c r="L419" t="s">
        <v>248</v>
      </c>
      <c r="M419" t="s">
        <v>582</v>
      </c>
      <c r="N419" t="s">
        <v>36</v>
      </c>
      <c r="O419">
        <v>3</v>
      </c>
      <c r="P419">
        <v>2</v>
      </c>
      <c r="Q419" s="13">
        <v>0.46100000000000002</v>
      </c>
      <c r="R419" t="s">
        <v>248</v>
      </c>
      <c r="S419">
        <v>-0.01</v>
      </c>
      <c r="T419" t="s">
        <v>248</v>
      </c>
      <c r="U419" t="s">
        <v>36</v>
      </c>
      <c r="X419" t="s">
        <v>60</v>
      </c>
      <c r="Y419" t="s">
        <v>292</v>
      </c>
      <c r="Z419" t="s">
        <v>477</v>
      </c>
      <c r="AA419" t="s">
        <v>1522</v>
      </c>
    </row>
    <row r="420" spans="1:27" x14ac:dyDescent="0.2">
      <c r="A420" s="1">
        <v>45993</v>
      </c>
      <c r="B420" t="s">
        <v>324</v>
      </c>
      <c r="C420" t="s">
        <v>16</v>
      </c>
      <c r="D420" t="s">
        <v>29</v>
      </c>
      <c r="E420" t="s">
        <v>484</v>
      </c>
      <c r="F420" t="s">
        <v>16</v>
      </c>
      <c r="G420">
        <v>4</v>
      </c>
      <c r="H420">
        <v>3</v>
      </c>
      <c r="I420" s="13">
        <v>0.73</v>
      </c>
      <c r="J420" t="s">
        <v>248</v>
      </c>
      <c r="K420" s="18">
        <v>0.72099999999999997</v>
      </c>
      <c r="L420" t="s">
        <v>248</v>
      </c>
      <c r="M420" t="s">
        <v>372</v>
      </c>
      <c r="N420" t="s">
        <v>16</v>
      </c>
      <c r="O420">
        <v>3</v>
      </c>
      <c r="P420">
        <v>2</v>
      </c>
      <c r="Q420" s="13">
        <v>0.49099999999999999</v>
      </c>
      <c r="R420" t="s">
        <v>248</v>
      </c>
      <c r="S420">
        <v>-0.27</v>
      </c>
      <c r="T420" t="s">
        <v>248</v>
      </c>
      <c r="U420" t="s">
        <v>16</v>
      </c>
      <c r="X420" t="s">
        <v>60</v>
      </c>
      <c r="Y420" t="s">
        <v>292</v>
      </c>
      <c r="Z420" t="s">
        <v>477</v>
      </c>
      <c r="AA420" t="s">
        <v>1522</v>
      </c>
    </row>
    <row r="421" spans="1:27" x14ac:dyDescent="0.2">
      <c r="A421" s="1">
        <v>45993</v>
      </c>
      <c r="B421" t="s">
        <v>328</v>
      </c>
      <c r="C421" t="s">
        <v>37</v>
      </c>
      <c r="D421" t="s">
        <v>30</v>
      </c>
      <c r="E421" t="s">
        <v>485</v>
      </c>
      <c r="F421" t="s">
        <v>37</v>
      </c>
      <c r="G421">
        <v>5</v>
      </c>
      <c r="H421">
        <v>4</v>
      </c>
      <c r="I421" s="13">
        <v>0.87</v>
      </c>
      <c r="J421" t="s">
        <v>249</v>
      </c>
      <c r="K421" s="18">
        <v>0.26100000000000001</v>
      </c>
      <c r="L421" t="s">
        <v>249</v>
      </c>
      <c r="M421" t="s">
        <v>1526</v>
      </c>
      <c r="N421" t="s">
        <v>37</v>
      </c>
      <c r="O421">
        <v>4</v>
      </c>
      <c r="P421">
        <v>2</v>
      </c>
      <c r="Q421" s="13">
        <v>0.63400000000000001</v>
      </c>
      <c r="R421" t="s">
        <v>249</v>
      </c>
      <c r="S421">
        <v>-0.7</v>
      </c>
      <c r="T421" t="s">
        <v>249</v>
      </c>
      <c r="U421" t="s">
        <v>30</v>
      </c>
      <c r="X421" t="s">
        <v>60</v>
      </c>
      <c r="Y421" t="s">
        <v>292</v>
      </c>
      <c r="Z421" t="s">
        <v>477</v>
      </c>
      <c r="AA421" t="s">
        <v>1522</v>
      </c>
    </row>
    <row r="422" spans="1:27" x14ac:dyDescent="0.2">
      <c r="A422" s="1">
        <v>45994</v>
      </c>
      <c r="B422" t="s">
        <v>322</v>
      </c>
      <c r="C422" t="s">
        <v>22</v>
      </c>
      <c r="D422" t="s">
        <v>33</v>
      </c>
      <c r="E422" t="s">
        <v>922</v>
      </c>
      <c r="F422" t="s">
        <v>22</v>
      </c>
      <c r="G422">
        <v>2</v>
      </c>
      <c r="H422">
        <v>3</v>
      </c>
      <c r="I422" s="13">
        <v>0.6</v>
      </c>
      <c r="J422" t="s">
        <v>249</v>
      </c>
      <c r="L422" t="s">
        <v>60</v>
      </c>
      <c r="M422" t="s">
        <v>60</v>
      </c>
      <c r="N422" t="s">
        <v>22</v>
      </c>
      <c r="O422">
        <v>2</v>
      </c>
      <c r="P422">
        <v>3</v>
      </c>
      <c r="Q422" s="13">
        <v>0.59063967172929266</v>
      </c>
      <c r="R422" t="s">
        <v>249</v>
      </c>
      <c r="S422">
        <v>-0.84213747631283775</v>
      </c>
      <c r="T422" t="s">
        <v>60</v>
      </c>
      <c r="U422" t="s">
        <v>60</v>
      </c>
      <c r="X422" t="s">
        <v>60</v>
      </c>
      <c r="Y422" t="s">
        <v>412</v>
      </c>
      <c r="Z422" t="s">
        <v>60</v>
      </c>
      <c r="AA422" t="s">
        <v>491</v>
      </c>
    </row>
    <row r="423" spans="1:27" x14ac:dyDescent="0.2">
      <c r="A423" s="1">
        <v>45994</v>
      </c>
      <c r="B423" t="s">
        <v>328</v>
      </c>
      <c r="C423" t="s">
        <v>39</v>
      </c>
      <c r="D423" t="s">
        <v>24</v>
      </c>
      <c r="E423" t="s">
        <v>923</v>
      </c>
      <c r="F423" t="s">
        <v>39</v>
      </c>
      <c r="G423">
        <v>2</v>
      </c>
      <c r="H423">
        <v>3</v>
      </c>
      <c r="I423" s="13">
        <v>0.6</v>
      </c>
      <c r="J423" t="s">
        <v>249</v>
      </c>
      <c r="L423" t="s">
        <v>60</v>
      </c>
      <c r="M423" t="s">
        <v>60</v>
      </c>
      <c r="N423" t="s">
        <v>39</v>
      </c>
      <c r="O423">
        <v>2</v>
      </c>
      <c r="P423">
        <v>3</v>
      </c>
      <c r="Q423" s="13">
        <v>0.5222701857864821</v>
      </c>
      <c r="R423" t="s">
        <v>249</v>
      </c>
      <c r="S423">
        <v>-0.36201150216735312</v>
      </c>
      <c r="T423" t="s">
        <v>60</v>
      </c>
      <c r="U423" t="s">
        <v>60</v>
      </c>
      <c r="X423" t="s">
        <v>60</v>
      </c>
      <c r="Y423" t="s">
        <v>412</v>
      </c>
      <c r="Z423" t="s">
        <v>60</v>
      </c>
      <c r="AA423" t="s">
        <v>491</v>
      </c>
    </row>
    <row r="424" spans="1:27" x14ac:dyDescent="0.2">
      <c r="A424" s="1">
        <v>45994</v>
      </c>
      <c r="B424" t="s">
        <v>334</v>
      </c>
      <c r="C424" t="s">
        <v>23</v>
      </c>
      <c r="D424" t="s">
        <v>27</v>
      </c>
      <c r="E424" t="s">
        <v>924</v>
      </c>
      <c r="F424" t="s">
        <v>27</v>
      </c>
      <c r="G424">
        <v>2</v>
      </c>
      <c r="H424">
        <v>3</v>
      </c>
      <c r="I424" s="13">
        <v>0.6</v>
      </c>
      <c r="J424" t="s">
        <v>249</v>
      </c>
      <c r="L424" t="s">
        <v>60</v>
      </c>
      <c r="M424" t="s">
        <v>60</v>
      </c>
      <c r="N424" t="s">
        <v>27</v>
      </c>
      <c r="O424">
        <v>2</v>
      </c>
      <c r="P424">
        <v>3</v>
      </c>
      <c r="Q424" s="13">
        <v>0.57103760636902878</v>
      </c>
      <c r="R424" t="s">
        <v>249</v>
      </c>
      <c r="S424">
        <v>0.14577160115743609</v>
      </c>
      <c r="T424" t="s">
        <v>60</v>
      </c>
      <c r="U424" t="s">
        <v>60</v>
      </c>
      <c r="X424" t="s">
        <v>60</v>
      </c>
      <c r="Y424" t="s">
        <v>412</v>
      </c>
      <c r="Z424" t="s">
        <v>60</v>
      </c>
      <c r="AA424" t="s">
        <v>491</v>
      </c>
    </row>
    <row r="425" spans="1:27" x14ac:dyDescent="0.2">
      <c r="A425" s="1">
        <v>45994</v>
      </c>
      <c r="B425" t="s">
        <v>322</v>
      </c>
      <c r="C425" t="s">
        <v>55</v>
      </c>
      <c r="D425" t="s">
        <v>31</v>
      </c>
      <c r="E425" t="s">
        <v>290</v>
      </c>
      <c r="F425" t="s">
        <v>31</v>
      </c>
      <c r="G425">
        <v>2</v>
      </c>
      <c r="H425">
        <v>3</v>
      </c>
      <c r="I425" s="13">
        <v>0.6</v>
      </c>
      <c r="J425" t="s">
        <v>249</v>
      </c>
      <c r="L425" t="s">
        <v>60</v>
      </c>
      <c r="M425" t="s">
        <v>60</v>
      </c>
      <c r="N425" t="s">
        <v>31</v>
      </c>
      <c r="O425">
        <v>2</v>
      </c>
      <c r="P425">
        <v>3</v>
      </c>
      <c r="Q425" s="13">
        <v>0.69359816859950485</v>
      </c>
      <c r="R425" t="s">
        <v>249</v>
      </c>
      <c r="S425">
        <v>0.63172705978361121</v>
      </c>
      <c r="T425" t="s">
        <v>60</v>
      </c>
      <c r="U425" t="s">
        <v>60</v>
      </c>
      <c r="X425" t="s">
        <v>60</v>
      </c>
      <c r="Y425" t="s">
        <v>412</v>
      </c>
      <c r="Z425" t="s">
        <v>60</v>
      </c>
      <c r="AA425" t="s">
        <v>491</v>
      </c>
    </row>
    <row r="426" spans="1:27" x14ac:dyDescent="0.2">
      <c r="A426" s="1">
        <v>45994</v>
      </c>
      <c r="B426" t="s">
        <v>334</v>
      </c>
      <c r="C426" t="s">
        <v>40</v>
      </c>
      <c r="D426" t="s">
        <v>18</v>
      </c>
      <c r="E426" t="s">
        <v>925</v>
      </c>
      <c r="F426" t="s">
        <v>40</v>
      </c>
      <c r="G426">
        <v>2</v>
      </c>
      <c r="H426">
        <v>3</v>
      </c>
      <c r="I426" s="13">
        <v>0.6</v>
      </c>
      <c r="J426" t="s">
        <v>249</v>
      </c>
      <c r="L426" t="s">
        <v>60</v>
      </c>
      <c r="M426" t="s">
        <v>60</v>
      </c>
      <c r="N426" t="s">
        <v>40</v>
      </c>
      <c r="O426">
        <v>2</v>
      </c>
      <c r="P426">
        <v>3</v>
      </c>
      <c r="Q426" s="13">
        <v>0.50759559033131352</v>
      </c>
      <c r="R426" t="s">
        <v>249</v>
      </c>
      <c r="S426">
        <v>-0.2297470555678712</v>
      </c>
      <c r="T426" t="s">
        <v>60</v>
      </c>
      <c r="U426" t="s">
        <v>60</v>
      </c>
      <c r="X426" t="s">
        <v>60</v>
      </c>
      <c r="Y426" t="s">
        <v>412</v>
      </c>
      <c r="Z426" t="s">
        <v>60</v>
      </c>
      <c r="AA426" t="s">
        <v>491</v>
      </c>
    </row>
    <row r="427" spans="1:27" x14ac:dyDescent="0.2">
      <c r="A427" s="1">
        <v>45995</v>
      </c>
      <c r="B427" t="s">
        <v>328</v>
      </c>
      <c r="C427" t="s">
        <v>35</v>
      </c>
      <c r="D427" t="s">
        <v>21</v>
      </c>
      <c r="E427" t="s">
        <v>926</v>
      </c>
      <c r="F427" t="s">
        <v>21</v>
      </c>
      <c r="G427">
        <v>2</v>
      </c>
      <c r="H427">
        <v>3</v>
      </c>
      <c r="I427" s="13">
        <v>0.6</v>
      </c>
      <c r="J427" t="s">
        <v>249</v>
      </c>
      <c r="L427" t="s">
        <v>60</v>
      </c>
      <c r="M427" t="s">
        <v>60</v>
      </c>
      <c r="N427" t="s">
        <v>21</v>
      </c>
      <c r="O427">
        <v>2</v>
      </c>
      <c r="P427">
        <v>3</v>
      </c>
      <c r="Q427" s="13">
        <v>0.72589277117775375</v>
      </c>
      <c r="R427" t="s">
        <v>249</v>
      </c>
      <c r="S427">
        <v>1.2246093604231529</v>
      </c>
      <c r="T427" t="s">
        <v>60</v>
      </c>
      <c r="U427" t="s">
        <v>60</v>
      </c>
      <c r="X427" t="s">
        <v>60</v>
      </c>
      <c r="Y427" t="s">
        <v>412</v>
      </c>
      <c r="Z427" t="s">
        <v>60</v>
      </c>
      <c r="AA427" t="s">
        <v>491</v>
      </c>
    </row>
    <row r="428" spans="1:27" x14ac:dyDescent="0.2">
      <c r="A428" s="1">
        <v>45995</v>
      </c>
      <c r="B428" t="s">
        <v>334</v>
      </c>
      <c r="C428" t="s">
        <v>19</v>
      </c>
      <c r="D428" t="s">
        <v>25</v>
      </c>
      <c r="E428" t="s">
        <v>927</v>
      </c>
      <c r="F428" t="s">
        <v>25</v>
      </c>
      <c r="G428">
        <v>2</v>
      </c>
      <c r="H428">
        <v>3</v>
      </c>
      <c r="I428" s="13">
        <v>0.6</v>
      </c>
      <c r="J428" t="s">
        <v>249</v>
      </c>
      <c r="L428" t="s">
        <v>60</v>
      </c>
      <c r="M428" t="s">
        <v>60</v>
      </c>
      <c r="N428" t="s">
        <v>25</v>
      </c>
      <c r="O428">
        <v>2</v>
      </c>
      <c r="P428">
        <v>3</v>
      </c>
      <c r="Q428" s="13">
        <v>0.72133121982254167</v>
      </c>
      <c r="R428" t="s">
        <v>249</v>
      </c>
      <c r="S428">
        <v>1.110054477570696</v>
      </c>
      <c r="T428" t="s">
        <v>60</v>
      </c>
      <c r="U428" t="s">
        <v>60</v>
      </c>
      <c r="X428" t="s">
        <v>60</v>
      </c>
      <c r="Y428" t="s">
        <v>412</v>
      </c>
      <c r="Z428" t="s">
        <v>60</v>
      </c>
      <c r="AA428" t="s">
        <v>491</v>
      </c>
    </row>
    <row r="429" spans="1:27" x14ac:dyDescent="0.2">
      <c r="A429" s="1">
        <v>45995</v>
      </c>
      <c r="B429" t="s">
        <v>328</v>
      </c>
      <c r="C429" t="s">
        <v>26</v>
      </c>
      <c r="D429" t="s">
        <v>28</v>
      </c>
      <c r="E429" t="s">
        <v>928</v>
      </c>
      <c r="F429" t="s">
        <v>28</v>
      </c>
      <c r="G429">
        <v>2</v>
      </c>
      <c r="H429">
        <v>3</v>
      </c>
      <c r="I429" s="13">
        <v>0.6</v>
      </c>
      <c r="J429" t="s">
        <v>249</v>
      </c>
      <c r="L429" t="s">
        <v>60</v>
      </c>
      <c r="M429" t="s">
        <v>60</v>
      </c>
      <c r="N429" t="s">
        <v>28</v>
      </c>
      <c r="O429">
        <v>2</v>
      </c>
      <c r="P429">
        <v>3</v>
      </c>
      <c r="Q429" s="13">
        <v>0.57856166785192853</v>
      </c>
      <c r="R429" t="s">
        <v>249</v>
      </c>
      <c r="S429">
        <v>0.33025090960493159</v>
      </c>
      <c r="T429" t="s">
        <v>60</v>
      </c>
      <c r="U429" t="s">
        <v>60</v>
      </c>
      <c r="X429" t="s">
        <v>60</v>
      </c>
      <c r="Y429" t="s">
        <v>412</v>
      </c>
      <c r="Z429" t="s">
        <v>60</v>
      </c>
      <c r="AA429" t="s">
        <v>491</v>
      </c>
    </row>
    <row r="430" spans="1:27" x14ac:dyDescent="0.2">
      <c r="A430" s="1">
        <v>45995</v>
      </c>
      <c r="B430" t="s">
        <v>326</v>
      </c>
      <c r="C430" t="s">
        <v>34</v>
      </c>
      <c r="D430" t="s">
        <v>16</v>
      </c>
      <c r="E430" t="s">
        <v>929</v>
      </c>
      <c r="F430" t="s">
        <v>34</v>
      </c>
      <c r="G430">
        <v>2</v>
      </c>
      <c r="H430">
        <v>3</v>
      </c>
      <c r="I430" s="13">
        <v>0.6</v>
      </c>
      <c r="J430" t="s">
        <v>249</v>
      </c>
      <c r="L430" t="s">
        <v>60</v>
      </c>
      <c r="M430" t="s">
        <v>60</v>
      </c>
      <c r="N430" t="s">
        <v>34</v>
      </c>
      <c r="O430">
        <v>2</v>
      </c>
      <c r="P430">
        <v>3</v>
      </c>
      <c r="Q430" s="13">
        <v>0.61469497551376429</v>
      </c>
      <c r="R430" t="s">
        <v>249</v>
      </c>
      <c r="S430">
        <v>-0.96075574267197961</v>
      </c>
      <c r="T430" t="s">
        <v>60</v>
      </c>
      <c r="U430" t="s">
        <v>60</v>
      </c>
      <c r="X430" t="s">
        <v>60</v>
      </c>
      <c r="Y430" t="s">
        <v>412</v>
      </c>
      <c r="Z430" t="s">
        <v>60</v>
      </c>
      <c r="AA430" t="s">
        <v>491</v>
      </c>
    </row>
    <row r="431" spans="1:27" x14ac:dyDescent="0.2">
      <c r="A431" s="1">
        <v>45995</v>
      </c>
      <c r="B431" t="s">
        <v>326</v>
      </c>
      <c r="C431" t="s">
        <v>32</v>
      </c>
      <c r="D431" t="s">
        <v>17</v>
      </c>
      <c r="E431" t="s">
        <v>930</v>
      </c>
      <c r="F431" t="s">
        <v>32</v>
      </c>
      <c r="G431">
        <v>2</v>
      </c>
      <c r="H431">
        <v>3</v>
      </c>
      <c r="I431" s="13">
        <v>0.6</v>
      </c>
      <c r="J431" t="s">
        <v>249</v>
      </c>
      <c r="L431" t="s">
        <v>60</v>
      </c>
      <c r="M431" t="s">
        <v>60</v>
      </c>
      <c r="N431" t="s">
        <v>32</v>
      </c>
      <c r="O431">
        <v>2</v>
      </c>
      <c r="P431">
        <v>3</v>
      </c>
      <c r="Q431" s="13">
        <v>0.46678701500720537</v>
      </c>
      <c r="R431" t="s">
        <v>249</v>
      </c>
      <c r="S431">
        <v>-0.1184686800362693</v>
      </c>
      <c r="T431" t="s">
        <v>60</v>
      </c>
      <c r="U431" t="s">
        <v>60</v>
      </c>
      <c r="X431" t="s">
        <v>60</v>
      </c>
      <c r="Y431" t="s">
        <v>412</v>
      </c>
      <c r="Z431" t="s">
        <v>60</v>
      </c>
      <c r="AA431" t="s">
        <v>491</v>
      </c>
    </row>
    <row r="432" spans="1:27" x14ac:dyDescent="0.2">
      <c r="A432" s="1">
        <v>45995</v>
      </c>
      <c r="B432" t="s">
        <v>328</v>
      </c>
      <c r="C432" t="s">
        <v>29</v>
      </c>
      <c r="D432" t="s">
        <v>11</v>
      </c>
      <c r="E432" t="s">
        <v>931</v>
      </c>
      <c r="F432" t="s">
        <v>11</v>
      </c>
      <c r="G432">
        <v>2</v>
      </c>
      <c r="H432">
        <v>3</v>
      </c>
      <c r="I432" s="13">
        <v>0.6</v>
      </c>
      <c r="J432" t="s">
        <v>249</v>
      </c>
      <c r="L432" t="s">
        <v>60</v>
      </c>
      <c r="M432" t="s">
        <v>60</v>
      </c>
      <c r="N432" t="s">
        <v>11</v>
      </c>
      <c r="O432">
        <v>2</v>
      </c>
      <c r="P432">
        <v>3</v>
      </c>
      <c r="Q432" s="13">
        <v>0.67518338069360018</v>
      </c>
      <c r="R432" t="s">
        <v>249</v>
      </c>
      <c r="S432">
        <v>1.0376997416691169</v>
      </c>
      <c r="T432" t="s">
        <v>60</v>
      </c>
      <c r="U432" t="s">
        <v>60</v>
      </c>
      <c r="X432" t="s">
        <v>60</v>
      </c>
      <c r="Y432" t="s">
        <v>412</v>
      </c>
      <c r="Z432" t="s">
        <v>60</v>
      </c>
      <c r="AA432" t="s">
        <v>491</v>
      </c>
    </row>
    <row r="433" spans="1:27" x14ac:dyDescent="0.2">
      <c r="A433" s="1">
        <v>45995</v>
      </c>
      <c r="B433" t="s">
        <v>322</v>
      </c>
      <c r="C433" t="s">
        <v>10</v>
      </c>
      <c r="D433" t="s">
        <v>13</v>
      </c>
      <c r="E433" t="s">
        <v>932</v>
      </c>
      <c r="F433" t="s">
        <v>10</v>
      </c>
      <c r="G433">
        <v>2</v>
      </c>
      <c r="H433">
        <v>3</v>
      </c>
      <c r="I433" s="13">
        <v>0.6</v>
      </c>
      <c r="J433" t="s">
        <v>249</v>
      </c>
      <c r="L433" t="s">
        <v>60</v>
      </c>
      <c r="M433" t="s">
        <v>60</v>
      </c>
      <c r="N433" t="s">
        <v>10</v>
      </c>
      <c r="O433">
        <v>2</v>
      </c>
      <c r="P433">
        <v>3</v>
      </c>
      <c r="Q433" s="13">
        <v>0.4730994406719799</v>
      </c>
      <c r="R433" t="s">
        <v>249</v>
      </c>
      <c r="S433">
        <v>-0.1121865945697376</v>
      </c>
      <c r="T433" t="s">
        <v>60</v>
      </c>
      <c r="U433" t="s">
        <v>60</v>
      </c>
      <c r="X433" t="s">
        <v>60</v>
      </c>
      <c r="Y433" t="s">
        <v>412</v>
      </c>
      <c r="Z433" t="s">
        <v>60</v>
      </c>
      <c r="AA433" t="s">
        <v>491</v>
      </c>
    </row>
    <row r="434" spans="1:27" x14ac:dyDescent="0.2">
      <c r="A434" s="1">
        <v>45995</v>
      </c>
      <c r="B434" t="s">
        <v>328</v>
      </c>
      <c r="C434" t="s">
        <v>12</v>
      </c>
      <c r="D434" t="s">
        <v>30</v>
      </c>
      <c r="E434" t="s">
        <v>933</v>
      </c>
      <c r="F434" t="s">
        <v>12</v>
      </c>
      <c r="G434">
        <v>2</v>
      </c>
      <c r="H434">
        <v>3</v>
      </c>
      <c r="I434" s="13">
        <v>0.6</v>
      </c>
      <c r="J434" t="s">
        <v>249</v>
      </c>
      <c r="L434" t="s">
        <v>60</v>
      </c>
      <c r="M434" t="s">
        <v>60</v>
      </c>
      <c r="N434" t="s">
        <v>12</v>
      </c>
      <c r="O434">
        <v>2</v>
      </c>
      <c r="P434">
        <v>3</v>
      </c>
      <c r="Q434" s="13">
        <v>0.74547772409272217</v>
      </c>
      <c r="R434" t="s">
        <v>249</v>
      </c>
      <c r="S434">
        <v>-1.8229349069451459</v>
      </c>
      <c r="T434" t="s">
        <v>60</v>
      </c>
      <c r="U434" t="s">
        <v>60</v>
      </c>
      <c r="X434" t="s">
        <v>60</v>
      </c>
      <c r="Y434" t="s">
        <v>412</v>
      </c>
      <c r="Z434" t="s">
        <v>60</v>
      </c>
      <c r="AA434" t="s">
        <v>491</v>
      </c>
    </row>
    <row r="435" spans="1:27" x14ac:dyDescent="0.2">
      <c r="A435" s="1">
        <v>45995</v>
      </c>
      <c r="B435" t="s">
        <v>328</v>
      </c>
      <c r="C435" t="s">
        <v>15</v>
      </c>
      <c r="D435" t="s">
        <v>36</v>
      </c>
      <c r="E435" t="s">
        <v>934</v>
      </c>
      <c r="F435" t="s">
        <v>15</v>
      </c>
      <c r="G435">
        <v>2</v>
      </c>
      <c r="H435">
        <v>3</v>
      </c>
      <c r="I435" s="13">
        <v>0.6</v>
      </c>
      <c r="J435" t="s">
        <v>249</v>
      </c>
      <c r="L435" t="s">
        <v>60</v>
      </c>
      <c r="M435" t="s">
        <v>60</v>
      </c>
      <c r="N435" t="s">
        <v>15</v>
      </c>
      <c r="O435">
        <v>2</v>
      </c>
      <c r="P435">
        <v>3</v>
      </c>
      <c r="Q435" s="13">
        <v>0.57995728592132423</v>
      </c>
      <c r="R435" t="s">
        <v>249</v>
      </c>
      <c r="S435">
        <v>-0.19144131745773349</v>
      </c>
      <c r="T435" t="s">
        <v>60</v>
      </c>
      <c r="U435" t="s">
        <v>60</v>
      </c>
      <c r="X435" t="s">
        <v>60</v>
      </c>
      <c r="Y435" t="s">
        <v>412</v>
      </c>
      <c r="Z435" t="s">
        <v>60</v>
      </c>
      <c r="AA435" t="s">
        <v>491</v>
      </c>
    </row>
    <row r="436" spans="1:27" x14ac:dyDescent="0.2">
      <c r="A436" s="1">
        <v>45995</v>
      </c>
      <c r="B436" t="s">
        <v>328</v>
      </c>
      <c r="C436" t="s">
        <v>14</v>
      </c>
      <c r="D436" t="s">
        <v>37</v>
      </c>
      <c r="E436" t="s">
        <v>935</v>
      </c>
      <c r="F436" t="s">
        <v>37</v>
      </c>
      <c r="G436">
        <v>2</v>
      </c>
      <c r="H436">
        <v>3</v>
      </c>
      <c r="I436" s="13">
        <v>0.6</v>
      </c>
      <c r="J436" t="s">
        <v>249</v>
      </c>
      <c r="L436" t="s">
        <v>60</v>
      </c>
      <c r="M436" t="s">
        <v>60</v>
      </c>
      <c r="N436" t="s">
        <v>37</v>
      </c>
      <c r="O436">
        <v>2</v>
      </c>
      <c r="P436">
        <v>3</v>
      </c>
      <c r="Q436" s="13">
        <v>0.61538041683836375</v>
      </c>
      <c r="R436" t="s">
        <v>249</v>
      </c>
      <c r="S436">
        <v>0.70266991723525674</v>
      </c>
      <c r="T436" t="s">
        <v>60</v>
      </c>
      <c r="U436" t="s">
        <v>60</v>
      </c>
      <c r="X436" t="s">
        <v>60</v>
      </c>
      <c r="Y436" t="s">
        <v>412</v>
      </c>
      <c r="Z436" t="s">
        <v>60</v>
      </c>
      <c r="AA436" t="s">
        <v>491</v>
      </c>
    </row>
    <row r="437" spans="1:27" x14ac:dyDescent="0.2">
      <c r="A437" s="1">
        <v>45996</v>
      </c>
      <c r="B437" t="s">
        <v>326</v>
      </c>
      <c r="C437" t="s">
        <v>55</v>
      </c>
      <c r="D437" t="s">
        <v>38</v>
      </c>
      <c r="E437" t="s">
        <v>936</v>
      </c>
      <c r="F437" t="s">
        <v>55</v>
      </c>
      <c r="G437">
        <v>2</v>
      </c>
      <c r="H437">
        <v>3</v>
      </c>
      <c r="I437" s="13">
        <v>0.6</v>
      </c>
      <c r="J437" t="s">
        <v>249</v>
      </c>
      <c r="L437" t="s">
        <v>60</v>
      </c>
      <c r="M437" t="s">
        <v>60</v>
      </c>
      <c r="N437" t="s">
        <v>55</v>
      </c>
      <c r="O437">
        <v>2</v>
      </c>
      <c r="P437">
        <v>3</v>
      </c>
      <c r="Q437" s="13">
        <v>0.51775812204700111</v>
      </c>
      <c r="R437" t="s">
        <v>249</v>
      </c>
      <c r="S437">
        <v>-0.49465371716645917</v>
      </c>
      <c r="T437" t="s">
        <v>60</v>
      </c>
      <c r="U437" t="s">
        <v>60</v>
      </c>
      <c r="X437" t="s">
        <v>60</v>
      </c>
      <c r="Y437" t="s">
        <v>412</v>
      </c>
      <c r="Z437" t="s">
        <v>60</v>
      </c>
      <c r="AA437" t="s">
        <v>491</v>
      </c>
    </row>
    <row r="438" spans="1:27" x14ac:dyDescent="0.2">
      <c r="A438" s="1">
        <v>45996</v>
      </c>
      <c r="B438" t="s">
        <v>328</v>
      </c>
      <c r="C438" t="s">
        <v>20</v>
      </c>
      <c r="D438" t="s">
        <v>24</v>
      </c>
      <c r="E438" t="s">
        <v>937</v>
      </c>
      <c r="F438" t="s">
        <v>24</v>
      </c>
      <c r="G438">
        <v>2</v>
      </c>
      <c r="H438">
        <v>3</v>
      </c>
      <c r="I438" s="13">
        <v>0.6</v>
      </c>
      <c r="J438" t="s">
        <v>249</v>
      </c>
      <c r="L438" t="s">
        <v>60</v>
      </c>
      <c r="M438" t="s">
        <v>60</v>
      </c>
      <c r="N438" t="s">
        <v>24</v>
      </c>
      <c r="O438">
        <v>2</v>
      </c>
      <c r="P438">
        <v>3</v>
      </c>
      <c r="Q438" s="13">
        <v>0.65438211365383414</v>
      </c>
      <c r="R438" t="s">
        <v>249</v>
      </c>
      <c r="S438">
        <v>0.29587183000840322</v>
      </c>
      <c r="T438" t="s">
        <v>60</v>
      </c>
      <c r="U438" t="s">
        <v>60</v>
      </c>
      <c r="X438" t="s">
        <v>60</v>
      </c>
      <c r="Y438" t="s">
        <v>412</v>
      </c>
      <c r="Z438" t="s">
        <v>60</v>
      </c>
      <c r="AA438" t="s">
        <v>491</v>
      </c>
    </row>
    <row r="439" spans="1:27" x14ac:dyDescent="0.2">
      <c r="A439" s="1">
        <v>45996</v>
      </c>
      <c r="B439" t="s">
        <v>328</v>
      </c>
      <c r="C439" t="s">
        <v>23</v>
      </c>
      <c r="D439" t="s">
        <v>40</v>
      </c>
      <c r="E439" t="s">
        <v>938</v>
      </c>
      <c r="F439" t="s">
        <v>40</v>
      </c>
      <c r="G439">
        <v>2</v>
      </c>
      <c r="H439">
        <v>3</v>
      </c>
      <c r="I439" s="13">
        <v>0.6</v>
      </c>
      <c r="J439" t="s">
        <v>249</v>
      </c>
      <c r="L439" t="s">
        <v>60</v>
      </c>
      <c r="M439" t="s">
        <v>60</v>
      </c>
      <c r="N439" t="s">
        <v>40</v>
      </c>
      <c r="O439">
        <v>2</v>
      </c>
      <c r="P439">
        <v>3</v>
      </c>
      <c r="Q439" s="13">
        <v>0.56733944233883604</v>
      </c>
      <c r="R439" t="s">
        <v>249</v>
      </c>
      <c r="S439">
        <v>0.2127693608809606</v>
      </c>
      <c r="T439" t="s">
        <v>60</v>
      </c>
      <c r="U439" t="s">
        <v>60</v>
      </c>
      <c r="X439" t="s">
        <v>60</v>
      </c>
      <c r="Y439" t="s">
        <v>412</v>
      </c>
      <c r="Z439" t="s">
        <v>60</v>
      </c>
      <c r="AA439" t="s">
        <v>491</v>
      </c>
    </row>
    <row r="440" spans="1:27" x14ac:dyDescent="0.2">
      <c r="A440" s="1">
        <v>45996</v>
      </c>
      <c r="B440" t="s">
        <v>322</v>
      </c>
      <c r="C440" t="s">
        <v>22</v>
      </c>
      <c r="D440" t="s">
        <v>31</v>
      </c>
      <c r="E440" t="s">
        <v>939</v>
      </c>
      <c r="F440" t="s">
        <v>22</v>
      </c>
      <c r="G440">
        <v>2</v>
      </c>
      <c r="H440">
        <v>3</v>
      </c>
      <c r="I440" s="13">
        <v>0.6</v>
      </c>
      <c r="J440" t="s">
        <v>249</v>
      </c>
      <c r="L440" t="s">
        <v>60</v>
      </c>
      <c r="M440" t="s">
        <v>60</v>
      </c>
      <c r="N440" t="s">
        <v>22</v>
      </c>
      <c r="O440">
        <v>2</v>
      </c>
      <c r="P440">
        <v>3</v>
      </c>
      <c r="Q440" s="13">
        <v>0.44581884120178911</v>
      </c>
      <c r="R440" t="s">
        <v>249</v>
      </c>
      <c r="S440">
        <v>-0.21210346209132819</v>
      </c>
      <c r="T440" t="s">
        <v>60</v>
      </c>
      <c r="U440" t="s">
        <v>60</v>
      </c>
      <c r="X440" t="s">
        <v>60</v>
      </c>
      <c r="Y440" t="s">
        <v>412</v>
      </c>
      <c r="Z440" t="s">
        <v>60</v>
      </c>
      <c r="AA440" t="s">
        <v>491</v>
      </c>
    </row>
    <row r="441" spans="1:27" x14ac:dyDescent="0.2">
      <c r="A441" s="1">
        <v>45996</v>
      </c>
      <c r="B441" t="s">
        <v>324</v>
      </c>
      <c r="C441" t="s">
        <v>33</v>
      </c>
      <c r="D441" t="s">
        <v>39</v>
      </c>
      <c r="E441" t="s">
        <v>940</v>
      </c>
      <c r="F441" t="s">
        <v>39</v>
      </c>
      <c r="G441">
        <v>2</v>
      </c>
      <c r="H441">
        <v>3</v>
      </c>
      <c r="I441" s="13">
        <v>0.6</v>
      </c>
      <c r="J441" t="s">
        <v>249</v>
      </c>
      <c r="L441" t="s">
        <v>60</v>
      </c>
      <c r="M441" t="s">
        <v>60</v>
      </c>
      <c r="N441" t="s">
        <v>39</v>
      </c>
      <c r="O441">
        <v>2</v>
      </c>
      <c r="P441">
        <v>3</v>
      </c>
      <c r="Q441" s="13">
        <v>0.67904778332563698</v>
      </c>
      <c r="R441" t="s">
        <v>249</v>
      </c>
      <c r="S441">
        <v>0.91467424316052559</v>
      </c>
      <c r="T441" t="s">
        <v>60</v>
      </c>
      <c r="U441" t="s">
        <v>60</v>
      </c>
      <c r="X441" t="s">
        <v>60</v>
      </c>
      <c r="Y441" t="s">
        <v>412</v>
      </c>
      <c r="Z441" t="s">
        <v>60</v>
      </c>
      <c r="AA441" t="s">
        <v>491</v>
      </c>
    </row>
    <row r="442" spans="1:27" x14ac:dyDescent="0.2">
      <c r="A442" s="1">
        <v>45997</v>
      </c>
      <c r="B442" t="s">
        <v>322</v>
      </c>
      <c r="C442" t="s">
        <v>34</v>
      </c>
      <c r="D442" t="s">
        <v>38</v>
      </c>
      <c r="E442" t="s">
        <v>941</v>
      </c>
      <c r="F442" t="s">
        <v>34</v>
      </c>
      <c r="G442">
        <v>2</v>
      </c>
      <c r="H442">
        <v>3</v>
      </c>
      <c r="I442" s="13">
        <v>0.6</v>
      </c>
      <c r="J442" t="s">
        <v>249</v>
      </c>
      <c r="L442" t="s">
        <v>60</v>
      </c>
      <c r="M442" t="s">
        <v>60</v>
      </c>
      <c r="N442" t="s">
        <v>34</v>
      </c>
      <c r="O442">
        <v>2</v>
      </c>
      <c r="P442">
        <v>3</v>
      </c>
      <c r="Q442" s="13">
        <v>0.60090464601088334</v>
      </c>
      <c r="R442" t="s">
        <v>249</v>
      </c>
      <c r="S442">
        <v>-0.84265221873816287</v>
      </c>
      <c r="T442" t="s">
        <v>60</v>
      </c>
      <c r="U442" t="s">
        <v>60</v>
      </c>
      <c r="X442" t="s">
        <v>60</v>
      </c>
      <c r="Y442" t="s">
        <v>412</v>
      </c>
      <c r="Z442" t="s">
        <v>60</v>
      </c>
      <c r="AA442" t="s">
        <v>491</v>
      </c>
    </row>
    <row r="443" spans="1:27" x14ac:dyDescent="0.2">
      <c r="A443" s="1">
        <v>45997</v>
      </c>
      <c r="B443" t="s">
        <v>328</v>
      </c>
      <c r="C443" t="s">
        <v>18</v>
      </c>
      <c r="D443" t="s">
        <v>19</v>
      </c>
      <c r="E443" t="s">
        <v>497</v>
      </c>
      <c r="F443" t="s">
        <v>19</v>
      </c>
      <c r="G443">
        <v>2</v>
      </c>
      <c r="H443">
        <v>3</v>
      </c>
      <c r="I443" s="13">
        <v>0.6</v>
      </c>
      <c r="J443" t="s">
        <v>249</v>
      </c>
      <c r="L443" t="s">
        <v>60</v>
      </c>
      <c r="M443" t="s">
        <v>60</v>
      </c>
      <c r="N443" t="s">
        <v>19</v>
      </c>
      <c r="O443">
        <v>2</v>
      </c>
      <c r="P443">
        <v>3</v>
      </c>
      <c r="Q443" s="13">
        <v>0.48168268984656842</v>
      </c>
      <c r="R443" t="s">
        <v>249</v>
      </c>
      <c r="S443">
        <v>8.3117858780070008E-3</v>
      </c>
      <c r="T443" t="s">
        <v>60</v>
      </c>
      <c r="U443" t="s">
        <v>60</v>
      </c>
      <c r="X443" t="s">
        <v>60</v>
      </c>
      <c r="Y443" t="s">
        <v>412</v>
      </c>
      <c r="Z443" t="s">
        <v>60</v>
      </c>
      <c r="AA443" t="s">
        <v>491</v>
      </c>
    </row>
    <row r="444" spans="1:27" x14ac:dyDescent="0.2">
      <c r="A444" s="1">
        <v>45997</v>
      </c>
      <c r="B444" t="s">
        <v>328</v>
      </c>
      <c r="C444" t="s">
        <v>30</v>
      </c>
      <c r="D444" t="s">
        <v>37</v>
      </c>
      <c r="E444" t="s">
        <v>942</v>
      </c>
      <c r="F444" t="s">
        <v>37</v>
      </c>
      <c r="G444">
        <v>2</v>
      </c>
      <c r="H444">
        <v>3</v>
      </c>
      <c r="I444" s="13">
        <v>0.6</v>
      </c>
      <c r="J444" t="s">
        <v>249</v>
      </c>
      <c r="L444" t="s">
        <v>60</v>
      </c>
      <c r="M444" t="s">
        <v>60</v>
      </c>
      <c r="N444" t="s">
        <v>37</v>
      </c>
      <c r="O444">
        <v>2</v>
      </c>
      <c r="P444">
        <v>3</v>
      </c>
      <c r="Q444" s="13">
        <v>0.5935680025709742</v>
      </c>
      <c r="R444" t="s">
        <v>249</v>
      </c>
      <c r="S444">
        <v>0.80133769311109937</v>
      </c>
      <c r="T444" t="s">
        <v>60</v>
      </c>
      <c r="U444" t="s">
        <v>60</v>
      </c>
      <c r="X444" t="s">
        <v>60</v>
      </c>
      <c r="Y444" t="s">
        <v>412</v>
      </c>
      <c r="Z444" t="s">
        <v>60</v>
      </c>
      <c r="AA444" t="s">
        <v>491</v>
      </c>
    </row>
    <row r="445" spans="1:27" x14ac:dyDescent="0.2">
      <c r="A445" s="1">
        <v>45997</v>
      </c>
      <c r="B445" t="s">
        <v>322</v>
      </c>
      <c r="C445" t="s">
        <v>26</v>
      </c>
      <c r="D445" t="s">
        <v>32</v>
      </c>
      <c r="E445" t="s">
        <v>943</v>
      </c>
      <c r="F445" t="s">
        <v>32</v>
      </c>
      <c r="G445">
        <v>2</v>
      </c>
      <c r="H445">
        <v>3</v>
      </c>
      <c r="I445" s="13">
        <v>0.6</v>
      </c>
      <c r="J445" t="s">
        <v>249</v>
      </c>
      <c r="L445" t="s">
        <v>60</v>
      </c>
      <c r="M445" t="s">
        <v>60</v>
      </c>
      <c r="N445" t="s">
        <v>32</v>
      </c>
      <c r="O445">
        <v>2</v>
      </c>
      <c r="P445">
        <v>3</v>
      </c>
      <c r="Q445" s="13">
        <v>0.57221108588404257</v>
      </c>
      <c r="R445" t="s">
        <v>249</v>
      </c>
      <c r="S445">
        <v>0.27586307867738191</v>
      </c>
      <c r="T445" t="s">
        <v>60</v>
      </c>
      <c r="U445" t="s">
        <v>60</v>
      </c>
      <c r="X445" t="s">
        <v>60</v>
      </c>
      <c r="Y445" t="s">
        <v>412</v>
      </c>
      <c r="Z445" t="s">
        <v>60</v>
      </c>
      <c r="AA445" t="s">
        <v>491</v>
      </c>
    </row>
    <row r="446" spans="1:27" x14ac:dyDescent="0.2">
      <c r="A446" s="1">
        <v>45997</v>
      </c>
      <c r="B446" t="s">
        <v>328</v>
      </c>
      <c r="C446" t="s">
        <v>35</v>
      </c>
      <c r="D446" t="s">
        <v>36</v>
      </c>
      <c r="E446" t="s">
        <v>944</v>
      </c>
      <c r="F446" t="s">
        <v>36</v>
      </c>
      <c r="G446">
        <v>2</v>
      </c>
      <c r="H446">
        <v>3</v>
      </c>
      <c r="I446" s="13">
        <v>0.6</v>
      </c>
      <c r="J446" t="s">
        <v>249</v>
      </c>
      <c r="L446" t="s">
        <v>60</v>
      </c>
      <c r="M446" t="s">
        <v>60</v>
      </c>
      <c r="N446" t="s">
        <v>36</v>
      </c>
      <c r="O446">
        <v>2</v>
      </c>
      <c r="P446">
        <v>3</v>
      </c>
      <c r="Q446" s="13">
        <v>0.64910206259113834</v>
      </c>
      <c r="R446" t="s">
        <v>249</v>
      </c>
      <c r="S446">
        <v>0.91300307000604641</v>
      </c>
      <c r="T446" t="s">
        <v>60</v>
      </c>
      <c r="U446" t="s">
        <v>60</v>
      </c>
      <c r="X446" t="s">
        <v>60</v>
      </c>
      <c r="Y446" t="s">
        <v>412</v>
      </c>
      <c r="Z446" t="s">
        <v>60</v>
      </c>
      <c r="AA446" t="s">
        <v>491</v>
      </c>
    </row>
    <row r="447" spans="1:27" x14ac:dyDescent="0.2">
      <c r="A447" s="1">
        <v>45997</v>
      </c>
      <c r="B447" t="s">
        <v>555</v>
      </c>
      <c r="C447" t="s">
        <v>12</v>
      </c>
      <c r="D447" t="s">
        <v>15</v>
      </c>
      <c r="E447" t="s">
        <v>945</v>
      </c>
      <c r="F447" t="s">
        <v>12</v>
      </c>
      <c r="G447">
        <v>2</v>
      </c>
      <c r="H447">
        <v>3</v>
      </c>
      <c r="I447" s="13">
        <v>0.6</v>
      </c>
      <c r="J447" t="s">
        <v>249</v>
      </c>
      <c r="L447" t="s">
        <v>60</v>
      </c>
      <c r="M447" t="s">
        <v>60</v>
      </c>
      <c r="N447" t="s">
        <v>12</v>
      </c>
      <c r="O447">
        <v>2</v>
      </c>
      <c r="P447">
        <v>3</v>
      </c>
      <c r="Q447" s="13">
        <v>0.75121110577355354</v>
      </c>
      <c r="R447" t="s">
        <v>249</v>
      </c>
      <c r="S447">
        <v>-1.8720368939877561</v>
      </c>
      <c r="T447" t="s">
        <v>60</v>
      </c>
      <c r="U447" t="s">
        <v>60</v>
      </c>
      <c r="X447" t="s">
        <v>60</v>
      </c>
      <c r="Y447" t="s">
        <v>412</v>
      </c>
      <c r="Z447" t="s">
        <v>60</v>
      </c>
      <c r="AA447" t="s">
        <v>491</v>
      </c>
    </row>
    <row r="448" spans="1:27" x14ac:dyDescent="0.2">
      <c r="A448" s="1">
        <v>45997</v>
      </c>
      <c r="B448" t="s">
        <v>352</v>
      </c>
      <c r="C448" t="s">
        <v>28</v>
      </c>
      <c r="D448" t="s">
        <v>11</v>
      </c>
      <c r="E448" t="s">
        <v>946</v>
      </c>
      <c r="F448" t="s">
        <v>11</v>
      </c>
      <c r="G448">
        <v>2</v>
      </c>
      <c r="H448">
        <v>3</v>
      </c>
      <c r="I448" s="13">
        <v>0.6</v>
      </c>
      <c r="J448" t="s">
        <v>249</v>
      </c>
      <c r="L448" t="s">
        <v>60</v>
      </c>
      <c r="M448" t="s">
        <v>60</v>
      </c>
      <c r="N448" t="s">
        <v>11</v>
      </c>
      <c r="O448">
        <v>2</v>
      </c>
      <c r="P448">
        <v>3</v>
      </c>
      <c r="Q448" s="13">
        <v>0.57938973736099397</v>
      </c>
      <c r="R448" t="s">
        <v>249</v>
      </c>
      <c r="S448">
        <v>0.24777186220959621</v>
      </c>
      <c r="T448" t="s">
        <v>60</v>
      </c>
      <c r="U448" t="s">
        <v>60</v>
      </c>
      <c r="X448" t="s">
        <v>60</v>
      </c>
      <c r="Y448" t="s">
        <v>412</v>
      </c>
      <c r="Z448" t="s">
        <v>60</v>
      </c>
      <c r="AA448" t="s">
        <v>491</v>
      </c>
    </row>
    <row r="449" spans="1:27" x14ac:dyDescent="0.2">
      <c r="A449" s="1">
        <v>45997</v>
      </c>
      <c r="B449" t="s">
        <v>322</v>
      </c>
      <c r="C449" t="s">
        <v>40</v>
      </c>
      <c r="D449" t="s">
        <v>17</v>
      </c>
      <c r="E449" t="s">
        <v>947</v>
      </c>
      <c r="F449" t="s">
        <v>40</v>
      </c>
      <c r="G449">
        <v>2</v>
      </c>
      <c r="H449">
        <v>3</v>
      </c>
      <c r="I449" s="13">
        <v>0.6</v>
      </c>
      <c r="J449" t="s">
        <v>249</v>
      </c>
      <c r="L449" t="s">
        <v>60</v>
      </c>
      <c r="M449" t="s">
        <v>60</v>
      </c>
      <c r="N449" t="s">
        <v>40</v>
      </c>
      <c r="O449">
        <v>2</v>
      </c>
      <c r="P449">
        <v>3</v>
      </c>
      <c r="Q449" s="13">
        <v>0.52676594769015561</v>
      </c>
      <c r="R449" t="s">
        <v>249</v>
      </c>
      <c r="S449">
        <v>-0.45460409153156772</v>
      </c>
      <c r="T449" t="s">
        <v>60</v>
      </c>
      <c r="U449" t="s">
        <v>60</v>
      </c>
      <c r="X449" t="s">
        <v>60</v>
      </c>
      <c r="Y449" t="s">
        <v>412</v>
      </c>
      <c r="Z449" t="s">
        <v>60</v>
      </c>
      <c r="AA449" t="s">
        <v>491</v>
      </c>
    </row>
    <row r="450" spans="1:27" x14ac:dyDescent="0.2">
      <c r="A450" s="1">
        <v>45997</v>
      </c>
      <c r="B450" t="s">
        <v>328</v>
      </c>
      <c r="C450" t="s">
        <v>55</v>
      </c>
      <c r="D450" t="s">
        <v>16</v>
      </c>
      <c r="E450" t="s">
        <v>948</v>
      </c>
      <c r="F450" t="s">
        <v>55</v>
      </c>
      <c r="G450">
        <v>2</v>
      </c>
      <c r="H450">
        <v>3</v>
      </c>
      <c r="I450" s="13">
        <v>0.6</v>
      </c>
      <c r="J450" t="s">
        <v>249</v>
      </c>
      <c r="L450" t="s">
        <v>60</v>
      </c>
      <c r="M450" t="s">
        <v>60</v>
      </c>
      <c r="N450" t="s">
        <v>55</v>
      </c>
      <c r="O450">
        <v>2</v>
      </c>
      <c r="P450">
        <v>3</v>
      </c>
      <c r="Q450" s="13">
        <v>0.53154845154988206</v>
      </c>
      <c r="R450" t="s">
        <v>249</v>
      </c>
      <c r="S450">
        <v>-0.61275724110027596</v>
      </c>
      <c r="T450" t="s">
        <v>60</v>
      </c>
      <c r="U450" t="s">
        <v>60</v>
      </c>
      <c r="X450" t="s">
        <v>60</v>
      </c>
      <c r="Y450" t="s">
        <v>412</v>
      </c>
      <c r="Z450" t="s">
        <v>60</v>
      </c>
      <c r="AA450" t="s">
        <v>491</v>
      </c>
    </row>
    <row r="451" spans="1:27" x14ac:dyDescent="0.2">
      <c r="A451" s="1">
        <v>45997</v>
      </c>
      <c r="B451" t="s">
        <v>328</v>
      </c>
      <c r="C451" t="s">
        <v>29</v>
      </c>
      <c r="D451" t="s">
        <v>25</v>
      </c>
      <c r="E451" t="s">
        <v>949</v>
      </c>
      <c r="F451" t="s">
        <v>25</v>
      </c>
      <c r="G451">
        <v>2</v>
      </c>
      <c r="H451">
        <v>3</v>
      </c>
      <c r="I451" s="13">
        <v>0.6</v>
      </c>
      <c r="J451" t="s">
        <v>249</v>
      </c>
      <c r="L451" t="s">
        <v>60</v>
      </c>
      <c r="M451" t="s">
        <v>60</v>
      </c>
      <c r="N451" t="s">
        <v>25</v>
      </c>
      <c r="O451">
        <v>2</v>
      </c>
      <c r="P451">
        <v>3</v>
      </c>
      <c r="Q451" s="13">
        <v>0.80895601285549457</v>
      </c>
      <c r="R451" t="s">
        <v>249</v>
      </c>
      <c r="S451">
        <v>1.8604931700617759</v>
      </c>
      <c r="T451" t="s">
        <v>60</v>
      </c>
      <c r="U451" t="s">
        <v>60</v>
      </c>
      <c r="X451" t="s">
        <v>60</v>
      </c>
      <c r="Y451" t="s">
        <v>412</v>
      </c>
      <c r="Z451" t="s">
        <v>60</v>
      </c>
      <c r="AA451" t="s">
        <v>491</v>
      </c>
    </row>
    <row r="452" spans="1:27" x14ac:dyDescent="0.2">
      <c r="A452" s="1">
        <v>45997</v>
      </c>
      <c r="B452" t="s">
        <v>328</v>
      </c>
      <c r="C452" t="s">
        <v>24</v>
      </c>
      <c r="D452" t="s">
        <v>21</v>
      </c>
      <c r="E452" t="s">
        <v>950</v>
      </c>
      <c r="F452" t="s">
        <v>24</v>
      </c>
      <c r="G452">
        <v>2</v>
      </c>
      <c r="H452">
        <v>3</v>
      </c>
      <c r="I452" s="13">
        <v>0.6</v>
      </c>
      <c r="J452" t="s">
        <v>249</v>
      </c>
      <c r="L452" t="s">
        <v>60</v>
      </c>
      <c r="M452" t="s">
        <v>60</v>
      </c>
      <c r="N452" t="s">
        <v>24</v>
      </c>
      <c r="O452">
        <v>2</v>
      </c>
      <c r="P452">
        <v>3</v>
      </c>
      <c r="Q452" s="13">
        <v>0.45751339354482728</v>
      </c>
      <c r="R452" t="s">
        <v>249</v>
      </c>
      <c r="S452">
        <v>-0.1713992622891734</v>
      </c>
      <c r="T452" t="s">
        <v>60</v>
      </c>
      <c r="U452" t="s">
        <v>60</v>
      </c>
      <c r="X452" t="s">
        <v>60</v>
      </c>
      <c r="Y452" t="s">
        <v>412</v>
      </c>
      <c r="Z452" t="s">
        <v>60</v>
      </c>
      <c r="AA452" t="s">
        <v>491</v>
      </c>
    </row>
    <row r="453" spans="1:27" x14ac:dyDescent="0.2">
      <c r="A453" s="1">
        <v>45997</v>
      </c>
      <c r="B453" t="s">
        <v>326</v>
      </c>
      <c r="C453" t="s">
        <v>10</v>
      </c>
      <c r="D453" t="s">
        <v>13</v>
      </c>
      <c r="E453" t="s">
        <v>932</v>
      </c>
      <c r="F453" t="s">
        <v>10</v>
      </c>
      <c r="G453">
        <v>2</v>
      </c>
      <c r="H453">
        <v>3</v>
      </c>
      <c r="I453" s="13">
        <v>0.6</v>
      </c>
      <c r="J453" t="s">
        <v>249</v>
      </c>
      <c r="L453" t="s">
        <v>60</v>
      </c>
      <c r="M453" t="s">
        <v>60</v>
      </c>
      <c r="N453" t="s">
        <v>10</v>
      </c>
      <c r="O453">
        <v>2</v>
      </c>
      <c r="P453">
        <v>3</v>
      </c>
      <c r="Q453" s="13">
        <v>0.4730994406719799</v>
      </c>
      <c r="R453" t="s">
        <v>249</v>
      </c>
      <c r="S453">
        <v>-0.1121865945697376</v>
      </c>
      <c r="T453" t="s">
        <v>60</v>
      </c>
      <c r="U453" t="s">
        <v>60</v>
      </c>
      <c r="X453" t="s">
        <v>60</v>
      </c>
      <c r="Y453" t="s">
        <v>412</v>
      </c>
      <c r="Z453" t="s">
        <v>60</v>
      </c>
      <c r="AA453" t="s">
        <v>491</v>
      </c>
    </row>
    <row r="454" spans="1:27" x14ac:dyDescent="0.2">
      <c r="A454" s="1">
        <v>45998</v>
      </c>
      <c r="B454" t="s">
        <v>328</v>
      </c>
      <c r="C454" t="s">
        <v>20</v>
      </c>
      <c r="D454" t="s">
        <v>15</v>
      </c>
      <c r="E454" t="s">
        <v>951</v>
      </c>
      <c r="F454" t="s">
        <v>15</v>
      </c>
      <c r="G454">
        <v>2</v>
      </c>
      <c r="H454">
        <v>3</v>
      </c>
      <c r="I454" s="13">
        <v>0.6</v>
      </c>
      <c r="J454" t="s">
        <v>249</v>
      </c>
      <c r="L454" t="s">
        <v>60</v>
      </c>
      <c r="M454" t="s">
        <v>60</v>
      </c>
      <c r="N454" t="s">
        <v>15</v>
      </c>
      <c r="O454">
        <v>2</v>
      </c>
      <c r="P454">
        <v>3</v>
      </c>
      <c r="Q454" s="13">
        <v>0.54050297526377444</v>
      </c>
      <c r="R454" t="s">
        <v>249</v>
      </c>
      <c r="S454">
        <v>4.3075947598562002E-3</v>
      </c>
      <c r="T454" t="s">
        <v>60</v>
      </c>
      <c r="U454" t="s">
        <v>60</v>
      </c>
      <c r="X454" t="s">
        <v>60</v>
      </c>
      <c r="Y454" t="s">
        <v>412</v>
      </c>
      <c r="Z454" t="s">
        <v>60</v>
      </c>
      <c r="AA454" t="s">
        <v>491</v>
      </c>
    </row>
    <row r="455" spans="1:27" x14ac:dyDescent="0.2">
      <c r="A455" s="1">
        <v>45998</v>
      </c>
      <c r="B455" t="s">
        <v>347</v>
      </c>
      <c r="C455" t="s">
        <v>12</v>
      </c>
      <c r="D455" t="s">
        <v>27</v>
      </c>
      <c r="E455" t="s">
        <v>952</v>
      </c>
      <c r="F455" t="s">
        <v>12</v>
      </c>
      <c r="G455">
        <v>2</v>
      </c>
      <c r="H455">
        <v>3</v>
      </c>
      <c r="I455" s="13">
        <v>0.6</v>
      </c>
      <c r="J455" t="s">
        <v>249</v>
      </c>
      <c r="L455" t="s">
        <v>60</v>
      </c>
      <c r="M455" t="s">
        <v>60</v>
      </c>
      <c r="N455" t="s">
        <v>12</v>
      </c>
      <c r="O455">
        <v>2</v>
      </c>
      <c r="P455">
        <v>3</v>
      </c>
      <c r="Q455" s="13">
        <v>0.74763929020970066</v>
      </c>
      <c r="R455" t="s">
        <v>249</v>
      </c>
      <c r="S455">
        <v>-1.9622424930101301</v>
      </c>
      <c r="T455" t="s">
        <v>60</v>
      </c>
      <c r="U455" t="s">
        <v>60</v>
      </c>
      <c r="X455" t="s">
        <v>60</v>
      </c>
      <c r="Y455" t="s">
        <v>412</v>
      </c>
      <c r="Z455" t="s">
        <v>60</v>
      </c>
      <c r="AA455" t="s">
        <v>491</v>
      </c>
    </row>
    <row r="456" spans="1:27" x14ac:dyDescent="0.2">
      <c r="A456" s="1">
        <v>45998</v>
      </c>
      <c r="B456" t="s">
        <v>328</v>
      </c>
      <c r="C456" t="s">
        <v>28</v>
      </c>
      <c r="D456" t="s">
        <v>22</v>
      </c>
      <c r="E456" t="s">
        <v>378</v>
      </c>
      <c r="F456" t="s">
        <v>22</v>
      </c>
      <c r="G456">
        <v>2</v>
      </c>
      <c r="H456">
        <v>3</v>
      </c>
      <c r="I456" s="13">
        <v>0.6</v>
      </c>
      <c r="J456" t="s">
        <v>249</v>
      </c>
      <c r="L456" t="s">
        <v>60</v>
      </c>
      <c r="M456" t="s">
        <v>60</v>
      </c>
      <c r="N456" t="s">
        <v>22</v>
      </c>
      <c r="O456">
        <v>2</v>
      </c>
      <c r="P456">
        <v>3</v>
      </c>
      <c r="Q456" s="13">
        <v>0.68925951710427547</v>
      </c>
      <c r="R456" t="s">
        <v>249</v>
      </c>
      <c r="S456">
        <v>1.0855973861274599</v>
      </c>
      <c r="T456" t="s">
        <v>60</v>
      </c>
      <c r="U456" t="s">
        <v>60</v>
      </c>
      <c r="X456" t="s">
        <v>60</v>
      </c>
      <c r="Y456" t="s">
        <v>412</v>
      </c>
      <c r="Z456" t="s">
        <v>60</v>
      </c>
      <c r="AA456" t="s">
        <v>491</v>
      </c>
    </row>
    <row r="457" spans="1:27" x14ac:dyDescent="0.2">
      <c r="A457" s="1">
        <v>45998</v>
      </c>
      <c r="B457" t="s">
        <v>328</v>
      </c>
      <c r="C457" t="s">
        <v>35</v>
      </c>
      <c r="D457" t="s">
        <v>18</v>
      </c>
      <c r="E457" t="s">
        <v>953</v>
      </c>
      <c r="F457" t="s">
        <v>18</v>
      </c>
      <c r="G457">
        <v>2</v>
      </c>
      <c r="H457">
        <v>3</v>
      </c>
      <c r="I457" s="13">
        <v>0.6</v>
      </c>
      <c r="J457" t="s">
        <v>249</v>
      </c>
      <c r="L457" t="s">
        <v>60</v>
      </c>
      <c r="M457" t="s">
        <v>60</v>
      </c>
      <c r="N457" t="s">
        <v>18</v>
      </c>
      <c r="O457">
        <v>2</v>
      </c>
      <c r="P457">
        <v>3</v>
      </c>
      <c r="Q457" s="13">
        <v>0.63942396534869261</v>
      </c>
      <c r="R457" t="s">
        <v>249</v>
      </c>
      <c r="S457">
        <v>0.85148949259705975</v>
      </c>
      <c r="T457" t="s">
        <v>60</v>
      </c>
      <c r="U457" t="s">
        <v>60</v>
      </c>
      <c r="X457" t="s">
        <v>60</v>
      </c>
      <c r="Y457" t="s">
        <v>412</v>
      </c>
      <c r="Z457" t="s">
        <v>60</v>
      </c>
      <c r="AA457" t="s">
        <v>491</v>
      </c>
    </row>
    <row r="458" spans="1:27" x14ac:dyDescent="0.2">
      <c r="A458" s="1">
        <v>45998</v>
      </c>
      <c r="B458" t="s">
        <v>365</v>
      </c>
      <c r="C458" t="s">
        <v>33</v>
      </c>
      <c r="D458" t="s">
        <v>25</v>
      </c>
      <c r="E458" t="s">
        <v>954</v>
      </c>
      <c r="F458" t="s">
        <v>25</v>
      </c>
      <c r="G458">
        <v>2</v>
      </c>
      <c r="H458">
        <v>3</v>
      </c>
      <c r="I458" s="13">
        <v>0.6</v>
      </c>
      <c r="J458" t="s">
        <v>249</v>
      </c>
      <c r="L458" t="s">
        <v>60</v>
      </c>
      <c r="M458" t="s">
        <v>60</v>
      </c>
      <c r="N458" t="s">
        <v>25</v>
      </c>
      <c r="O458">
        <v>2</v>
      </c>
      <c r="P458">
        <v>3</v>
      </c>
      <c r="Q458" s="13">
        <v>0.69994603458103766</v>
      </c>
      <c r="R458" t="s">
        <v>249</v>
      </c>
      <c r="S458">
        <v>0.92690687863395838</v>
      </c>
      <c r="T458" t="s">
        <v>60</v>
      </c>
      <c r="U458" t="s">
        <v>60</v>
      </c>
      <c r="X458" t="s">
        <v>60</v>
      </c>
      <c r="Y458" t="s">
        <v>412</v>
      </c>
      <c r="Z458" t="s">
        <v>60</v>
      </c>
      <c r="AA458" t="s">
        <v>491</v>
      </c>
    </row>
    <row r="459" spans="1:27" x14ac:dyDescent="0.2">
      <c r="A459" s="1">
        <v>45998</v>
      </c>
      <c r="B459" t="s">
        <v>469</v>
      </c>
      <c r="C459" t="s">
        <v>14</v>
      </c>
      <c r="D459" t="s">
        <v>39</v>
      </c>
      <c r="E459" t="s">
        <v>955</v>
      </c>
      <c r="F459" t="s">
        <v>39</v>
      </c>
      <c r="G459">
        <v>2</v>
      </c>
      <c r="H459">
        <v>3</v>
      </c>
      <c r="I459" s="13">
        <v>0.6</v>
      </c>
      <c r="J459" t="s">
        <v>249</v>
      </c>
      <c r="L459" t="s">
        <v>60</v>
      </c>
      <c r="M459" t="s">
        <v>60</v>
      </c>
      <c r="N459" t="s">
        <v>39</v>
      </c>
      <c r="O459">
        <v>2</v>
      </c>
      <c r="P459">
        <v>3</v>
      </c>
      <c r="Q459" s="13">
        <v>0.60404694385783808</v>
      </c>
      <c r="R459" t="s">
        <v>249</v>
      </c>
      <c r="S459">
        <v>0.60560747234377232</v>
      </c>
      <c r="T459" t="s">
        <v>60</v>
      </c>
      <c r="U459" t="s">
        <v>60</v>
      </c>
      <c r="X459" t="s">
        <v>60</v>
      </c>
      <c r="Y459" t="s">
        <v>412</v>
      </c>
      <c r="Z459" t="s">
        <v>60</v>
      </c>
      <c r="AA459" t="s">
        <v>491</v>
      </c>
    </row>
    <row r="460" spans="1:27" x14ac:dyDescent="0.2">
      <c r="A460" s="1">
        <v>45998</v>
      </c>
      <c r="B460" t="s">
        <v>324</v>
      </c>
      <c r="C460" t="s">
        <v>10</v>
      </c>
      <c r="D460" t="s">
        <v>31</v>
      </c>
      <c r="E460" t="s">
        <v>956</v>
      </c>
      <c r="F460" t="s">
        <v>31</v>
      </c>
      <c r="G460">
        <v>2</v>
      </c>
      <c r="H460">
        <v>3</v>
      </c>
      <c r="I460" s="13">
        <v>0.6</v>
      </c>
      <c r="J460" t="s">
        <v>249</v>
      </c>
      <c r="L460" t="s">
        <v>60</v>
      </c>
      <c r="M460" t="s">
        <v>60</v>
      </c>
      <c r="N460" t="s">
        <v>31</v>
      </c>
      <c r="O460">
        <v>2</v>
      </c>
      <c r="P460">
        <v>3</v>
      </c>
      <c r="Q460" s="13">
        <v>0.66710108819506675</v>
      </c>
      <c r="R460" t="s">
        <v>249</v>
      </c>
      <c r="S460">
        <v>0.40480002594674241</v>
      </c>
      <c r="T460" t="s">
        <v>60</v>
      </c>
      <c r="U460" t="s">
        <v>60</v>
      </c>
      <c r="X460" t="s">
        <v>60</v>
      </c>
      <c r="Y460" t="s">
        <v>412</v>
      </c>
      <c r="Z460" t="s">
        <v>60</v>
      </c>
      <c r="AA460" t="s">
        <v>491</v>
      </c>
    </row>
    <row r="461" spans="1:27" x14ac:dyDescent="0.2">
      <c r="A461" s="1">
        <v>45998</v>
      </c>
      <c r="B461" t="s">
        <v>365</v>
      </c>
      <c r="C461" t="s">
        <v>30</v>
      </c>
      <c r="D461" t="s">
        <v>11</v>
      </c>
      <c r="E461" t="s">
        <v>957</v>
      </c>
      <c r="F461" t="s">
        <v>30</v>
      </c>
      <c r="G461">
        <v>2</v>
      </c>
      <c r="H461">
        <v>3</v>
      </c>
      <c r="I461" s="13">
        <v>0.6</v>
      </c>
      <c r="J461" t="s">
        <v>249</v>
      </c>
      <c r="L461" t="s">
        <v>60</v>
      </c>
      <c r="M461" t="s">
        <v>60</v>
      </c>
      <c r="N461" t="s">
        <v>30</v>
      </c>
      <c r="O461">
        <v>2</v>
      </c>
      <c r="P461">
        <v>3</v>
      </c>
      <c r="Q461" s="13">
        <v>0.53092892452488105</v>
      </c>
      <c r="R461" t="s">
        <v>249</v>
      </c>
      <c r="S461">
        <v>-0.10628554469961141</v>
      </c>
      <c r="T461" t="s">
        <v>60</v>
      </c>
      <c r="U461" t="s">
        <v>60</v>
      </c>
      <c r="X461" t="s">
        <v>60</v>
      </c>
      <c r="Y461" t="s">
        <v>412</v>
      </c>
      <c r="Z461" t="s">
        <v>60</v>
      </c>
      <c r="AA461" t="s">
        <v>491</v>
      </c>
    </row>
    <row r="462" spans="1:27" x14ac:dyDescent="0.2">
      <c r="A462" s="1">
        <v>45999</v>
      </c>
      <c r="B462" t="s">
        <v>326</v>
      </c>
      <c r="C462" t="s">
        <v>23</v>
      </c>
      <c r="D462" t="s">
        <v>16</v>
      </c>
      <c r="E462" t="s">
        <v>958</v>
      </c>
      <c r="F462" t="s">
        <v>23</v>
      </c>
      <c r="G462">
        <v>2</v>
      </c>
      <c r="H462">
        <v>3</v>
      </c>
      <c r="I462" s="13">
        <v>0.6</v>
      </c>
      <c r="J462" t="s">
        <v>249</v>
      </c>
      <c r="L462" t="s">
        <v>60</v>
      </c>
      <c r="M462" t="s">
        <v>60</v>
      </c>
      <c r="N462" t="s">
        <v>23</v>
      </c>
      <c r="O462">
        <v>2</v>
      </c>
      <c r="P462">
        <v>3</v>
      </c>
      <c r="Q462" s="13">
        <v>0.52302612495698741</v>
      </c>
      <c r="R462" t="s">
        <v>249</v>
      </c>
      <c r="S462">
        <v>-0.53977009438086876</v>
      </c>
      <c r="T462" t="s">
        <v>60</v>
      </c>
      <c r="U462" t="s">
        <v>60</v>
      </c>
      <c r="X462" t="s">
        <v>60</v>
      </c>
      <c r="Y462" t="s">
        <v>412</v>
      </c>
      <c r="Z462" t="s">
        <v>60</v>
      </c>
      <c r="AA462" t="s">
        <v>491</v>
      </c>
    </row>
    <row r="463" spans="1:27" x14ac:dyDescent="0.2">
      <c r="A463" s="1">
        <v>45999</v>
      </c>
      <c r="B463" t="s">
        <v>322</v>
      </c>
      <c r="C463" t="s">
        <v>34</v>
      </c>
      <c r="D463" t="s">
        <v>32</v>
      </c>
      <c r="E463" t="s">
        <v>959</v>
      </c>
      <c r="F463" t="s">
        <v>34</v>
      </c>
      <c r="G463">
        <v>2</v>
      </c>
      <c r="H463">
        <v>3</v>
      </c>
      <c r="I463" s="13">
        <v>0.6</v>
      </c>
      <c r="J463" t="s">
        <v>249</v>
      </c>
      <c r="L463" t="s">
        <v>60</v>
      </c>
      <c r="M463" t="s">
        <v>60</v>
      </c>
      <c r="N463" t="s">
        <v>34</v>
      </c>
      <c r="O463">
        <v>2</v>
      </c>
      <c r="P463">
        <v>3</v>
      </c>
      <c r="Q463" s="13">
        <v>0.56607365771895912</v>
      </c>
      <c r="R463" t="s">
        <v>249</v>
      </c>
      <c r="S463">
        <v>-0.54435169890544877</v>
      </c>
      <c r="T463" t="s">
        <v>60</v>
      </c>
      <c r="U463" t="s">
        <v>60</v>
      </c>
      <c r="X463" t="s">
        <v>60</v>
      </c>
      <c r="Y463" t="s">
        <v>412</v>
      </c>
      <c r="Z463" t="s">
        <v>60</v>
      </c>
      <c r="AA463" t="s">
        <v>491</v>
      </c>
    </row>
    <row r="464" spans="1:27" x14ac:dyDescent="0.2">
      <c r="A464" s="1">
        <v>45999</v>
      </c>
      <c r="B464" t="s">
        <v>334</v>
      </c>
      <c r="C464" t="s">
        <v>37</v>
      </c>
      <c r="D464" t="s">
        <v>19</v>
      </c>
      <c r="E464" t="s">
        <v>960</v>
      </c>
      <c r="F464" t="s">
        <v>37</v>
      </c>
      <c r="G464">
        <v>2</v>
      </c>
      <c r="H464">
        <v>3</v>
      </c>
      <c r="I464" s="13">
        <v>0.6</v>
      </c>
      <c r="J464" t="s">
        <v>249</v>
      </c>
      <c r="L464" t="s">
        <v>60</v>
      </c>
      <c r="M464" t="s">
        <v>60</v>
      </c>
      <c r="N464" t="s">
        <v>37</v>
      </c>
      <c r="O464">
        <v>2</v>
      </c>
      <c r="P464">
        <v>3</v>
      </c>
      <c r="Q464" s="13">
        <v>0.6803532657461332</v>
      </c>
      <c r="R464" t="s">
        <v>249</v>
      </c>
      <c r="S464">
        <v>-1.095082789142422</v>
      </c>
      <c r="T464" t="s">
        <v>60</v>
      </c>
      <c r="U464" t="s">
        <v>60</v>
      </c>
      <c r="X464" t="s">
        <v>60</v>
      </c>
      <c r="Y464" t="s">
        <v>412</v>
      </c>
      <c r="Z464" t="s">
        <v>60</v>
      </c>
      <c r="AA464" t="s">
        <v>491</v>
      </c>
    </row>
    <row r="465" spans="1:27" x14ac:dyDescent="0.2">
      <c r="A465" s="1">
        <v>45999</v>
      </c>
      <c r="B465" t="s">
        <v>326</v>
      </c>
      <c r="C465" t="s">
        <v>13</v>
      </c>
      <c r="D465" t="s">
        <v>55</v>
      </c>
      <c r="E465" t="s">
        <v>961</v>
      </c>
      <c r="F465" t="s">
        <v>13</v>
      </c>
      <c r="G465">
        <v>2</v>
      </c>
      <c r="H465">
        <v>3</v>
      </c>
      <c r="I465" s="13">
        <v>0.6</v>
      </c>
      <c r="J465" t="s">
        <v>249</v>
      </c>
      <c r="L465" t="s">
        <v>60</v>
      </c>
      <c r="M465" t="s">
        <v>60</v>
      </c>
      <c r="N465" t="s">
        <v>13</v>
      </c>
      <c r="O465">
        <v>2</v>
      </c>
      <c r="P465">
        <v>3</v>
      </c>
      <c r="Q465" s="13">
        <v>0.48703845954097719</v>
      </c>
      <c r="R465" t="s">
        <v>249</v>
      </c>
      <c r="S465">
        <v>-1.49389414208063E-2</v>
      </c>
      <c r="T465" t="s">
        <v>60</v>
      </c>
      <c r="U465" t="s">
        <v>60</v>
      </c>
      <c r="X465" t="s">
        <v>60</v>
      </c>
      <c r="Y465" t="s">
        <v>412</v>
      </c>
      <c r="Z465" t="s">
        <v>60</v>
      </c>
      <c r="AA465" t="s">
        <v>491</v>
      </c>
    </row>
    <row r="466" spans="1:27" x14ac:dyDescent="0.2">
      <c r="A466" s="1">
        <v>45999</v>
      </c>
      <c r="B466" t="s">
        <v>322</v>
      </c>
      <c r="C466" t="s">
        <v>26</v>
      </c>
      <c r="D466" t="s">
        <v>38</v>
      </c>
      <c r="E466" t="s">
        <v>962</v>
      </c>
      <c r="F466" t="s">
        <v>26</v>
      </c>
      <c r="G466">
        <v>2</v>
      </c>
      <c r="H466">
        <v>3</v>
      </c>
      <c r="I466" s="13">
        <v>0.6</v>
      </c>
      <c r="J466" t="s">
        <v>249</v>
      </c>
      <c r="L466" t="s">
        <v>60</v>
      </c>
      <c r="M466" t="s">
        <v>60</v>
      </c>
      <c r="N466" t="s">
        <v>26</v>
      </c>
      <c r="O466">
        <v>2</v>
      </c>
      <c r="P466">
        <v>3</v>
      </c>
      <c r="Q466" s="13">
        <v>0.46261990240788181</v>
      </c>
      <c r="R466" t="s">
        <v>249</v>
      </c>
      <c r="S466">
        <v>-2.24374411553321E-2</v>
      </c>
      <c r="T466" t="s">
        <v>60</v>
      </c>
      <c r="U466" t="s">
        <v>60</v>
      </c>
      <c r="X466" t="s">
        <v>60</v>
      </c>
      <c r="Y466" t="s">
        <v>412</v>
      </c>
      <c r="Z466" t="s">
        <v>60</v>
      </c>
      <c r="AA466" t="s">
        <v>491</v>
      </c>
    </row>
    <row r="467" spans="1:27" x14ac:dyDescent="0.2">
      <c r="A467" s="1">
        <v>46000</v>
      </c>
      <c r="B467" t="s">
        <v>328</v>
      </c>
      <c r="C467" t="s">
        <v>33</v>
      </c>
      <c r="D467" t="s">
        <v>27</v>
      </c>
      <c r="E467" t="s">
        <v>963</v>
      </c>
      <c r="F467" t="s">
        <v>27</v>
      </c>
      <c r="G467">
        <v>2</v>
      </c>
      <c r="H467">
        <v>3</v>
      </c>
      <c r="I467" s="13">
        <v>0.6</v>
      </c>
      <c r="J467" t="s">
        <v>249</v>
      </c>
      <c r="L467" t="s">
        <v>60</v>
      </c>
      <c r="M467" t="s">
        <v>60</v>
      </c>
      <c r="N467" t="s">
        <v>27</v>
      </c>
      <c r="O467">
        <v>2</v>
      </c>
      <c r="P467">
        <v>3</v>
      </c>
      <c r="Q467" s="13">
        <v>0.56814424063845959</v>
      </c>
      <c r="R467" t="s">
        <v>249</v>
      </c>
      <c r="S467">
        <v>0.1209921577990898</v>
      </c>
      <c r="T467" t="s">
        <v>60</v>
      </c>
      <c r="U467" t="s">
        <v>60</v>
      </c>
      <c r="X467" t="s">
        <v>60</v>
      </c>
      <c r="Y467" t="s">
        <v>412</v>
      </c>
      <c r="Z467" t="s">
        <v>60</v>
      </c>
      <c r="AA467" t="s">
        <v>491</v>
      </c>
    </row>
    <row r="468" spans="1:27" x14ac:dyDescent="0.2">
      <c r="A468" s="1">
        <v>46000</v>
      </c>
      <c r="B468" t="s">
        <v>324</v>
      </c>
      <c r="C468" t="s">
        <v>21</v>
      </c>
      <c r="D468" t="s">
        <v>35</v>
      </c>
      <c r="E468" t="s">
        <v>964</v>
      </c>
      <c r="F468" t="s">
        <v>21</v>
      </c>
      <c r="G468">
        <v>2</v>
      </c>
      <c r="H468">
        <v>3</v>
      </c>
      <c r="I468" s="13">
        <v>0.6</v>
      </c>
      <c r="J468" t="s">
        <v>249</v>
      </c>
      <c r="L468" t="s">
        <v>60</v>
      </c>
      <c r="M468" t="s">
        <v>60</v>
      </c>
      <c r="N468" t="s">
        <v>21</v>
      </c>
      <c r="O468">
        <v>2</v>
      </c>
      <c r="P468">
        <v>3</v>
      </c>
      <c r="Q468" s="13">
        <v>0.59216741202262646</v>
      </c>
      <c r="R468" t="s">
        <v>249</v>
      </c>
      <c r="S468">
        <v>-1.124807862576829</v>
      </c>
      <c r="T468" t="s">
        <v>60</v>
      </c>
      <c r="U468" t="s">
        <v>60</v>
      </c>
      <c r="X468" t="s">
        <v>60</v>
      </c>
      <c r="Y468" t="s">
        <v>412</v>
      </c>
      <c r="Z468" t="s">
        <v>60</v>
      </c>
      <c r="AA468" t="s">
        <v>491</v>
      </c>
    </row>
    <row r="469" spans="1:27" x14ac:dyDescent="0.2">
      <c r="A469" s="1">
        <v>46000</v>
      </c>
      <c r="B469" t="s">
        <v>328</v>
      </c>
      <c r="C469" t="s">
        <v>31</v>
      </c>
      <c r="D469" t="s">
        <v>14</v>
      </c>
      <c r="E469" t="s">
        <v>965</v>
      </c>
      <c r="F469" t="s">
        <v>31</v>
      </c>
      <c r="G469">
        <v>2</v>
      </c>
      <c r="H469">
        <v>3</v>
      </c>
      <c r="I469" s="13">
        <v>0.6</v>
      </c>
      <c r="J469" t="s">
        <v>249</v>
      </c>
      <c r="L469" t="s">
        <v>60</v>
      </c>
      <c r="M469" t="s">
        <v>60</v>
      </c>
      <c r="N469" t="s">
        <v>31</v>
      </c>
      <c r="O469">
        <v>2</v>
      </c>
      <c r="P469">
        <v>3</v>
      </c>
      <c r="Q469" s="13">
        <v>0.51242024465588476</v>
      </c>
      <c r="R469" t="s">
        <v>249</v>
      </c>
      <c r="S469">
        <v>-0.27106649448159392</v>
      </c>
      <c r="T469" t="s">
        <v>60</v>
      </c>
      <c r="U469" t="s">
        <v>60</v>
      </c>
      <c r="X469" t="s">
        <v>60</v>
      </c>
      <c r="Y469" t="s">
        <v>412</v>
      </c>
      <c r="Z469" t="s">
        <v>60</v>
      </c>
      <c r="AA469" t="s">
        <v>491</v>
      </c>
    </row>
    <row r="470" spans="1:27" x14ac:dyDescent="0.2">
      <c r="A470" s="1">
        <v>46000</v>
      </c>
      <c r="B470" t="s">
        <v>328</v>
      </c>
      <c r="C470" t="s">
        <v>24</v>
      </c>
      <c r="D470" t="s">
        <v>36</v>
      </c>
      <c r="E470" t="s">
        <v>966</v>
      </c>
      <c r="F470" t="s">
        <v>24</v>
      </c>
      <c r="G470">
        <v>2</v>
      </c>
      <c r="H470">
        <v>3</v>
      </c>
      <c r="I470" s="13">
        <v>0.6</v>
      </c>
      <c r="J470" t="s">
        <v>249</v>
      </c>
      <c r="L470" t="s">
        <v>60</v>
      </c>
      <c r="M470" t="s">
        <v>60</v>
      </c>
      <c r="N470" t="s">
        <v>24</v>
      </c>
      <c r="O470">
        <v>2</v>
      </c>
      <c r="P470">
        <v>3</v>
      </c>
      <c r="Q470" s="13">
        <v>0.53465889649685494</v>
      </c>
      <c r="R470" t="s">
        <v>249</v>
      </c>
      <c r="S470">
        <v>-0.48300555270628043</v>
      </c>
      <c r="T470" t="s">
        <v>60</v>
      </c>
      <c r="U470" t="s">
        <v>60</v>
      </c>
      <c r="X470" t="s">
        <v>60</v>
      </c>
      <c r="Y470" t="s">
        <v>412</v>
      </c>
      <c r="Z470" t="s">
        <v>60</v>
      </c>
      <c r="AA470" t="s">
        <v>491</v>
      </c>
    </row>
    <row r="471" spans="1:27" x14ac:dyDescent="0.2">
      <c r="A471" s="1">
        <v>46000</v>
      </c>
      <c r="B471" t="s">
        <v>324</v>
      </c>
      <c r="C471" t="s">
        <v>39</v>
      </c>
      <c r="D471" t="s">
        <v>40</v>
      </c>
      <c r="E471" t="s">
        <v>504</v>
      </c>
      <c r="F471" t="s">
        <v>39</v>
      </c>
      <c r="G471">
        <v>2</v>
      </c>
      <c r="H471">
        <v>3</v>
      </c>
      <c r="I471" s="13">
        <v>0.6</v>
      </c>
      <c r="J471" t="s">
        <v>249</v>
      </c>
      <c r="L471" t="s">
        <v>60</v>
      </c>
      <c r="M471" t="s">
        <v>60</v>
      </c>
      <c r="N471" t="s">
        <v>39</v>
      </c>
      <c r="O471">
        <v>2</v>
      </c>
      <c r="P471">
        <v>3</v>
      </c>
      <c r="Q471" s="13">
        <v>0.63834650509244772</v>
      </c>
      <c r="R471" t="s">
        <v>249</v>
      </c>
      <c r="S471">
        <v>-0.67678357671474887</v>
      </c>
      <c r="T471" t="s">
        <v>60</v>
      </c>
      <c r="U471" t="s">
        <v>60</v>
      </c>
      <c r="X471" t="s">
        <v>60</v>
      </c>
      <c r="Y471" t="s">
        <v>412</v>
      </c>
      <c r="Z471" t="s">
        <v>60</v>
      </c>
      <c r="AA471" t="s">
        <v>491</v>
      </c>
    </row>
    <row r="472" spans="1:27" x14ac:dyDescent="0.2">
      <c r="A472" s="1">
        <v>46000</v>
      </c>
      <c r="B472" t="s">
        <v>426</v>
      </c>
      <c r="C472" t="s">
        <v>12</v>
      </c>
      <c r="D472" t="s">
        <v>29</v>
      </c>
      <c r="E472" t="s">
        <v>351</v>
      </c>
      <c r="F472" t="s">
        <v>12</v>
      </c>
      <c r="G472">
        <v>2</v>
      </c>
      <c r="H472">
        <v>3</v>
      </c>
      <c r="I472" s="13">
        <v>0.6</v>
      </c>
      <c r="J472" t="s">
        <v>249</v>
      </c>
      <c r="L472" t="s">
        <v>60</v>
      </c>
      <c r="M472" t="s">
        <v>60</v>
      </c>
      <c r="N472" t="s">
        <v>12</v>
      </c>
      <c r="O472">
        <v>2</v>
      </c>
      <c r="P472">
        <v>3</v>
      </c>
      <c r="Q472" s="13">
        <v>0.8790548902940698</v>
      </c>
      <c r="R472" t="s">
        <v>249</v>
      </c>
      <c r="S472">
        <v>-2.9669201933138751</v>
      </c>
      <c r="T472" t="s">
        <v>60</v>
      </c>
      <c r="U472" t="s">
        <v>60</v>
      </c>
      <c r="X472" t="s">
        <v>60</v>
      </c>
      <c r="Y472" t="s">
        <v>412</v>
      </c>
      <c r="Z472" t="s">
        <v>60</v>
      </c>
      <c r="AA472" t="s">
        <v>491</v>
      </c>
    </row>
    <row r="473" spans="1:27" x14ac:dyDescent="0.2">
      <c r="A473" s="1">
        <v>46000</v>
      </c>
      <c r="B473" t="s">
        <v>328</v>
      </c>
      <c r="C473" t="s">
        <v>37</v>
      </c>
      <c r="D473" t="s">
        <v>18</v>
      </c>
      <c r="E473" t="s">
        <v>967</v>
      </c>
      <c r="F473" t="s">
        <v>37</v>
      </c>
      <c r="G473">
        <v>2</v>
      </c>
      <c r="H473">
        <v>3</v>
      </c>
      <c r="I473" s="13">
        <v>0.6</v>
      </c>
      <c r="J473" t="s">
        <v>249</v>
      </c>
      <c r="L473" t="s">
        <v>60</v>
      </c>
      <c r="M473" t="s">
        <v>60</v>
      </c>
      <c r="N473" t="s">
        <v>37</v>
      </c>
      <c r="O473">
        <v>2</v>
      </c>
      <c r="P473">
        <v>3</v>
      </c>
      <c r="Q473" s="13">
        <v>0.67549714050132492</v>
      </c>
      <c r="R473" t="s">
        <v>249</v>
      </c>
      <c r="S473">
        <v>-1.053493826097267</v>
      </c>
      <c r="T473" t="s">
        <v>60</v>
      </c>
      <c r="U473" t="s">
        <v>60</v>
      </c>
      <c r="X473" t="s">
        <v>60</v>
      </c>
      <c r="Y473" t="s">
        <v>412</v>
      </c>
      <c r="Z473" t="s">
        <v>60</v>
      </c>
      <c r="AA473" t="s">
        <v>491</v>
      </c>
    </row>
    <row r="474" spans="1:27" x14ac:dyDescent="0.2">
      <c r="A474" s="1">
        <v>46000</v>
      </c>
      <c r="B474" t="s">
        <v>326</v>
      </c>
      <c r="C474" t="s">
        <v>23</v>
      </c>
      <c r="D474" t="s">
        <v>17</v>
      </c>
      <c r="E474" t="s">
        <v>968</v>
      </c>
      <c r="F474" t="s">
        <v>23</v>
      </c>
      <c r="G474">
        <v>2</v>
      </c>
      <c r="H474">
        <v>3</v>
      </c>
      <c r="I474" s="13">
        <v>0.6</v>
      </c>
      <c r="J474" t="s">
        <v>249</v>
      </c>
      <c r="L474" t="s">
        <v>60</v>
      </c>
      <c r="M474" t="s">
        <v>60</v>
      </c>
      <c r="N474" t="s">
        <v>23</v>
      </c>
      <c r="O474">
        <v>2</v>
      </c>
      <c r="P474">
        <v>3</v>
      </c>
      <c r="Q474" s="13">
        <v>0.48701847108865748</v>
      </c>
      <c r="R474" t="s">
        <v>249</v>
      </c>
      <c r="S474">
        <v>-0.29173547957376961</v>
      </c>
      <c r="T474" t="s">
        <v>60</v>
      </c>
      <c r="U474" t="s">
        <v>60</v>
      </c>
      <c r="X474" t="s">
        <v>60</v>
      </c>
      <c r="Y474" t="s">
        <v>412</v>
      </c>
      <c r="Z474" t="s">
        <v>60</v>
      </c>
      <c r="AA474" t="s">
        <v>491</v>
      </c>
    </row>
    <row r="475" spans="1:27" x14ac:dyDescent="0.2">
      <c r="A475" s="1">
        <v>46000</v>
      </c>
      <c r="B475" t="s">
        <v>334</v>
      </c>
      <c r="C475" t="s">
        <v>28</v>
      </c>
      <c r="D475" t="s">
        <v>25</v>
      </c>
      <c r="E475" t="s">
        <v>969</v>
      </c>
      <c r="F475" t="s">
        <v>25</v>
      </c>
      <c r="G475">
        <v>2</v>
      </c>
      <c r="H475">
        <v>3</v>
      </c>
      <c r="I475" s="13">
        <v>0.6</v>
      </c>
      <c r="J475" t="s">
        <v>249</v>
      </c>
      <c r="L475" t="s">
        <v>60</v>
      </c>
      <c r="M475" t="s">
        <v>60</v>
      </c>
      <c r="N475" t="s">
        <v>25</v>
      </c>
      <c r="O475">
        <v>2</v>
      </c>
      <c r="P475">
        <v>3</v>
      </c>
      <c r="Q475" s="13">
        <v>0.71323959221145916</v>
      </c>
      <c r="R475" t="s">
        <v>249</v>
      </c>
      <c r="S475">
        <v>1.0705652906022549</v>
      </c>
      <c r="T475" t="s">
        <v>60</v>
      </c>
      <c r="U475" t="s">
        <v>60</v>
      </c>
      <c r="X475" t="s">
        <v>60</v>
      </c>
      <c r="Y475" t="s">
        <v>412</v>
      </c>
      <c r="Z475" t="s">
        <v>60</v>
      </c>
      <c r="AA475" t="s">
        <v>491</v>
      </c>
    </row>
    <row r="476" spans="1:27" x14ac:dyDescent="0.2">
      <c r="A476" s="1">
        <v>46000</v>
      </c>
      <c r="B476" t="s">
        <v>328</v>
      </c>
      <c r="C476" t="s">
        <v>20</v>
      </c>
      <c r="D476" t="s">
        <v>30</v>
      </c>
      <c r="E476" t="s">
        <v>970</v>
      </c>
      <c r="F476" t="s">
        <v>30</v>
      </c>
      <c r="G476">
        <v>2</v>
      </c>
      <c r="H476">
        <v>3</v>
      </c>
      <c r="I476" s="13">
        <v>0.6</v>
      </c>
      <c r="J476" t="s">
        <v>249</v>
      </c>
      <c r="L476" t="s">
        <v>60</v>
      </c>
      <c r="M476" t="s">
        <v>60</v>
      </c>
      <c r="N476" t="s">
        <v>30</v>
      </c>
      <c r="O476">
        <v>2</v>
      </c>
      <c r="P476">
        <v>3</v>
      </c>
      <c r="Q476" s="13">
        <v>0.54623635694460582</v>
      </c>
      <c r="R476" t="s">
        <v>249</v>
      </c>
      <c r="S476">
        <v>5.3409581802466202E-2</v>
      </c>
      <c r="T476" t="s">
        <v>60</v>
      </c>
      <c r="U476" t="s">
        <v>60</v>
      </c>
      <c r="X476" t="s">
        <v>60</v>
      </c>
      <c r="Y476" t="s">
        <v>412</v>
      </c>
      <c r="Z476" t="s">
        <v>60</v>
      </c>
      <c r="AA476" t="s">
        <v>491</v>
      </c>
    </row>
    <row r="477" spans="1:27" x14ac:dyDescent="0.2">
      <c r="A477" s="1">
        <v>46001</v>
      </c>
      <c r="B477" t="s">
        <v>416</v>
      </c>
      <c r="C477" t="s">
        <v>26</v>
      </c>
      <c r="D477" t="s">
        <v>16</v>
      </c>
      <c r="E477" t="s">
        <v>971</v>
      </c>
      <c r="F477" t="s">
        <v>26</v>
      </c>
      <c r="G477">
        <v>2</v>
      </c>
      <c r="H477">
        <v>3</v>
      </c>
      <c r="I477" s="13">
        <v>0.6</v>
      </c>
      <c r="J477" t="s">
        <v>249</v>
      </c>
      <c r="L477" t="s">
        <v>60</v>
      </c>
      <c r="M477" t="s">
        <v>60</v>
      </c>
      <c r="N477" t="s">
        <v>26</v>
      </c>
      <c r="O477">
        <v>2</v>
      </c>
      <c r="P477">
        <v>3</v>
      </c>
      <c r="Q477" s="13">
        <v>0.47641023191076259</v>
      </c>
      <c r="R477" t="s">
        <v>249</v>
      </c>
      <c r="S477">
        <v>-0.1405409650891489</v>
      </c>
      <c r="T477" t="s">
        <v>60</v>
      </c>
      <c r="U477" t="s">
        <v>60</v>
      </c>
      <c r="X477" t="s">
        <v>60</v>
      </c>
      <c r="Y477" t="s">
        <v>412</v>
      </c>
      <c r="Z477" t="s">
        <v>60</v>
      </c>
      <c r="AA477" t="s">
        <v>491</v>
      </c>
    </row>
    <row r="478" spans="1:27" x14ac:dyDescent="0.2">
      <c r="A478" s="1">
        <v>46001</v>
      </c>
      <c r="B478" t="s">
        <v>334</v>
      </c>
      <c r="C478" t="s">
        <v>15</v>
      </c>
      <c r="D478" t="s">
        <v>10</v>
      </c>
      <c r="E478" t="s">
        <v>972</v>
      </c>
      <c r="F478" t="s">
        <v>10</v>
      </c>
      <c r="G478">
        <v>2</v>
      </c>
      <c r="H478">
        <v>3</v>
      </c>
      <c r="I478" s="13">
        <v>0.6</v>
      </c>
      <c r="J478" t="s">
        <v>249</v>
      </c>
      <c r="L478" t="s">
        <v>60</v>
      </c>
      <c r="M478" t="s">
        <v>60</v>
      </c>
      <c r="N478" t="s">
        <v>10</v>
      </c>
      <c r="O478">
        <v>2</v>
      </c>
      <c r="P478">
        <v>3</v>
      </c>
      <c r="Q478" s="13">
        <v>0.45903741754486188</v>
      </c>
      <c r="R478" t="s">
        <v>249</v>
      </c>
      <c r="S478">
        <v>0.16373847822279139</v>
      </c>
      <c r="T478" t="s">
        <v>60</v>
      </c>
      <c r="U478" t="s">
        <v>60</v>
      </c>
      <c r="X478" t="s">
        <v>60</v>
      </c>
      <c r="Y478" t="s">
        <v>412</v>
      </c>
      <c r="Z478" t="s">
        <v>60</v>
      </c>
      <c r="AA478" t="s">
        <v>491</v>
      </c>
    </row>
    <row r="479" spans="1:27" x14ac:dyDescent="0.2">
      <c r="A479" s="1">
        <v>46001</v>
      </c>
      <c r="B479" t="s">
        <v>322</v>
      </c>
      <c r="C479" t="s">
        <v>13</v>
      </c>
      <c r="D479" t="s">
        <v>32</v>
      </c>
      <c r="E479" t="s">
        <v>973</v>
      </c>
      <c r="F479" t="s">
        <v>13</v>
      </c>
      <c r="G479">
        <v>2</v>
      </c>
      <c r="H479">
        <v>3</v>
      </c>
      <c r="I479" s="13">
        <v>0.6</v>
      </c>
      <c r="J479" t="s">
        <v>249</v>
      </c>
      <c r="L479" t="s">
        <v>60</v>
      </c>
      <c r="M479" t="s">
        <v>60</v>
      </c>
      <c r="N479" t="s">
        <v>13</v>
      </c>
      <c r="O479">
        <v>2</v>
      </c>
      <c r="P479">
        <v>3</v>
      </c>
      <c r="Q479" s="13">
        <v>0.55681391404194935</v>
      </c>
      <c r="R479" t="s">
        <v>249</v>
      </c>
      <c r="S479">
        <v>-0.26119288767771393</v>
      </c>
      <c r="T479" t="s">
        <v>60</v>
      </c>
      <c r="U479" t="s">
        <v>60</v>
      </c>
      <c r="X479" t="s">
        <v>60</v>
      </c>
      <c r="Y479" t="s">
        <v>412</v>
      </c>
      <c r="Z479" t="s">
        <v>60</v>
      </c>
      <c r="AA479" t="s">
        <v>491</v>
      </c>
    </row>
    <row r="480" spans="1:27" x14ac:dyDescent="0.2">
      <c r="A480" s="1">
        <v>46001</v>
      </c>
      <c r="B480" t="s">
        <v>326</v>
      </c>
      <c r="C480" t="s">
        <v>11</v>
      </c>
      <c r="D480" t="s">
        <v>55</v>
      </c>
      <c r="E480" t="s">
        <v>974</v>
      </c>
      <c r="F480" t="s">
        <v>55</v>
      </c>
      <c r="G480">
        <v>2</v>
      </c>
      <c r="H480">
        <v>3</v>
      </c>
      <c r="I480" s="13">
        <v>0.6</v>
      </c>
      <c r="J480" t="s">
        <v>249</v>
      </c>
      <c r="L480" t="s">
        <v>60</v>
      </c>
      <c r="M480" t="s">
        <v>60</v>
      </c>
      <c r="N480" t="s">
        <v>55</v>
      </c>
      <c r="O480">
        <v>2</v>
      </c>
      <c r="P480">
        <v>3</v>
      </c>
      <c r="Q480" s="13">
        <v>0.58555665422643954</v>
      </c>
      <c r="R480" t="s">
        <v>249</v>
      </c>
      <c r="S480">
        <v>4.38957509660865E-2</v>
      </c>
      <c r="T480" t="s">
        <v>60</v>
      </c>
      <c r="U480" t="s">
        <v>60</v>
      </c>
      <c r="X480" t="s">
        <v>60</v>
      </c>
      <c r="Y480" t="s">
        <v>412</v>
      </c>
      <c r="Z480" t="s">
        <v>60</v>
      </c>
      <c r="AA480" t="s">
        <v>491</v>
      </c>
    </row>
    <row r="481" spans="1:27" x14ac:dyDescent="0.2">
      <c r="A481" s="1">
        <v>46002</v>
      </c>
      <c r="B481" t="s">
        <v>328</v>
      </c>
      <c r="C481" t="s">
        <v>25</v>
      </c>
      <c r="D481" t="s">
        <v>22</v>
      </c>
      <c r="E481" t="s">
        <v>975</v>
      </c>
      <c r="F481" t="s">
        <v>22</v>
      </c>
      <c r="G481">
        <v>2</v>
      </c>
      <c r="H481">
        <v>3</v>
      </c>
      <c r="I481" s="13">
        <v>0.6</v>
      </c>
      <c r="J481" t="s">
        <v>249</v>
      </c>
      <c r="L481" t="s">
        <v>60</v>
      </c>
      <c r="M481" t="s">
        <v>60</v>
      </c>
      <c r="N481" t="s">
        <v>22</v>
      </c>
      <c r="O481">
        <v>2</v>
      </c>
      <c r="P481">
        <v>3</v>
      </c>
      <c r="Q481" s="13">
        <v>0.50125275400568248</v>
      </c>
      <c r="R481" t="s">
        <v>249</v>
      </c>
      <c r="S481">
        <v>6.4932844448366694E-2</v>
      </c>
      <c r="T481" t="s">
        <v>60</v>
      </c>
      <c r="U481" t="s">
        <v>60</v>
      </c>
      <c r="X481" t="s">
        <v>60</v>
      </c>
      <c r="Y481" t="s">
        <v>412</v>
      </c>
      <c r="Z481" t="s">
        <v>60</v>
      </c>
      <c r="AA481" t="s">
        <v>491</v>
      </c>
    </row>
    <row r="482" spans="1:27" x14ac:dyDescent="0.2">
      <c r="A482" s="1">
        <v>46002</v>
      </c>
      <c r="B482" t="s">
        <v>324</v>
      </c>
      <c r="C482" t="s">
        <v>21</v>
      </c>
      <c r="D482" t="s">
        <v>40</v>
      </c>
      <c r="E482" t="s">
        <v>976</v>
      </c>
      <c r="F482" t="s">
        <v>21</v>
      </c>
      <c r="G482">
        <v>2</v>
      </c>
      <c r="H482">
        <v>3</v>
      </c>
      <c r="I482" s="13">
        <v>0.6</v>
      </c>
      <c r="J482" t="s">
        <v>249</v>
      </c>
      <c r="L482" t="s">
        <v>60</v>
      </c>
      <c r="M482" t="s">
        <v>60</v>
      </c>
      <c r="N482" t="s">
        <v>21</v>
      </c>
      <c r="O482">
        <v>2</v>
      </c>
      <c r="P482">
        <v>3</v>
      </c>
      <c r="Q482" s="13">
        <v>0.4634209273576268</v>
      </c>
      <c r="R482" t="s">
        <v>249</v>
      </c>
      <c r="S482">
        <v>-4.3571314411897398E-2</v>
      </c>
      <c r="T482" t="s">
        <v>60</v>
      </c>
      <c r="U482" t="s">
        <v>60</v>
      </c>
      <c r="X482" t="s">
        <v>60</v>
      </c>
      <c r="Y482" t="s">
        <v>412</v>
      </c>
      <c r="Z482" t="s">
        <v>60</v>
      </c>
      <c r="AA482" t="s">
        <v>491</v>
      </c>
    </row>
    <row r="483" spans="1:27" x14ac:dyDescent="0.2">
      <c r="A483" s="1">
        <v>46002</v>
      </c>
      <c r="B483" t="s">
        <v>328</v>
      </c>
      <c r="C483" t="s">
        <v>33</v>
      </c>
      <c r="D483" t="s">
        <v>19</v>
      </c>
      <c r="E483" t="s">
        <v>977</v>
      </c>
      <c r="F483" t="s">
        <v>33</v>
      </c>
      <c r="G483">
        <v>2</v>
      </c>
      <c r="H483">
        <v>3</v>
      </c>
      <c r="I483" s="13">
        <v>0.6</v>
      </c>
      <c r="J483" t="s">
        <v>249</v>
      </c>
      <c r="L483" t="s">
        <v>60</v>
      </c>
      <c r="M483" t="s">
        <v>60</v>
      </c>
      <c r="N483" t="s">
        <v>33</v>
      </c>
      <c r="O483">
        <v>2</v>
      </c>
      <c r="P483">
        <v>3</v>
      </c>
      <c r="Q483" s="13">
        <v>0.47555853632223422</v>
      </c>
      <c r="R483" t="s">
        <v>249</v>
      </c>
      <c r="S483">
        <v>-0.1332468500135747</v>
      </c>
      <c r="T483" t="s">
        <v>60</v>
      </c>
      <c r="U483" t="s">
        <v>60</v>
      </c>
      <c r="X483" t="s">
        <v>60</v>
      </c>
      <c r="Y483" t="s">
        <v>412</v>
      </c>
      <c r="Z483" t="s">
        <v>60</v>
      </c>
      <c r="AA483" t="s">
        <v>491</v>
      </c>
    </row>
    <row r="484" spans="1:27" x14ac:dyDescent="0.2">
      <c r="A484" s="1">
        <v>46002</v>
      </c>
      <c r="B484" t="s">
        <v>328</v>
      </c>
      <c r="C484" t="s">
        <v>18</v>
      </c>
      <c r="D484" t="s">
        <v>14</v>
      </c>
      <c r="E484" t="s">
        <v>978</v>
      </c>
      <c r="F484" t="s">
        <v>14</v>
      </c>
      <c r="G484">
        <v>2</v>
      </c>
      <c r="H484">
        <v>3</v>
      </c>
      <c r="I484" s="13">
        <v>0.6</v>
      </c>
      <c r="J484" t="s">
        <v>249</v>
      </c>
      <c r="L484" t="s">
        <v>60</v>
      </c>
      <c r="M484" t="s">
        <v>60</v>
      </c>
      <c r="N484" t="s">
        <v>14</v>
      </c>
      <c r="O484">
        <v>2</v>
      </c>
      <c r="P484">
        <v>3</v>
      </c>
      <c r="Q484" s="13">
        <v>0.53915598208090709</v>
      </c>
      <c r="R484" t="s">
        <v>249</v>
      </c>
      <c r="S484">
        <v>0.5005261556314976</v>
      </c>
      <c r="T484" t="s">
        <v>60</v>
      </c>
      <c r="U484" t="s">
        <v>60</v>
      </c>
      <c r="X484" t="s">
        <v>60</v>
      </c>
      <c r="Y484" t="s">
        <v>412</v>
      </c>
      <c r="Z484" t="s">
        <v>60</v>
      </c>
      <c r="AA484" t="s">
        <v>491</v>
      </c>
    </row>
    <row r="485" spans="1:27" x14ac:dyDescent="0.2">
      <c r="A485" s="1">
        <v>46002</v>
      </c>
      <c r="B485" t="s">
        <v>328</v>
      </c>
      <c r="C485" t="s">
        <v>20</v>
      </c>
      <c r="D485" t="s">
        <v>27</v>
      </c>
      <c r="E485" t="s">
        <v>979</v>
      </c>
      <c r="F485" t="s">
        <v>20</v>
      </c>
      <c r="G485">
        <v>2</v>
      </c>
      <c r="H485">
        <v>3</v>
      </c>
      <c r="I485" s="13">
        <v>0.6</v>
      </c>
      <c r="J485" t="s">
        <v>249</v>
      </c>
      <c r="L485" t="s">
        <v>60</v>
      </c>
      <c r="M485" t="s">
        <v>60</v>
      </c>
      <c r="N485" t="s">
        <v>20</v>
      </c>
      <c r="O485">
        <v>2</v>
      </c>
      <c r="P485">
        <v>3</v>
      </c>
      <c r="Q485" s="13">
        <v>0.45601323926309539</v>
      </c>
      <c r="R485" t="s">
        <v>249</v>
      </c>
      <c r="S485">
        <v>-8.5898004262517105E-2</v>
      </c>
      <c r="T485" t="s">
        <v>60</v>
      </c>
      <c r="U485" t="s">
        <v>60</v>
      </c>
      <c r="X485" t="s">
        <v>60</v>
      </c>
      <c r="Y485" t="s">
        <v>412</v>
      </c>
      <c r="Z485" t="s">
        <v>60</v>
      </c>
      <c r="AA485" t="s">
        <v>491</v>
      </c>
    </row>
    <row r="486" spans="1:27" x14ac:dyDescent="0.2">
      <c r="A486" s="1">
        <v>46002</v>
      </c>
      <c r="B486" t="s">
        <v>328</v>
      </c>
      <c r="C486" t="s">
        <v>31</v>
      </c>
      <c r="D486" t="s">
        <v>30</v>
      </c>
      <c r="E486" t="s">
        <v>980</v>
      </c>
      <c r="F486" t="s">
        <v>31</v>
      </c>
      <c r="G486">
        <v>2</v>
      </c>
      <c r="H486">
        <v>3</v>
      </c>
      <c r="I486" s="13">
        <v>0.6</v>
      </c>
      <c r="J486" t="s">
        <v>249</v>
      </c>
      <c r="L486" t="s">
        <v>60</v>
      </c>
      <c r="M486" t="s">
        <v>60</v>
      </c>
      <c r="N486" t="s">
        <v>31</v>
      </c>
      <c r="O486">
        <v>2</v>
      </c>
      <c r="P486">
        <v>3</v>
      </c>
      <c r="Q486" s="13">
        <v>0.52394116372182864</v>
      </c>
      <c r="R486" t="s">
        <v>249</v>
      </c>
      <c r="S486">
        <v>-0.36973427035743639</v>
      </c>
      <c r="T486" t="s">
        <v>60</v>
      </c>
      <c r="U486" t="s">
        <v>60</v>
      </c>
      <c r="X486" t="s">
        <v>60</v>
      </c>
      <c r="Y486" t="s">
        <v>412</v>
      </c>
      <c r="Z486" t="s">
        <v>60</v>
      </c>
      <c r="AA486" t="s">
        <v>491</v>
      </c>
    </row>
    <row r="487" spans="1:27" x14ac:dyDescent="0.2">
      <c r="A487" s="1">
        <v>46002</v>
      </c>
      <c r="B487" t="s">
        <v>322</v>
      </c>
      <c r="C487" t="s">
        <v>23</v>
      </c>
      <c r="D487" t="s">
        <v>38</v>
      </c>
      <c r="E487" t="s">
        <v>981</v>
      </c>
      <c r="F487" t="s">
        <v>23</v>
      </c>
      <c r="G487">
        <v>2</v>
      </c>
      <c r="H487">
        <v>3</v>
      </c>
      <c r="I487" s="13">
        <v>0.6</v>
      </c>
      <c r="J487" t="s">
        <v>249</v>
      </c>
      <c r="L487" t="s">
        <v>60</v>
      </c>
      <c r="M487" t="s">
        <v>60</v>
      </c>
      <c r="N487" t="s">
        <v>23</v>
      </c>
      <c r="O487">
        <v>2</v>
      </c>
      <c r="P487">
        <v>3</v>
      </c>
      <c r="Q487" s="13">
        <v>0.50923579545410647</v>
      </c>
      <c r="R487" t="s">
        <v>249</v>
      </c>
      <c r="S487">
        <v>-0.42166657044705202</v>
      </c>
      <c r="T487" t="s">
        <v>60</v>
      </c>
      <c r="U487" t="s">
        <v>60</v>
      </c>
      <c r="X487" t="s">
        <v>60</v>
      </c>
      <c r="Y487" t="s">
        <v>412</v>
      </c>
      <c r="Z487" t="s">
        <v>60</v>
      </c>
      <c r="AA487" t="s">
        <v>491</v>
      </c>
    </row>
    <row r="488" spans="1:27" x14ac:dyDescent="0.2">
      <c r="A488" s="1">
        <v>46002</v>
      </c>
      <c r="B488" t="s">
        <v>328</v>
      </c>
      <c r="C488" t="s">
        <v>37</v>
      </c>
      <c r="D488" t="s">
        <v>24</v>
      </c>
      <c r="E488" t="s">
        <v>982</v>
      </c>
      <c r="F488" t="s">
        <v>37</v>
      </c>
      <c r="G488">
        <v>2</v>
      </c>
      <c r="H488">
        <v>3</v>
      </c>
      <c r="I488" s="13">
        <v>0.6</v>
      </c>
      <c r="J488" t="s">
        <v>249</v>
      </c>
      <c r="L488" t="s">
        <v>60</v>
      </c>
      <c r="M488" t="s">
        <v>60</v>
      </c>
      <c r="N488" t="s">
        <v>37</v>
      </c>
      <c r="O488">
        <v>2</v>
      </c>
      <c r="P488">
        <v>3</v>
      </c>
      <c r="Q488" s="13">
        <v>0.52419189406112554</v>
      </c>
      <c r="R488" t="s">
        <v>249</v>
      </c>
      <c r="S488">
        <v>-0.45907394705883758</v>
      </c>
      <c r="T488" t="s">
        <v>60</v>
      </c>
      <c r="U488" t="s">
        <v>60</v>
      </c>
      <c r="X488" t="s">
        <v>60</v>
      </c>
      <c r="Y488" t="s">
        <v>412</v>
      </c>
      <c r="Z488" t="s">
        <v>60</v>
      </c>
      <c r="AA488" t="s">
        <v>491</v>
      </c>
    </row>
    <row r="489" spans="1:27" x14ac:dyDescent="0.2">
      <c r="A489" s="1">
        <v>46002</v>
      </c>
      <c r="B489" t="s">
        <v>324</v>
      </c>
      <c r="C489" t="s">
        <v>39</v>
      </c>
      <c r="D489" t="s">
        <v>34</v>
      </c>
      <c r="E489" t="s">
        <v>983</v>
      </c>
      <c r="F489" t="s">
        <v>39</v>
      </c>
      <c r="G489">
        <v>2</v>
      </c>
      <c r="H489">
        <v>3</v>
      </c>
      <c r="I489" s="13">
        <v>0.6</v>
      </c>
      <c r="J489" t="s">
        <v>249</v>
      </c>
      <c r="L489" t="s">
        <v>60</v>
      </c>
      <c r="M489" t="s">
        <v>60</v>
      </c>
      <c r="N489" t="s">
        <v>39</v>
      </c>
      <c r="O489">
        <v>2</v>
      </c>
      <c r="P489">
        <v>3</v>
      </c>
      <c r="Q489" s="13">
        <v>0.61068325047565086</v>
      </c>
      <c r="R489" t="s">
        <v>249</v>
      </c>
      <c r="S489">
        <v>-0.41866654038143608</v>
      </c>
      <c r="T489" t="s">
        <v>60</v>
      </c>
      <c r="U489" t="s">
        <v>60</v>
      </c>
      <c r="X489" t="s">
        <v>60</v>
      </c>
      <c r="Y489" t="s">
        <v>412</v>
      </c>
      <c r="Z489" t="s">
        <v>60</v>
      </c>
      <c r="AA489" t="s">
        <v>491</v>
      </c>
    </row>
    <row r="490" spans="1:27" x14ac:dyDescent="0.2">
      <c r="A490" s="1">
        <v>46002</v>
      </c>
      <c r="B490" t="s">
        <v>326</v>
      </c>
      <c r="C490" t="s">
        <v>26</v>
      </c>
      <c r="D490" t="s">
        <v>17</v>
      </c>
      <c r="E490" t="s">
        <v>984</v>
      </c>
      <c r="F490" t="s">
        <v>17</v>
      </c>
      <c r="G490">
        <v>2</v>
      </c>
      <c r="H490">
        <v>3</v>
      </c>
      <c r="I490" s="13">
        <v>0.6</v>
      </c>
      <c r="J490" t="s">
        <v>249</v>
      </c>
      <c r="L490" t="s">
        <v>60</v>
      </c>
      <c r="M490" t="s">
        <v>60</v>
      </c>
      <c r="N490" t="s">
        <v>17</v>
      </c>
      <c r="O490">
        <v>2</v>
      </c>
      <c r="P490">
        <v>3</v>
      </c>
      <c r="Q490" s="13">
        <v>0.55959742195756734</v>
      </c>
      <c r="R490" t="s">
        <v>249</v>
      </c>
      <c r="S490">
        <v>0.1074936497179502</v>
      </c>
      <c r="T490" t="s">
        <v>60</v>
      </c>
      <c r="U490" t="s">
        <v>60</v>
      </c>
      <c r="X490" t="s">
        <v>60</v>
      </c>
      <c r="Y490" t="s">
        <v>412</v>
      </c>
      <c r="Z490" t="s">
        <v>60</v>
      </c>
      <c r="AA490" t="s">
        <v>491</v>
      </c>
    </row>
    <row r="491" spans="1:27" x14ac:dyDescent="0.2">
      <c r="A491" s="1">
        <v>46002</v>
      </c>
      <c r="B491" t="s">
        <v>326</v>
      </c>
      <c r="C491" t="s">
        <v>11</v>
      </c>
      <c r="D491" t="s">
        <v>12</v>
      </c>
      <c r="E491" t="s">
        <v>985</v>
      </c>
      <c r="F491" t="s">
        <v>12</v>
      </c>
      <c r="G491">
        <v>2</v>
      </c>
      <c r="H491">
        <v>3</v>
      </c>
      <c r="I491" s="13">
        <v>0.6</v>
      </c>
      <c r="J491" t="s">
        <v>249</v>
      </c>
      <c r="L491" t="s">
        <v>60</v>
      </c>
      <c r="M491" t="s">
        <v>60</v>
      </c>
      <c r="N491" t="s">
        <v>12</v>
      </c>
      <c r="O491">
        <v>2</v>
      </c>
      <c r="P491">
        <v>3</v>
      </c>
      <c r="Q491" s="13">
        <v>0.88707480465625443</v>
      </c>
      <c r="R491" t="s">
        <v>249</v>
      </c>
      <c r="S491">
        <v>2.078922698414245</v>
      </c>
      <c r="T491" t="s">
        <v>60</v>
      </c>
      <c r="U491" t="s">
        <v>60</v>
      </c>
      <c r="X491" t="s">
        <v>60</v>
      </c>
      <c r="Y491" t="s">
        <v>412</v>
      </c>
      <c r="Z491" t="s">
        <v>60</v>
      </c>
      <c r="AA491" t="s">
        <v>491</v>
      </c>
    </row>
    <row r="492" spans="1:27" x14ac:dyDescent="0.2">
      <c r="A492" s="1">
        <v>46002</v>
      </c>
      <c r="B492" t="s">
        <v>328</v>
      </c>
      <c r="C492" t="s">
        <v>36</v>
      </c>
      <c r="D492" t="s">
        <v>28</v>
      </c>
      <c r="E492" t="s">
        <v>986</v>
      </c>
      <c r="F492" t="s">
        <v>36</v>
      </c>
      <c r="G492">
        <v>2</v>
      </c>
      <c r="H492">
        <v>3</v>
      </c>
      <c r="I492" s="13">
        <v>0.6</v>
      </c>
      <c r="J492" t="s">
        <v>249</v>
      </c>
      <c r="L492" t="s">
        <v>60</v>
      </c>
      <c r="M492" t="s">
        <v>60</v>
      </c>
      <c r="N492" t="s">
        <v>36</v>
      </c>
      <c r="O492">
        <v>2</v>
      </c>
      <c r="P492">
        <v>3</v>
      </c>
      <c r="Q492" s="13">
        <v>0.46160114896627552</v>
      </c>
      <c r="R492" t="s">
        <v>249</v>
      </c>
      <c r="S492">
        <v>-1.3712604562539201E-2</v>
      </c>
      <c r="T492" t="s">
        <v>60</v>
      </c>
      <c r="U492" t="s">
        <v>60</v>
      </c>
      <c r="X492" t="s">
        <v>60</v>
      </c>
      <c r="Y492" t="s">
        <v>412</v>
      </c>
      <c r="Z492" t="s">
        <v>60</v>
      </c>
      <c r="AA492" t="s">
        <v>491</v>
      </c>
    </row>
    <row r="493" spans="1:27" x14ac:dyDescent="0.2">
      <c r="A493" s="1">
        <v>46002</v>
      </c>
      <c r="B493" t="s">
        <v>324</v>
      </c>
      <c r="C493" t="s">
        <v>35</v>
      </c>
      <c r="D493" t="s">
        <v>29</v>
      </c>
      <c r="E493" t="s">
        <v>987</v>
      </c>
      <c r="F493" t="s">
        <v>29</v>
      </c>
      <c r="G493">
        <v>2</v>
      </c>
      <c r="H493">
        <v>3</v>
      </c>
      <c r="I493" s="13">
        <v>0.6</v>
      </c>
      <c r="J493" t="s">
        <v>249</v>
      </c>
      <c r="L493" t="s">
        <v>60</v>
      </c>
      <c r="M493" t="s">
        <v>60</v>
      </c>
      <c r="N493" t="s">
        <v>29</v>
      </c>
      <c r="O493">
        <v>2</v>
      </c>
      <c r="P493">
        <v>3</v>
      </c>
      <c r="Q493" s="13">
        <v>0.54694304707093155</v>
      </c>
      <c r="R493" t="s">
        <v>249</v>
      </c>
      <c r="S493">
        <v>5.9461837060823898E-2</v>
      </c>
      <c r="T493" t="s">
        <v>60</v>
      </c>
      <c r="U493" t="s">
        <v>60</v>
      </c>
      <c r="X493" t="s">
        <v>60</v>
      </c>
      <c r="Y493" t="s">
        <v>412</v>
      </c>
      <c r="Z493" t="s">
        <v>60</v>
      </c>
      <c r="AA493" t="s">
        <v>491</v>
      </c>
    </row>
    <row r="494" spans="1:27" x14ac:dyDescent="0.2">
      <c r="A494" s="1">
        <v>46003</v>
      </c>
      <c r="B494" t="s">
        <v>324</v>
      </c>
      <c r="C494" t="s">
        <v>10</v>
      </c>
      <c r="D494" t="s">
        <v>35</v>
      </c>
      <c r="E494" t="s">
        <v>568</v>
      </c>
      <c r="F494" t="s">
        <v>10</v>
      </c>
      <c r="G494">
        <v>2</v>
      </c>
      <c r="H494">
        <v>3</v>
      </c>
      <c r="I494" s="13">
        <v>0.6</v>
      </c>
      <c r="J494" t="s">
        <v>249</v>
      </c>
      <c r="L494" t="s">
        <v>60</v>
      </c>
      <c r="M494" t="s">
        <v>60</v>
      </c>
      <c r="N494" t="s">
        <v>10</v>
      </c>
      <c r="O494">
        <v>2</v>
      </c>
      <c r="P494">
        <v>3</v>
      </c>
      <c r="Q494" s="13">
        <v>0.59642576877361209</v>
      </c>
      <c r="R494" t="s">
        <v>249</v>
      </c>
      <c r="S494">
        <v>-1.1683813678402459</v>
      </c>
      <c r="T494" t="s">
        <v>60</v>
      </c>
      <c r="U494" t="s">
        <v>60</v>
      </c>
      <c r="X494" t="s">
        <v>60</v>
      </c>
      <c r="Y494" t="s">
        <v>412</v>
      </c>
      <c r="Z494" t="s">
        <v>60</v>
      </c>
      <c r="AA494" t="s">
        <v>491</v>
      </c>
    </row>
    <row r="495" spans="1:27" x14ac:dyDescent="0.2">
      <c r="A495" s="1">
        <v>46003</v>
      </c>
      <c r="B495" t="s">
        <v>326</v>
      </c>
      <c r="C495" t="s">
        <v>32</v>
      </c>
      <c r="D495" t="s">
        <v>55</v>
      </c>
      <c r="E495" t="s">
        <v>988</v>
      </c>
      <c r="F495" t="s">
        <v>55</v>
      </c>
      <c r="G495">
        <v>2</v>
      </c>
      <c r="H495">
        <v>3</v>
      </c>
      <c r="I495" s="13">
        <v>0.6</v>
      </c>
      <c r="J495" t="s">
        <v>249</v>
      </c>
      <c r="L495" t="s">
        <v>60</v>
      </c>
      <c r="M495" t="s">
        <v>60</v>
      </c>
      <c r="N495" t="s">
        <v>55</v>
      </c>
      <c r="O495">
        <v>2</v>
      </c>
      <c r="P495">
        <v>3</v>
      </c>
      <c r="Q495" s="13">
        <v>0.6150116090397193</v>
      </c>
      <c r="R495" t="s">
        <v>249</v>
      </c>
      <c r="S495">
        <v>0.29615469518006998</v>
      </c>
      <c r="T495" t="s">
        <v>60</v>
      </c>
      <c r="U495" t="s">
        <v>60</v>
      </c>
      <c r="X495" t="s">
        <v>60</v>
      </c>
      <c r="Y495" t="s">
        <v>412</v>
      </c>
      <c r="Z495" t="s">
        <v>60</v>
      </c>
      <c r="AA495" t="s">
        <v>491</v>
      </c>
    </row>
    <row r="496" spans="1:27" x14ac:dyDescent="0.2">
      <c r="A496" s="1">
        <v>46004</v>
      </c>
      <c r="B496" t="s">
        <v>328</v>
      </c>
      <c r="C496" t="s">
        <v>22</v>
      </c>
      <c r="D496" t="s">
        <v>40</v>
      </c>
      <c r="E496" t="s">
        <v>989</v>
      </c>
      <c r="F496" t="s">
        <v>22</v>
      </c>
      <c r="G496">
        <v>2</v>
      </c>
      <c r="H496">
        <v>3</v>
      </c>
      <c r="I496" s="13">
        <v>0.6</v>
      </c>
      <c r="J496" t="s">
        <v>249</v>
      </c>
      <c r="L496" t="s">
        <v>60</v>
      </c>
      <c r="M496" t="s">
        <v>60</v>
      </c>
      <c r="N496" t="s">
        <v>22</v>
      </c>
      <c r="O496">
        <v>2</v>
      </c>
      <c r="P496">
        <v>3</v>
      </c>
      <c r="Q496" s="13">
        <v>0.58220803093694351</v>
      </c>
      <c r="R496" t="s">
        <v>249</v>
      </c>
      <c r="S496">
        <v>-0.704048307713386</v>
      </c>
      <c r="T496" t="s">
        <v>60</v>
      </c>
      <c r="U496" t="s">
        <v>60</v>
      </c>
      <c r="X496" t="s">
        <v>60</v>
      </c>
      <c r="Y496" t="s">
        <v>412</v>
      </c>
      <c r="Z496" t="s">
        <v>60</v>
      </c>
      <c r="AA496" t="s">
        <v>491</v>
      </c>
    </row>
    <row r="497" spans="1:27" x14ac:dyDescent="0.2">
      <c r="A497" s="1">
        <v>46004</v>
      </c>
      <c r="B497" t="s">
        <v>328</v>
      </c>
      <c r="C497" t="s">
        <v>17</v>
      </c>
      <c r="D497" t="s">
        <v>19</v>
      </c>
      <c r="E497" t="s">
        <v>990</v>
      </c>
      <c r="F497" t="s">
        <v>19</v>
      </c>
      <c r="G497">
        <v>2</v>
      </c>
      <c r="H497">
        <v>3</v>
      </c>
      <c r="I497" s="13">
        <v>0.6</v>
      </c>
      <c r="J497" t="s">
        <v>249</v>
      </c>
      <c r="L497" t="s">
        <v>60</v>
      </c>
      <c r="M497" t="s">
        <v>60</v>
      </c>
      <c r="N497" t="s">
        <v>19</v>
      </c>
      <c r="O497">
        <v>2</v>
      </c>
      <c r="P497">
        <v>3</v>
      </c>
      <c r="Q497" s="13">
        <v>0.56722590127621864</v>
      </c>
      <c r="R497" t="s">
        <v>249</v>
      </c>
      <c r="S497">
        <v>0.23316882184170359</v>
      </c>
      <c r="T497" t="s">
        <v>60</v>
      </c>
      <c r="U497" t="s">
        <v>60</v>
      </c>
      <c r="X497" t="s">
        <v>60</v>
      </c>
      <c r="Y497" t="s">
        <v>412</v>
      </c>
      <c r="Z497" t="s">
        <v>60</v>
      </c>
      <c r="AA497" t="s">
        <v>491</v>
      </c>
    </row>
    <row r="498" spans="1:27" x14ac:dyDescent="0.2">
      <c r="A498" s="1">
        <v>46004</v>
      </c>
      <c r="B498" t="s">
        <v>453</v>
      </c>
      <c r="C498" t="s">
        <v>33</v>
      </c>
      <c r="D498" t="s">
        <v>14</v>
      </c>
      <c r="E498" t="s">
        <v>991</v>
      </c>
      <c r="F498" t="s">
        <v>14</v>
      </c>
      <c r="G498">
        <v>2</v>
      </c>
      <c r="H498">
        <v>3</v>
      </c>
      <c r="I498" s="13">
        <v>0.6</v>
      </c>
      <c r="J498" t="s">
        <v>249</v>
      </c>
      <c r="L498" t="s">
        <v>60</v>
      </c>
      <c r="M498" t="s">
        <v>60</v>
      </c>
      <c r="N498" t="s">
        <v>14</v>
      </c>
      <c r="O498">
        <v>2</v>
      </c>
      <c r="P498">
        <v>3</v>
      </c>
      <c r="Q498" s="13">
        <v>0.58191475591210462</v>
      </c>
      <c r="R498" t="s">
        <v>249</v>
      </c>
      <c r="S498">
        <v>0.35896751973991581</v>
      </c>
      <c r="T498" t="s">
        <v>60</v>
      </c>
      <c r="U498" t="s">
        <v>60</v>
      </c>
      <c r="X498" t="s">
        <v>60</v>
      </c>
      <c r="Y498" t="s">
        <v>412</v>
      </c>
      <c r="Z498" t="s">
        <v>60</v>
      </c>
      <c r="AA498" t="s">
        <v>491</v>
      </c>
    </row>
    <row r="499" spans="1:27" x14ac:dyDescent="0.2">
      <c r="A499" s="1">
        <v>46004</v>
      </c>
      <c r="B499" t="s">
        <v>328</v>
      </c>
      <c r="C499" t="s">
        <v>25</v>
      </c>
      <c r="D499" t="s">
        <v>27</v>
      </c>
      <c r="E499" t="s">
        <v>992</v>
      </c>
      <c r="F499" t="s">
        <v>25</v>
      </c>
      <c r="G499">
        <v>2</v>
      </c>
      <c r="H499">
        <v>3</v>
      </c>
      <c r="I499" s="13">
        <v>0.6</v>
      </c>
      <c r="J499" t="s">
        <v>249</v>
      </c>
      <c r="L499" t="s">
        <v>60</v>
      </c>
      <c r="M499" t="s">
        <v>60</v>
      </c>
      <c r="N499" t="s">
        <v>25</v>
      </c>
      <c r="O499">
        <v>2</v>
      </c>
      <c r="P499">
        <v>3</v>
      </c>
      <c r="Q499" s="13">
        <v>0.60679430770908094</v>
      </c>
      <c r="R499" t="s">
        <v>249</v>
      </c>
      <c r="S499">
        <v>-0.75601397191170627</v>
      </c>
      <c r="T499" t="s">
        <v>60</v>
      </c>
      <c r="U499" t="s">
        <v>60</v>
      </c>
      <c r="X499" t="s">
        <v>60</v>
      </c>
      <c r="Y499" t="s">
        <v>412</v>
      </c>
      <c r="Z499" t="s">
        <v>60</v>
      </c>
      <c r="AA499" t="s">
        <v>491</v>
      </c>
    </row>
    <row r="500" spans="1:27" x14ac:dyDescent="0.2">
      <c r="A500" s="1">
        <v>46004</v>
      </c>
      <c r="B500" t="s">
        <v>328</v>
      </c>
      <c r="C500" t="s">
        <v>18</v>
      </c>
      <c r="D500" t="s">
        <v>15</v>
      </c>
      <c r="E500" t="s">
        <v>993</v>
      </c>
      <c r="F500" t="s">
        <v>15</v>
      </c>
      <c r="G500">
        <v>2</v>
      </c>
      <c r="H500">
        <v>3</v>
      </c>
      <c r="I500" s="13">
        <v>0.6</v>
      </c>
      <c r="J500" t="s">
        <v>249</v>
      </c>
      <c r="L500" t="s">
        <v>60</v>
      </c>
      <c r="M500" t="s">
        <v>60</v>
      </c>
      <c r="N500" t="s">
        <v>15</v>
      </c>
      <c r="O500">
        <v>2</v>
      </c>
      <c r="P500">
        <v>3</v>
      </c>
      <c r="Q500" s="13">
        <v>0.52190168133413184</v>
      </c>
      <c r="R500" t="s">
        <v>249</v>
      </c>
      <c r="S500">
        <v>0.35275639271304499</v>
      </c>
      <c r="T500" t="s">
        <v>60</v>
      </c>
      <c r="U500" t="s">
        <v>60</v>
      </c>
      <c r="X500" t="s">
        <v>60</v>
      </c>
      <c r="Y500" t="s">
        <v>412</v>
      </c>
      <c r="Z500" t="s">
        <v>60</v>
      </c>
      <c r="AA500" t="s">
        <v>491</v>
      </c>
    </row>
    <row r="501" spans="1:27" x14ac:dyDescent="0.2">
      <c r="A501" s="1">
        <v>46004</v>
      </c>
      <c r="B501" t="s">
        <v>352</v>
      </c>
      <c r="C501" t="s">
        <v>37</v>
      </c>
      <c r="D501" t="s">
        <v>30</v>
      </c>
      <c r="E501" t="s">
        <v>485</v>
      </c>
      <c r="F501" t="s">
        <v>37</v>
      </c>
      <c r="G501">
        <v>2</v>
      </c>
      <c r="H501">
        <v>3</v>
      </c>
      <c r="I501" s="13">
        <v>0.6</v>
      </c>
      <c r="J501" t="s">
        <v>249</v>
      </c>
      <c r="L501" t="s">
        <v>60</v>
      </c>
      <c r="M501" t="s">
        <v>60</v>
      </c>
      <c r="N501" t="s">
        <v>37</v>
      </c>
      <c r="O501">
        <v>2</v>
      </c>
      <c r="P501">
        <v>3</v>
      </c>
      <c r="Q501" s="13">
        <v>0.63440089257773835</v>
      </c>
      <c r="R501" t="s">
        <v>249</v>
      </c>
      <c r="S501">
        <v>-0.70153619526477451</v>
      </c>
      <c r="T501" t="s">
        <v>60</v>
      </c>
      <c r="U501" t="s">
        <v>60</v>
      </c>
      <c r="X501" t="s">
        <v>60</v>
      </c>
      <c r="Y501" t="s">
        <v>412</v>
      </c>
      <c r="Z501" t="s">
        <v>60</v>
      </c>
      <c r="AA501" t="s">
        <v>491</v>
      </c>
    </row>
    <row r="502" spans="1:27" x14ac:dyDescent="0.2">
      <c r="A502" s="1">
        <v>46004</v>
      </c>
      <c r="B502" t="s">
        <v>324</v>
      </c>
      <c r="C502" t="s">
        <v>11</v>
      </c>
      <c r="D502" t="s">
        <v>39</v>
      </c>
      <c r="E502" t="s">
        <v>994</v>
      </c>
      <c r="F502" t="s">
        <v>39</v>
      </c>
      <c r="G502">
        <v>2</v>
      </c>
      <c r="H502">
        <v>3</v>
      </c>
      <c r="I502" s="13">
        <v>0.6</v>
      </c>
      <c r="J502" t="s">
        <v>249</v>
      </c>
      <c r="L502" t="s">
        <v>60</v>
      </c>
      <c r="M502" t="s">
        <v>60</v>
      </c>
      <c r="N502" t="s">
        <v>39</v>
      </c>
      <c r="O502">
        <v>2</v>
      </c>
      <c r="P502">
        <v>3</v>
      </c>
      <c r="Q502" s="13">
        <v>0.67271765032437847</v>
      </c>
      <c r="R502" t="s">
        <v>249</v>
      </c>
      <c r="S502">
        <v>0.86046154184238888</v>
      </c>
      <c r="T502" t="s">
        <v>60</v>
      </c>
      <c r="U502" t="s">
        <v>60</v>
      </c>
      <c r="X502" t="s">
        <v>60</v>
      </c>
      <c r="Y502" t="s">
        <v>412</v>
      </c>
      <c r="Z502" t="s">
        <v>60</v>
      </c>
      <c r="AA502" t="s">
        <v>491</v>
      </c>
    </row>
    <row r="503" spans="1:27" x14ac:dyDescent="0.2">
      <c r="A503" s="1">
        <v>46004</v>
      </c>
      <c r="B503" t="s">
        <v>459</v>
      </c>
      <c r="C503" t="s">
        <v>36</v>
      </c>
      <c r="D503" t="s">
        <v>34</v>
      </c>
      <c r="E503" t="s">
        <v>995</v>
      </c>
      <c r="F503" t="s">
        <v>34</v>
      </c>
      <c r="G503">
        <v>2</v>
      </c>
      <c r="H503">
        <v>3</v>
      </c>
      <c r="I503" s="13">
        <v>0.6</v>
      </c>
      <c r="J503" t="s">
        <v>249</v>
      </c>
      <c r="L503" t="s">
        <v>60</v>
      </c>
      <c r="M503" t="s">
        <v>60</v>
      </c>
      <c r="N503" t="s">
        <v>34</v>
      </c>
      <c r="O503">
        <v>2</v>
      </c>
      <c r="P503">
        <v>3</v>
      </c>
      <c r="Q503" s="13">
        <v>0.60143601288999726</v>
      </c>
      <c r="R503" t="s">
        <v>249</v>
      </c>
      <c r="S503">
        <v>0.52615201233852227</v>
      </c>
      <c r="T503" t="s">
        <v>60</v>
      </c>
      <c r="U503" t="s">
        <v>60</v>
      </c>
      <c r="X503" t="s">
        <v>60</v>
      </c>
      <c r="Y503" t="s">
        <v>412</v>
      </c>
      <c r="Z503" t="s">
        <v>60</v>
      </c>
      <c r="AA503" t="s">
        <v>491</v>
      </c>
    </row>
    <row r="504" spans="1:27" x14ac:dyDescent="0.2">
      <c r="A504" s="1">
        <v>46004</v>
      </c>
      <c r="B504" t="s">
        <v>322</v>
      </c>
      <c r="C504" t="s">
        <v>16</v>
      </c>
      <c r="D504" t="s">
        <v>13</v>
      </c>
      <c r="E504" t="s">
        <v>996</v>
      </c>
      <c r="F504" t="s">
        <v>13</v>
      </c>
      <c r="G504">
        <v>2</v>
      </c>
      <c r="H504">
        <v>3</v>
      </c>
      <c r="I504" s="13">
        <v>0.6</v>
      </c>
      <c r="J504" t="s">
        <v>249</v>
      </c>
      <c r="L504" t="s">
        <v>60</v>
      </c>
      <c r="M504" t="s">
        <v>60</v>
      </c>
      <c r="N504" t="s">
        <v>13</v>
      </c>
      <c r="O504">
        <v>2</v>
      </c>
      <c r="P504">
        <v>3</v>
      </c>
      <c r="Q504" s="13">
        <v>0.63077274020161012</v>
      </c>
      <c r="R504" t="s">
        <v>249</v>
      </c>
      <c r="S504">
        <v>0.77739842929056957</v>
      </c>
      <c r="T504" t="s">
        <v>60</v>
      </c>
      <c r="U504" t="s">
        <v>60</v>
      </c>
      <c r="X504" t="s">
        <v>60</v>
      </c>
      <c r="Y504" t="s">
        <v>412</v>
      </c>
      <c r="Z504" t="s">
        <v>60</v>
      </c>
      <c r="AA504" t="s">
        <v>491</v>
      </c>
    </row>
    <row r="505" spans="1:27" x14ac:dyDescent="0.2">
      <c r="A505" s="1">
        <v>46004</v>
      </c>
      <c r="B505" t="s">
        <v>326</v>
      </c>
      <c r="C505" t="s">
        <v>29</v>
      </c>
      <c r="D505" t="s">
        <v>12</v>
      </c>
      <c r="E505" t="s">
        <v>997</v>
      </c>
      <c r="F505" t="s">
        <v>12</v>
      </c>
      <c r="G505">
        <v>2</v>
      </c>
      <c r="H505">
        <v>3</v>
      </c>
      <c r="I505" s="13">
        <v>0.6</v>
      </c>
      <c r="J505" t="s">
        <v>249</v>
      </c>
      <c r="L505" t="s">
        <v>60</v>
      </c>
      <c r="M505" t="s">
        <v>60</v>
      </c>
      <c r="N505" t="s">
        <v>12</v>
      </c>
      <c r="O505">
        <v>2</v>
      </c>
      <c r="P505">
        <v>3</v>
      </c>
      <c r="Q505" s="13">
        <v>1</v>
      </c>
      <c r="R505" t="s">
        <v>249</v>
      </c>
      <c r="S505">
        <v>3.0667216911602</v>
      </c>
      <c r="T505" t="s">
        <v>60</v>
      </c>
      <c r="U505" t="s">
        <v>60</v>
      </c>
      <c r="X505" t="s">
        <v>60</v>
      </c>
      <c r="Y505" t="s">
        <v>412</v>
      </c>
      <c r="Z505" t="s">
        <v>60</v>
      </c>
      <c r="AA505" t="s">
        <v>491</v>
      </c>
    </row>
    <row r="506" spans="1:27" x14ac:dyDescent="0.2">
      <c r="A506" s="1">
        <v>46004</v>
      </c>
      <c r="B506" t="s">
        <v>324</v>
      </c>
      <c r="C506" t="s">
        <v>26</v>
      </c>
      <c r="D506" t="s">
        <v>10</v>
      </c>
      <c r="E506" t="s">
        <v>998</v>
      </c>
      <c r="F506" t="s">
        <v>10</v>
      </c>
      <c r="G506">
        <v>2</v>
      </c>
      <c r="H506">
        <v>3</v>
      </c>
      <c r="I506" s="13">
        <v>0.6</v>
      </c>
      <c r="J506" t="s">
        <v>249</v>
      </c>
      <c r="L506" t="s">
        <v>60</v>
      </c>
      <c r="M506" t="s">
        <v>60</v>
      </c>
      <c r="N506" t="s">
        <v>10</v>
      </c>
      <c r="O506">
        <v>2</v>
      </c>
      <c r="P506">
        <v>3</v>
      </c>
      <c r="Q506" s="13">
        <v>0.62746194896282725</v>
      </c>
      <c r="R506" t="s">
        <v>249</v>
      </c>
      <c r="S506">
        <v>0.74904405877115832</v>
      </c>
      <c r="T506" t="s">
        <v>60</v>
      </c>
      <c r="U506" t="s">
        <v>60</v>
      </c>
      <c r="X506" t="s">
        <v>60</v>
      </c>
      <c r="Y506" t="s">
        <v>412</v>
      </c>
      <c r="Z506" t="s">
        <v>60</v>
      </c>
      <c r="AA506" t="s">
        <v>491</v>
      </c>
    </row>
    <row r="507" spans="1:27" x14ac:dyDescent="0.2">
      <c r="A507" s="1">
        <v>46004</v>
      </c>
      <c r="B507" t="s">
        <v>328</v>
      </c>
      <c r="C507" t="s">
        <v>20</v>
      </c>
      <c r="D507" t="s">
        <v>28</v>
      </c>
      <c r="E507" t="s">
        <v>999</v>
      </c>
      <c r="F507" t="s">
        <v>20</v>
      </c>
      <c r="G507">
        <v>2</v>
      </c>
      <c r="H507">
        <v>3</v>
      </c>
      <c r="I507" s="13">
        <v>0.6</v>
      </c>
      <c r="J507" t="s">
        <v>249</v>
      </c>
      <c r="L507" t="s">
        <v>60</v>
      </c>
      <c r="M507" t="s">
        <v>60</v>
      </c>
      <c r="N507" t="s">
        <v>20</v>
      </c>
      <c r="O507">
        <v>2</v>
      </c>
      <c r="P507">
        <v>3</v>
      </c>
      <c r="Q507" s="13">
        <v>0.4951050708264203</v>
      </c>
      <c r="R507" t="s">
        <v>249</v>
      </c>
      <c r="S507">
        <v>-0.30064782510674137</v>
      </c>
      <c r="T507" t="s">
        <v>60</v>
      </c>
      <c r="U507" t="s">
        <v>60</v>
      </c>
      <c r="X507" t="s">
        <v>60</v>
      </c>
      <c r="Y507" t="s">
        <v>412</v>
      </c>
      <c r="Z507" t="s">
        <v>60</v>
      </c>
      <c r="AA507" t="s">
        <v>491</v>
      </c>
    </row>
    <row r="508" spans="1:27" x14ac:dyDescent="0.2">
      <c r="A508" s="1">
        <v>46004</v>
      </c>
      <c r="B508" t="s">
        <v>555</v>
      </c>
      <c r="C508" t="s">
        <v>31</v>
      </c>
      <c r="D508" t="s">
        <v>24</v>
      </c>
      <c r="E508" t="s">
        <v>1000</v>
      </c>
      <c r="F508" t="s">
        <v>31</v>
      </c>
      <c r="G508">
        <v>2</v>
      </c>
      <c r="H508">
        <v>3</v>
      </c>
      <c r="I508" s="13">
        <v>0.6</v>
      </c>
      <c r="J508" t="s">
        <v>249</v>
      </c>
      <c r="L508" t="s">
        <v>60</v>
      </c>
      <c r="M508" t="s">
        <v>60</v>
      </c>
      <c r="N508" t="s">
        <v>31</v>
      </c>
      <c r="O508">
        <v>2</v>
      </c>
      <c r="P508">
        <v>3</v>
      </c>
      <c r="Q508" s="13">
        <v>0.41486088698717127</v>
      </c>
      <c r="R508" t="s">
        <v>249</v>
      </c>
      <c r="S508">
        <v>-0.1272720221514996</v>
      </c>
      <c r="T508" t="s">
        <v>60</v>
      </c>
      <c r="U508" t="s">
        <v>60</v>
      </c>
      <c r="X508" t="s">
        <v>60</v>
      </c>
      <c r="Y508" t="s">
        <v>412</v>
      </c>
      <c r="Z508" t="s">
        <v>60</v>
      </c>
      <c r="AA508" t="s">
        <v>491</v>
      </c>
    </row>
    <row r="509" spans="1:27" x14ac:dyDescent="0.2">
      <c r="A509" s="1">
        <v>46005</v>
      </c>
      <c r="B509" t="s">
        <v>324</v>
      </c>
      <c r="C509" t="s">
        <v>23</v>
      </c>
      <c r="D509" t="s">
        <v>32</v>
      </c>
      <c r="E509" t="s">
        <v>1001</v>
      </c>
      <c r="F509" t="s">
        <v>23</v>
      </c>
      <c r="G509">
        <v>2</v>
      </c>
      <c r="H509">
        <v>3</v>
      </c>
      <c r="I509" s="13">
        <v>0.6</v>
      </c>
      <c r="J509" t="s">
        <v>249</v>
      </c>
      <c r="L509" t="s">
        <v>60</v>
      </c>
      <c r="M509" t="s">
        <v>60</v>
      </c>
      <c r="N509" t="s">
        <v>23</v>
      </c>
      <c r="O509">
        <v>2</v>
      </c>
      <c r="P509">
        <v>3</v>
      </c>
      <c r="Q509" s="13">
        <v>0.4744048071621822</v>
      </c>
      <c r="R509" t="s">
        <v>249</v>
      </c>
      <c r="S509">
        <v>-0.1233660506143379</v>
      </c>
      <c r="T509" t="s">
        <v>60</v>
      </c>
      <c r="U509" t="s">
        <v>60</v>
      </c>
      <c r="X509" t="s">
        <v>60</v>
      </c>
      <c r="Y509" t="s">
        <v>412</v>
      </c>
      <c r="Z509" t="s">
        <v>60</v>
      </c>
      <c r="AA509" t="s">
        <v>491</v>
      </c>
    </row>
    <row r="510" spans="1:27" x14ac:dyDescent="0.2">
      <c r="A510" s="1">
        <v>46005</v>
      </c>
      <c r="B510" t="s">
        <v>555</v>
      </c>
      <c r="C510" t="s">
        <v>38</v>
      </c>
      <c r="D510" t="s">
        <v>24</v>
      </c>
      <c r="E510" t="s">
        <v>1002</v>
      </c>
      <c r="F510" t="s">
        <v>24</v>
      </c>
      <c r="G510">
        <v>2</v>
      </c>
      <c r="H510">
        <v>3</v>
      </c>
      <c r="I510" s="13">
        <v>0.6</v>
      </c>
      <c r="J510" t="s">
        <v>249</v>
      </c>
      <c r="L510" t="s">
        <v>60</v>
      </c>
      <c r="M510" t="s">
        <v>60</v>
      </c>
      <c r="N510" t="s">
        <v>24</v>
      </c>
      <c r="O510">
        <v>2</v>
      </c>
      <c r="P510">
        <v>3</v>
      </c>
      <c r="Q510" s="13">
        <v>0.73309904907991641</v>
      </c>
      <c r="R510" t="s">
        <v>249</v>
      </c>
      <c r="S510">
        <v>0.99910875479857075</v>
      </c>
      <c r="T510" t="s">
        <v>60</v>
      </c>
      <c r="U510" t="s">
        <v>60</v>
      </c>
      <c r="X510" t="s">
        <v>60</v>
      </c>
      <c r="Y510" t="s">
        <v>412</v>
      </c>
      <c r="Z510" t="s">
        <v>60</v>
      </c>
      <c r="AA510" t="s">
        <v>491</v>
      </c>
    </row>
    <row r="511" spans="1:27" x14ac:dyDescent="0.2">
      <c r="A511" s="1">
        <v>46005</v>
      </c>
      <c r="B511" t="s">
        <v>453</v>
      </c>
      <c r="C511" t="s">
        <v>55</v>
      </c>
      <c r="D511" t="s">
        <v>14</v>
      </c>
      <c r="E511" t="s">
        <v>1003</v>
      </c>
      <c r="F511" t="s">
        <v>14</v>
      </c>
      <c r="G511">
        <v>2</v>
      </c>
      <c r="H511">
        <v>3</v>
      </c>
      <c r="I511" s="13">
        <v>0.6</v>
      </c>
      <c r="J511" t="s">
        <v>249</v>
      </c>
      <c r="L511" t="s">
        <v>60</v>
      </c>
      <c r="M511" t="s">
        <v>60</v>
      </c>
      <c r="N511" t="s">
        <v>14</v>
      </c>
      <c r="O511">
        <v>2</v>
      </c>
      <c r="P511">
        <v>3</v>
      </c>
      <c r="Q511" s="13">
        <v>0.57628579504977917</v>
      </c>
      <c r="R511" t="s">
        <v>249</v>
      </c>
      <c r="S511">
        <v>0.31075981637885491</v>
      </c>
      <c r="T511" t="s">
        <v>60</v>
      </c>
      <c r="U511" t="s">
        <v>60</v>
      </c>
      <c r="X511" t="s">
        <v>60</v>
      </c>
      <c r="Y511" t="s">
        <v>412</v>
      </c>
      <c r="Z511" t="s">
        <v>60</v>
      </c>
      <c r="AA511" t="s">
        <v>491</v>
      </c>
    </row>
    <row r="512" spans="1:27" x14ac:dyDescent="0.2">
      <c r="A512" s="1">
        <v>46005</v>
      </c>
      <c r="B512" t="s">
        <v>469</v>
      </c>
      <c r="C512" t="s">
        <v>21</v>
      </c>
      <c r="D512" t="s">
        <v>34</v>
      </c>
      <c r="E512" t="s">
        <v>1004</v>
      </c>
      <c r="F512" t="s">
        <v>34</v>
      </c>
      <c r="G512">
        <v>2</v>
      </c>
      <c r="H512">
        <v>3</v>
      </c>
      <c r="I512" s="13">
        <v>0.6</v>
      </c>
      <c r="J512" t="s">
        <v>249</v>
      </c>
      <c r="L512" t="s">
        <v>60</v>
      </c>
      <c r="M512" t="s">
        <v>60</v>
      </c>
      <c r="N512" t="s">
        <v>34</v>
      </c>
      <c r="O512">
        <v>2</v>
      </c>
      <c r="P512">
        <v>3</v>
      </c>
      <c r="Q512" s="13">
        <v>0.56422188641562931</v>
      </c>
      <c r="R512" t="s">
        <v>249</v>
      </c>
      <c r="S512">
        <v>0.21454572192141519</v>
      </c>
      <c r="T512" t="s">
        <v>60</v>
      </c>
      <c r="U512" t="s">
        <v>60</v>
      </c>
      <c r="X512" t="s">
        <v>60</v>
      </c>
      <c r="Y512" t="s">
        <v>412</v>
      </c>
      <c r="Z512" t="s">
        <v>60</v>
      </c>
      <c r="AA512" t="s">
        <v>491</v>
      </c>
    </row>
    <row r="513" spans="1:27" x14ac:dyDescent="0.2">
      <c r="A513" s="1">
        <v>46005</v>
      </c>
      <c r="B513" t="s">
        <v>365</v>
      </c>
      <c r="C513" t="s">
        <v>27</v>
      </c>
      <c r="D513" t="s">
        <v>25</v>
      </c>
      <c r="E513" t="s">
        <v>530</v>
      </c>
      <c r="F513" t="s">
        <v>25</v>
      </c>
      <c r="G513">
        <v>2</v>
      </c>
      <c r="H513">
        <v>3</v>
      </c>
      <c r="I513" s="13">
        <v>0.6</v>
      </c>
      <c r="J513" t="s">
        <v>249</v>
      </c>
      <c r="L513" t="s">
        <v>60</v>
      </c>
      <c r="M513" t="s">
        <v>60</v>
      </c>
      <c r="N513" t="s">
        <v>25</v>
      </c>
      <c r="O513">
        <v>2</v>
      </c>
      <c r="P513">
        <v>3</v>
      </c>
      <c r="Q513" s="13">
        <v>0.64992908702910213</v>
      </c>
      <c r="R513" t="s">
        <v>249</v>
      </c>
      <c r="S513">
        <v>0.85581546975803113</v>
      </c>
      <c r="T513" t="s">
        <v>60</v>
      </c>
      <c r="U513" t="s">
        <v>60</v>
      </c>
      <c r="X513" t="s">
        <v>60</v>
      </c>
      <c r="Y513" t="s">
        <v>412</v>
      </c>
      <c r="Z513" t="s">
        <v>60</v>
      </c>
      <c r="AA513" t="s">
        <v>491</v>
      </c>
    </row>
    <row r="514" spans="1:27" x14ac:dyDescent="0.2">
      <c r="A514" s="1">
        <v>46005</v>
      </c>
      <c r="B514" t="s">
        <v>328</v>
      </c>
      <c r="C514" t="s">
        <v>17</v>
      </c>
      <c r="D514" t="s">
        <v>18</v>
      </c>
      <c r="E514" t="s">
        <v>1005</v>
      </c>
      <c r="F514" t="s">
        <v>18</v>
      </c>
      <c r="G514">
        <v>2</v>
      </c>
      <c r="H514">
        <v>3</v>
      </c>
      <c r="I514" s="13">
        <v>0.6</v>
      </c>
      <c r="J514" t="s">
        <v>249</v>
      </c>
      <c r="L514" t="s">
        <v>60</v>
      </c>
      <c r="M514" t="s">
        <v>60</v>
      </c>
      <c r="N514" t="s">
        <v>18</v>
      </c>
      <c r="O514">
        <v>2</v>
      </c>
      <c r="P514">
        <v>3</v>
      </c>
      <c r="Q514" s="13">
        <v>0.57208202652102691</v>
      </c>
      <c r="R514" t="s">
        <v>249</v>
      </c>
      <c r="S514">
        <v>0.27475778488685898</v>
      </c>
      <c r="T514" t="s">
        <v>60</v>
      </c>
      <c r="U514" t="s">
        <v>60</v>
      </c>
      <c r="X514" t="s">
        <v>60</v>
      </c>
      <c r="Y514" t="s">
        <v>412</v>
      </c>
      <c r="Z514" t="s">
        <v>60</v>
      </c>
      <c r="AA514" t="s">
        <v>491</v>
      </c>
    </row>
    <row r="515" spans="1:27" x14ac:dyDescent="0.2">
      <c r="A515" s="1">
        <v>46006</v>
      </c>
      <c r="B515" t="s">
        <v>324</v>
      </c>
      <c r="C515" t="s">
        <v>13</v>
      </c>
      <c r="D515" t="s">
        <v>39</v>
      </c>
      <c r="E515" t="s">
        <v>659</v>
      </c>
      <c r="F515" t="s">
        <v>39</v>
      </c>
      <c r="G515">
        <v>2</v>
      </c>
      <c r="H515">
        <v>3</v>
      </c>
      <c r="I515" s="13">
        <v>0.6</v>
      </c>
      <c r="J515" t="s">
        <v>249</v>
      </c>
      <c r="L515" t="s">
        <v>60</v>
      </c>
      <c r="M515" t="s">
        <v>60</v>
      </c>
      <c r="N515" t="s">
        <v>39</v>
      </c>
      <c r="O515">
        <v>2</v>
      </c>
      <c r="P515">
        <v>3</v>
      </c>
      <c r="Q515" s="13">
        <v>0.59993087976587611</v>
      </c>
      <c r="R515" t="s">
        <v>249</v>
      </c>
      <c r="S515">
        <v>0.80162684945549589</v>
      </c>
      <c r="T515" t="s">
        <v>60</v>
      </c>
      <c r="U515" t="s">
        <v>60</v>
      </c>
      <c r="X515" t="s">
        <v>60</v>
      </c>
      <c r="Y515" t="s">
        <v>412</v>
      </c>
      <c r="Z515" t="s">
        <v>60</v>
      </c>
      <c r="AA515" t="s">
        <v>491</v>
      </c>
    </row>
    <row r="516" spans="1:27" x14ac:dyDescent="0.2">
      <c r="A516" s="1">
        <v>46006</v>
      </c>
      <c r="B516" t="s">
        <v>328</v>
      </c>
      <c r="C516" t="s">
        <v>31</v>
      </c>
      <c r="D516" t="s">
        <v>15</v>
      </c>
      <c r="E516" t="s">
        <v>1006</v>
      </c>
      <c r="F516" t="s">
        <v>31</v>
      </c>
      <c r="G516">
        <v>2</v>
      </c>
      <c r="H516">
        <v>3</v>
      </c>
      <c r="I516" s="13">
        <v>0.6</v>
      </c>
      <c r="J516" t="s">
        <v>249</v>
      </c>
      <c r="L516" t="s">
        <v>60</v>
      </c>
      <c r="M516" t="s">
        <v>60</v>
      </c>
      <c r="N516" t="s">
        <v>31</v>
      </c>
      <c r="O516">
        <v>2</v>
      </c>
      <c r="P516">
        <v>3</v>
      </c>
      <c r="Q516" s="13">
        <v>0.52967454540266012</v>
      </c>
      <c r="R516" t="s">
        <v>249</v>
      </c>
      <c r="S516">
        <v>-0.41883625740004649</v>
      </c>
      <c r="T516" t="s">
        <v>60</v>
      </c>
      <c r="U516" t="s">
        <v>60</v>
      </c>
      <c r="X516" t="s">
        <v>60</v>
      </c>
      <c r="Y516" t="s">
        <v>412</v>
      </c>
      <c r="Z516" t="s">
        <v>60</v>
      </c>
      <c r="AA516" t="s">
        <v>491</v>
      </c>
    </row>
    <row r="517" spans="1:27" x14ac:dyDescent="0.2">
      <c r="A517" s="1">
        <v>46006</v>
      </c>
      <c r="B517" t="s">
        <v>324</v>
      </c>
      <c r="C517" t="s">
        <v>29</v>
      </c>
      <c r="D517" t="s">
        <v>35</v>
      </c>
      <c r="E517" t="s">
        <v>1007</v>
      </c>
      <c r="F517" t="s">
        <v>35</v>
      </c>
      <c r="G517">
        <v>2</v>
      </c>
      <c r="H517">
        <v>3</v>
      </c>
      <c r="I517" s="13">
        <v>0.6</v>
      </c>
      <c r="J517" t="s">
        <v>249</v>
      </c>
      <c r="L517" t="s">
        <v>60</v>
      </c>
      <c r="M517" t="s">
        <v>60</v>
      </c>
      <c r="N517" t="s">
        <v>35</v>
      </c>
      <c r="O517">
        <v>2</v>
      </c>
      <c r="P517">
        <v>3</v>
      </c>
      <c r="Q517" s="13">
        <v>0.54471025076760826</v>
      </c>
      <c r="R517" t="s">
        <v>249</v>
      </c>
      <c r="S517">
        <v>4.0339660785500803E-2</v>
      </c>
      <c r="T517" t="s">
        <v>60</v>
      </c>
      <c r="U517" t="s">
        <v>60</v>
      </c>
      <c r="X517" t="s">
        <v>60</v>
      </c>
      <c r="Y517" t="s">
        <v>412</v>
      </c>
      <c r="Z517" t="s">
        <v>60</v>
      </c>
      <c r="AA517" t="s">
        <v>491</v>
      </c>
    </row>
    <row r="518" spans="1:27" x14ac:dyDescent="0.2">
      <c r="A518" s="1">
        <v>46006</v>
      </c>
      <c r="B518" t="s">
        <v>328</v>
      </c>
      <c r="C518" t="s">
        <v>11</v>
      </c>
      <c r="D518" t="s">
        <v>37</v>
      </c>
      <c r="E518" t="s">
        <v>1008</v>
      </c>
      <c r="F518" t="s">
        <v>37</v>
      </c>
      <c r="G518">
        <v>2</v>
      </c>
      <c r="H518">
        <v>3</v>
      </c>
      <c r="I518" s="13">
        <v>0.6</v>
      </c>
      <c r="J518" t="s">
        <v>249</v>
      </c>
      <c r="L518" t="s">
        <v>60</v>
      </c>
      <c r="M518" t="s">
        <v>60</v>
      </c>
      <c r="N518" t="s">
        <v>37</v>
      </c>
      <c r="O518">
        <v>2</v>
      </c>
      <c r="P518">
        <v>3</v>
      </c>
      <c r="Q518" s="13">
        <v>0.68405112330490425</v>
      </c>
      <c r="R518" t="s">
        <v>249</v>
      </c>
      <c r="S518">
        <v>0.95752398673387318</v>
      </c>
      <c r="T518" t="s">
        <v>60</v>
      </c>
      <c r="U518" t="s">
        <v>60</v>
      </c>
      <c r="X518" t="s">
        <v>60</v>
      </c>
      <c r="Y518" t="s">
        <v>412</v>
      </c>
      <c r="Z518" t="s">
        <v>60</v>
      </c>
      <c r="AA518" t="s">
        <v>491</v>
      </c>
    </row>
    <row r="519" spans="1:27" x14ac:dyDescent="0.2">
      <c r="A519" s="1">
        <v>46006</v>
      </c>
      <c r="B519" t="s">
        <v>334</v>
      </c>
      <c r="C519" t="s">
        <v>36</v>
      </c>
      <c r="D519" t="s">
        <v>40</v>
      </c>
      <c r="E519" t="s">
        <v>1009</v>
      </c>
      <c r="F519" t="s">
        <v>40</v>
      </c>
      <c r="G519">
        <v>2</v>
      </c>
      <c r="H519">
        <v>3</v>
      </c>
      <c r="I519" s="13">
        <v>0.6</v>
      </c>
      <c r="J519" t="s">
        <v>249</v>
      </c>
      <c r="L519" t="s">
        <v>60</v>
      </c>
      <c r="M519" t="s">
        <v>60</v>
      </c>
      <c r="N519" t="s">
        <v>40</v>
      </c>
      <c r="O519">
        <v>2</v>
      </c>
      <c r="P519">
        <v>3</v>
      </c>
      <c r="Q519" s="13">
        <v>0.57379251856685676</v>
      </c>
      <c r="R519" t="s">
        <v>249</v>
      </c>
      <c r="S519">
        <v>0.26803497600520948</v>
      </c>
      <c r="T519" t="s">
        <v>60</v>
      </c>
      <c r="U519" t="s">
        <v>60</v>
      </c>
      <c r="X519" t="s">
        <v>60</v>
      </c>
      <c r="Y519" t="s">
        <v>412</v>
      </c>
      <c r="Z519" t="s">
        <v>60</v>
      </c>
      <c r="AA519" t="s">
        <v>491</v>
      </c>
    </row>
    <row r="520" spans="1:27" x14ac:dyDescent="0.2">
      <c r="A520" s="1">
        <v>46007</v>
      </c>
      <c r="B520" t="s">
        <v>328</v>
      </c>
      <c r="C520" t="s">
        <v>10</v>
      </c>
      <c r="D520" t="s">
        <v>19</v>
      </c>
      <c r="E520" t="s">
        <v>1010</v>
      </c>
      <c r="F520" t="s">
        <v>10</v>
      </c>
      <c r="G520">
        <v>2</v>
      </c>
      <c r="H520">
        <v>3</v>
      </c>
      <c r="I520" s="13">
        <v>0.6</v>
      </c>
      <c r="J520" t="s">
        <v>249</v>
      </c>
      <c r="L520" t="s">
        <v>60</v>
      </c>
      <c r="M520" t="s">
        <v>60</v>
      </c>
      <c r="N520" t="s">
        <v>10</v>
      </c>
      <c r="O520">
        <v>2</v>
      </c>
      <c r="P520">
        <v>3</v>
      </c>
      <c r="Q520" s="13">
        <v>0.50768457758899765</v>
      </c>
      <c r="R520" t="s">
        <v>249</v>
      </c>
      <c r="S520">
        <v>-0.40838158721150453</v>
      </c>
      <c r="T520" t="s">
        <v>60</v>
      </c>
      <c r="U520" t="s">
        <v>60</v>
      </c>
      <c r="X520" t="s">
        <v>60</v>
      </c>
      <c r="Y520" t="s">
        <v>412</v>
      </c>
      <c r="Z520" t="s">
        <v>60</v>
      </c>
      <c r="AA520" t="s">
        <v>491</v>
      </c>
    </row>
    <row r="521" spans="1:27" x14ac:dyDescent="0.2">
      <c r="A521" s="1">
        <v>46007</v>
      </c>
      <c r="B521" t="s">
        <v>322</v>
      </c>
      <c r="C521" t="s">
        <v>16</v>
      </c>
      <c r="D521" t="s">
        <v>33</v>
      </c>
      <c r="E521" t="s">
        <v>1011</v>
      </c>
      <c r="F521" t="s">
        <v>33</v>
      </c>
      <c r="G521">
        <v>2</v>
      </c>
      <c r="H521">
        <v>3</v>
      </c>
      <c r="I521" s="13">
        <v>0.6</v>
      </c>
      <c r="J521" t="s">
        <v>249</v>
      </c>
      <c r="L521" t="s">
        <v>60</v>
      </c>
      <c r="M521" t="s">
        <v>60</v>
      </c>
      <c r="N521" t="s">
        <v>33</v>
      </c>
      <c r="O521">
        <v>2</v>
      </c>
      <c r="P521">
        <v>3</v>
      </c>
      <c r="Q521" s="13">
        <v>0.62769503791484937</v>
      </c>
      <c r="R521" t="s">
        <v>249</v>
      </c>
      <c r="S521">
        <v>0.66435103558553998</v>
      </c>
      <c r="T521" t="s">
        <v>60</v>
      </c>
      <c r="U521" t="s">
        <v>60</v>
      </c>
      <c r="X521" t="s">
        <v>60</v>
      </c>
      <c r="Y521" t="s">
        <v>412</v>
      </c>
      <c r="Z521" t="s">
        <v>60</v>
      </c>
      <c r="AA521" t="s">
        <v>491</v>
      </c>
    </row>
    <row r="522" spans="1:27" x14ac:dyDescent="0.2">
      <c r="A522" s="1">
        <v>46007</v>
      </c>
      <c r="B522" t="s">
        <v>322</v>
      </c>
      <c r="C522" t="s">
        <v>12</v>
      </c>
      <c r="D522" t="s">
        <v>32</v>
      </c>
      <c r="E522" t="s">
        <v>1012</v>
      </c>
      <c r="F522" t="s">
        <v>12</v>
      </c>
      <c r="G522">
        <v>2</v>
      </c>
      <c r="H522">
        <v>3</v>
      </c>
      <c r="I522" s="13">
        <v>0.6</v>
      </c>
      <c r="J522" t="s">
        <v>249</v>
      </c>
      <c r="L522" t="s">
        <v>60</v>
      </c>
      <c r="M522" t="s">
        <v>60</v>
      </c>
      <c r="N522" t="s">
        <v>12</v>
      </c>
      <c r="O522">
        <v>2</v>
      </c>
      <c r="P522">
        <v>3</v>
      </c>
      <c r="Q522" s="13">
        <v>0.79316973383163425</v>
      </c>
      <c r="R522" t="s">
        <v>249</v>
      </c>
      <c r="S522">
        <v>-2.2313801447819031</v>
      </c>
      <c r="T522" t="s">
        <v>60</v>
      </c>
      <c r="U522" t="s">
        <v>60</v>
      </c>
      <c r="X522" t="s">
        <v>60</v>
      </c>
      <c r="Y522" t="s">
        <v>412</v>
      </c>
      <c r="Z522" t="s">
        <v>60</v>
      </c>
      <c r="AA522" t="s">
        <v>491</v>
      </c>
    </row>
    <row r="523" spans="1:27" x14ac:dyDescent="0.2">
      <c r="A523" s="1">
        <v>46007</v>
      </c>
      <c r="B523" t="s">
        <v>334</v>
      </c>
      <c r="C523" t="s">
        <v>17</v>
      </c>
      <c r="D523" t="s">
        <v>14</v>
      </c>
      <c r="E523" t="s">
        <v>1013</v>
      </c>
      <c r="F523" t="s">
        <v>14</v>
      </c>
      <c r="G523">
        <v>2</v>
      </c>
      <c r="H523">
        <v>3</v>
      </c>
      <c r="I523" s="13">
        <v>0.6</v>
      </c>
      <c r="J523" t="s">
        <v>249</v>
      </c>
      <c r="L523" t="s">
        <v>60</v>
      </c>
      <c r="M523" t="s">
        <v>60</v>
      </c>
      <c r="N523" t="s">
        <v>14</v>
      </c>
      <c r="O523">
        <v>2</v>
      </c>
      <c r="P523">
        <v>3</v>
      </c>
      <c r="Q523" s="13">
        <v>0.62469919351055736</v>
      </c>
      <c r="R523" t="s">
        <v>249</v>
      </c>
      <c r="S523">
        <v>0.72538319159519415</v>
      </c>
      <c r="T523" t="s">
        <v>60</v>
      </c>
      <c r="U523" t="s">
        <v>60</v>
      </c>
      <c r="X523" t="s">
        <v>60</v>
      </c>
      <c r="Y523" t="s">
        <v>412</v>
      </c>
      <c r="Z523" t="s">
        <v>60</v>
      </c>
      <c r="AA523" t="s">
        <v>491</v>
      </c>
    </row>
    <row r="524" spans="1:27" x14ac:dyDescent="0.2">
      <c r="A524" s="1">
        <v>46007</v>
      </c>
      <c r="B524" t="s">
        <v>328</v>
      </c>
      <c r="C524" t="s">
        <v>38</v>
      </c>
      <c r="D524" t="s">
        <v>15</v>
      </c>
      <c r="E524" t="s">
        <v>1014</v>
      </c>
      <c r="F524" t="s">
        <v>15</v>
      </c>
      <c r="G524">
        <v>2</v>
      </c>
      <c r="H524">
        <v>3</v>
      </c>
      <c r="I524" s="13">
        <v>0.6</v>
      </c>
      <c r="J524" t="s">
        <v>249</v>
      </c>
      <c r="L524" t="s">
        <v>60</v>
      </c>
      <c r="M524" t="s">
        <v>60</v>
      </c>
      <c r="N524" t="s">
        <v>15</v>
      </c>
      <c r="O524">
        <v>2</v>
      </c>
      <c r="P524">
        <v>3</v>
      </c>
      <c r="Q524" s="13">
        <v>0.61904010632887752</v>
      </c>
      <c r="R524" t="s">
        <v>249</v>
      </c>
      <c r="S524">
        <v>0.70754451955002395</v>
      </c>
      <c r="T524" t="s">
        <v>60</v>
      </c>
      <c r="U524" t="s">
        <v>60</v>
      </c>
      <c r="X524" t="s">
        <v>60</v>
      </c>
      <c r="Y524" t="s">
        <v>412</v>
      </c>
      <c r="Z524" t="s">
        <v>60</v>
      </c>
      <c r="AA524" t="s">
        <v>491</v>
      </c>
    </row>
    <row r="525" spans="1:27" x14ac:dyDescent="0.2">
      <c r="A525" s="1">
        <v>46007</v>
      </c>
      <c r="B525" t="s">
        <v>328</v>
      </c>
      <c r="C525" t="s">
        <v>31</v>
      </c>
      <c r="D525" t="s">
        <v>28</v>
      </c>
      <c r="E525" t="s">
        <v>1015</v>
      </c>
      <c r="F525" t="s">
        <v>31</v>
      </c>
      <c r="G525">
        <v>2</v>
      </c>
      <c r="H525">
        <v>3</v>
      </c>
      <c r="I525" s="13">
        <v>0.6</v>
      </c>
      <c r="J525" t="s">
        <v>249</v>
      </c>
      <c r="L525" t="s">
        <v>60</v>
      </c>
      <c r="M525" t="s">
        <v>60</v>
      </c>
      <c r="N525" t="s">
        <v>31</v>
      </c>
      <c r="O525">
        <v>2</v>
      </c>
      <c r="P525">
        <v>3</v>
      </c>
      <c r="Q525" s="13">
        <v>0.56528259149285476</v>
      </c>
      <c r="R525" t="s">
        <v>249</v>
      </c>
      <c r="S525">
        <v>-0.72379167726664417</v>
      </c>
      <c r="T525" t="s">
        <v>60</v>
      </c>
      <c r="U525" t="s">
        <v>60</v>
      </c>
      <c r="X525" t="s">
        <v>60</v>
      </c>
      <c r="Y525" t="s">
        <v>412</v>
      </c>
      <c r="Z525" t="s">
        <v>60</v>
      </c>
      <c r="AA525" t="s">
        <v>491</v>
      </c>
    </row>
    <row r="526" spans="1:27" x14ac:dyDescent="0.2">
      <c r="A526" s="1">
        <v>46007</v>
      </c>
      <c r="B526" t="s">
        <v>324</v>
      </c>
      <c r="C526" t="s">
        <v>22</v>
      </c>
      <c r="D526" t="s">
        <v>34</v>
      </c>
      <c r="E526" t="s">
        <v>1016</v>
      </c>
      <c r="F526" t="s">
        <v>22</v>
      </c>
      <c r="G526">
        <v>2</v>
      </c>
      <c r="H526">
        <v>3</v>
      </c>
      <c r="I526" s="13">
        <v>0.6</v>
      </c>
      <c r="J526" t="s">
        <v>249</v>
      </c>
      <c r="L526" t="s">
        <v>60</v>
      </c>
      <c r="M526" t="s">
        <v>60</v>
      </c>
      <c r="N526" t="s">
        <v>22</v>
      </c>
      <c r="O526">
        <v>2</v>
      </c>
      <c r="P526">
        <v>3</v>
      </c>
      <c r="Q526" s="13">
        <v>0.5545816202235333</v>
      </c>
      <c r="R526" t="s">
        <v>249</v>
      </c>
      <c r="S526">
        <v>-0.44593127138007332</v>
      </c>
      <c r="T526" t="s">
        <v>60</v>
      </c>
      <c r="U526" t="s">
        <v>60</v>
      </c>
      <c r="X526" t="s">
        <v>60</v>
      </c>
      <c r="Y526" t="s">
        <v>412</v>
      </c>
      <c r="Z526" t="s">
        <v>60</v>
      </c>
      <c r="AA526" t="s">
        <v>491</v>
      </c>
    </row>
    <row r="527" spans="1:27" x14ac:dyDescent="0.2">
      <c r="A527" s="1">
        <v>46007</v>
      </c>
      <c r="B527" t="s">
        <v>328</v>
      </c>
      <c r="C527" t="s">
        <v>30</v>
      </c>
      <c r="D527" t="s">
        <v>26</v>
      </c>
      <c r="E527" t="s">
        <v>329</v>
      </c>
      <c r="F527" t="s">
        <v>30</v>
      </c>
      <c r="G527">
        <v>2</v>
      </c>
      <c r="H527">
        <v>3</v>
      </c>
      <c r="I527" s="13">
        <v>0.6</v>
      </c>
      <c r="J527" t="s">
        <v>249</v>
      </c>
      <c r="L527" t="s">
        <v>60</v>
      </c>
      <c r="M527" t="s">
        <v>60</v>
      </c>
      <c r="N527" t="s">
        <v>30</v>
      </c>
      <c r="O527">
        <v>2</v>
      </c>
      <c r="P527">
        <v>3</v>
      </c>
      <c r="Q527" s="13">
        <v>0.6008729668922711</v>
      </c>
      <c r="R527" t="s">
        <v>249</v>
      </c>
      <c r="S527">
        <v>-0.5845068186678144</v>
      </c>
      <c r="T527" t="s">
        <v>60</v>
      </c>
      <c r="U527" t="s">
        <v>60</v>
      </c>
      <c r="X527" t="s">
        <v>60</v>
      </c>
      <c r="Y527" t="s">
        <v>412</v>
      </c>
      <c r="Z527" t="s">
        <v>60</v>
      </c>
      <c r="AA527" t="s">
        <v>491</v>
      </c>
    </row>
    <row r="528" spans="1:27" x14ac:dyDescent="0.2">
      <c r="A528" s="1">
        <v>46007</v>
      </c>
      <c r="B528" t="s">
        <v>328</v>
      </c>
      <c r="C528" t="s">
        <v>55</v>
      </c>
      <c r="D528" t="s">
        <v>21</v>
      </c>
      <c r="E528" t="s">
        <v>1017</v>
      </c>
      <c r="F528" t="s">
        <v>21</v>
      </c>
      <c r="G528">
        <v>2</v>
      </c>
      <c r="H528">
        <v>3</v>
      </c>
      <c r="I528" s="13">
        <v>0.6</v>
      </c>
      <c r="J528" t="s">
        <v>249</v>
      </c>
      <c r="L528" t="s">
        <v>60</v>
      </c>
      <c r="M528" t="s">
        <v>60</v>
      </c>
      <c r="N528" t="s">
        <v>21</v>
      </c>
      <c r="O528">
        <v>2</v>
      </c>
      <c r="P528">
        <v>3</v>
      </c>
      <c r="Q528" s="13">
        <v>0.61013743388930985</v>
      </c>
      <c r="R528" t="s">
        <v>249</v>
      </c>
      <c r="S528">
        <v>0.23325427749661329</v>
      </c>
      <c r="T528" t="s">
        <v>60</v>
      </c>
      <c r="U528" t="s">
        <v>60</v>
      </c>
      <c r="X528" t="s">
        <v>60</v>
      </c>
      <c r="Y528" t="s">
        <v>412</v>
      </c>
      <c r="Z528" t="s">
        <v>60</v>
      </c>
      <c r="AA528" t="s">
        <v>491</v>
      </c>
    </row>
    <row r="529" spans="1:27" x14ac:dyDescent="0.2">
      <c r="A529" s="1">
        <v>46007</v>
      </c>
      <c r="B529" t="s">
        <v>328</v>
      </c>
      <c r="C529" t="s">
        <v>27</v>
      </c>
      <c r="D529" t="s">
        <v>18</v>
      </c>
      <c r="E529" t="s">
        <v>783</v>
      </c>
      <c r="F529" t="s">
        <v>27</v>
      </c>
      <c r="G529">
        <v>2</v>
      </c>
      <c r="H529">
        <v>3</v>
      </c>
      <c r="I529" s="13">
        <v>0.6</v>
      </c>
      <c r="J529" t="s">
        <v>249</v>
      </c>
      <c r="L529" t="s">
        <v>60</v>
      </c>
      <c r="M529" t="s">
        <v>60</v>
      </c>
      <c r="N529" t="s">
        <v>27</v>
      </c>
      <c r="O529">
        <v>2</v>
      </c>
      <c r="P529">
        <v>3</v>
      </c>
      <c r="Q529" s="13">
        <v>0.52151594511207089</v>
      </c>
      <c r="R529" t="s">
        <v>249</v>
      </c>
      <c r="S529">
        <v>-0.16274929584434669</v>
      </c>
      <c r="T529" t="s">
        <v>60</v>
      </c>
      <c r="U529" t="s">
        <v>60</v>
      </c>
      <c r="X529" t="s">
        <v>60</v>
      </c>
      <c r="Y529" t="s">
        <v>412</v>
      </c>
      <c r="Z529" t="s">
        <v>60</v>
      </c>
      <c r="AA529" t="s">
        <v>491</v>
      </c>
    </row>
    <row r="530" spans="1:27" x14ac:dyDescent="0.2">
      <c r="A530" s="1">
        <v>46008</v>
      </c>
      <c r="B530" t="s">
        <v>322</v>
      </c>
      <c r="C530" t="s">
        <v>24</v>
      </c>
      <c r="D530" t="s">
        <v>20</v>
      </c>
      <c r="E530" t="s">
        <v>1018</v>
      </c>
      <c r="F530" t="s">
        <v>24</v>
      </c>
      <c r="G530">
        <v>2</v>
      </c>
      <c r="H530">
        <v>3</v>
      </c>
      <c r="I530" s="13">
        <v>0.6</v>
      </c>
      <c r="J530" t="s">
        <v>249</v>
      </c>
      <c r="L530" t="s">
        <v>60</v>
      </c>
      <c r="M530" t="s">
        <v>60</v>
      </c>
      <c r="N530" t="s">
        <v>24</v>
      </c>
      <c r="O530">
        <v>2</v>
      </c>
      <c r="P530">
        <v>3</v>
      </c>
      <c r="Q530" s="13">
        <v>0.50366333584072343</v>
      </c>
      <c r="R530" t="s">
        <v>249</v>
      </c>
      <c r="S530">
        <v>-0.1960703321620782</v>
      </c>
      <c r="T530" t="s">
        <v>60</v>
      </c>
      <c r="U530" t="s">
        <v>60</v>
      </c>
      <c r="X530" t="s">
        <v>60</v>
      </c>
      <c r="Y530" t="s">
        <v>412</v>
      </c>
      <c r="Z530" t="s">
        <v>60</v>
      </c>
      <c r="AA530" t="s">
        <v>491</v>
      </c>
    </row>
    <row r="531" spans="1:27" x14ac:dyDescent="0.2">
      <c r="A531" s="1">
        <v>46008</v>
      </c>
      <c r="B531" t="s">
        <v>324</v>
      </c>
      <c r="C531" t="s">
        <v>25</v>
      </c>
      <c r="D531" t="s">
        <v>29</v>
      </c>
      <c r="E531" t="s">
        <v>1019</v>
      </c>
      <c r="F531" t="s">
        <v>25</v>
      </c>
      <c r="G531">
        <v>2</v>
      </c>
      <c r="H531">
        <v>3</v>
      </c>
      <c r="I531" s="13">
        <v>0.6</v>
      </c>
      <c r="J531" t="s">
        <v>249</v>
      </c>
      <c r="L531" t="s">
        <v>60</v>
      </c>
      <c r="M531" t="s">
        <v>60</v>
      </c>
      <c r="N531" t="s">
        <v>25</v>
      </c>
      <c r="O531">
        <v>2</v>
      </c>
      <c r="P531">
        <v>3</v>
      </c>
      <c r="Q531" s="13">
        <v>0.73820990779345019</v>
      </c>
      <c r="R531" t="s">
        <v>249</v>
      </c>
      <c r="S531">
        <v>-1.7606916722154511</v>
      </c>
      <c r="T531" t="s">
        <v>60</v>
      </c>
      <c r="U531" t="s">
        <v>60</v>
      </c>
      <c r="X531" t="s">
        <v>60</v>
      </c>
      <c r="Y531" t="s">
        <v>412</v>
      </c>
      <c r="Z531" t="s">
        <v>60</v>
      </c>
      <c r="AA531" t="s">
        <v>491</v>
      </c>
    </row>
    <row r="532" spans="1:27" x14ac:dyDescent="0.2">
      <c r="A532" s="1">
        <v>46008</v>
      </c>
      <c r="B532" t="s">
        <v>324</v>
      </c>
      <c r="C532" t="s">
        <v>40</v>
      </c>
      <c r="D532" t="s">
        <v>35</v>
      </c>
      <c r="E532" t="s">
        <v>1020</v>
      </c>
      <c r="F532" t="s">
        <v>40</v>
      </c>
      <c r="G532">
        <v>2</v>
      </c>
      <c r="H532">
        <v>3</v>
      </c>
      <c r="I532" s="13">
        <v>0.6</v>
      </c>
      <c r="J532" t="s">
        <v>249</v>
      </c>
      <c r="L532" t="s">
        <v>60</v>
      </c>
      <c r="M532" t="s">
        <v>60</v>
      </c>
      <c r="N532" t="s">
        <v>40</v>
      </c>
      <c r="O532">
        <v>2</v>
      </c>
      <c r="P532">
        <v>3</v>
      </c>
      <c r="Q532" s="13">
        <v>0.60119290676073633</v>
      </c>
      <c r="R532" t="s">
        <v>249</v>
      </c>
      <c r="S532">
        <v>-1.031335799241768</v>
      </c>
      <c r="T532" t="s">
        <v>60</v>
      </c>
      <c r="U532" t="s">
        <v>60</v>
      </c>
      <c r="X532" t="s">
        <v>60</v>
      </c>
      <c r="Y532" t="s">
        <v>412</v>
      </c>
      <c r="Z532" t="s">
        <v>60</v>
      </c>
      <c r="AA532" t="s">
        <v>491</v>
      </c>
    </row>
    <row r="533" spans="1:27" x14ac:dyDescent="0.2">
      <c r="A533" s="1">
        <v>46008</v>
      </c>
      <c r="B533" t="s">
        <v>334</v>
      </c>
      <c r="C533" t="s">
        <v>55</v>
      </c>
      <c r="D533" t="s">
        <v>26</v>
      </c>
      <c r="E533" t="s">
        <v>1021</v>
      </c>
      <c r="F533" t="s">
        <v>55</v>
      </c>
      <c r="G533">
        <v>2</v>
      </c>
      <c r="H533">
        <v>3</v>
      </c>
      <c r="I533" s="13">
        <v>0.6</v>
      </c>
      <c r="J533" t="s">
        <v>249</v>
      </c>
      <c r="L533" t="s">
        <v>60</v>
      </c>
      <c r="M533" t="s">
        <v>60</v>
      </c>
      <c r="N533" t="s">
        <v>55</v>
      </c>
      <c r="O533">
        <v>2</v>
      </c>
      <c r="P533">
        <v>3</v>
      </c>
      <c r="Q533" s="13">
        <v>0.50931157071984945</v>
      </c>
      <c r="R533" t="s">
        <v>249</v>
      </c>
      <c r="S533">
        <v>-0.42231552708796449</v>
      </c>
      <c r="T533" t="s">
        <v>60</v>
      </c>
      <c r="U533" t="s">
        <v>60</v>
      </c>
      <c r="X533" t="s">
        <v>60</v>
      </c>
      <c r="Y533" t="s">
        <v>412</v>
      </c>
      <c r="Z533" t="s">
        <v>60</v>
      </c>
      <c r="AA533" t="s">
        <v>491</v>
      </c>
    </row>
    <row r="534" spans="1:27" x14ac:dyDescent="0.2">
      <c r="A534" s="1">
        <v>46008</v>
      </c>
      <c r="B534" t="s">
        <v>328</v>
      </c>
      <c r="C534" t="s">
        <v>13</v>
      </c>
      <c r="D534" t="s">
        <v>11</v>
      </c>
      <c r="E534" t="s">
        <v>1022</v>
      </c>
      <c r="F534" t="s">
        <v>13</v>
      </c>
      <c r="G534">
        <v>2</v>
      </c>
      <c r="H534">
        <v>3</v>
      </c>
      <c r="I534" s="13">
        <v>0.6</v>
      </c>
      <c r="J534" t="s">
        <v>249</v>
      </c>
      <c r="L534" t="s">
        <v>60</v>
      </c>
      <c r="M534" t="s">
        <v>60</v>
      </c>
      <c r="N534" t="s">
        <v>13</v>
      </c>
      <c r="O534">
        <v>2</v>
      </c>
      <c r="P534">
        <v>3</v>
      </c>
      <c r="Q534" s="13">
        <v>0.51323829170620494</v>
      </c>
      <c r="R534" t="s">
        <v>249</v>
      </c>
      <c r="S534">
        <v>-8.9339434637303004E-3</v>
      </c>
      <c r="T534" t="s">
        <v>60</v>
      </c>
      <c r="U534" t="s">
        <v>60</v>
      </c>
      <c r="X534" t="s">
        <v>60</v>
      </c>
      <c r="Y534" t="s">
        <v>412</v>
      </c>
      <c r="Z534" t="s">
        <v>60</v>
      </c>
      <c r="AA534" t="s">
        <v>491</v>
      </c>
    </row>
    <row r="535" spans="1:27" x14ac:dyDescent="0.2">
      <c r="A535" s="1">
        <v>46009</v>
      </c>
      <c r="B535" t="s">
        <v>328</v>
      </c>
      <c r="C535" t="s">
        <v>13</v>
      </c>
      <c r="D535" t="s">
        <v>37</v>
      </c>
      <c r="E535" t="s">
        <v>1023</v>
      </c>
      <c r="F535" t="s">
        <v>37</v>
      </c>
      <c r="G535">
        <v>2</v>
      </c>
      <c r="H535">
        <v>3</v>
      </c>
      <c r="I535" s="13">
        <v>0.6</v>
      </c>
      <c r="J535" t="s">
        <v>249</v>
      </c>
      <c r="L535" t="s">
        <v>60</v>
      </c>
      <c r="M535" t="s">
        <v>60</v>
      </c>
      <c r="N535" t="s">
        <v>37</v>
      </c>
      <c r="O535">
        <v>2</v>
      </c>
      <c r="P535">
        <v>3</v>
      </c>
      <c r="Q535" s="13">
        <v>0.6112643527464019</v>
      </c>
      <c r="R535" t="s">
        <v>249</v>
      </c>
      <c r="S535">
        <v>0.89868929434698042</v>
      </c>
      <c r="T535" t="s">
        <v>60</v>
      </c>
      <c r="U535" t="s">
        <v>60</v>
      </c>
      <c r="X535" t="s">
        <v>60</v>
      </c>
      <c r="Y535" t="s">
        <v>412</v>
      </c>
      <c r="Z535" t="s">
        <v>60</v>
      </c>
      <c r="AA535" t="s">
        <v>491</v>
      </c>
    </row>
    <row r="536" spans="1:27" x14ac:dyDescent="0.2">
      <c r="A536" s="1">
        <v>46009</v>
      </c>
      <c r="B536" t="s">
        <v>324</v>
      </c>
      <c r="C536" t="s">
        <v>15</v>
      </c>
      <c r="D536" t="s">
        <v>35</v>
      </c>
      <c r="E536" t="s">
        <v>1024</v>
      </c>
      <c r="F536" t="s">
        <v>15</v>
      </c>
      <c r="G536">
        <v>2</v>
      </c>
      <c r="H536">
        <v>3</v>
      </c>
      <c r="I536" s="13">
        <v>0.6</v>
      </c>
      <c r="J536" t="s">
        <v>249</v>
      </c>
      <c r="L536" t="s">
        <v>60</v>
      </c>
      <c r="M536" t="s">
        <v>60</v>
      </c>
      <c r="N536" t="s">
        <v>15</v>
      </c>
      <c r="O536">
        <v>2</v>
      </c>
      <c r="P536">
        <v>3</v>
      </c>
      <c r="Q536" s="13">
        <v>0.68321500014802006</v>
      </c>
      <c r="R536" t="s">
        <v>249</v>
      </c>
      <c r="S536">
        <v>-1.0545436385406179</v>
      </c>
      <c r="T536" t="s">
        <v>60</v>
      </c>
      <c r="U536" t="s">
        <v>60</v>
      </c>
      <c r="X536" t="s">
        <v>60</v>
      </c>
      <c r="Y536" t="s">
        <v>412</v>
      </c>
      <c r="Z536" t="s">
        <v>60</v>
      </c>
      <c r="AA536" t="s">
        <v>491</v>
      </c>
    </row>
    <row r="537" spans="1:27" x14ac:dyDescent="0.2">
      <c r="A537" s="1">
        <v>46009</v>
      </c>
      <c r="B537" t="s">
        <v>322</v>
      </c>
      <c r="C537" t="s">
        <v>39</v>
      </c>
      <c r="D537" t="s">
        <v>33</v>
      </c>
      <c r="E537" t="s">
        <v>1025</v>
      </c>
      <c r="F537" t="s">
        <v>39</v>
      </c>
      <c r="G537">
        <v>2</v>
      </c>
      <c r="H537">
        <v>3</v>
      </c>
      <c r="I537" s="13">
        <v>0.6</v>
      </c>
      <c r="J537" t="s">
        <v>249</v>
      </c>
      <c r="L537" t="s">
        <v>60</v>
      </c>
      <c r="M537" t="s">
        <v>60</v>
      </c>
      <c r="N537" t="s">
        <v>39</v>
      </c>
      <c r="O537">
        <v>2</v>
      </c>
      <c r="P537">
        <v>3</v>
      </c>
      <c r="Q537" s="13">
        <v>0.64687255760983398</v>
      </c>
      <c r="R537" t="s">
        <v>249</v>
      </c>
      <c r="S537">
        <v>-0.81487274531420062</v>
      </c>
      <c r="T537" t="s">
        <v>60</v>
      </c>
      <c r="U537" t="s">
        <v>60</v>
      </c>
      <c r="X537" t="s">
        <v>60</v>
      </c>
      <c r="Y537" t="s">
        <v>412</v>
      </c>
      <c r="Z537" t="s">
        <v>60</v>
      </c>
      <c r="AA537" t="s">
        <v>491</v>
      </c>
    </row>
    <row r="538" spans="1:27" x14ac:dyDescent="0.2">
      <c r="A538" s="1">
        <v>46009</v>
      </c>
      <c r="B538" t="s">
        <v>328</v>
      </c>
      <c r="C538" t="s">
        <v>14</v>
      </c>
      <c r="D538" t="s">
        <v>36</v>
      </c>
      <c r="E538" t="s">
        <v>1026</v>
      </c>
      <c r="F538" t="s">
        <v>14</v>
      </c>
      <c r="G538">
        <v>2</v>
      </c>
      <c r="H538">
        <v>3</v>
      </c>
      <c r="I538" s="13">
        <v>0.6</v>
      </c>
      <c r="J538" t="s">
        <v>249</v>
      </c>
      <c r="L538" t="s">
        <v>60</v>
      </c>
      <c r="M538" t="s">
        <v>60</v>
      </c>
      <c r="N538" t="s">
        <v>14</v>
      </c>
      <c r="O538">
        <v>2</v>
      </c>
      <c r="P538">
        <v>3</v>
      </c>
      <c r="Q538" s="13">
        <v>0.5363820935805419</v>
      </c>
      <c r="R538" t="s">
        <v>249</v>
      </c>
      <c r="S538">
        <v>-0.33921108037618608</v>
      </c>
      <c r="T538" t="s">
        <v>60</v>
      </c>
      <c r="U538" t="s">
        <v>60</v>
      </c>
      <c r="X538" t="s">
        <v>60</v>
      </c>
      <c r="Y538" t="s">
        <v>412</v>
      </c>
      <c r="Z538" t="s">
        <v>60</v>
      </c>
      <c r="AA538" t="s">
        <v>491</v>
      </c>
    </row>
    <row r="539" spans="1:27" x14ac:dyDescent="0.2">
      <c r="A539" s="1">
        <v>46009</v>
      </c>
      <c r="B539" t="s">
        <v>328</v>
      </c>
      <c r="C539" t="s">
        <v>19</v>
      </c>
      <c r="D539" t="s">
        <v>22</v>
      </c>
      <c r="E539" t="s">
        <v>447</v>
      </c>
      <c r="F539" t="s">
        <v>22</v>
      </c>
      <c r="G539">
        <v>2</v>
      </c>
      <c r="H539">
        <v>3</v>
      </c>
      <c r="I539" s="13">
        <v>0.6</v>
      </c>
      <c r="J539" t="s">
        <v>249</v>
      </c>
      <c r="L539" t="s">
        <v>60</v>
      </c>
      <c r="M539" t="s">
        <v>60</v>
      </c>
      <c r="N539" t="s">
        <v>22</v>
      </c>
      <c r="O539">
        <v>2</v>
      </c>
      <c r="P539">
        <v>3</v>
      </c>
      <c r="Q539" s="13">
        <v>0.69740819835070078</v>
      </c>
      <c r="R539" t="s">
        <v>249</v>
      </c>
      <c r="S539">
        <v>1.1250865730959001</v>
      </c>
      <c r="T539" t="s">
        <v>60</v>
      </c>
      <c r="U539" t="s">
        <v>60</v>
      </c>
      <c r="X539" t="s">
        <v>60</v>
      </c>
      <c r="Y539" t="s">
        <v>412</v>
      </c>
      <c r="Z539" t="s">
        <v>60</v>
      </c>
      <c r="AA539" t="s">
        <v>491</v>
      </c>
    </row>
    <row r="540" spans="1:27" x14ac:dyDescent="0.2">
      <c r="A540" s="1">
        <v>46009</v>
      </c>
      <c r="B540" t="s">
        <v>326</v>
      </c>
      <c r="C540" t="s">
        <v>32</v>
      </c>
      <c r="D540" t="s">
        <v>16</v>
      </c>
      <c r="E540" t="s">
        <v>1027</v>
      </c>
      <c r="F540" t="s">
        <v>32</v>
      </c>
      <c r="G540">
        <v>2</v>
      </c>
      <c r="H540">
        <v>3</v>
      </c>
      <c r="I540" s="13">
        <v>0.6</v>
      </c>
      <c r="J540" t="s">
        <v>249</v>
      </c>
      <c r="L540" t="s">
        <v>60</v>
      </c>
      <c r="M540" t="s">
        <v>60</v>
      </c>
      <c r="N540" t="s">
        <v>32</v>
      </c>
      <c r="O540">
        <v>2</v>
      </c>
      <c r="P540">
        <v>3</v>
      </c>
      <c r="Q540" s="13">
        <v>0.50279466887553537</v>
      </c>
      <c r="R540" t="s">
        <v>249</v>
      </c>
      <c r="S540">
        <v>-0.36650329484336841</v>
      </c>
      <c r="T540" t="s">
        <v>60</v>
      </c>
      <c r="U540" t="s">
        <v>60</v>
      </c>
      <c r="X540" t="s">
        <v>60</v>
      </c>
      <c r="Y540" t="s">
        <v>412</v>
      </c>
      <c r="Z540" t="s">
        <v>60</v>
      </c>
      <c r="AA540" t="s">
        <v>491</v>
      </c>
    </row>
    <row r="541" spans="1:27" x14ac:dyDescent="0.2">
      <c r="A541" s="1">
        <v>46009</v>
      </c>
      <c r="B541" t="s">
        <v>328</v>
      </c>
      <c r="C541" t="s">
        <v>34</v>
      </c>
      <c r="D541" t="s">
        <v>28</v>
      </c>
      <c r="E541" t="s">
        <v>1028</v>
      </c>
      <c r="F541" t="s">
        <v>34</v>
      </c>
      <c r="G541">
        <v>2</v>
      </c>
      <c r="H541">
        <v>3</v>
      </c>
      <c r="I541" s="13">
        <v>0.6</v>
      </c>
      <c r="J541" t="s">
        <v>249</v>
      </c>
      <c r="L541" t="s">
        <v>60</v>
      </c>
      <c r="M541" t="s">
        <v>60</v>
      </c>
      <c r="N541" t="s">
        <v>34</v>
      </c>
      <c r="O541">
        <v>2</v>
      </c>
      <c r="P541">
        <v>3</v>
      </c>
      <c r="Q541" s="13">
        <v>0.55972307575107316</v>
      </c>
      <c r="R541" t="s">
        <v>249</v>
      </c>
      <c r="S541">
        <v>-0.48996386797789898</v>
      </c>
      <c r="T541" t="s">
        <v>60</v>
      </c>
      <c r="U541" t="s">
        <v>60</v>
      </c>
      <c r="X541" t="s">
        <v>60</v>
      </c>
      <c r="Y541" t="s">
        <v>412</v>
      </c>
      <c r="Z541" t="s">
        <v>60</v>
      </c>
      <c r="AA541" t="s">
        <v>491</v>
      </c>
    </row>
    <row r="542" spans="1:27" x14ac:dyDescent="0.2">
      <c r="A542" s="1">
        <v>46009</v>
      </c>
      <c r="B542" t="s">
        <v>334</v>
      </c>
      <c r="C542" t="s">
        <v>27</v>
      </c>
      <c r="D542" t="s">
        <v>23</v>
      </c>
      <c r="E542" t="s">
        <v>1029</v>
      </c>
      <c r="F542" t="s">
        <v>27</v>
      </c>
      <c r="G542">
        <v>2</v>
      </c>
      <c r="H542">
        <v>3</v>
      </c>
      <c r="I542" s="13">
        <v>0.6</v>
      </c>
      <c r="J542" t="s">
        <v>249</v>
      </c>
      <c r="L542" t="s">
        <v>60</v>
      </c>
      <c r="M542" t="s">
        <v>60</v>
      </c>
      <c r="N542" t="s">
        <v>27</v>
      </c>
      <c r="O542">
        <v>2</v>
      </c>
      <c r="P542">
        <v>3</v>
      </c>
      <c r="Q542" s="13">
        <v>0.49767538033956632</v>
      </c>
      <c r="R542" t="s">
        <v>249</v>
      </c>
      <c r="S542">
        <v>-4.59701033111111E-2</v>
      </c>
      <c r="T542" t="s">
        <v>60</v>
      </c>
      <c r="U542" t="s">
        <v>60</v>
      </c>
      <c r="X542" t="s">
        <v>60</v>
      </c>
      <c r="Y542" t="s">
        <v>412</v>
      </c>
      <c r="Z542" t="s">
        <v>60</v>
      </c>
      <c r="AA542" t="s">
        <v>491</v>
      </c>
    </row>
    <row r="543" spans="1:27" x14ac:dyDescent="0.2">
      <c r="A543" s="1">
        <v>46009</v>
      </c>
      <c r="B543" t="s">
        <v>328</v>
      </c>
      <c r="C543" t="s">
        <v>17</v>
      </c>
      <c r="D543" t="s">
        <v>21</v>
      </c>
      <c r="E543" t="s">
        <v>1030</v>
      </c>
      <c r="F543" t="s">
        <v>21</v>
      </c>
      <c r="G543">
        <v>2</v>
      </c>
      <c r="H543">
        <v>3</v>
      </c>
      <c r="I543" s="13">
        <v>0.6</v>
      </c>
      <c r="J543" t="s">
        <v>249</v>
      </c>
      <c r="L543" t="s">
        <v>60</v>
      </c>
      <c r="M543" t="s">
        <v>60</v>
      </c>
      <c r="N543" t="s">
        <v>21</v>
      </c>
      <c r="O543">
        <v>2</v>
      </c>
      <c r="P543">
        <v>3</v>
      </c>
      <c r="Q543" s="13">
        <v>0.65855083235008804</v>
      </c>
      <c r="R543" t="s">
        <v>249</v>
      </c>
      <c r="S543">
        <v>0.64787765271295261</v>
      </c>
      <c r="T543" t="s">
        <v>60</v>
      </c>
      <c r="U543" t="s">
        <v>60</v>
      </c>
      <c r="X543" t="s">
        <v>60</v>
      </c>
      <c r="Y543" t="s">
        <v>412</v>
      </c>
      <c r="Z543" t="s">
        <v>60</v>
      </c>
      <c r="AA543" t="s">
        <v>491</v>
      </c>
    </row>
    <row r="544" spans="1:27" x14ac:dyDescent="0.2">
      <c r="A544" s="1">
        <v>46009</v>
      </c>
      <c r="B544" t="s">
        <v>328</v>
      </c>
      <c r="C544" t="s">
        <v>10</v>
      </c>
      <c r="D544" t="s">
        <v>18</v>
      </c>
      <c r="E544" t="s">
        <v>1031</v>
      </c>
      <c r="F544" t="s">
        <v>10</v>
      </c>
      <c r="G544">
        <v>2</v>
      </c>
      <c r="H544">
        <v>3</v>
      </c>
      <c r="I544" s="13">
        <v>0.6</v>
      </c>
      <c r="J544" t="s">
        <v>249</v>
      </c>
      <c r="L544" t="s">
        <v>60</v>
      </c>
      <c r="M544" t="s">
        <v>60</v>
      </c>
      <c r="N544" t="s">
        <v>10</v>
      </c>
      <c r="O544">
        <v>2</v>
      </c>
      <c r="P544">
        <v>3</v>
      </c>
      <c r="Q544" s="13">
        <v>0.50282845234418938</v>
      </c>
      <c r="R544" t="s">
        <v>249</v>
      </c>
      <c r="S544">
        <v>-0.36679262416634911</v>
      </c>
      <c r="T544" t="s">
        <v>60</v>
      </c>
      <c r="U544" t="s">
        <v>60</v>
      </c>
      <c r="X544" t="s">
        <v>60</v>
      </c>
      <c r="Y544" t="s">
        <v>412</v>
      </c>
      <c r="Z544" t="s">
        <v>60</v>
      </c>
      <c r="AA544" t="s">
        <v>491</v>
      </c>
    </row>
    <row r="545" spans="1:27" x14ac:dyDescent="0.2">
      <c r="A545" s="1">
        <v>46010</v>
      </c>
      <c r="B545" t="s">
        <v>322</v>
      </c>
      <c r="C545" t="s">
        <v>39</v>
      </c>
      <c r="D545" t="s">
        <v>31</v>
      </c>
      <c r="E545" t="s">
        <v>1032</v>
      </c>
      <c r="F545" t="s">
        <v>39</v>
      </c>
      <c r="G545">
        <v>2</v>
      </c>
      <c r="H545">
        <v>3</v>
      </c>
      <c r="I545" s="13">
        <v>0.6</v>
      </c>
      <c r="J545" t="s">
        <v>249</v>
      </c>
      <c r="L545" t="s">
        <v>60</v>
      </c>
      <c r="M545" t="s">
        <v>60</v>
      </c>
      <c r="N545" t="s">
        <v>39</v>
      </c>
      <c r="O545">
        <v>2</v>
      </c>
      <c r="P545">
        <v>3</v>
      </c>
      <c r="Q545" s="13">
        <v>0.50158264988004087</v>
      </c>
      <c r="R545" t="s">
        <v>249</v>
      </c>
      <c r="S545">
        <v>-0.184838731092691</v>
      </c>
      <c r="T545" t="s">
        <v>60</v>
      </c>
      <c r="U545" t="s">
        <v>60</v>
      </c>
      <c r="X545" t="s">
        <v>60</v>
      </c>
      <c r="Y545" t="s">
        <v>412</v>
      </c>
      <c r="Z545" t="s">
        <v>60</v>
      </c>
      <c r="AA545" t="s">
        <v>491</v>
      </c>
    </row>
    <row r="546" spans="1:27" x14ac:dyDescent="0.2">
      <c r="A546" s="1">
        <v>46010</v>
      </c>
      <c r="B546" t="s">
        <v>326</v>
      </c>
      <c r="C546" t="s">
        <v>40</v>
      </c>
      <c r="D546" t="s">
        <v>12</v>
      </c>
      <c r="E546" t="s">
        <v>1033</v>
      </c>
      <c r="F546" t="s">
        <v>12</v>
      </c>
      <c r="G546">
        <v>2</v>
      </c>
      <c r="H546">
        <v>3</v>
      </c>
      <c r="I546" s="13">
        <v>0.6</v>
      </c>
      <c r="J546" t="s">
        <v>249</v>
      </c>
      <c r="L546" t="s">
        <v>60</v>
      </c>
      <c r="M546" t="s">
        <v>60</v>
      </c>
      <c r="N546" t="s">
        <v>12</v>
      </c>
      <c r="O546">
        <v>2</v>
      </c>
      <c r="P546">
        <v>3</v>
      </c>
      <c r="Q546" s="13">
        <v>0.85795109226563959</v>
      </c>
      <c r="R546" t="s">
        <v>249</v>
      </c>
      <c r="S546">
        <v>1.99504623113293</v>
      </c>
      <c r="T546" t="s">
        <v>60</v>
      </c>
      <c r="U546" t="s">
        <v>60</v>
      </c>
      <c r="X546" t="s">
        <v>60</v>
      </c>
      <c r="Y546" t="s">
        <v>412</v>
      </c>
      <c r="Z546" t="s">
        <v>60</v>
      </c>
      <c r="AA546" t="s">
        <v>491</v>
      </c>
    </row>
    <row r="547" spans="1:27" x14ac:dyDescent="0.2">
      <c r="A547" s="1">
        <v>46010</v>
      </c>
      <c r="B547" t="s">
        <v>328</v>
      </c>
      <c r="C547" t="s">
        <v>25</v>
      </c>
      <c r="D547" t="s">
        <v>11</v>
      </c>
      <c r="E547" t="s">
        <v>1034</v>
      </c>
      <c r="F547" t="s">
        <v>25</v>
      </c>
      <c r="G547">
        <v>2</v>
      </c>
      <c r="H547">
        <v>3</v>
      </c>
      <c r="I547" s="13">
        <v>0.6</v>
      </c>
      <c r="J547" t="s">
        <v>249</v>
      </c>
      <c r="L547" t="s">
        <v>60</v>
      </c>
      <c r="M547" t="s">
        <v>60</v>
      </c>
      <c r="N547" t="s">
        <v>25</v>
      </c>
      <c r="O547">
        <v>2</v>
      </c>
      <c r="P547">
        <v>3</v>
      </c>
      <c r="Q547" s="13">
        <v>0.60876514592839726</v>
      </c>
      <c r="R547" t="s">
        <v>249</v>
      </c>
      <c r="S547">
        <v>-0.7728926794694968</v>
      </c>
      <c r="T547" t="s">
        <v>60</v>
      </c>
      <c r="U547" t="s">
        <v>60</v>
      </c>
      <c r="X547" t="s">
        <v>60</v>
      </c>
      <c r="Y547" t="s">
        <v>412</v>
      </c>
      <c r="Z547" t="s">
        <v>60</v>
      </c>
      <c r="AA547" t="s">
        <v>491</v>
      </c>
    </row>
    <row r="548" spans="1:27" x14ac:dyDescent="0.2">
      <c r="A548" s="1">
        <v>46010</v>
      </c>
      <c r="B548" t="s">
        <v>328</v>
      </c>
      <c r="C548" t="s">
        <v>38</v>
      </c>
      <c r="D548" t="s">
        <v>30</v>
      </c>
      <c r="E548" t="s">
        <v>1035</v>
      </c>
      <c r="F548" t="s">
        <v>30</v>
      </c>
      <c r="G548">
        <v>2</v>
      </c>
      <c r="H548">
        <v>3</v>
      </c>
      <c r="I548" s="13">
        <v>0.6</v>
      </c>
      <c r="J548" t="s">
        <v>249</v>
      </c>
      <c r="L548" t="s">
        <v>60</v>
      </c>
      <c r="M548" t="s">
        <v>60</v>
      </c>
      <c r="N548" t="s">
        <v>30</v>
      </c>
      <c r="O548">
        <v>2</v>
      </c>
      <c r="P548">
        <v>3</v>
      </c>
      <c r="Q548" s="13">
        <v>0.62477348800970889</v>
      </c>
      <c r="R548" t="s">
        <v>249</v>
      </c>
      <c r="S548">
        <v>0.75664650659263388</v>
      </c>
      <c r="T548" t="s">
        <v>60</v>
      </c>
      <c r="U548" t="s">
        <v>60</v>
      </c>
      <c r="X548" t="s">
        <v>60</v>
      </c>
      <c r="Y548" t="s">
        <v>412</v>
      </c>
      <c r="Z548" t="s">
        <v>60</v>
      </c>
      <c r="AA548" t="s">
        <v>491</v>
      </c>
    </row>
    <row r="549" spans="1:27" x14ac:dyDescent="0.2">
      <c r="A549" s="1">
        <v>46010</v>
      </c>
      <c r="B549" t="s">
        <v>326</v>
      </c>
      <c r="C549" t="s">
        <v>24</v>
      </c>
      <c r="D549" t="s">
        <v>55</v>
      </c>
      <c r="E549" t="s">
        <v>1036</v>
      </c>
      <c r="F549" t="s">
        <v>24</v>
      </c>
      <c r="G549">
        <v>2</v>
      </c>
      <c r="H549">
        <v>3</v>
      </c>
      <c r="I549" s="13">
        <v>0.6</v>
      </c>
      <c r="J549" t="s">
        <v>249</v>
      </c>
      <c r="L549" t="s">
        <v>60</v>
      </c>
      <c r="M549" t="s">
        <v>60</v>
      </c>
      <c r="N549" t="s">
        <v>24</v>
      </c>
      <c r="O549">
        <v>2</v>
      </c>
      <c r="P549">
        <v>3</v>
      </c>
      <c r="Q549" s="13">
        <v>0.48142262411072217</v>
      </c>
      <c r="R549" t="s">
        <v>249</v>
      </c>
      <c r="S549">
        <v>-0.35475279086262429</v>
      </c>
      <c r="T549" t="s">
        <v>60</v>
      </c>
      <c r="U549" t="s">
        <v>60</v>
      </c>
      <c r="X549" t="s">
        <v>60</v>
      </c>
      <c r="Y549" t="s">
        <v>412</v>
      </c>
      <c r="Z549" t="s">
        <v>60</v>
      </c>
      <c r="AA549" t="s">
        <v>491</v>
      </c>
    </row>
    <row r="550" spans="1:27" x14ac:dyDescent="0.2">
      <c r="A550" s="1">
        <v>46011</v>
      </c>
      <c r="B550" t="s">
        <v>328</v>
      </c>
      <c r="C550" t="s">
        <v>19</v>
      </c>
      <c r="D550" t="s">
        <v>29</v>
      </c>
      <c r="E550" t="s">
        <v>1037</v>
      </c>
      <c r="F550" t="s">
        <v>19</v>
      </c>
      <c r="G550">
        <v>2</v>
      </c>
      <c r="H550">
        <v>3</v>
      </c>
      <c r="I550" s="13">
        <v>0.6</v>
      </c>
      <c r="J550" t="s">
        <v>249</v>
      </c>
      <c r="L550" t="s">
        <v>60</v>
      </c>
      <c r="M550" t="s">
        <v>60</v>
      </c>
      <c r="N550" t="s">
        <v>19</v>
      </c>
      <c r="O550">
        <v>2</v>
      </c>
      <c r="P550">
        <v>3</v>
      </c>
      <c r="Q550" s="13">
        <v>0.54179814411368299</v>
      </c>
      <c r="R550" t="s">
        <v>249</v>
      </c>
      <c r="S550">
        <v>-0.70053794356791799</v>
      </c>
      <c r="T550" t="s">
        <v>60</v>
      </c>
      <c r="U550" t="s">
        <v>60</v>
      </c>
      <c r="X550" t="s">
        <v>60</v>
      </c>
      <c r="Y550" t="s">
        <v>412</v>
      </c>
      <c r="Z550" t="s">
        <v>60</v>
      </c>
      <c r="AA550" t="s">
        <v>491</v>
      </c>
    </row>
    <row r="551" spans="1:27" x14ac:dyDescent="0.2">
      <c r="A551" s="1">
        <v>46011</v>
      </c>
      <c r="B551" t="s">
        <v>555</v>
      </c>
      <c r="C551" t="s">
        <v>26</v>
      </c>
      <c r="D551" t="s">
        <v>22</v>
      </c>
      <c r="E551" t="s">
        <v>1038</v>
      </c>
      <c r="F551" t="s">
        <v>22</v>
      </c>
      <c r="G551">
        <v>2</v>
      </c>
      <c r="H551">
        <v>3</v>
      </c>
      <c r="I551" s="13">
        <v>0.6</v>
      </c>
      <c r="J551" t="s">
        <v>249</v>
      </c>
      <c r="L551" t="s">
        <v>60</v>
      </c>
      <c r="M551" t="s">
        <v>60</v>
      </c>
      <c r="N551" t="s">
        <v>22</v>
      </c>
      <c r="O551">
        <v>2</v>
      </c>
      <c r="P551">
        <v>3</v>
      </c>
      <c r="Q551" s="13">
        <v>0.72553227188599068</v>
      </c>
      <c r="R551" t="s">
        <v>249</v>
      </c>
      <c r="S551">
        <v>1.365947546809229</v>
      </c>
      <c r="T551" t="s">
        <v>60</v>
      </c>
      <c r="U551" t="s">
        <v>60</v>
      </c>
      <c r="X551" t="s">
        <v>60</v>
      </c>
      <c r="Y551" t="s">
        <v>412</v>
      </c>
      <c r="Z551" t="s">
        <v>60</v>
      </c>
      <c r="AA551" t="s">
        <v>491</v>
      </c>
    </row>
    <row r="552" spans="1:27" x14ac:dyDescent="0.2">
      <c r="A552" s="1">
        <v>46011</v>
      </c>
      <c r="B552" t="s">
        <v>322</v>
      </c>
      <c r="C552" t="s">
        <v>32</v>
      </c>
      <c r="D552" t="s">
        <v>33</v>
      </c>
      <c r="E552" t="s">
        <v>1039</v>
      </c>
      <c r="F552" t="s">
        <v>33</v>
      </c>
      <c r="G552">
        <v>2</v>
      </c>
      <c r="H552">
        <v>3</v>
      </c>
      <c r="I552" s="13">
        <v>0.6</v>
      </c>
      <c r="J552" t="s">
        <v>249</v>
      </c>
      <c r="L552" t="s">
        <v>60</v>
      </c>
      <c r="M552" t="s">
        <v>60</v>
      </c>
      <c r="N552" t="s">
        <v>33</v>
      </c>
      <c r="O552">
        <v>2</v>
      </c>
      <c r="P552">
        <v>3</v>
      </c>
      <c r="Q552" s="13">
        <v>0.57907372012004421</v>
      </c>
      <c r="R552" t="s">
        <v>249</v>
      </c>
      <c r="S552">
        <v>0.24794699181900909</v>
      </c>
      <c r="T552" t="s">
        <v>60</v>
      </c>
      <c r="U552" t="s">
        <v>60</v>
      </c>
      <c r="X552" t="s">
        <v>60</v>
      </c>
      <c r="Y552" t="s">
        <v>412</v>
      </c>
      <c r="Z552" t="s">
        <v>60</v>
      </c>
      <c r="AA552" t="s">
        <v>491</v>
      </c>
    </row>
    <row r="553" spans="1:27" x14ac:dyDescent="0.2">
      <c r="A553" s="1">
        <v>46011</v>
      </c>
      <c r="B553" t="s">
        <v>453</v>
      </c>
      <c r="C553" t="s">
        <v>10</v>
      </c>
      <c r="D553" t="s">
        <v>36</v>
      </c>
      <c r="E553" t="s">
        <v>1040</v>
      </c>
      <c r="F553" t="s">
        <v>10</v>
      </c>
      <c r="G553">
        <v>2</v>
      </c>
      <c r="H553">
        <v>3</v>
      </c>
      <c r="I553" s="13">
        <v>0.6</v>
      </c>
      <c r="J553" t="s">
        <v>249</v>
      </c>
      <c r="L553" t="s">
        <v>60</v>
      </c>
      <c r="M553" t="s">
        <v>60</v>
      </c>
      <c r="N553" t="s">
        <v>10</v>
      </c>
      <c r="O553">
        <v>2</v>
      </c>
      <c r="P553">
        <v>3</v>
      </c>
      <c r="Q553" s="13">
        <v>0.4931503551017436</v>
      </c>
      <c r="R553" t="s">
        <v>249</v>
      </c>
      <c r="S553">
        <v>-0.3052790467573625</v>
      </c>
      <c r="T553" t="s">
        <v>60</v>
      </c>
      <c r="U553" t="s">
        <v>60</v>
      </c>
      <c r="X553" t="s">
        <v>60</v>
      </c>
      <c r="Y553" t="s">
        <v>412</v>
      </c>
      <c r="Z553" t="s">
        <v>60</v>
      </c>
      <c r="AA553" t="s">
        <v>491</v>
      </c>
    </row>
    <row r="554" spans="1:27" x14ac:dyDescent="0.2">
      <c r="A554" s="1">
        <v>46011</v>
      </c>
      <c r="B554" t="s">
        <v>555</v>
      </c>
      <c r="C554" t="s">
        <v>27</v>
      </c>
      <c r="D554" t="s">
        <v>15</v>
      </c>
      <c r="E554" t="s">
        <v>1041</v>
      </c>
      <c r="F554" t="s">
        <v>15</v>
      </c>
      <c r="G554">
        <v>2</v>
      </c>
      <c r="H554">
        <v>3</v>
      </c>
      <c r="I554" s="13">
        <v>0.6</v>
      </c>
      <c r="J554" t="s">
        <v>249</v>
      </c>
      <c r="L554" t="s">
        <v>60</v>
      </c>
      <c r="M554" t="s">
        <v>60</v>
      </c>
      <c r="N554" t="s">
        <v>15</v>
      </c>
      <c r="O554">
        <v>2</v>
      </c>
      <c r="P554">
        <v>3</v>
      </c>
      <c r="Q554" s="13">
        <v>0.51384692113068431</v>
      </c>
      <c r="R554" t="s">
        <v>249</v>
      </c>
      <c r="S554">
        <v>0.14010634794553589</v>
      </c>
      <c r="T554" t="s">
        <v>60</v>
      </c>
      <c r="U554" t="s">
        <v>60</v>
      </c>
      <c r="X554" t="s">
        <v>60</v>
      </c>
      <c r="Y554" t="s">
        <v>412</v>
      </c>
      <c r="Z554" t="s">
        <v>60</v>
      </c>
      <c r="AA554" t="s">
        <v>491</v>
      </c>
    </row>
    <row r="555" spans="1:27" x14ac:dyDescent="0.2">
      <c r="A555" s="1">
        <v>46011</v>
      </c>
      <c r="B555" t="s">
        <v>328</v>
      </c>
      <c r="C555" t="s">
        <v>14</v>
      </c>
      <c r="D555" t="s">
        <v>18</v>
      </c>
      <c r="E555" t="s">
        <v>1042</v>
      </c>
      <c r="F555" t="s">
        <v>14</v>
      </c>
      <c r="G555">
        <v>2</v>
      </c>
      <c r="H555">
        <v>3</v>
      </c>
      <c r="I555" s="13">
        <v>0.6</v>
      </c>
      <c r="J555" t="s">
        <v>249</v>
      </c>
      <c r="L555" t="s">
        <v>60</v>
      </c>
      <c r="M555" t="s">
        <v>60</v>
      </c>
      <c r="N555" t="s">
        <v>14</v>
      </c>
      <c r="O555">
        <v>2</v>
      </c>
      <c r="P555">
        <v>3</v>
      </c>
      <c r="Q555" s="13">
        <v>0.54607725130849172</v>
      </c>
      <c r="R555" t="s">
        <v>249</v>
      </c>
      <c r="S555">
        <v>-0.40072465778517269</v>
      </c>
      <c r="T555" t="s">
        <v>60</v>
      </c>
      <c r="U555" t="s">
        <v>60</v>
      </c>
      <c r="X555" t="s">
        <v>60</v>
      </c>
      <c r="Y555" t="s">
        <v>412</v>
      </c>
      <c r="Z555" t="s">
        <v>60</v>
      </c>
      <c r="AA555" t="s">
        <v>491</v>
      </c>
    </row>
    <row r="556" spans="1:27" x14ac:dyDescent="0.2">
      <c r="A556" s="1">
        <v>46011</v>
      </c>
      <c r="B556" t="s">
        <v>328</v>
      </c>
      <c r="C556" t="s">
        <v>25</v>
      </c>
      <c r="D556" t="s">
        <v>37</v>
      </c>
      <c r="E556" t="s">
        <v>1043</v>
      </c>
      <c r="F556" t="s">
        <v>37</v>
      </c>
      <c r="G556">
        <v>2</v>
      </c>
      <c r="H556">
        <v>3</v>
      </c>
      <c r="I556" s="13">
        <v>0.6</v>
      </c>
      <c r="J556" t="s">
        <v>249</v>
      </c>
      <c r="L556" t="s">
        <v>60</v>
      </c>
      <c r="M556" t="s">
        <v>60</v>
      </c>
      <c r="N556" t="s">
        <v>37</v>
      </c>
      <c r="O556">
        <v>2</v>
      </c>
      <c r="P556">
        <v>3</v>
      </c>
      <c r="Q556" s="13">
        <v>0.5157317811674581</v>
      </c>
      <c r="R556" t="s">
        <v>249</v>
      </c>
      <c r="S556">
        <v>0.13473055834121411</v>
      </c>
      <c r="T556" t="s">
        <v>60</v>
      </c>
      <c r="U556" t="s">
        <v>60</v>
      </c>
      <c r="X556" t="s">
        <v>60</v>
      </c>
      <c r="Y556" t="s">
        <v>412</v>
      </c>
      <c r="Z556" t="s">
        <v>60</v>
      </c>
      <c r="AA556" t="s">
        <v>491</v>
      </c>
    </row>
    <row r="557" spans="1:27" x14ac:dyDescent="0.2">
      <c r="A557" s="1">
        <v>46011</v>
      </c>
      <c r="B557" t="s">
        <v>469</v>
      </c>
      <c r="C557" t="s">
        <v>35</v>
      </c>
      <c r="D557" t="s">
        <v>11</v>
      </c>
      <c r="E557" t="s">
        <v>1044</v>
      </c>
      <c r="F557" t="s">
        <v>11</v>
      </c>
      <c r="G557">
        <v>2</v>
      </c>
      <c r="H557">
        <v>3</v>
      </c>
      <c r="I557" s="13">
        <v>0.6</v>
      </c>
      <c r="J557" t="s">
        <v>249</v>
      </c>
      <c r="L557" t="s">
        <v>60</v>
      </c>
      <c r="M557" t="s">
        <v>60</v>
      </c>
      <c r="N557" t="s">
        <v>11</v>
      </c>
      <c r="O557">
        <v>2</v>
      </c>
      <c r="P557">
        <v>3</v>
      </c>
      <c r="Q557" s="13">
        <v>0.67629977884526182</v>
      </c>
      <c r="R557" t="s">
        <v>249</v>
      </c>
      <c r="S557">
        <v>1.047260829806778</v>
      </c>
      <c r="T557" t="s">
        <v>60</v>
      </c>
      <c r="U557" t="s">
        <v>60</v>
      </c>
      <c r="X557" t="s">
        <v>60</v>
      </c>
      <c r="Y557" t="s">
        <v>412</v>
      </c>
      <c r="Z557" t="s">
        <v>60</v>
      </c>
      <c r="AA557" t="s">
        <v>491</v>
      </c>
    </row>
    <row r="558" spans="1:27" x14ac:dyDescent="0.2">
      <c r="A558" s="1">
        <v>46011</v>
      </c>
      <c r="B558" t="s">
        <v>322</v>
      </c>
      <c r="C558" t="s">
        <v>28</v>
      </c>
      <c r="D558" t="s">
        <v>31</v>
      </c>
      <c r="E558" t="s">
        <v>1045</v>
      </c>
      <c r="F558" t="s">
        <v>31</v>
      </c>
      <c r="G558">
        <v>2</v>
      </c>
      <c r="H558">
        <v>3</v>
      </c>
      <c r="I558" s="13">
        <v>0.6</v>
      </c>
      <c r="J558" t="s">
        <v>249</v>
      </c>
      <c r="L558" t="s">
        <v>60</v>
      </c>
      <c r="M558" t="s">
        <v>60</v>
      </c>
      <c r="N558" t="s">
        <v>31</v>
      </c>
      <c r="O558">
        <v>2</v>
      </c>
      <c r="P558">
        <v>3</v>
      </c>
      <c r="Q558" s="13">
        <v>0.71260501472654725</v>
      </c>
      <c r="R558" t="s">
        <v>249</v>
      </c>
      <c r="S558">
        <v>0.82359317511296903</v>
      </c>
      <c r="T558" t="s">
        <v>60</v>
      </c>
      <c r="U558" t="s">
        <v>60</v>
      </c>
      <c r="X558" t="s">
        <v>60</v>
      </c>
      <c r="Y558" t="s">
        <v>412</v>
      </c>
      <c r="Z558" t="s">
        <v>60</v>
      </c>
      <c r="AA558" t="s">
        <v>491</v>
      </c>
    </row>
    <row r="559" spans="1:27" x14ac:dyDescent="0.2">
      <c r="A559" s="1">
        <v>46011</v>
      </c>
      <c r="B559" t="s">
        <v>328</v>
      </c>
      <c r="C559" t="s">
        <v>38</v>
      </c>
      <c r="D559" t="s">
        <v>21</v>
      </c>
      <c r="E559" t="s">
        <v>1046</v>
      </c>
      <c r="F559" t="s">
        <v>21</v>
      </c>
      <c r="G559">
        <v>2</v>
      </c>
      <c r="H559">
        <v>3</v>
      </c>
      <c r="I559" s="13">
        <v>0.6</v>
      </c>
      <c r="J559" t="s">
        <v>249</v>
      </c>
      <c r="L559" t="s">
        <v>60</v>
      </c>
      <c r="M559" t="s">
        <v>60</v>
      </c>
      <c r="N559" t="s">
        <v>21</v>
      </c>
      <c r="O559">
        <v>2</v>
      </c>
      <c r="P559">
        <v>3</v>
      </c>
      <c r="Q559" s="13">
        <v>0.67021979208233717</v>
      </c>
      <c r="R559" t="s">
        <v>249</v>
      </c>
      <c r="S559">
        <v>0.77780874358623497</v>
      </c>
      <c r="T559" t="s">
        <v>60</v>
      </c>
      <c r="U559" t="s">
        <v>60</v>
      </c>
      <c r="X559" t="s">
        <v>60</v>
      </c>
      <c r="Y559" t="s">
        <v>412</v>
      </c>
      <c r="Z559" t="s">
        <v>60</v>
      </c>
      <c r="AA559" t="s">
        <v>491</v>
      </c>
    </row>
    <row r="560" spans="1:27" x14ac:dyDescent="0.2">
      <c r="A560" s="1">
        <v>46011</v>
      </c>
      <c r="B560" t="s">
        <v>453</v>
      </c>
      <c r="C560" t="s">
        <v>17</v>
      </c>
      <c r="D560" t="s">
        <v>34</v>
      </c>
      <c r="E560" t="s">
        <v>1047</v>
      </c>
      <c r="F560" t="s">
        <v>34</v>
      </c>
      <c r="G560">
        <v>2</v>
      </c>
      <c r="H560">
        <v>3</v>
      </c>
      <c r="I560" s="13">
        <v>0.6</v>
      </c>
      <c r="J560" t="s">
        <v>249</v>
      </c>
      <c r="L560" t="s">
        <v>60</v>
      </c>
      <c r="M560" t="s">
        <v>60</v>
      </c>
      <c r="N560" t="s">
        <v>34</v>
      </c>
      <c r="O560">
        <v>2</v>
      </c>
      <c r="P560">
        <v>3</v>
      </c>
      <c r="Q560" s="13">
        <v>0.63487400852986009</v>
      </c>
      <c r="R560" t="s">
        <v>249</v>
      </c>
      <c r="S560">
        <v>0.81252262571120537</v>
      </c>
      <c r="T560" t="s">
        <v>60</v>
      </c>
      <c r="U560" t="s">
        <v>60</v>
      </c>
      <c r="X560" t="s">
        <v>60</v>
      </c>
      <c r="Y560" t="s">
        <v>412</v>
      </c>
      <c r="Z560" t="s">
        <v>60</v>
      </c>
      <c r="AA560" t="s">
        <v>491</v>
      </c>
    </row>
    <row r="561" spans="1:27" x14ac:dyDescent="0.2">
      <c r="A561" s="1">
        <v>46011</v>
      </c>
      <c r="B561" t="s">
        <v>322</v>
      </c>
      <c r="C561" t="s">
        <v>20</v>
      </c>
      <c r="D561" t="s">
        <v>16</v>
      </c>
      <c r="E561" t="s">
        <v>564</v>
      </c>
      <c r="F561" t="s">
        <v>20</v>
      </c>
      <c r="G561">
        <v>2</v>
      </c>
      <c r="H561">
        <v>3</v>
      </c>
      <c r="I561" s="13">
        <v>0.6</v>
      </c>
      <c r="J561" t="s">
        <v>249</v>
      </c>
      <c r="L561" t="s">
        <v>60</v>
      </c>
      <c r="M561" t="s">
        <v>60</v>
      </c>
      <c r="N561" t="s">
        <v>20</v>
      </c>
      <c r="O561">
        <v>2</v>
      </c>
      <c r="P561">
        <v>3</v>
      </c>
      <c r="Q561" s="13">
        <v>0.55007697058911142</v>
      </c>
      <c r="R561" t="s">
        <v>249</v>
      </c>
      <c r="S561">
        <v>-0.77143969980082194</v>
      </c>
      <c r="T561" t="s">
        <v>60</v>
      </c>
      <c r="U561" t="s">
        <v>60</v>
      </c>
      <c r="X561" t="s">
        <v>60</v>
      </c>
      <c r="Y561" t="s">
        <v>412</v>
      </c>
      <c r="Z561" t="s">
        <v>60</v>
      </c>
      <c r="AA561" t="s">
        <v>491</v>
      </c>
    </row>
    <row r="562" spans="1:27" x14ac:dyDescent="0.2">
      <c r="A562" s="1">
        <v>46011</v>
      </c>
      <c r="B562" t="s">
        <v>365</v>
      </c>
      <c r="C562" t="s">
        <v>30</v>
      </c>
      <c r="D562" t="s">
        <v>23</v>
      </c>
      <c r="E562" t="s">
        <v>1048</v>
      </c>
      <c r="F562" t="s">
        <v>30</v>
      </c>
      <c r="G562">
        <v>2</v>
      </c>
      <c r="H562">
        <v>3</v>
      </c>
      <c r="I562" s="13">
        <v>0.6</v>
      </c>
      <c r="J562" t="s">
        <v>249</v>
      </c>
      <c r="L562" t="s">
        <v>60</v>
      </c>
      <c r="M562" t="s">
        <v>60</v>
      </c>
      <c r="N562" t="s">
        <v>30</v>
      </c>
      <c r="O562">
        <v>2</v>
      </c>
      <c r="P562">
        <v>3</v>
      </c>
      <c r="Q562" s="13">
        <v>0.54408288433002694</v>
      </c>
      <c r="R562" t="s">
        <v>249</v>
      </c>
      <c r="S562">
        <v>-0.1852776893760946</v>
      </c>
      <c r="T562" t="s">
        <v>60</v>
      </c>
      <c r="U562" t="s">
        <v>60</v>
      </c>
      <c r="X562" t="s">
        <v>60</v>
      </c>
      <c r="Y562" t="s">
        <v>412</v>
      </c>
      <c r="Z562" t="s">
        <v>60</v>
      </c>
      <c r="AA562" t="s">
        <v>491</v>
      </c>
    </row>
    <row r="563" spans="1:27" x14ac:dyDescent="0.2">
      <c r="A563" s="1">
        <v>46012</v>
      </c>
      <c r="B563" t="s">
        <v>328</v>
      </c>
      <c r="C563" t="s">
        <v>36</v>
      </c>
      <c r="D563" t="s">
        <v>21</v>
      </c>
      <c r="E563" t="s">
        <v>809</v>
      </c>
      <c r="F563" t="s">
        <v>21</v>
      </c>
      <c r="G563">
        <v>2</v>
      </c>
      <c r="H563">
        <v>3</v>
      </c>
      <c r="I563" s="13">
        <v>0.6</v>
      </c>
      <c r="J563" t="s">
        <v>249</v>
      </c>
      <c r="L563" t="s">
        <v>60</v>
      </c>
      <c r="M563" t="s">
        <v>60</v>
      </c>
      <c r="N563" t="s">
        <v>21</v>
      </c>
      <c r="O563">
        <v>2</v>
      </c>
      <c r="P563">
        <v>3</v>
      </c>
      <c r="Q563" s="13">
        <v>0.62511283671022522</v>
      </c>
      <c r="R563" t="s">
        <v>249</v>
      </c>
      <c r="S563">
        <v>0.36150703934026951</v>
      </c>
      <c r="T563" t="s">
        <v>60</v>
      </c>
      <c r="U563" t="s">
        <v>60</v>
      </c>
      <c r="X563" t="s">
        <v>60</v>
      </c>
      <c r="Y563" t="s">
        <v>412</v>
      </c>
      <c r="Z563" t="s">
        <v>60</v>
      </c>
      <c r="AA563" t="s">
        <v>491</v>
      </c>
    </row>
    <row r="564" spans="1:27" x14ac:dyDescent="0.2">
      <c r="A564" s="1">
        <v>46012</v>
      </c>
      <c r="B564" t="s">
        <v>328</v>
      </c>
      <c r="C564" t="s">
        <v>18</v>
      </c>
      <c r="D564" t="s">
        <v>14</v>
      </c>
      <c r="E564" t="s">
        <v>978</v>
      </c>
      <c r="F564" t="s">
        <v>14</v>
      </c>
      <c r="G564">
        <v>2</v>
      </c>
      <c r="H564">
        <v>3</v>
      </c>
      <c r="I564" s="13">
        <v>0.6</v>
      </c>
      <c r="J564" t="s">
        <v>249</v>
      </c>
      <c r="L564" t="s">
        <v>60</v>
      </c>
      <c r="M564" t="s">
        <v>60</v>
      </c>
      <c r="N564" t="s">
        <v>14</v>
      </c>
      <c r="O564">
        <v>2</v>
      </c>
      <c r="P564">
        <v>3</v>
      </c>
      <c r="Q564" s="13">
        <v>0.53915598208090709</v>
      </c>
      <c r="R564" t="s">
        <v>249</v>
      </c>
      <c r="S564">
        <v>0.5005261556314976</v>
      </c>
      <c r="T564" t="s">
        <v>60</v>
      </c>
      <c r="U564" t="s">
        <v>60</v>
      </c>
      <c r="X564" t="s">
        <v>60</v>
      </c>
      <c r="Y564" t="s">
        <v>412</v>
      </c>
      <c r="Z564" t="s">
        <v>60</v>
      </c>
      <c r="AA564" t="s">
        <v>491</v>
      </c>
    </row>
    <row r="565" spans="1:27" x14ac:dyDescent="0.2">
      <c r="A565" s="1">
        <v>46012</v>
      </c>
      <c r="B565" t="s">
        <v>328</v>
      </c>
      <c r="C565" t="s">
        <v>15</v>
      </c>
      <c r="D565" t="s">
        <v>29</v>
      </c>
      <c r="E565" t="s">
        <v>1049</v>
      </c>
      <c r="F565" t="s">
        <v>15</v>
      </c>
      <c r="G565">
        <v>2</v>
      </c>
      <c r="H565">
        <v>3</v>
      </c>
      <c r="I565" s="13">
        <v>0.6</v>
      </c>
      <c r="J565" t="s">
        <v>249</v>
      </c>
      <c r="L565" t="s">
        <v>60</v>
      </c>
      <c r="M565" t="s">
        <v>60</v>
      </c>
      <c r="N565" t="s">
        <v>15</v>
      </c>
      <c r="O565">
        <v>2</v>
      </c>
      <c r="P565">
        <v>3</v>
      </c>
      <c r="Q565" s="13">
        <v>0.68209860199635841</v>
      </c>
      <c r="R565" t="s">
        <v>249</v>
      </c>
      <c r="S565">
        <v>-1.044982550402956</v>
      </c>
      <c r="T565" t="s">
        <v>60</v>
      </c>
      <c r="U565" t="s">
        <v>60</v>
      </c>
      <c r="X565" t="s">
        <v>60</v>
      </c>
      <c r="Y565" t="s">
        <v>412</v>
      </c>
      <c r="Z565" t="s">
        <v>60</v>
      </c>
      <c r="AA565" t="s">
        <v>491</v>
      </c>
    </row>
    <row r="566" spans="1:27" x14ac:dyDescent="0.2">
      <c r="A566" s="1">
        <v>46012</v>
      </c>
      <c r="B566" t="s">
        <v>328</v>
      </c>
      <c r="C566" t="s">
        <v>23</v>
      </c>
      <c r="D566" t="s">
        <v>24</v>
      </c>
      <c r="E566" t="s">
        <v>1050</v>
      </c>
      <c r="F566" t="s">
        <v>24</v>
      </c>
      <c r="G566">
        <v>2</v>
      </c>
      <c r="H566">
        <v>3</v>
      </c>
      <c r="I566" s="13">
        <v>0.6</v>
      </c>
      <c r="J566" t="s">
        <v>249</v>
      </c>
      <c r="L566" t="s">
        <v>60</v>
      </c>
      <c r="M566" t="s">
        <v>60</v>
      </c>
      <c r="N566" t="s">
        <v>24</v>
      </c>
      <c r="O566">
        <v>2</v>
      </c>
      <c r="P566">
        <v>3</v>
      </c>
      <c r="Q566" s="13">
        <v>0.68143295928595826</v>
      </c>
      <c r="R566" t="s">
        <v>249</v>
      </c>
      <c r="S566">
        <v>0.52754143542835641</v>
      </c>
      <c r="T566" t="s">
        <v>60</v>
      </c>
      <c r="U566" t="s">
        <v>60</v>
      </c>
      <c r="X566" t="s">
        <v>60</v>
      </c>
      <c r="Y566" t="s">
        <v>412</v>
      </c>
      <c r="Z566" t="s">
        <v>60</v>
      </c>
      <c r="AA566" t="s">
        <v>491</v>
      </c>
    </row>
    <row r="567" spans="1:27" x14ac:dyDescent="0.2">
      <c r="A567" s="1">
        <v>46012</v>
      </c>
      <c r="B567" t="s">
        <v>328</v>
      </c>
      <c r="C567" t="s">
        <v>40</v>
      </c>
      <c r="D567" t="s">
        <v>55</v>
      </c>
      <c r="E567" t="s">
        <v>1051</v>
      </c>
      <c r="F567" t="s">
        <v>40</v>
      </c>
      <c r="G567">
        <v>2</v>
      </c>
      <c r="H567">
        <v>3</v>
      </c>
      <c r="I567" s="13">
        <v>0.6</v>
      </c>
      <c r="J567" t="s">
        <v>249</v>
      </c>
      <c r="L567" t="s">
        <v>60</v>
      </c>
      <c r="M567" t="s">
        <v>60</v>
      </c>
      <c r="N567" t="s">
        <v>40</v>
      </c>
      <c r="O567">
        <v>2</v>
      </c>
      <c r="P567">
        <v>3</v>
      </c>
      <c r="Q567" s="13">
        <v>0.44466833870306172</v>
      </c>
      <c r="R567" t="s">
        <v>249</v>
      </c>
      <c r="S567">
        <v>-3.9980716315228398E-2</v>
      </c>
      <c r="T567" t="s">
        <v>60</v>
      </c>
      <c r="U567" t="s">
        <v>60</v>
      </c>
      <c r="X567" t="s">
        <v>60</v>
      </c>
      <c r="Y567" t="s">
        <v>412</v>
      </c>
      <c r="Z567" t="s">
        <v>60</v>
      </c>
      <c r="AA567" t="s">
        <v>491</v>
      </c>
    </row>
    <row r="568" spans="1:27" x14ac:dyDescent="0.2">
      <c r="A568" s="1">
        <v>46012</v>
      </c>
      <c r="B568" t="s">
        <v>324</v>
      </c>
      <c r="C568" t="s">
        <v>20</v>
      </c>
      <c r="D568" t="s">
        <v>17</v>
      </c>
      <c r="E568" t="s">
        <v>1052</v>
      </c>
      <c r="F568" t="s">
        <v>20</v>
      </c>
      <c r="G568">
        <v>2</v>
      </c>
      <c r="H568">
        <v>3</v>
      </c>
      <c r="I568" s="13">
        <v>0.6</v>
      </c>
      <c r="J568" t="s">
        <v>249</v>
      </c>
      <c r="L568" t="s">
        <v>60</v>
      </c>
      <c r="M568" t="s">
        <v>60</v>
      </c>
      <c r="N568" t="s">
        <v>20</v>
      </c>
      <c r="O568">
        <v>2</v>
      </c>
      <c r="P568">
        <v>3</v>
      </c>
      <c r="Q568" s="13">
        <v>0.5140693167207816</v>
      </c>
      <c r="R568" t="s">
        <v>249</v>
      </c>
      <c r="S568">
        <v>-0.52340508499372285</v>
      </c>
      <c r="T568" t="s">
        <v>60</v>
      </c>
      <c r="U568" t="s">
        <v>60</v>
      </c>
      <c r="X568" t="s">
        <v>60</v>
      </c>
      <c r="Y568" t="s">
        <v>412</v>
      </c>
      <c r="Z568" t="s">
        <v>60</v>
      </c>
      <c r="AA568" t="s">
        <v>491</v>
      </c>
    </row>
    <row r="569" spans="1:27" x14ac:dyDescent="0.2">
      <c r="A569" s="1">
        <v>46012</v>
      </c>
      <c r="B569" t="s">
        <v>347</v>
      </c>
      <c r="C569" t="s">
        <v>22</v>
      </c>
      <c r="D569" t="s">
        <v>26</v>
      </c>
      <c r="E569" t="s">
        <v>1053</v>
      </c>
      <c r="F569" t="s">
        <v>22</v>
      </c>
      <c r="G569">
        <v>2</v>
      </c>
      <c r="H569">
        <v>3</v>
      </c>
      <c r="I569" s="13">
        <v>0.6</v>
      </c>
      <c r="J569" t="s">
        <v>249</v>
      </c>
      <c r="L569" t="s">
        <v>60</v>
      </c>
      <c r="M569" t="s">
        <v>60</v>
      </c>
      <c r="N569" t="s">
        <v>22</v>
      </c>
      <c r="O569">
        <v>2</v>
      </c>
      <c r="P569">
        <v>3</v>
      </c>
      <c r="Q569" s="13">
        <v>0.65035380101246465</v>
      </c>
      <c r="R569" t="s">
        <v>249</v>
      </c>
      <c r="S569">
        <v>-1.2661460489629039</v>
      </c>
      <c r="T569" t="s">
        <v>60</v>
      </c>
      <c r="U569" t="s">
        <v>60</v>
      </c>
      <c r="X569" t="s">
        <v>60</v>
      </c>
      <c r="Y569" t="s">
        <v>412</v>
      </c>
      <c r="Z569" t="s">
        <v>60</v>
      </c>
      <c r="AA569" t="s">
        <v>491</v>
      </c>
    </row>
    <row r="570" spans="1:27" x14ac:dyDescent="0.2">
      <c r="A570" s="1">
        <v>46012</v>
      </c>
      <c r="B570" t="s">
        <v>328</v>
      </c>
      <c r="C570" t="s">
        <v>19</v>
      </c>
      <c r="D570" t="s">
        <v>39</v>
      </c>
      <c r="E570" t="s">
        <v>1054</v>
      </c>
      <c r="F570" t="s">
        <v>39</v>
      </c>
      <c r="G570">
        <v>2</v>
      </c>
      <c r="H570">
        <v>3</v>
      </c>
      <c r="I570" s="13">
        <v>0.6</v>
      </c>
      <c r="J570" t="s">
        <v>249</v>
      </c>
      <c r="L570" t="s">
        <v>60</v>
      </c>
      <c r="M570" t="s">
        <v>60</v>
      </c>
      <c r="N570" t="s">
        <v>39</v>
      </c>
      <c r="O570">
        <v>2</v>
      </c>
      <c r="P570">
        <v>3</v>
      </c>
      <c r="Q570" s="13">
        <v>0.70043296856714099</v>
      </c>
      <c r="R570" t="s">
        <v>249</v>
      </c>
      <c r="S570">
        <v>1.097821842097263</v>
      </c>
      <c r="T570" t="s">
        <v>60</v>
      </c>
      <c r="U570" t="s">
        <v>60</v>
      </c>
      <c r="X570" t="s">
        <v>60</v>
      </c>
      <c r="Y570" t="s">
        <v>412</v>
      </c>
      <c r="Z570" t="s">
        <v>60</v>
      </c>
      <c r="AA570" t="s">
        <v>491</v>
      </c>
    </row>
    <row r="571" spans="1:27" x14ac:dyDescent="0.2">
      <c r="A571" s="1">
        <v>46012</v>
      </c>
      <c r="B571" t="s">
        <v>469</v>
      </c>
      <c r="C571" t="s">
        <v>12</v>
      </c>
      <c r="D571" t="s">
        <v>34</v>
      </c>
      <c r="E571" t="s">
        <v>442</v>
      </c>
      <c r="F571" t="s">
        <v>12</v>
      </c>
      <c r="G571">
        <v>2</v>
      </c>
      <c r="H571">
        <v>3</v>
      </c>
      <c r="I571" s="13">
        <v>0.6</v>
      </c>
      <c r="J571" t="s">
        <v>249</v>
      </c>
      <c r="L571" t="s">
        <v>60</v>
      </c>
      <c r="M571" t="s">
        <v>60</v>
      </c>
      <c r="N571" t="s">
        <v>12</v>
      </c>
      <c r="O571">
        <v>2</v>
      </c>
      <c r="P571">
        <v>3</v>
      </c>
      <c r="Q571" s="13">
        <v>0.72378199000747556</v>
      </c>
      <c r="R571" t="s">
        <v>249</v>
      </c>
      <c r="S571">
        <v>-1.6371276969532931</v>
      </c>
      <c r="T571" t="s">
        <v>60</v>
      </c>
      <c r="U571" t="s">
        <v>60</v>
      </c>
      <c r="X571" t="s">
        <v>60</v>
      </c>
      <c r="Y571" t="s">
        <v>412</v>
      </c>
      <c r="Z571" t="s">
        <v>60</v>
      </c>
      <c r="AA571" t="s">
        <v>491</v>
      </c>
    </row>
    <row r="572" spans="1:27" x14ac:dyDescent="0.2">
      <c r="A572" s="1">
        <v>46013</v>
      </c>
      <c r="B572" t="s">
        <v>322</v>
      </c>
      <c r="C572" t="s">
        <v>28</v>
      </c>
      <c r="D572" t="s">
        <v>13</v>
      </c>
      <c r="E572" t="s">
        <v>1055</v>
      </c>
      <c r="F572" t="s">
        <v>13</v>
      </c>
      <c r="G572">
        <v>2</v>
      </c>
      <c r="H572">
        <v>3</v>
      </c>
      <c r="I572" s="13">
        <v>0.6</v>
      </c>
      <c r="J572" t="s">
        <v>249</v>
      </c>
      <c r="L572" t="s">
        <v>60</v>
      </c>
      <c r="M572" t="s">
        <v>60</v>
      </c>
      <c r="N572" t="s">
        <v>13</v>
      </c>
      <c r="O572">
        <v>2</v>
      </c>
      <c r="P572">
        <v>3</v>
      </c>
      <c r="Q572" s="13">
        <v>0.57222468149852157</v>
      </c>
      <c r="R572" t="s">
        <v>249</v>
      </c>
      <c r="S572">
        <v>0.30660655459648911</v>
      </c>
      <c r="T572" t="s">
        <v>60</v>
      </c>
      <c r="U572" t="s">
        <v>60</v>
      </c>
      <c r="X572" t="s">
        <v>60</v>
      </c>
      <c r="Y572" t="s">
        <v>412</v>
      </c>
      <c r="Z572" t="s">
        <v>60</v>
      </c>
      <c r="AA572" t="s">
        <v>491</v>
      </c>
    </row>
    <row r="573" spans="1:27" x14ac:dyDescent="0.2">
      <c r="A573" s="1">
        <v>46013</v>
      </c>
      <c r="B573" t="s">
        <v>334</v>
      </c>
      <c r="C573" t="s">
        <v>38</v>
      </c>
      <c r="D573" t="s">
        <v>27</v>
      </c>
      <c r="E573" t="s">
        <v>1056</v>
      </c>
      <c r="F573" t="s">
        <v>27</v>
      </c>
      <c r="G573">
        <v>2</v>
      </c>
      <c r="H573">
        <v>3</v>
      </c>
      <c r="I573" s="13">
        <v>0.6</v>
      </c>
      <c r="J573" t="s">
        <v>249</v>
      </c>
      <c r="L573" t="s">
        <v>60</v>
      </c>
      <c r="M573" t="s">
        <v>60</v>
      </c>
      <c r="N573" t="s">
        <v>27</v>
      </c>
      <c r="O573">
        <v>2</v>
      </c>
      <c r="P573">
        <v>3</v>
      </c>
      <c r="Q573" s="13">
        <v>0.62254214584012046</v>
      </c>
      <c r="R573" t="s">
        <v>249</v>
      </c>
      <c r="S573">
        <v>0.61733892052765049</v>
      </c>
      <c r="T573" t="s">
        <v>60</v>
      </c>
      <c r="U573" t="s">
        <v>60</v>
      </c>
      <c r="X573" t="s">
        <v>60</v>
      </c>
      <c r="Y573" t="s">
        <v>412</v>
      </c>
      <c r="Z573" t="s">
        <v>60</v>
      </c>
      <c r="AA573" t="s">
        <v>491</v>
      </c>
    </row>
    <row r="574" spans="1:27" x14ac:dyDescent="0.2">
      <c r="A574" s="1">
        <v>46013</v>
      </c>
      <c r="B574" t="s">
        <v>328</v>
      </c>
      <c r="C574" t="s">
        <v>35</v>
      </c>
      <c r="D574" t="s">
        <v>37</v>
      </c>
      <c r="E574" t="s">
        <v>1057</v>
      </c>
      <c r="F574" t="s">
        <v>37</v>
      </c>
      <c r="G574">
        <v>2</v>
      </c>
      <c r="H574">
        <v>3</v>
      </c>
      <c r="I574" s="13">
        <v>0.6</v>
      </c>
      <c r="J574" t="s">
        <v>249</v>
      </c>
      <c r="L574" t="s">
        <v>60</v>
      </c>
      <c r="M574" t="s">
        <v>60</v>
      </c>
      <c r="N574" t="s">
        <v>37</v>
      </c>
      <c r="O574">
        <v>2</v>
      </c>
      <c r="P574">
        <v>3</v>
      </c>
      <c r="Q574" s="13">
        <v>0.8005076327322812</v>
      </c>
      <c r="R574" t="s">
        <v>249</v>
      </c>
      <c r="S574">
        <v>1.954884067617489</v>
      </c>
      <c r="T574" t="s">
        <v>60</v>
      </c>
      <c r="U574" t="s">
        <v>60</v>
      </c>
      <c r="X574" t="s">
        <v>60</v>
      </c>
      <c r="Y574" t="s">
        <v>412</v>
      </c>
      <c r="Z574" t="s">
        <v>60</v>
      </c>
      <c r="AA574" t="s">
        <v>491</v>
      </c>
    </row>
    <row r="575" spans="1:27" x14ac:dyDescent="0.2">
      <c r="A575" s="1">
        <v>46013</v>
      </c>
      <c r="B575" t="s">
        <v>322</v>
      </c>
      <c r="C575" t="s">
        <v>32</v>
      </c>
      <c r="D575" t="s">
        <v>31</v>
      </c>
      <c r="E575" t="s">
        <v>1058</v>
      </c>
      <c r="F575" t="s">
        <v>31</v>
      </c>
      <c r="G575">
        <v>2</v>
      </c>
      <c r="H575">
        <v>3</v>
      </c>
      <c r="I575" s="13">
        <v>0.6</v>
      </c>
      <c r="J575" t="s">
        <v>249</v>
      </c>
      <c r="L575" t="s">
        <v>60</v>
      </c>
      <c r="M575" t="s">
        <v>60</v>
      </c>
      <c r="N575" t="s">
        <v>31</v>
      </c>
      <c r="O575">
        <v>2</v>
      </c>
      <c r="P575">
        <v>3</v>
      </c>
      <c r="Q575" s="13">
        <v>0.72235195127385143</v>
      </c>
      <c r="R575" t="s">
        <v>249</v>
      </c>
      <c r="S575">
        <v>0.87798100604051876</v>
      </c>
      <c r="T575" t="s">
        <v>60</v>
      </c>
      <c r="U575" t="s">
        <v>60</v>
      </c>
      <c r="X575" t="s">
        <v>60</v>
      </c>
      <c r="Y575" t="s">
        <v>412</v>
      </c>
      <c r="Z575" t="s">
        <v>60</v>
      </c>
      <c r="AA575" t="s">
        <v>491</v>
      </c>
    </row>
    <row r="576" spans="1:27" x14ac:dyDescent="0.2">
      <c r="A576" s="1">
        <v>46014</v>
      </c>
      <c r="B576" t="s">
        <v>324</v>
      </c>
      <c r="C576" t="s">
        <v>29</v>
      </c>
      <c r="D576" t="s">
        <v>34</v>
      </c>
      <c r="E576" t="s">
        <v>789</v>
      </c>
      <c r="F576" t="s">
        <v>34</v>
      </c>
      <c r="G576">
        <v>2</v>
      </c>
      <c r="H576">
        <v>3</v>
      </c>
      <c r="I576" s="13">
        <v>0.6</v>
      </c>
      <c r="J576" t="s">
        <v>249</v>
      </c>
      <c r="L576" t="s">
        <v>60</v>
      </c>
      <c r="M576" t="s">
        <v>60</v>
      </c>
      <c r="N576" t="s">
        <v>34</v>
      </c>
      <c r="O576">
        <v>2</v>
      </c>
      <c r="P576">
        <v>3</v>
      </c>
      <c r="Q576" s="13">
        <v>0.70109954920586415</v>
      </c>
      <c r="R576" t="s">
        <v>249</v>
      </c>
      <c r="S576">
        <v>1.379693245283744</v>
      </c>
      <c r="T576" t="s">
        <v>60</v>
      </c>
      <c r="U576" t="s">
        <v>60</v>
      </c>
      <c r="X576" t="s">
        <v>60</v>
      </c>
      <c r="Y576" t="s">
        <v>412</v>
      </c>
      <c r="Z576" t="s">
        <v>60</v>
      </c>
      <c r="AA576" t="s">
        <v>491</v>
      </c>
    </row>
    <row r="577" spans="1:27" x14ac:dyDescent="0.2">
      <c r="A577" s="1">
        <v>46014</v>
      </c>
      <c r="B577" t="s">
        <v>328</v>
      </c>
      <c r="C577" t="s">
        <v>15</v>
      </c>
      <c r="D577" t="s">
        <v>22</v>
      </c>
      <c r="E577" t="s">
        <v>1059</v>
      </c>
      <c r="F577" t="s">
        <v>22</v>
      </c>
      <c r="G577">
        <v>2</v>
      </c>
      <c r="H577">
        <v>3</v>
      </c>
      <c r="I577" s="13">
        <v>0.6</v>
      </c>
      <c r="J577" t="s">
        <v>249</v>
      </c>
      <c r="L577" t="s">
        <v>60</v>
      </c>
      <c r="M577" t="s">
        <v>60</v>
      </c>
      <c r="N577" t="s">
        <v>22</v>
      </c>
      <c r="O577">
        <v>2</v>
      </c>
      <c r="P577">
        <v>3</v>
      </c>
      <c r="Q577" s="13">
        <v>0.55717088848980889</v>
      </c>
      <c r="R577" t="s">
        <v>249</v>
      </c>
      <c r="S577">
        <v>0.78064196626086202</v>
      </c>
      <c r="T577" t="s">
        <v>60</v>
      </c>
      <c r="U577" t="s">
        <v>60</v>
      </c>
      <c r="X577" t="s">
        <v>60</v>
      </c>
      <c r="Y577" t="s">
        <v>412</v>
      </c>
      <c r="Z577" t="s">
        <v>60</v>
      </c>
      <c r="AA577" t="s">
        <v>491</v>
      </c>
    </row>
    <row r="578" spans="1:27" x14ac:dyDescent="0.2">
      <c r="A578" s="1">
        <v>46014</v>
      </c>
      <c r="B578" t="s">
        <v>322</v>
      </c>
      <c r="C578" t="s">
        <v>33</v>
      </c>
      <c r="D578" t="s">
        <v>20</v>
      </c>
      <c r="E578" t="s">
        <v>464</v>
      </c>
      <c r="F578" t="s">
        <v>20</v>
      </c>
      <c r="G578">
        <v>2</v>
      </c>
      <c r="H578">
        <v>3</v>
      </c>
      <c r="I578" s="13">
        <v>0.6</v>
      </c>
      <c r="J578" t="s">
        <v>249</v>
      </c>
      <c r="L578" t="s">
        <v>60</v>
      </c>
      <c r="M578" t="s">
        <v>60</v>
      </c>
      <c r="N578" t="s">
        <v>20</v>
      </c>
      <c r="O578">
        <v>2</v>
      </c>
      <c r="P578">
        <v>3</v>
      </c>
      <c r="Q578" s="13">
        <v>0.56998412882082472</v>
      </c>
      <c r="R578" t="s">
        <v>249</v>
      </c>
      <c r="S578">
        <v>0.25679091098476942</v>
      </c>
      <c r="T578" t="s">
        <v>60</v>
      </c>
      <c r="U578" t="s">
        <v>60</v>
      </c>
      <c r="X578" t="s">
        <v>60</v>
      </c>
      <c r="Y578" t="s">
        <v>412</v>
      </c>
      <c r="Z578" t="s">
        <v>60</v>
      </c>
      <c r="AA578" t="s">
        <v>491</v>
      </c>
    </row>
    <row r="579" spans="1:27" x14ac:dyDescent="0.2">
      <c r="A579" s="1">
        <v>46014</v>
      </c>
      <c r="B579" t="s">
        <v>369</v>
      </c>
      <c r="C579" t="s">
        <v>14</v>
      </c>
      <c r="D579" t="s">
        <v>19</v>
      </c>
      <c r="E579" t="s">
        <v>778</v>
      </c>
      <c r="F579" t="s">
        <v>14</v>
      </c>
      <c r="G579">
        <v>2</v>
      </c>
      <c r="H579">
        <v>3</v>
      </c>
      <c r="I579" s="13">
        <v>0.6</v>
      </c>
      <c r="J579" t="s">
        <v>249</v>
      </c>
      <c r="L579" t="s">
        <v>60</v>
      </c>
      <c r="M579" t="s">
        <v>60</v>
      </c>
      <c r="N579" t="s">
        <v>14</v>
      </c>
      <c r="O579">
        <v>2</v>
      </c>
      <c r="P579">
        <v>3</v>
      </c>
      <c r="Q579" s="13">
        <v>0.55093337655329999</v>
      </c>
      <c r="R579" t="s">
        <v>249</v>
      </c>
      <c r="S579">
        <v>-0.4423136208303281</v>
      </c>
      <c r="T579" t="s">
        <v>60</v>
      </c>
      <c r="U579" t="s">
        <v>60</v>
      </c>
      <c r="X579" t="s">
        <v>60</v>
      </c>
      <c r="Y579" t="s">
        <v>412</v>
      </c>
      <c r="Z579" t="s">
        <v>60</v>
      </c>
      <c r="AA579" t="s">
        <v>491</v>
      </c>
    </row>
    <row r="580" spans="1:27" x14ac:dyDescent="0.2">
      <c r="A580" s="1">
        <v>46014</v>
      </c>
      <c r="B580" t="s">
        <v>328</v>
      </c>
      <c r="C580" t="s">
        <v>23</v>
      </c>
      <c r="D580" t="s">
        <v>36</v>
      </c>
      <c r="E580" t="s">
        <v>1060</v>
      </c>
      <c r="F580" t="s">
        <v>23</v>
      </c>
      <c r="G580">
        <v>2</v>
      </c>
      <c r="H580">
        <v>3</v>
      </c>
      <c r="I580" s="13">
        <v>0.6</v>
      </c>
      <c r="J580" t="s">
        <v>249</v>
      </c>
      <c r="L580" t="s">
        <v>60</v>
      </c>
      <c r="M580" t="s">
        <v>60</v>
      </c>
      <c r="N580" t="s">
        <v>23</v>
      </c>
      <c r="O580">
        <v>2</v>
      </c>
      <c r="P580">
        <v>3</v>
      </c>
      <c r="Q580" s="13">
        <v>0.45813094810441091</v>
      </c>
      <c r="R580" t="s">
        <v>249</v>
      </c>
      <c r="S580">
        <v>-5.3648662010864004E-3</v>
      </c>
      <c r="T580" t="s">
        <v>60</v>
      </c>
      <c r="U580" t="s">
        <v>60</v>
      </c>
      <c r="X580" t="s">
        <v>60</v>
      </c>
      <c r="Y580" t="s">
        <v>412</v>
      </c>
      <c r="Z580" t="s">
        <v>60</v>
      </c>
      <c r="AA580" t="s">
        <v>491</v>
      </c>
    </row>
    <row r="581" spans="1:27" x14ac:dyDescent="0.2">
      <c r="A581" s="1">
        <v>46014</v>
      </c>
      <c r="B581" t="s">
        <v>328</v>
      </c>
      <c r="C581" t="s">
        <v>24</v>
      </c>
      <c r="D581" t="s">
        <v>30</v>
      </c>
      <c r="E581" t="s">
        <v>1061</v>
      </c>
      <c r="F581" t="s">
        <v>24</v>
      </c>
      <c r="G581">
        <v>2</v>
      </c>
      <c r="H581">
        <v>3</v>
      </c>
      <c r="I581" s="13">
        <v>0.6</v>
      </c>
      <c r="J581" t="s">
        <v>249</v>
      </c>
      <c r="L581" t="s">
        <v>60</v>
      </c>
      <c r="M581" t="s">
        <v>60</v>
      </c>
      <c r="N581" t="s">
        <v>24</v>
      </c>
      <c r="O581">
        <v>2</v>
      </c>
      <c r="P581">
        <v>3</v>
      </c>
      <c r="Q581" s="13">
        <v>0.50325362781538752</v>
      </c>
      <c r="R581" t="s">
        <v>249</v>
      </c>
      <c r="S581">
        <v>-0.19256149928277441</v>
      </c>
      <c r="T581" t="s">
        <v>60</v>
      </c>
      <c r="U581" t="s">
        <v>60</v>
      </c>
      <c r="X581" t="s">
        <v>60</v>
      </c>
      <c r="Y581" t="s">
        <v>412</v>
      </c>
      <c r="Z581" t="s">
        <v>60</v>
      </c>
      <c r="AA581" t="s">
        <v>491</v>
      </c>
    </row>
    <row r="582" spans="1:27" x14ac:dyDescent="0.2">
      <c r="A582" s="1">
        <v>46014</v>
      </c>
      <c r="B582" t="s">
        <v>322</v>
      </c>
      <c r="C582" t="s">
        <v>32</v>
      </c>
      <c r="D582" t="s">
        <v>13</v>
      </c>
      <c r="E582" t="s">
        <v>1062</v>
      </c>
      <c r="F582" t="s">
        <v>13</v>
      </c>
      <c r="G582">
        <v>2</v>
      </c>
      <c r="H582">
        <v>3</v>
      </c>
      <c r="I582" s="13">
        <v>0.6</v>
      </c>
      <c r="J582" t="s">
        <v>249</v>
      </c>
      <c r="L582" t="s">
        <v>60</v>
      </c>
      <c r="M582" t="s">
        <v>60</v>
      </c>
      <c r="N582" t="s">
        <v>13</v>
      </c>
      <c r="O582">
        <v>2</v>
      </c>
      <c r="P582">
        <v>3</v>
      </c>
      <c r="Q582" s="13">
        <v>0.58215142240680495</v>
      </c>
      <c r="R582" t="s">
        <v>249</v>
      </c>
      <c r="S582">
        <v>0.36099438552403879</v>
      </c>
      <c r="T582" t="s">
        <v>60</v>
      </c>
      <c r="U582" t="s">
        <v>60</v>
      </c>
      <c r="X582" t="s">
        <v>60</v>
      </c>
      <c r="Y582" t="s">
        <v>412</v>
      </c>
      <c r="Z582" t="s">
        <v>60</v>
      </c>
      <c r="AA582" t="s">
        <v>491</v>
      </c>
    </row>
    <row r="583" spans="1:27" x14ac:dyDescent="0.2">
      <c r="A583" s="1">
        <v>46014</v>
      </c>
      <c r="B583" t="s">
        <v>725</v>
      </c>
      <c r="C583" t="s">
        <v>39</v>
      </c>
      <c r="D583" t="s">
        <v>26</v>
      </c>
      <c r="E583" t="s">
        <v>1063</v>
      </c>
      <c r="F583" t="s">
        <v>39</v>
      </c>
      <c r="G583">
        <v>2</v>
      </c>
      <c r="H583">
        <v>3</v>
      </c>
      <c r="I583" s="13">
        <v>0.6</v>
      </c>
      <c r="J583" t="s">
        <v>249</v>
      </c>
      <c r="L583" t="s">
        <v>60</v>
      </c>
      <c r="M583" t="s">
        <v>60</v>
      </c>
      <c r="N583" t="s">
        <v>39</v>
      </c>
      <c r="O583">
        <v>2</v>
      </c>
      <c r="P583">
        <v>3</v>
      </c>
      <c r="Q583" s="13">
        <v>0.70645543126458221</v>
      </c>
      <c r="R583" t="s">
        <v>249</v>
      </c>
      <c r="S583">
        <v>-1.238881317964267</v>
      </c>
      <c r="T583" t="s">
        <v>60</v>
      </c>
      <c r="U583" t="s">
        <v>60</v>
      </c>
      <c r="X583" t="s">
        <v>60</v>
      </c>
      <c r="Y583" t="s">
        <v>412</v>
      </c>
      <c r="Z583" t="s">
        <v>60</v>
      </c>
      <c r="AA583" t="s">
        <v>491</v>
      </c>
    </row>
    <row r="584" spans="1:27" x14ac:dyDescent="0.2">
      <c r="A584" s="1">
        <v>46014</v>
      </c>
      <c r="B584" t="s">
        <v>326</v>
      </c>
      <c r="C584" t="s">
        <v>55</v>
      </c>
      <c r="D584" t="s">
        <v>12</v>
      </c>
      <c r="E584" t="s">
        <v>514</v>
      </c>
      <c r="F584" t="s">
        <v>12</v>
      </c>
      <c r="G584">
        <v>2</v>
      </c>
      <c r="H584">
        <v>3</v>
      </c>
      <c r="I584" s="13">
        <v>0.6</v>
      </c>
      <c r="J584" t="s">
        <v>249</v>
      </c>
      <c r="L584" t="s">
        <v>60</v>
      </c>
      <c r="M584" t="s">
        <v>60</v>
      </c>
      <c r="N584" t="s">
        <v>12</v>
      </c>
      <c r="O584">
        <v>2</v>
      </c>
      <c r="P584">
        <v>3</v>
      </c>
      <c r="Q584" s="13">
        <v>0.88777597679518749</v>
      </c>
      <c r="R584" t="s">
        <v>249</v>
      </c>
      <c r="S584">
        <v>2.084927696371321</v>
      </c>
      <c r="T584" t="s">
        <v>60</v>
      </c>
      <c r="U584" t="s">
        <v>60</v>
      </c>
      <c r="X584" t="s">
        <v>60</v>
      </c>
      <c r="Y584" t="s">
        <v>412</v>
      </c>
      <c r="Z584" t="s">
        <v>60</v>
      </c>
      <c r="AA584" t="s">
        <v>491</v>
      </c>
    </row>
    <row r="585" spans="1:27" x14ac:dyDescent="0.2">
      <c r="A585" s="1">
        <v>46014</v>
      </c>
      <c r="B585" t="s">
        <v>326</v>
      </c>
      <c r="C585" t="s">
        <v>27</v>
      </c>
      <c r="D585" t="s">
        <v>10</v>
      </c>
      <c r="E585" t="s">
        <v>1064</v>
      </c>
      <c r="F585" t="s">
        <v>10</v>
      </c>
      <c r="G585">
        <v>2</v>
      </c>
      <c r="H585">
        <v>3</v>
      </c>
      <c r="I585" s="13">
        <v>0.6</v>
      </c>
      <c r="J585" t="s">
        <v>249</v>
      </c>
      <c r="L585" t="s">
        <v>60</v>
      </c>
      <c r="M585" t="s">
        <v>60</v>
      </c>
      <c r="N585" t="s">
        <v>10</v>
      </c>
      <c r="O585">
        <v>2</v>
      </c>
      <c r="P585">
        <v>3</v>
      </c>
      <c r="Q585" s="13">
        <v>0.52713915615138829</v>
      </c>
      <c r="R585" t="s">
        <v>249</v>
      </c>
      <c r="S585">
        <v>0.25394407724516488</v>
      </c>
      <c r="T585" t="s">
        <v>60</v>
      </c>
      <c r="U585" t="s">
        <v>60</v>
      </c>
      <c r="X585" t="s">
        <v>60</v>
      </c>
      <c r="Y585" t="s">
        <v>412</v>
      </c>
      <c r="Z585" t="s">
        <v>60</v>
      </c>
      <c r="AA585" t="s">
        <v>491</v>
      </c>
    </row>
    <row r="586" spans="1:27" x14ac:dyDescent="0.2">
      <c r="A586" s="1">
        <v>46014</v>
      </c>
      <c r="B586" t="s">
        <v>328</v>
      </c>
      <c r="C586" t="s">
        <v>11</v>
      </c>
      <c r="D586" t="s">
        <v>25</v>
      </c>
      <c r="E586" t="s">
        <v>1065</v>
      </c>
      <c r="F586" t="s">
        <v>25</v>
      </c>
      <c r="G586">
        <v>2</v>
      </c>
      <c r="H586">
        <v>3</v>
      </c>
      <c r="I586" s="13">
        <v>0.6</v>
      </c>
      <c r="J586" t="s">
        <v>249</v>
      </c>
      <c r="L586" t="s">
        <v>60</v>
      </c>
      <c r="M586" t="s">
        <v>60</v>
      </c>
      <c r="N586" t="s">
        <v>25</v>
      </c>
      <c r="O586">
        <v>2</v>
      </c>
      <c r="P586">
        <v>3</v>
      </c>
      <c r="Q586" s="13">
        <v>0.69361590157977926</v>
      </c>
      <c r="R586" t="s">
        <v>249</v>
      </c>
      <c r="S586">
        <v>0.87269417731582166</v>
      </c>
      <c r="T586" t="s">
        <v>60</v>
      </c>
      <c r="U586" t="s">
        <v>60</v>
      </c>
      <c r="X586" t="s">
        <v>60</v>
      </c>
      <c r="Y586" t="s">
        <v>412</v>
      </c>
      <c r="Z586" t="s">
        <v>60</v>
      </c>
      <c r="AA586" t="s">
        <v>491</v>
      </c>
    </row>
    <row r="587" spans="1:27" x14ac:dyDescent="0.2">
      <c r="A587" s="1">
        <v>46014</v>
      </c>
      <c r="B587" t="s">
        <v>328</v>
      </c>
      <c r="C587" t="s">
        <v>18</v>
      </c>
      <c r="D587" t="s">
        <v>21</v>
      </c>
      <c r="E587" t="s">
        <v>1066</v>
      </c>
      <c r="F587" t="s">
        <v>21</v>
      </c>
      <c r="G587">
        <v>2</v>
      </c>
      <c r="H587">
        <v>3</v>
      </c>
      <c r="I587" s="13">
        <v>0.6</v>
      </c>
      <c r="J587" t="s">
        <v>249</v>
      </c>
      <c r="L587" t="s">
        <v>60</v>
      </c>
      <c r="M587" t="s">
        <v>60</v>
      </c>
      <c r="N587" t="s">
        <v>21</v>
      </c>
      <c r="O587">
        <v>2</v>
      </c>
      <c r="P587">
        <v>3</v>
      </c>
      <c r="Q587" s="13">
        <v>0.57366574500438006</v>
      </c>
      <c r="R587" t="s">
        <v>249</v>
      </c>
      <c r="S587">
        <v>0.42302061674925612</v>
      </c>
      <c r="T587" t="s">
        <v>60</v>
      </c>
      <c r="U587" t="s">
        <v>60</v>
      </c>
      <c r="X587" t="s">
        <v>60</v>
      </c>
      <c r="Y587" t="s">
        <v>412</v>
      </c>
      <c r="Z587" t="s">
        <v>60</v>
      </c>
      <c r="AA587" t="s">
        <v>491</v>
      </c>
    </row>
    <row r="588" spans="1:27" x14ac:dyDescent="0.2">
      <c r="A588" s="1">
        <v>46014</v>
      </c>
      <c r="B588" t="s">
        <v>326</v>
      </c>
      <c r="C588" t="s">
        <v>16</v>
      </c>
      <c r="D588" t="s">
        <v>17</v>
      </c>
      <c r="E588" t="s">
        <v>494</v>
      </c>
      <c r="F588" t="s">
        <v>17</v>
      </c>
      <c r="G588">
        <v>2</v>
      </c>
      <c r="H588">
        <v>3</v>
      </c>
      <c r="I588" s="13">
        <v>0.6</v>
      </c>
      <c r="J588" t="s">
        <v>249</v>
      </c>
      <c r="L588" t="s">
        <v>60</v>
      </c>
      <c r="M588" t="s">
        <v>60</v>
      </c>
      <c r="N588" t="s">
        <v>17</v>
      </c>
      <c r="O588">
        <v>2</v>
      </c>
      <c r="P588">
        <v>3</v>
      </c>
      <c r="Q588" s="13">
        <v>0.58183430278759984</v>
      </c>
      <c r="R588" t="s">
        <v>249</v>
      </c>
      <c r="S588">
        <v>0.29793536373026153</v>
      </c>
      <c r="T588" t="s">
        <v>60</v>
      </c>
      <c r="U588" t="s">
        <v>60</v>
      </c>
      <c r="X588" t="s">
        <v>60</v>
      </c>
      <c r="Y588" t="s">
        <v>412</v>
      </c>
      <c r="Z588" t="s">
        <v>60</v>
      </c>
      <c r="AA588" t="s">
        <v>491</v>
      </c>
    </row>
    <row r="589" spans="1:27" x14ac:dyDescent="0.2">
      <c r="A589" s="1">
        <v>46018</v>
      </c>
      <c r="B589" t="s">
        <v>328</v>
      </c>
      <c r="C589" t="s">
        <v>34</v>
      </c>
      <c r="D589" t="s">
        <v>40</v>
      </c>
      <c r="E589" t="s">
        <v>370</v>
      </c>
      <c r="F589" t="s">
        <v>34</v>
      </c>
      <c r="G589">
        <v>2</v>
      </c>
      <c r="H589">
        <v>3</v>
      </c>
      <c r="I589" s="13">
        <v>0.6</v>
      </c>
      <c r="J589" t="s">
        <v>249</v>
      </c>
      <c r="L589" t="s">
        <v>60</v>
      </c>
      <c r="M589" t="s">
        <v>60</v>
      </c>
      <c r="N589" t="s">
        <v>34</v>
      </c>
      <c r="O589">
        <v>2</v>
      </c>
      <c r="P589">
        <v>3</v>
      </c>
      <c r="Q589" s="13">
        <v>0.52431232460821053</v>
      </c>
      <c r="R589" t="s">
        <v>249</v>
      </c>
      <c r="S589">
        <v>-0.20821628741015019</v>
      </c>
      <c r="T589" t="s">
        <v>60</v>
      </c>
      <c r="U589" t="s">
        <v>60</v>
      </c>
      <c r="X589" t="s">
        <v>60</v>
      </c>
      <c r="Y589" t="s">
        <v>412</v>
      </c>
      <c r="Z589" t="s">
        <v>60</v>
      </c>
      <c r="AA589" t="s">
        <v>491</v>
      </c>
    </row>
    <row r="590" spans="1:27" x14ac:dyDescent="0.2">
      <c r="A590" s="1">
        <v>46018</v>
      </c>
      <c r="B590" t="s">
        <v>322</v>
      </c>
      <c r="C590" t="s">
        <v>12</v>
      </c>
      <c r="D590" t="s">
        <v>20</v>
      </c>
      <c r="E590" t="s">
        <v>746</v>
      </c>
      <c r="F590" t="s">
        <v>12</v>
      </c>
      <c r="G590">
        <v>2</v>
      </c>
      <c r="H590">
        <v>3</v>
      </c>
      <c r="I590" s="13">
        <v>0.6</v>
      </c>
      <c r="J590" t="s">
        <v>249</v>
      </c>
      <c r="L590" t="s">
        <v>60</v>
      </c>
      <c r="M590" t="s">
        <v>60</v>
      </c>
      <c r="N590" t="s">
        <v>12</v>
      </c>
      <c r="O590">
        <v>2</v>
      </c>
      <c r="P590">
        <v>3</v>
      </c>
      <c r="Q590" s="13">
        <v>0.74588743211805819</v>
      </c>
      <c r="R590" t="s">
        <v>249</v>
      </c>
      <c r="S590">
        <v>-1.82644373982445</v>
      </c>
      <c r="T590" t="s">
        <v>60</v>
      </c>
      <c r="U590" t="s">
        <v>60</v>
      </c>
      <c r="X590" t="s">
        <v>60</v>
      </c>
      <c r="Y590" t="s">
        <v>412</v>
      </c>
      <c r="Z590" t="s">
        <v>60</v>
      </c>
      <c r="AA590" t="s">
        <v>491</v>
      </c>
    </row>
    <row r="591" spans="1:27" x14ac:dyDescent="0.2">
      <c r="A591" s="1">
        <v>46018</v>
      </c>
      <c r="B591" t="s">
        <v>322</v>
      </c>
      <c r="C591" t="s">
        <v>33</v>
      </c>
      <c r="D591" t="s">
        <v>38</v>
      </c>
      <c r="E591" t="s">
        <v>1067</v>
      </c>
      <c r="F591" t="s">
        <v>33</v>
      </c>
      <c r="G591">
        <v>2</v>
      </c>
      <c r="H591">
        <v>3</v>
      </c>
      <c r="I591" s="13">
        <v>0.6</v>
      </c>
      <c r="J591" t="s">
        <v>249</v>
      </c>
      <c r="L591" t="s">
        <v>60</v>
      </c>
      <c r="M591" t="s">
        <v>60</v>
      </c>
      <c r="N591" t="s">
        <v>33</v>
      </c>
      <c r="O591">
        <v>2</v>
      </c>
      <c r="P591">
        <v>3</v>
      </c>
      <c r="Q591" s="13">
        <v>0.51212916118467577</v>
      </c>
      <c r="R591" t="s">
        <v>249</v>
      </c>
      <c r="S591">
        <v>-0.44644601380539828</v>
      </c>
      <c r="T591" t="s">
        <v>60</v>
      </c>
      <c r="U591" t="s">
        <v>60</v>
      </c>
      <c r="X591" t="s">
        <v>60</v>
      </c>
      <c r="Y591" t="s">
        <v>412</v>
      </c>
      <c r="Z591" t="s">
        <v>60</v>
      </c>
      <c r="AA591" t="s">
        <v>491</v>
      </c>
    </row>
    <row r="592" spans="1:27" x14ac:dyDescent="0.2">
      <c r="A592" s="1">
        <v>46018</v>
      </c>
      <c r="B592" t="s">
        <v>328</v>
      </c>
      <c r="C592" t="s">
        <v>36</v>
      </c>
      <c r="D592" t="s">
        <v>19</v>
      </c>
      <c r="E592" t="s">
        <v>1068</v>
      </c>
      <c r="F592" t="s">
        <v>36</v>
      </c>
      <c r="G592">
        <v>2</v>
      </c>
      <c r="H592">
        <v>3</v>
      </c>
      <c r="I592" s="13">
        <v>0.6</v>
      </c>
      <c r="J592" t="s">
        <v>249</v>
      </c>
      <c r="L592" t="s">
        <v>60</v>
      </c>
      <c r="M592" t="s">
        <v>60</v>
      </c>
      <c r="N592" t="s">
        <v>36</v>
      </c>
      <c r="O592">
        <v>2</v>
      </c>
      <c r="P592">
        <v>3</v>
      </c>
      <c r="Q592" s="13">
        <v>0.46621209436364419</v>
      </c>
      <c r="R592" t="s">
        <v>249</v>
      </c>
      <c r="S592">
        <v>-5.3201791530979398E-2</v>
      </c>
      <c r="T592" t="s">
        <v>60</v>
      </c>
      <c r="U592" t="s">
        <v>60</v>
      </c>
      <c r="X592" t="s">
        <v>60</v>
      </c>
      <c r="Y592" t="s">
        <v>412</v>
      </c>
      <c r="Z592" t="s">
        <v>60</v>
      </c>
      <c r="AA592" t="s">
        <v>491</v>
      </c>
    </row>
    <row r="593" spans="1:27" x14ac:dyDescent="0.2">
      <c r="A593" s="1">
        <v>46018</v>
      </c>
      <c r="B593" t="s">
        <v>324</v>
      </c>
      <c r="C593" t="s">
        <v>29</v>
      </c>
      <c r="D593" t="s">
        <v>35</v>
      </c>
      <c r="E593" t="s">
        <v>1007</v>
      </c>
      <c r="F593" t="s">
        <v>35</v>
      </c>
      <c r="G593">
        <v>2</v>
      </c>
      <c r="H593">
        <v>3</v>
      </c>
      <c r="I593" s="13">
        <v>0.6</v>
      </c>
      <c r="J593" t="s">
        <v>249</v>
      </c>
      <c r="L593" t="s">
        <v>60</v>
      </c>
      <c r="M593" t="s">
        <v>60</v>
      </c>
      <c r="N593" t="s">
        <v>35</v>
      </c>
      <c r="O593">
        <v>2</v>
      </c>
      <c r="P593">
        <v>3</v>
      </c>
      <c r="Q593" s="13">
        <v>0.54471025076760826</v>
      </c>
      <c r="R593" t="s">
        <v>249</v>
      </c>
      <c r="S593">
        <v>4.0339660785500803E-2</v>
      </c>
      <c r="T593" t="s">
        <v>60</v>
      </c>
      <c r="U593" t="s">
        <v>60</v>
      </c>
      <c r="X593" t="s">
        <v>60</v>
      </c>
      <c r="Y593" t="s">
        <v>412</v>
      </c>
      <c r="Z593" t="s">
        <v>60</v>
      </c>
      <c r="AA593" t="s">
        <v>491</v>
      </c>
    </row>
    <row r="594" spans="1:27" x14ac:dyDescent="0.2">
      <c r="A594" s="1">
        <v>46018</v>
      </c>
      <c r="B594" t="s">
        <v>469</v>
      </c>
      <c r="C594" t="s">
        <v>15</v>
      </c>
      <c r="D594" t="s">
        <v>30</v>
      </c>
      <c r="E594" t="s">
        <v>1069</v>
      </c>
      <c r="F594" t="s">
        <v>30</v>
      </c>
      <c r="G594">
        <v>2</v>
      </c>
      <c r="H594">
        <v>3</v>
      </c>
      <c r="I594" s="13">
        <v>0.6</v>
      </c>
      <c r="J594" t="s">
        <v>249</v>
      </c>
      <c r="L594" t="s">
        <v>60</v>
      </c>
      <c r="M594" t="s">
        <v>60</v>
      </c>
      <c r="N594" t="s">
        <v>30</v>
      </c>
      <c r="O594">
        <v>2</v>
      </c>
      <c r="P594">
        <v>3</v>
      </c>
      <c r="Q594" s="13">
        <v>0.45147856420498927</v>
      </c>
      <c r="R594" t="s">
        <v>249</v>
      </c>
      <c r="S594">
        <v>9.9002735965772401E-2</v>
      </c>
      <c r="T594" t="s">
        <v>60</v>
      </c>
      <c r="U594" t="s">
        <v>60</v>
      </c>
      <c r="X594" t="s">
        <v>60</v>
      </c>
      <c r="Y594" t="s">
        <v>412</v>
      </c>
      <c r="Z594" t="s">
        <v>60</v>
      </c>
      <c r="AA594" t="s">
        <v>491</v>
      </c>
    </row>
    <row r="595" spans="1:27" x14ac:dyDescent="0.2">
      <c r="A595" s="1">
        <v>46018</v>
      </c>
      <c r="B595" t="s">
        <v>328</v>
      </c>
      <c r="C595" t="s">
        <v>37</v>
      </c>
      <c r="D595" t="s">
        <v>11</v>
      </c>
      <c r="E595" t="s">
        <v>894</v>
      </c>
      <c r="F595" t="s">
        <v>37</v>
      </c>
      <c r="G595">
        <v>2</v>
      </c>
      <c r="H595">
        <v>3</v>
      </c>
      <c r="I595" s="13">
        <v>0.6</v>
      </c>
      <c r="J595" t="s">
        <v>249</v>
      </c>
      <c r="L595" t="s">
        <v>60</v>
      </c>
      <c r="M595" t="s">
        <v>60</v>
      </c>
      <c r="N595" t="s">
        <v>37</v>
      </c>
      <c r="O595">
        <v>2</v>
      </c>
      <c r="P595">
        <v>3</v>
      </c>
      <c r="Q595" s="13">
        <v>0.63861329811960532</v>
      </c>
      <c r="R595" t="s">
        <v>249</v>
      </c>
      <c r="S595">
        <v>-0.85772248888754832</v>
      </c>
      <c r="T595" t="s">
        <v>60</v>
      </c>
      <c r="U595" t="s">
        <v>60</v>
      </c>
      <c r="X595" t="s">
        <v>60</v>
      </c>
      <c r="Y595" t="s">
        <v>412</v>
      </c>
      <c r="Z595" t="s">
        <v>60</v>
      </c>
      <c r="AA595" t="s">
        <v>491</v>
      </c>
    </row>
    <row r="596" spans="1:27" x14ac:dyDescent="0.2">
      <c r="A596" s="1">
        <v>46018</v>
      </c>
      <c r="B596" t="s">
        <v>326</v>
      </c>
      <c r="C596" t="s">
        <v>31</v>
      </c>
      <c r="D596" t="s">
        <v>13</v>
      </c>
      <c r="E596" t="s">
        <v>1070</v>
      </c>
      <c r="F596" t="s">
        <v>31</v>
      </c>
      <c r="G596">
        <v>2</v>
      </c>
      <c r="H596">
        <v>3</v>
      </c>
      <c r="I596" s="13">
        <v>0.6</v>
      </c>
      <c r="J596" t="s">
        <v>249</v>
      </c>
      <c r="L596" t="s">
        <v>60</v>
      </c>
      <c r="M596" t="s">
        <v>60</v>
      </c>
      <c r="N596" t="s">
        <v>31</v>
      </c>
      <c r="O596">
        <v>2</v>
      </c>
      <c r="P596">
        <v>3</v>
      </c>
      <c r="Q596" s="13">
        <v>0.53530839997320578</v>
      </c>
      <c r="R596" t="s">
        <v>249</v>
      </c>
      <c r="S596">
        <v>-0.46708587159331749</v>
      </c>
      <c r="T596" t="s">
        <v>60</v>
      </c>
      <c r="U596" t="s">
        <v>60</v>
      </c>
      <c r="X596" t="s">
        <v>60</v>
      </c>
      <c r="Y596" t="s">
        <v>412</v>
      </c>
      <c r="Z596" t="s">
        <v>60</v>
      </c>
      <c r="AA596" t="s">
        <v>491</v>
      </c>
    </row>
    <row r="597" spans="1:27" x14ac:dyDescent="0.2">
      <c r="A597" s="1">
        <v>46018</v>
      </c>
      <c r="B597" t="s">
        <v>324</v>
      </c>
      <c r="C597" t="s">
        <v>10</v>
      </c>
      <c r="D597" t="s">
        <v>39</v>
      </c>
      <c r="E597" t="s">
        <v>1071</v>
      </c>
      <c r="F597" t="s">
        <v>39</v>
      </c>
      <c r="G597">
        <v>2</v>
      </c>
      <c r="H597">
        <v>3</v>
      </c>
      <c r="I597" s="13">
        <v>0.6</v>
      </c>
      <c r="J597" t="s">
        <v>249</v>
      </c>
      <c r="L597" t="s">
        <v>60</v>
      </c>
      <c r="M597" t="s">
        <v>60</v>
      </c>
      <c r="N597" t="s">
        <v>39</v>
      </c>
      <c r="O597">
        <v>2</v>
      </c>
      <c r="P597">
        <v>3</v>
      </c>
      <c r="Q597" s="13">
        <v>0.64692174205887343</v>
      </c>
      <c r="R597" t="s">
        <v>249</v>
      </c>
      <c r="S597">
        <v>0.6395395059625959</v>
      </c>
      <c r="T597" t="s">
        <v>60</v>
      </c>
      <c r="U597" t="s">
        <v>60</v>
      </c>
      <c r="X597" t="s">
        <v>60</v>
      </c>
      <c r="Y597" t="s">
        <v>412</v>
      </c>
      <c r="Z597" t="s">
        <v>60</v>
      </c>
      <c r="AA597" t="s">
        <v>491</v>
      </c>
    </row>
    <row r="598" spans="1:27" x14ac:dyDescent="0.2">
      <c r="A598" s="1">
        <v>46018</v>
      </c>
      <c r="B598" t="s">
        <v>322</v>
      </c>
      <c r="C598" t="s">
        <v>17</v>
      </c>
      <c r="D598" t="s">
        <v>16</v>
      </c>
      <c r="E598" t="s">
        <v>1072</v>
      </c>
      <c r="F598" t="s">
        <v>17</v>
      </c>
      <c r="G598">
        <v>2</v>
      </c>
      <c r="H598">
        <v>3</v>
      </c>
      <c r="I598" s="13">
        <v>0.6</v>
      </c>
      <c r="J598" t="s">
        <v>249</v>
      </c>
      <c r="L598" t="s">
        <v>60</v>
      </c>
      <c r="M598" t="s">
        <v>60</v>
      </c>
      <c r="N598" t="s">
        <v>17</v>
      </c>
      <c r="O598">
        <v>2</v>
      </c>
      <c r="P598">
        <v>3</v>
      </c>
      <c r="Q598" s="13">
        <v>0.48313505308910382</v>
      </c>
      <c r="R598" t="s">
        <v>249</v>
      </c>
      <c r="S598">
        <v>-0.19813386588393669</v>
      </c>
      <c r="T598" t="s">
        <v>60</v>
      </c>
      <c r="U598" t="s">
        <v>60</v>
      </c>
      <c r="X598" t="s">
        <v>60</v>
      </c>
      <c r="Y598" t="s">
        <v>412</v>
      </c>
      <c r="Z598" t="s">
        <v>60</v>
      </c>
      <c r="AA598" t="s">
        <v>491</v>
      </c>
    </row>
    <row r="599" spans="1:27" x14ac:dyDescent="0.2">
      <c r="A599" s="1">
        <v>46018</v>
      </c>
      <c r="B599" t="s">
        <v>328</v>
      </c>
      <c r="C599" t="s">
        <v>26</v>
      </c>
      <c r="D599" t="s">
        <v>25</v>
      </c>
      <c r="E599" t="s">
        <v>1073</v>
      </c>
      <c r="F599" t="s">
        <v>25</v>
      </c>
      <c r="G599">
        <v>2</v>
      </c>
      <c r="H599">
        <v>3</v>
      </c>
      <c r="I599" s="13">
        <v>0.6</v>
      </c>
      <c r="J599" t="s">
        <v>249</v>
      </c>
      <c r="L599" t="s">
        <v>60</v>
      </c>
      <c r="M599" t="s">
        <v>60</v>
      </c>
      <c r="N599" t="s">
        <v>25</v>
      </c>
      <c r="O599">
        <v>2</v>
      </c>
      <c r="P599">
        <v>3</v>
      </c>
      <c r="Q599" s="13">
        <v>0.74945529335783156</v>
      </c>
      <c r="R599" t="s">
        <v>249</v>
      </c>
      <c r="S599">
        <v>1.3509154512840249</v>
      </c>
      <c r="T599" t="s">
        <v>60</v>
      </c>
      <c r="U599" t="s">
        <v>60</v>
      </c>
      <c r="X599" t="s">
        <v>60</v>
      </c>
      <c r="Y599" t="s">
        <v>412</v>
      </c>
      <c r="Z599" t="s">
        <v>60</v>
      </c>
      <c r="AA599" t="s">
        <v>491</v>
      </c>
    </row>
    <row r="600" spans="1:27" x14ac:dyDescent="0.2">
      <c r="A600" s="1">
        <v>46018</v>
      </c>
      <c r="B600" t="s">
        <v>328</v>
      </c>
      <c r="C600" t="s">
        <v>21</v>
      </c>
      <c r="D600" t="s">
        <v>23</v>
      </c>
      <c r="E600" t="s">
        <v>1074</v>
      </c>
      <c r="F600" t="s">
        <v>21</v>
      </c>
      <c r="G600">
        <v>2</v>
      </c>
      <c r="H600">
        <v>3</v>
      </c>
      <c r="I600" s="13">
        <v>0.6</v>
      </c>
      <c r="J600" t="s">
        <v>249</v>
      </c>
      <c r="L600" t="s">
        <v>60</v>
      </c>
      <c r="M600" t="s">
        <v>60</v>
      </c>
      <c r="N600" t="s">
        <v>21</v>
      </c>
      <c r="O600">
        <v>2</v>
      </c>
      <c r="P600">
        <v>3</v>
      </c>
      <c r="Q600" s="13">
        <v>0.47480913359163229</v>
      </c>
      <c r="R600" t="s">
        <v>249</v>
      </c>
      <c r="S600">
        <v>-0.2064399263696956</v>
      </c>
      <c r="T600" t="s">
        <v>60</v>
      </c>
      <c r="U600" t="s">
        <v>60</v>
      </c>
      <c r="X600" t="s">
        <v>60</v>
      </c>
      <c r="Y600" t="s">
        <v>412</v>
      </c>
      <c r="Z600" t="s">
        <v>60</v>
      </c>
      <c r="AA600" t="s">
        <v>491</v>
      </c>
    </row>
    <row r="601" spans="1:27" x14ac:dyDescent="0.2">
      <c r="A601" s="1">
        <v>46018</v>
      </c>
      <c r="B601" t="s">
        <v>328</v>
      </c>
      <c r="C601" t="s">
        <v>22</v>
      </c>
      <c r="D601" t="s">
        <v>24</v>
      </c>
      <c r="E601" t="s">
        <v>1075</v>
      </c>
      <c r="F601" t="s">
        <v>22</v>
      </c>
      <c r="G601">
        <v>2</v>
      </c>
      <c r="H601">
        <v>3</v>
      </c>
      <c r="I601" s="13">
        <v>0.6</v>
      </c>
      <c r="J601" t="s">
        <v>249</v>
      </c>
      <c r="L601" t="s">
        <v>60</v>
      </c>
      <c r="M601" t="s">
        <v>60</v>
      </c>
      <c r="N601" t="s">
        <v>22</v>
      </c>
      <c r="O601">
        <v>2</v>
      </c>
      <c r="P601">
        <v>3</v>
      </c>
      <c r="Q601" s="13">
        <v>0.46650637710823029</v>
      </c>
      <c r="R601" t="s">
        <v>249</v>
      </c>
      <c r="S601">
        <v>-0.38927623316599019</v>
      </c>
      <c r="T601" t="s">
        <v>60</v>
      </c>
      <c r="U601" t="s">
        <v>60</v>
      </c>
      <c r="X601" t="s">
        <v>60</v>
      </c>
      <c r="Y601" t="s">
        <v>412</v>
      </c>
      <c r="Z601" t="s">
        <v>60</v>
      </c>
      <c r="AA601" t="s">
        <v>491</v>
      </c>
    </row>
    <row r="602" spans="1:27" x14ac:dyDescent="0.2">
      <c r="A602" s="1">
        <v>46019</v>
      </c>
      <c r="B602" t="s">
        <v>365</v>
      </c>
      <c r="C602" t="s">
        <v>18</v>
      </c>
      <c r="D602" t="s">
        <v>37</v>
      </c>
      <c r="E602" t="s">
        <v>1076</v>
      </c>
      <c r="F602" t="s">
        <v>37</v>
      </c>
      <c r="G602">
        <v>2</v>
      </c>
      <c r="H602">
        <v>3</v>
      </c>
      <c r="I602" s="13">
        <v>0.6</v>
      </c>
      <c r="J602" t="s">
        <v>249</v>
      </c>
      <c r="L602" t="s">
        <v>60</v>
      </c>
      <c r="M602" t="s">
        <v>60</v>
      </c>
      <c r="N602" t="s">
        <v>37</v>
      </c>
      <c r="O602">
        <v>2</v>
      </c>
      <c r="P602">
        <v>3</v>
      </c>
      <c r="Q602" s="13">
        <v>0.64803323445177996</v>
      </c>
      <c r="R602" t="s">
        <v>249</v>
      </c>
      <c r="S602">
        <v>1.1532953239435919</v>
      </c>
      <c r="T602" t="s">
        <v>60</v>
      </c>
      <c r="U602" t="s">
        <v>60</v>
      </c>
      <c r="X602" t="s">
        <v>60</v>
      </c>
      <c r="Y602" t="s">
        <v>412</v>
      </c>
      <c r="Z602" t="s">
        <v>60</v>
      </c>
      <c r="AA602" t="s">
        <v>491</v>
      </c>
    </row>
    <row r="603" spans="1:27" x14ac:dyDescent="0.2">
      <c r="A603" s="1">
        <v>46019</v>
      </c>
      <c r="B603" t="s">
        <v>324</v>
      </c>
      <c r="C603" t="s">
        <v>27</v>
      </c>
      <c r="D603" t="s">
        <v>32</v>
      </c>
      <c r="E603" t="s">
        <v>1077</v>
      </c>
      <c r="F603" t="s">
        <v>27</v>
      </c>
      <c r="G603">
        <v>2</v>
      </c>
      <c r="H603">
        <v>3</v>
      </c>
      <c r="I603" s="13">
        <v>0.6</v>
      </c>
      <c r="J603" t="s">
        <v>249</v>
      </c>
      <c r="L603" t="s">
        <v>60</v>
      </c>
      <c r="M603" t="s">
        <v>60</v>
      </c>
      <c r="N603" t="s">
        <v>27</v>
      </c>
      <c r="O603">
        <v>2</v>
      </c>
      <c r="P603">
        <v>3</v>
      </c>
      <c r="Q603" s="13">
        <v>0.5281117069273964</v>
      </c>
      <c r="R603" t="s">
        <v>249</v>
      </c>
      <c r="S603">
        <v>-0.2192369028486115</v>
      </c>
      <c r="T603" t="s">
        <v>60</v>
      </c>
      <c r="U603" t="s">
        <v>60</v>
      </c>
      <c r="X603" t="s">
        <v>60</v>
      </c>
      <c r="Y603" t="s">
        <v>412</v>
      </c>
      <c r="Z603" t="s">
        <v>60</v>
      </c>
      <c r="AA603" t="s">
        <v>491</v>
      </c>
    </row>
    <row r="604" spans="1:27" x14ac:dyDescent="0.2">
      <c r="A604" s="1">
        <v>46019</v>
      </c>
      <c r="B604" t="s">
        <v>328</v>
      </c>
      <c r="C604" t="s">
        <v>14</v>
      </c>
      <c r="D604" t="s">
        <v>10</v>
      </c>
      <c r="E604" t="s">
        <v>1078</v>
      </c>
      <c r="F604" t="s">
        <v>10</v>
      </c>
      <c r="G604">
        <v>2</v>
      </c>
      <c r="H604">
        <v>3</v>
      </c>
      <c r="I604" s="13">
        <v>0.6</v>
      </c>
      <c r="J604" t="s">
        <v>249</v>
      </c>
      <c r="L604" t="s">
        <v>60</v>
      </c>
      <c r="M604" t="s">
        <v>60</v>
      </c>
      <c r="N604" t="s">
        <v>10</v>
      </c>
      <c r="O604">
        <v>2</v>
      </c>
      <c r="P604">
        <v>3</v>
      </c>
      <c r="Q604" s="13">
        <v>0.50257784995496757</v>
      </c>
      <c r="R604" t="s">
        <v>249</v>
      </c>
      <c r="S604">
        <v>1.5968715304338799E-2</v>
      </c>
      <c r="T604" t="s">
        <v>60</v>
      </c>
      <c r="U604" t="s">
        <v>60</v>
      </c>
      <c r="X604" t="s">
        <v>60</v>
      </c>
      <c r="Y604" t="s">
        <v>412</v>
      </c>
      <c r="Z604" t="s">
        <v>60</v>
      </c>
      <c r="AA604" t="s">
        <v>491</v>
      </c>
    </row>
    <row r="605" spans="1:27" x14ac:dyDescent="0.2">
      <c r="A605" s="1">
        <v>46019</v>
      </c>
      <c r="B605" t="s">
        <v>365</v>
      </c>
      <c r="C605" t="s">
        <v>30</v>
      </c>
      <c r="D605" t="s">
        <v>28</v>
      </c>
      <c r="E605" t="s">
        <v>1079</v>
      </c>
      <c r="F605" t="s">
        <v>30</v>
      </c>
      <c r="G605">
        <v>2</v>
      </c>
      <c r="H605">
        <v>3</v>
      </c>
      <c r="I605" s="13">
        <v>0.6</v>
      </c>
      <c r="J605" t="s">
        <v>249</v>
      </c>
      <c r="L605" t="s">
        <v>60</v>
      </c>
      <c r="M605" t="s">
        <v>60</v>
      </c>
      <c r="N605" t="s">
        <v>30</v>
      </c>
      <c r="O605">
        <v>2</v>
      </c>
      <c r="P605">
        <v>3</v>
      </c>
      <c r="Q605" s="13">
        <v>0.56813794795961248</v>
      </c>
      <c r="R605" t="s">
        <v>249</v>
      </c>
      <c r="S605">
        <v>-0.30415665798604519</v>
      </c>
      <c r="T605" t="s">
        <v>60</v>
      </c>
      <c r="U605" t="s">
        <v>60</v>
      </c>
      <c r="X605" t="s">
        <v>60</v>
      </c>
      <c r="Y605" t="s">
        <v>412</v>
      </c>
      <c r="Z605" t="s">
        <v>60</v>
      </c>
      <c r="AA605" t="s">
        <v>491</v>
      </c>
    </row>
    <row r="606" spans="1:27" x14ac:dyDescent="0.2">
      <c r="A606" s="1">
        <v>46019</v>
      </c>
      <c r="B606" t="s">
        <v>328</v>
      </c>
      <c r="C606" t="s">
        <v>19</v>
      </c>
      <c r="D606" t="s">
        <v>26</v>
      </c>
      <c r="E606" t="s">
        <v>522</v>
      </c>
      <c r="F606" t="s">
        <v>19</v>
      </c>
      <c r="G606">
        <v>2</v>
      </c>
      <c r="H606">
        <v>3</v>
      </c>
      <c r="I606" s="13">
        <v>0.6</v>
      </c>
      <c r="J606" t="s">
        <v>249</v>
      </c>
      <c r="L606" t="s">
        <v>60</v>
      </c>
      <c r="M606" t="s">
        <v>60</v>
      </c>
      <c r="N606" t="s">
        <v>19</v>
      </c>
      <c r="O606">
        <v>2</v>
      </c>
      <c r="P606">
        <v>3</v>
      </c>
      <c r="Q606" s="13">
        <v>0.48229742461601999</v>
      </c>
      <c r="R606" t="s">
        <v>249</v>
      </c>
      <c r="S606">
        <v>-0.1909602247901665</v>
      </c>
      <c r="T606" t="s">
        <v>60</v>
      </c>
      <c r="U606" t="s">
        <v>60</v>
      </c>
      <c r="X606" t="s">
        <v>60</v>
      </c>
      <c r="Y606" t="s">
        <v>412</v>
      </c>
      <c r="Z606" t="s">
        <v>60</v>
      </c>
      <c r="AA606" t="s">
        <v>491</v>
      </c>
    </row>
    <row r="607" spans="1:27" x14ac:dyDescent="0.2">
      <c r="A607" s="1">
        <v>46020</v>
      </c>
      <c r="B607" t="s">
        <v>322</v>
      </c>
      <c r="C607" t="s">
        <v>33</v>
      </c>
      <c r="D607" t="s">
        <v>31</v>
      </c>
      <c r="E607" t="s">
        <v>1080</v>
      </c>
      <c r="F607" t="s">
        <v>31</v>
      </c>
      <c r="G607">
        <v>2</v>
      </c>
      <c r="H607">
        <v>3</v>
      </c>
      <c r="I607" s="13">
        <v>0.6</v>
      </c>
      <c r="J607" t="s">
        <v>249</v>
      </c>
      <c r="L607" t="s">
        <v>60</v>
      </c>
      <c r="M607" t="s">
        <v>60</v>
      </c>
      <c r="N607" t="s">
        <v>31</v>
      </c>
      <c r="O607">
        <v>2</v>
      </c>
      <c r="P607">
        <v>3</v>
      </c>
      <c r="Q607" s="13">
        <v>0.69922712946183019</v>
      </c>
      <c r="R607" t="s">
        <v>249</v>
      </c>
      <c r="S607">
        <v>0.67993476314467216</v>
      </c>
      <c r="T607" t="s">
        <v>60</v>
      </c>
      <c r="U607" t="s">
        <v>60</v>
      </c>
      <c r="X607" t="s">
        <v>60</v>
      </c>
      <c r="Y607" t="s">
        <v>412</v>
      </c>
      <c r="Z607" t="s">
        <v>60</v>
      </c>
      <c r="AA607" t="s">
        <v>491</v>
      </c>
    </row>
    <row r="608" spans="1:27" x14ac:dyDescent="0.2">
      <c r="A608" s="1">
        <v>46020</v>
      </c>
      <c r="B608" t="s">
        <v>326</v>
      </c>
      <c r="C608" t="s">
        <v>29</v>
      </c>
      <c r="D608" t="s">
        <v>55</v>
      </c>
      <c r="E608" t="s">
        <v>1081</v>
      </c>
      <c r="F608" t="s">
        <v>55</v>
      </c>
      <c r="G608">
        <v>2</v>
      </c>
      <c r="H608">
        <v>3</v>
      </c>
      <c r="I608" s="13">
        <v>0.6</v>
      </c>
      <c r="J608" t="s">
        <v>249</v>
      </c>
      <c r="L608" t="s">
        <v>60</v>
      </c>
      <c r="M608" t="s">
        <v>60</v>
      </c>
      <c r="N608" t="s">
        <v>55</v>
      </c>
      <c r="O608">
        <v>2</v>
      </c>
      <c r="P608">
        <v>3</v>
      </c>
      <c r="Q608" s="13">
        <v>0.70089676550215485</v>
      </c>
      <c r="R608" t="s">
        <v>249</v>
      </c>
      <c r="S608">
        <v>1.031694743712041</v>
      </c>
      <c r="T608" t="s">
        <v>60</v>
      </c>
      <c r="U608" t="s">
        <v>60</v>
      </c>
      <c r="X608" t="s">
        <v>60</v>
      </c>
      <c r="Y608" t="s">
        <v>412</v>
      </c>
      <c r="Z608" t="s">
        <v>60</v>
      </c>
      <c r="AA608" t="s">
        <v>491</v>
      </c>
    </row>
    <row r="609" spans="1:27" x14ac:dyDescent="0.2">
      <c r="A609" s="1">
        <v>46020</v>
      </c>
      <c r="B609" t="s">
        <v>324</v>
      </c>
      <c r="C609" t="s">
        <v>23</v>
      </c>
      <c r="D609" t="s">
        <v>35</v>
      </c>
      <c r="E609" t="s">
        <v>1082</v>
      </c>
      <c r="F609" t="s">
        <v>23</v>
      </c>
      <c r="G609">
        <v>2</v>
      </c>
      <c r="H609">
        <v>3</v>
      </c>
      <c r="I609" s="13">
        <v>0.6</v>
      </c>
      <c r="J609" t="s">
        <v>249</v>
      </c>
      <c r="L609" t="s">
        <v>60</v>
      </c>
      <c r="M609" t="s">
        <v>60</v>
      </c>
      <c r="N609" t="s">
        <v>23</v>
      </c>
      <c r="O609">
        <v>2</v>
      </c>
      <c r="P609">
        <v>3</v>
      </c>
      <c r="Q609" s="13">
        <v>0.56140636177627945</v>
      </c>
      <c r="R609" t="s">
        <v>249</v>
      </c>
      <c r="S609">
        <v>-0.86846718728397043</v>
      </c>
      <c r="T609" t="s">
        <v>60</v>
      </c>
      <c r="U609" t="s">
        <v>60</v>
      </c>
      <c r="X609" t="s">
        <v>60</v>
      </c>
      <c r="Y609" t="s">
        <v>412</v>
      </c>
      <c r="Z609" t="s">
        <v>60</v>
      </c>
      <c r="AA609" t="s">
        <v>491</v>
      </c>
    </row>
    <row r="610" spans="1:27" x14ac:dyDescent="0.2">
      <c r="A610" s="1">
        <v>46020</v>
      </c>
      <c r="B610" t="s">
        <v>322</v>
      </c>
      <c r="C610" t="s">
        <v>38</v>
      </c>
      <c r="D610" t="s">
        <v>32</v>
      </c>
      <c r="E610" t="s">
        <v>1083</v>
      </c>
      <c r="F610" t="s">
        <v>32</v>
      </c>
      <c r="G610">
        <v>2</v>
      </c>
      <c r="H610">
        <v>3</v>
      </c>
      <c r="I610" s="13">
        <v>0.6</v>
      </c>
      <c r="J610" t="s">
        <v>249</v>
      </c>
      <c r="L610" t="s">
        <v>60</v>
      </c>
      <c r="M610" t="s">
        <v>60</v>
      </c>
      <c r="N610" t="s">
        <v>32</v>
      </c>
      <c r="O610">
        <v>2</v>
      </c>
      <c r="P610">
        <v>3</v>
      </c>
      <c r="Q610" s="13">
        <v>0.57708147827079681</v>
      </c>
      <c r="R610" t="s">
        <v>249</v>
      </c>
      <c r="S610">
        <v>0.34820126875587648</v>
      </c>
      <c r="T610" t="s">
        <v>60</v>
      </c>
      <c r="U610" t="s">
        <v>60</v>
      </c>
      <c r="X610" t="s">
        <v>60</v>
      </c>
      <c r="Y610" t="s">
        <v>412</v>
      </c>
      <c r="Z610" t="s">
        <v>60</v>
      </c>
      <c r="AA610" t="s">
        <v>491</v>
      </c>
    </row>
    <row r="611" spans="1:27" x14ac:dyDescent="0.2">
      <c r="A611" s="1">
        <v>46020</v>
      </c>
      <c r="B611" t="s">
        <v>328</v>
      </c>
      <c r="C611" t="s">
        <v>28</v>
      </c>
      <c r="D611" t="s">
        <v>36</v>
      </c>
      <c r="E611" t="s">
        <v>1084</v>
      </c>
      <c r="F611" t="s">
        <v>36</v>
      </c>
      <c r="G611">
        <v>2</v>
      </c>
      <c r="H611">
        <v>3</v>
      </c>
      <c r="I611" s="13">
        <v>0.6</v>
      </c>
      <c r="J611" t="s">
        <v>249</v>
      </c>
      <c r="L611" t="s">
        <v>60</v>
      </c>
      <c r="M611" t="s">
        <v>60</v>
      </c>
      <c r="N611" t="s">
        <v>36</v>
      </c>
      <c r="O611">
        <v>2</v>
      </c>
      <c r="P611">
        <v>3</v>
      </c>
      <c r="Q611" s="13">
        <v>0.55217660249343792</v>
      </c>
      <c r="R611" t="s">
        <v>249</v>
      </c>
      <c r="S611">
        <v>0.1135141024088641</v>
      </c>
      <c r="T611" t="s">
        <v>60</v>
      </c>
      <c r="U611" t="s">
        <v>60</v>
      </c>
      <c r="X611" t="s">
        <v>60</v>
      </c>
      <c r="Y611" t="s">
        <v>412</v>
      </c>
      <c r="Z611" t="s">
        <v>60</v>
      </c>
      <c r="AA611" t="s">
        <v>491</v>
      </c>
    </row>
    <row r="612" spans="1:27" x14ac:dyDescent="0.2">
      <c r="A612" s="1">
        <v>46020</v>
      </c>
      <c r="B612" t="s">
        <v>334</v>
      </c>
      <c r="C612" t="s">
        <v>17</v>
      </c>
      <c r="D612" t="s">
        <v>40</v>
      </c>
      <c r="E612" t="s">
        <v>1085</v>
      </c>
      <c r="F612" t="s">
        <v>40</v>
      </c>
      <c r="G612">
        <v>2</v>
      </c>
      <c r="H612">
        <v>3</v>
      </c>
      <c r="I612" s="13">
        <v>0.6</v>
      </c>
      <c r="J612" t="s">
        <v>249</v>
      </c>
      <c r="L612" t="s">
        <v>60</v>
      </c>
      <c r="M612" t="s">
        <v>60</v>
      </c>
      <c r="N612" t="s">
        <v>40</v>
      </c>
      <c r="O612">
        <v>2</v>
      </c>
      <c r="P612">
        <v>3</v>
      </c>
      <c r="Q612" s="13">
        <v>0.60723051420671958</v>
      </c>
      <c r="R612" t="s">
        <v>249</v>
      </c>
      <c r="S612">
        <v>0.55440558937789264</v>
      </c>
      <c r="T612" t="s">
        <v>60</v>
      </c>
      <c r="U612" t="s">
        <v>60</v>
      </c>
      <c r="X612" t="s">
        <v>60</v>
      </c>
      <c r="Y612" t="s">
        <v>412</v>
      </c>
      <c r="Z612" t="s">
        <v>60</v>
      </c>
      <c r="AA612" t="s">
        <v>491</v>
      </c>
    </row>
    <row r="613" spans="1:27" x14ac:dyDescent="0.2">
      <c r="A613" s="1">
        <v>46020</v>
      </c>
      <c r="B613" t="s">
        <v>326</v>
      </c>
      <c r="C613" t="s">
        <v>13</v>
      </c>
      <c r="D613" t="s">
        <v>12</v>
      </c>
      <c r="E613" t="s">
        <v>1086</v>
      </c>
      <c r="F613" t="s">
        <v>12</v>
      </c>
      <c r="G613">
        <v>2</v>
      </c>
      <c r="H613">
        <v>3</v>
      </c>
      <c r="I613" s="13">
        <v>0.6</v>
      </c>
      <c r="J613" t="s">
        <v>249</v>
      </c>
      <c r="L613" t="s">
        <v>60</v>
      </c>
      <c r="M613" t="s">
        <v>60</v>
      </c>
      <c r="N613" t="s">
        <v>12</v>
      </c>
      <c r="O613">
        <v>2</v>
      </c>
      <c r="P613">
        <v>3</v>
      </c>
      <c r="Q613" s="13">
        <v>0.81727043791199216</v>
      </c>
      <c r="R613" t="s">
        <v>249</v>
      </c>
      <c r="S613">
        <v>2.0200880060273518</v>
      </c>
      <c r="T613" t="s">
        <v>60</v>
      </c>
      <c r="U613" t="s">
        <v>60</v>
      </c>
      <c r="X613" t="s">
        <v>60</v>
      </c>
      <c r="Y613" t="s">
        <v>412</v>
      </c>
      <c r="Z613" t="s">
        <v>60</v>
      </c>
      <c r="AA613" t="s">
        <v>491</v>
      </c>
    </row>
    <row r="614" spans="1:27" x14ac:dyDescent="0.2">
      <c r="A614" s="1">
        <v>46020</v>
      </c>
      <c r="B614" t="s">
        <v>326</v>
      </c>
      <c r="C614" t="s">
        <v>21</v>
      </c>
      <c r="D614" t="s">
        <v>16</v>
      </c>
      <c r="E614" t="s">
        <v>1087</v>
      </c>
      <c r="F614" t="s">
        <v>21</v>
      </c>
      <c r="G614">
        <v>2</v>
      </c>
      <c r="H614">
        <v>3</v>
      </c>
      <c r="I614" s="13">
        <v>0.6</v>
      </c>
      <c r="J614" t="s">
        <v>249</v>
      </c>
      <c r="L614" t="s">
        <v>60</v>
      </c>
      <c r="M614" t="s">
        <v>60</v>
      </c>
      <c r="N614" t="s">
        <v>21</v>
      </c>
      <c r="O614">
        <v>2</v>
      </c>
      <c r="P614">
        <v>3</v>
      </c>
      <c r="Q614" s="13">
        <v>0.55378717520333443</v>
      </c>
      <c r="R614" t="s">
        <v>249</v>
      </c>
      <c r="S614">
        <v>-0.79611076967372685</v>
      </c>
      <c r="T614" t="s">
        <v>60</v>
      </c>
      <c r="U614" t="s">
        <v>60</v>
      </c>
      <c r="X614" t="s">
        <v>60</v>
      </c>
      <c r="Y614" t="s">
        <v>412</v>
      </c>
      <c r="Z614" t="s">
        <v>60</v>
      </c>
      <c r="AA614" t="s">
        <v>491</v>
      </c>
    </row>
    <row r="615" spans="1:27" x14ac:dyDescent="0.2">
      <c r="A615" s="1">
        <v>46020</v>
      </c>
      <c r="B615" t="s">
        <v>328</v>
      </c>
      <c r="C615" t="s">
        <v>15</v>
      </c>
      <c r="D615" t="s">
        <v>25</v>
      </c>
      <c r="E615" t="s">
        <v>414</v>
      </c>
      <c r="F615" t="s">
        <v>25</v>
      </c>
      <c r="G615">
        <v>2</v>
      </c>
      <c r="H615">
        <v>3</v>
      </c>
      <c r="I615" s="13">
        <v>0.6</v>
      </c>
      <c r="J615" t="s">
        <v>249</v>
      </c>
      <c r="L615" t="s">
        <v>60</v>
      </c>
      <c r="M615" t="s">
        <v>60</v>
      </c>
      <c r="N615" t="s">
        <v>25</v>
      </c>
      <c r="O615">
        <v>2</v>
      </c>
      <c r="P615">
        <v>3</v>
      </c>
      <c r="Q615" s="13">
        <v>0.58170394431130978</v>
      </c>
      <c r="R615" t="s">
        <v>249</v>
      </c>
      <c r="S615">
        <v>0.76560987073565778</v>
      </c>
      <c r="T615" t="s">
        <v>60</v>
      </c>
      <c r="U615" t="s">
        <v>60</v>
      </c>
      <c r="X615" t="s">
        <v>60</v>
      </c>
      <c r="Y615" t="s">
        <v>412</v>
      </c>
      <c r="Z615" t="s">
        <v>60</v>
      </c>
      <c r="AA615" t="s">
        <v>491</v>
      </c>
    </row>
    <row r="616" spans="1:27" x14ac:dyDescent="0.2">
      <c r="A616" s="1">
        <v>46020</v>
      </c>
      <c r="B616" t="s">
        <v>328</v>
      </c>
      <c r="C616" t="s">
        <v>22</v>
      </c>
      <c r="D616" t="s">
        <v>11</v>
      </c>
      <c r="E616" t="s">
        <v>868</v>
      </c>
      <c r="F616" t="s">
        <v>22</v>
      </c>
      <c r="G616">
        <v>2</v>
      </c>
      <c r="H616">
        <v>3</v>
      </c>
      <c r="I616" s="13">
        <v>0.6</v>
      </c>
      <c r="J616" t="s">
        <v>249</v>
      </c>
      <c r="L616" t="s">
        <v>60</v>
      </c>
      <c r="M616" t="s">
        <v>60</v>
      </c>
      <c r="N616" t="s">
        <v>22</v>
      </c>
      <c r="O616">
        <v>2</v>
      </c>
      <c r="P616">
        <v>3</v>
      </c>
      <c r="Q616" s="13">
        <v>0.58037393944359772</v>
      </c>
      <c r="R616" t="s">
        <v>249</v>
      </c>
      <c r="S616">
        <v>-0.78792477499470093</v>
      </c>
      <c r="T616" t="s">
        <v>60</v>
      </c>
      <c r="U616" t="s">
        <v>60</v>
      </c>
      <c r="X616" t="s">
        <v>60</v>
      </c>
      <c r="Y616" t="s">
        <v>412</v>
      </c>
      <c r="Z616" t="s">
        <v>60</v>
      </c>
      <c r="AA616" t="s">
        <v>491</v>
      </c>
    </row>
    <row r="617" spans="1:27" x14ac:dyDescent="0.2">
      <c r="A617" s="1">
        <v>46020</v>
      </c>
      <c r="B617" t="s">
        <v>322</v>
      </c>
      <c r="C617" t="s">
        <v>34</v>
      </c>
      <c r="D617" t="s">
        <v>20</v>
      </c>
      <c r="E617" t="s">
        <v>1088</v>
      </c>
      <c r="F617" t="s">
        <v>34</v>
      </c>
      <c r="G617">
        <v>2</v>
      </c>
      <c r="H617">
        <v>3</v>
      </c>
      <c r="I617" s="13">
        <v>0.6</v>
      </c>
      <c r="J617" t="s">
        <v>249</v>
      </c>
      <c r="L617" t="s">
        <v>60</v>
      </c>
      <c r="M617" t="s">
        <v>60</v>
      </c>
      <c r="N617" t="s">
        <v>34</v>
      </c>
      <c r="O617">
        <v>2</v>
      </c>
      <c r="P617">
        <v>3</v>
      </c>
      <c r="Q617" s="13">
        <v>0.51879135600538295</v>
      </c>
      <c r="R617" t="s">
        <v>249</v>
      </c>
      <c r="S617">
        <v>-0.13941529394799509</v>
      </c>
      <c r="T617" t="s">
        <v>60</v>
      </c>
      <c r="U617" t="s">
        <v>60</v>
      </c>
      <c r="X617" t="s">
        <v>60</v>
      </c>
      <c r="Y617" t="s">
        <v>412</v>
      </c>
      <c r="Z617" t="s">
        <v>60</v>
      </c>
      <c r="AA617" t="s">
        <v>491</v>
      </c>
    </row>
    <row r="618" spans="1:27" x14ac:dyDescent="0.2">
      <c r="A618" s="1">
        <v>46021</v>
      </c>
      <c r="B618" t="s">
        <v>416</v>
      </c>
      <c r="C618" t="s">
        <v>30</v>
      </c>
      <c r="D618" t="s">
        <v>10</v>
      </c>
      <c r="E618" t="s">
        <v>1089</v>
      </c>
      <c r="F618" t="s">
        <v>10</v>
      </c>
      <c r="G618">
        <v>2</v>
      </c>
      <c r="H618">
        <v>3</v>
      </c>
      <c r="I618" s="13">
        <v>0.6</v>
      </c>
      <c r="J618" t="s">
        <v>249</v>
      </c>
      <c r="L618" t="s">
        <v>60</v>
      </c>
      <c r="M618" t="s">
        <v>60</v>
      </c>
      <c r="N618" t="s">
        <v>10</v>
      </c>
      <c r="O618">
        <v>2</v>
      </c>
      <c r="P618">
        <v>3</v>
      </c>
      <c r="Q618" s="13">
        <v>0.48076233315128641</v>
      </c>
      <c r="R618" t="s">
        <v>249</v>
      </c>
      <c r="S618">
        <v>0.1146364911801815</v>
      </c>
      <c r="T618" t="s">
        <v>60</v>
      </c>
      <c r="U618" t="s">
        <v>60</v>
      </c>
      <c r="X618" t="s">
        <v>60</v>
      </c>
      <c r="Y618" t="s">
        <v>412</v>
      </c>
      <c r="Z618" t="s">
        <v>60</v>
      </c>
      <c r="AA618" t="s">
        <v>491</v>
      </c>
    </row>
    <row r="619" spans="1:27" x14ac:dyDescent="0.2">
      <c r="A619" s="1">
        <v>46021</v>
      </c>
      <c r="B619" t="s">
        <v>328</v>
      </c>
      <c r="C619" t="s">
        <v>18</v>
      </c>
      <c r="D619" t="s">
        <v>11</v>
      </c>
      <c r="E619" t="s">
        <v>1090</v>
      </c>
      <c r="F619" t="s">
        <v>11</v>
      </c>
      <c r="G619">
        <v>2</v>
      </c>
      <c r="H619">
        <v>3</v>
      </c>
      <c r="I619" s="13">
        <v>0.6</v>
      </c>
      <c r="J619" t="s">
        <v>249</v>
      </c>
      <c r="L619" t="s">
        <v>60</v>
      </c>
      <c r="M619" t="s">
        <v>60</v>
      </c>
      <c r="N619" t="s">
        <v>11</v>
      </c>
      <c r="O619">
        <v>2</v>
      </c>
      <c r="P619">
        <v>3</v>
      </c>
      <c r="Q619" s="13">
        <v>0.52353120274196641</v>
      </c>
      <c r="R619" t="s">
        <v>249</v>
      </c>
      <c r="S619">
        <v>0.24567208613288111</v>
      </c>
      <c r="T619" t="s">
        <v>60</v>
      </c>
      <c r="U619" t="s">
        <v>60</v>
      </c>
      <c r="X619" t="s">
        <v>60</v>
      </c>
      <c r="Y619" t="s">
        <v>412</v>
      </c>
      <c r="Z619" t="s">
        <v>60</v>
      </c>
      <c r="AA619" t="s">
        <v>491</v>
      </c>
    </row>
    <row r="620" spans="1:27" x14ac:dyDescent="0.2">
      <c r="A620" s="1">
        <v>46021</v>
      </c>
      <c r="B620" t="s">
        <v>328</v>
      </c>
      <c r="C620" t="s">
        <v>25</v>
      </c>
      <c r="D620" t="s">
        <v>14</v>
      </c>
      <c r="E620" t="s">
        <v>1091</v>
      </c>
      <c r="F620" t="s">
        <v>25</v>
      </c>
      <c r="G620">
        <v>2</v>
      </c>
      <c r="H620">
        <v>3</v>
      </c>
      <c r="I620" s="13">
        <v>0.6</v>
      </c>
      <c r="J620" t="s">
        <v>249</v>
      </c>
      <c r="L620" t="s">
        <v>60</v>
      </c>
      <c r="M620" t="s">
        <v>60</v>
      </c>
      <c r="N620" t="s">
        <v>25</v>
      </c>
      <c r="O620">
        <v>2</v>
      </c>
      <c r="P620">
        <v>3</v>
      </c>
      <c r="Q620" s="13">
        <v>0.59311182252615857</v>
      </c>
      <c r="R620" t="s">
        <v>249</v>
      </c>
      <c r="S620">
        <v>-0.51803860997088025</v>
      </c>
      <c r="T620" t="s">
        <v>60</v>
      </c>
      <c r="U620" t="s">
        <v>60</v>
      </c>
      <c r="X620" t="s">
        <v>60</v>
      </c>
      <c r="Y620" t="s">
        <v>412</v>
      </c>
      <c r="Z620" t="s">
        <v>60</v>
      </c>
      <c r="AA620" t="s">
        <v>491</v>
      </c>
    </row>
    <row r="621" spans="1:27" x14ac:dyDescent="0.2">
      <c r="A621" s="1">
        <v>46021</v>
      </c>
      <c r="B621" t="s">
        <v>328</v>
      </c>
      <c r="C621" t="s">
        <v>24</v>
      </c>
      <c r="D621" t="s">
        <v>19</v>
      </c>
      <c r="E621" t="s">
        <v>639</v>
      </c>
      <c r="F621" t="s">
        <v>24</v>
      </c>
      <c r="G621">
        <v>2</v>
      </c>
      <c r="H621">
        <v>3</v>
      </c>
      <c r="I621" s="13">
        <v>0.6</v>
      </c>
      <c r="J621" t="s">
        <v>249</v>
      </c>
      <c r="L621" t="s">
        <v>60</v>
      </c>
      <c r="M621" t="s">
        <v>60</v>
      </c>
      <c r="N621" t="s">
        <v>24</v>
      </c>
      <c r="O621">
        <v>2</v>
      </c>
      <c r="P621">
        <v>3</v>
      </c>
      <c r="Q621" s="13">
        <v>0.54920600098378236</v>
      </c>
      <c r="R621" t="s">
        <v>249</v>
      </c>
      <c r="S621">
        <v>-0.58610809316042234</v>
      </c>
      <c r="T621" t="s">
        <v>60</v>
      </c>
      <c r="U621" t="s">
        <v>60</v>
      </c>
      <c r="X621" t="s">
        <v>60</v>
      </c>
      <c r="Y621" t="s">
        <v>412</v>
      </c>
      <c r="Z621" t="s">
        <v>60</v>
      </c>
      <c r="AA621" t="s">
        <v>491</v>
      </c>
    </row>
    <row r="622" spans="1:27" x14ac:dyDescent="0.2">
      <c r="A622" s="1">
        <v>46021</v>
      </c>
      <c r="B622" t="s">
        <v>322</v>
      </c>
      <c r="C622" t="s">
        <v>27</v>
      </c>
      <c r="D622" t="s">
        <v>38</v>
      </c>
      <c r="E622" t="s">
        <v>1092</v>
      </c>
      <c r="F622" t="s">
        <v>27</v>
      </c>
      <c r="G622">
        <v>2</v>
      </c>
      <c r="H622">
        <v>3</v>
      </c>
      <c r="I622" s="13">
        <v>0.6</v>
      </c>
      <c r="J622" t="s">
        <v>249</v>
      </c>
      <c r="L622" t="s">
        <v>60</v>
      </c>
      <c r="M622" t="s">
        <v>60</v>
      </c>
      <c r="N622" t="s">
        <v>27</v>
      </c>
      <c r="O622">
        <v>2</v>
      </c>
      <c r="P622">
        <v>3</v>
      </c>
      <c r="Q622" s="13">
        <v>0.56294269521932072</v>
      </c>
      <c r="R622" t="s">
        <v>249</v>
      </c>
      <c r="S622">
        <v>-0.51753742268132563</v>
      </c>
      <c r="T622" t="s">
        <v>60</v>
      </c>
      <c r="U622" t="s">
        <v>60</v>
      </c>
      <c r="X622" t="s">
        <v>60</v>
      </c>
      <c r="Y622" t="s">
        <v>412</v>
      </c>
      <c r="Z622" t="s">
        <v>60</v>
      </c>
      <c r="AA622" t="s">
        <v>491</v>
      </c>
    </row>
    <row r="623" spans="1:27" x14ac:dyDescent="0.2">
      <c r="A623" s="1">
        <v>46022</v>
      </c>
      <c r="B623" t="s">
        <v>725</v>
      </c>
      <c r="C623" t="s">
        <v>40</v>
      </c>
      <c r="D623" t="s">
        <v>26</v>
      </c>
      <c r="E623" t="s">
        <v>1093</v>
      </c>
      <c r="F623" t="s">
        <v>40</v>
      </c>
      <c r="G623">
        <v>2</v>
      </c>
      <c r="H623">
        <v>3</v>
      </c>
      <c r="I623" s="13">
        <v>0.6</v>
      </c>
      <c r="J623" t="s">
        <v>249</v>
      </c>
      <c r="L623" t="s">
        <v>60</v>
      </c>
      <c r="M623" t="s">
        <v>60</v>
      </c>
      <c r="N623" t="s">
        <v>40</v>
      </c>
      <c r="O623">
        <v>2</v>
      </c>
      <c r="P623">
        <v>3</v>
      </c>
      <c r="Q623" s="13">
        <v>0.54057578911141169</v>
      </c>
      <c r="R623" t="s">
        <v>249</v>
      </c>
      <c r="S623">
        <v>-0.5121969923263554</v>
      </c>
      <c r="T623" t="s">
        <v>60</v>
      </c>
      <c r="U623" t="s">
        <v>60</v>
      </c>
      <c r="X623" t="s">
        <v>60</v>
      </c>
      <c r="Y623" t="s">
        <v>412</v>
      </c>
      <c r="Z623" t="s">
        <v>60</v>
      </c>
      <c r="AA623" t="s">
        <v>491</v>
      </c>
    </row>
    <row r="624" spans="1:27" x14ac:dyDescent="0.2">
      <c r="A624" s="1">
        <v>46022</v>
      </c>
      <c r="B624" t="s">
        <v>555</v>
      </c>
      <c r="C624" t="s">
        <v>15</v>
      </c>
      <c r="D624" t="s">
        <v>22</v>
      </c>
      <c r="E624" t="s">
        <v>1059</v>
      </c>
      <c r="F624" t="s">
        <v>22</v>
      </c>
      <c r="G624">
        <v>2</v>
      </c>
      <c r="H624">
        <v>3</v>
      </c>
      <c r="I624" s="13">
        <v>0.6</v>
      </c>
      <c r="J624" t="s">
        <v>249</v>
      </c>
      <c r="L624" t="s">
        <v>60</v>
      </c>
      <c r="M624" t="s">
        <v>60</v>
      </c>
      <c r="N624" t="s">
        <v>22</v>
      </c>
      <c r="O624">
        <v>2</v>
      </c>
      <c r="P624">
        <v>3</v>
      </c>
      <c r="Q624" s="13">
        <v>0.55717088848980889</v>
      </c>
      <c r="R624" t="s">
        <v>249</v>
      </c>
      <c r="S624">
        <v>0.78064196626086202</v>
      </c>
      <c r="T624" t="s">
        <v>60</v>
      </c>
      <c r="U624" t="s">
        <v>60</v>
      </c>
      <c r="X624" t="s">
        <v>60</v>
      </c>
      <c r="Y624" t="s">
        <v>412</v>
      </c>
      <c r="Z624" t="s">
        <v>60</v>
      </c>
      <c r="AA624" t="s">
        <v>491</v>
      </c>
    </row>
    <row r="625" spans="1:27" x14ac:dyDescent="0.2">
      <c r="A625" s="1">
        <v>46022</v>
      </c>
      <c r="B625" t="s">
        <v>453</v>
      </c>
      <c r="C625" t="s">
        <v>29</v>
      </c>
      <c r="D625" t="s">
        <v>20</v>
      </c>
      <c r="E625" t="s">
        <v>1094</v>
      </c>
      <c r="F625" t="s">
        <v>20</v>
      </c>
      <c r="G625">
        <v>2</v>
      </c>
      <c r="H625">
        <v>3</v>
      </c>
      <c r="I625" s="13">
        <v>0.6</v>
      </c>
      <c r="J625" t="s">
        <v>249</v>
      </c>
      <c r="L625" t="s">
        <v>60</v>
      </c>
      <c r="M625" t="s">
        <v>60</v>
      </c>
      <c r="N625" t="s">
        <v>20</v>
      </c>
      <c r="O625">
        <v>2</v>
      </c>
      <c r="P625">
        <v>3</v>
      </c>
      <c r="Q625" s="13">
        <v>0.67899410709528163</v>
      </c>
      <c r="R625" t="s">
        <v>249</v>
      </c>
      <c r="S625">
        <v>1.1903772024125869</v>
      </c>
      <c r="T625" t="s">
        <v>60</v>
      </c>
      <c r="U625" t="s">
        <v>60</v>
      </c>
      <c r="X625" t="s">
        <v>60</v>
      </c>
      <c r="Y625" t="s">
        <v>412</v>
      </c>
      <c r="Z625" t="s">
        <v>60</v>
      </c>
      <c r="AA625" t="s">
        <v>491</v>
      </c>
    </row>
    <row r="626" spans="1:27" x14ac:dyDescent="0.2">
      <c r="A626" s="1">
        <v>46022</v>
      </c>
      <c r="B626" t="s">
        <v>369</v>
      </c>
      <c r="C626" t="s">
        <v>34</v>
      </c>
      <c r="D626" t="s">
        <v>33</v>
      </c>
      <c r="E626" t="s">
        <v>1095</v>
      </c>
      <c r="F626" t="s">
        <v>34</v>
      </c>
      <c r="G626">
        <v>2</v>
      </c>
      <c r="H626">
        <v>3</v>
      </c>
      <c r="I626" s="13">
        <v>0.6</v>
      </c>
      <c r="J626" t="s">
        <v>249</v>
      </c>
      <c r="L626" t="s">
        <v>60</v>
      </c>
      <c r="M626" t="s">
        <v>60</v>
      </c>
      <c r="N626" t="s">
        <v>34</v>
      </c>
      <c r="O626">
        <v>2</v>
      </c>
      <c r="P626">
        <v>3</v>
      </c>
      <c r="Q626" s="13">
        <v>0.53274396540055979</v>
      </c>
      <c r="R626" t="s">
        <v>249</v>
      </c>
      <c r="S626">
        <v>-0.34630545600960211</v>
      </c>
      <c r="T626" t="s">
        <v>60</v>
      </c>
      <c r="U626" t="s">
        <v>60</v>
      </c>
      <c r="X626" t="s">
        <v>60</v>
      </c>
      <c r="Y626" t="s">
        <v>412</v>
      </c>
      <c r="Z626" t="s">
        <v>60</v>
      </c>
      <c r="AA626" t="s">
        <v>491</v>
      </c>
    </row>
    <row r="627" spans="1:27" x14ac:dyDescent="0.2">
      <c r="A627" s="1">
        <v>46022</v>
      </c>
      <c r="B627" t="s">
        <v>426</v>
      </c>
      <c r="C627" t="s">
        <v>21</v>
      </c>
      <c r="D627" t="s">
        <v>17</v>
      </c>
      <c r="E627" t="s">
        <v>1096</v>
      </c>
      <c r="F627" t="s">
        <v>21</v>
      </c>
      <c r="G627">
        <v>2</v>
      </c>
      <c r="H627">
        <v>3</v>
      </c>
      <c r="I627" s="13">
        <v>0.6</v>
      </c>
      <c r="J627" t="s">
        <v>249</v>
      </c>
      <c r="L627" t="s">
        <v>60</v>
      </c>
      <c r="M627" t="s">
        <v>60</v>
      </c>
      <c r="N627" t="s">
        <v>21</v>
      </c>
      <c r="O627">
        <v>2</v>
      </c>
      <c r="P627">
        <v>3</v>
      </c>
      <c r="Q627" s="13">
        <v>0.51777749271244533</v>
      </c>
      <c r="R627" t="s">
        <v>249</v>
      </c>
      <c r="S627">
        <v>-0.54807615486662775</v>
      </c>
      <c r="T627" t="s">
        <v>60</v>
      </c>
      <c r="U627" t="s">
        <v>60</v>
      </c>
      <c r="X627" t="s">
        <v>60</v>
      </c>
      <c r="Y627" t="s">
        <v>412</v>
      </c>
      <c r="Z627" t="s">
        <v>60</v>
      </c>
      <c r="AA627" t="s">
        <v>491</v>
      </c>
    </row>
    <row r="628" spans="1:27" x14ac:dyDescent="0.2">
      <c r="A628" s="1">
        <v>46022</v>
      </c>
      <c r="B628" t="s">
        <v>324</v>
      </c>
      <c r="C628" t="s">
        <v>23</v>
      </c>
      <c r="D628" t="s">
        <v>39</v>
      </c>
      <c r="E628" t="s">
        <v>1097</v>
      </c>
      <c r="F628" t="s">
        <v>39</v>
      </c>
      <c r="G628">
        <v>2</v>
      </c>
      <c r="H628">
        <v>3</v>
      </c>
      <c r="I628" s="13">
        <v>0.6</v>
      </c>
      <c r="J628" t="s">
        <v>249</v>
      </c>
      <c r="L628" t="s">
        <v>60</v>
      </c>
      <c r="M628" t="s">
        <v>60</v>
      </c>
      <c r="N628" t="s">
        <v>39</v>
      </c>
      <c r="O628">
        <v>2</v>
      </c>
      <c r="P628">
        <v>3</v>
      </c>
      <c r="Q628" s="13">
        <v>0.68194114905620618</v>
      </c>
      <c r="R628" t="s">
        <v>249</v>
      </c>
      <c r="S628">
        <v>0.93945368651887196</v>
      </c>
      <c r="T628" t="s">
        <v>60</v>
      </c>
      <c r="U628" t="s">
        <v>60</v>
      </c>
      <c r="X628" t="s">
        <v>60</v>
      </c>
      <c r="Y628" t="s">
        <v>412</v>
      </c>
      <c r="Z628" t="s">
        <v>60</v>
      </c>
      <c r="AA628" t="s">
        <v>491</v>
      </c>
    </row>
    <row r="629" spans="1:27" x14ac:dyDescent="0.2">
      <c r="A629" s="1">
        <v>46022</v>
      </c>
      <c r="B629" t="s">
        <v>426</v>
      </c>
      <c r="C629" t="s">
        <v>27</v>
      </c>
      <c r="D629" t="s">
        <v>16</v>
      </c>
      <c r="E629" t="s">
        <v>1098</v>
      </c>
      <c r="F629" t="s">
        <v>27</v>
      </c>
      <c r="G629">
        <v>2</v>
      </c>
      <c r="H629">
        <v>3</v>
      </c>
      <c r="I629" s="13">
        <v>0.6</v>
      </c>
      <c r="J629" t="s">
        <v>249</v>
      </c>
      <c r="L629" t="s">
        <v>60</v>
      </c>
      <c r="M629" t="s">
        <v>60</v>
      </c>
      <c r="N629" t="s">
        <v>27</v>
      </c>
      <c r="O629">
        <v>2</v>
      </c>
      <c r="P629">
        <v>3</v>
      </c>
      <c r="Q629" s="13">
        <v>0.57673302472220156</v>
      </c>
      <c r="R629" t="s">
        <v>249</v>
      </c>
      <c r="S629">
        <v>-0.63564094661514237</v>
      </c>
      <c r="T629" t="s">
        <v>60</v>
      </c>
      <c r="U629" t="s">
        <v>60</v>
      </c>
      <c r="X629" t="s">
        <v>60</v>
      </c>
      <c r="Y629" t="s">
        <v>412</v>
      </c>
      <c r="Z629" t="s">
        <v>60</v>
      </c>
      <c r="AA629" t="s">
        <v>491</v>
      </c>
    </row>
    <row r="630" spans="1:27" x14ac:dyDescent="0.2">
      <c r="A630" s="1">
        <v>46022</v>
      </c>
      <c r="B630" t="s">
        <v>328</v>
      </c>
      <c r="C630" t="s">
        <v>24</v>
      </c>
      <c r="D630" t="s">
        <v>28</v>
      </c>
      <c r="E630" t="s">
        <v>553</v>
      </c>
      <c r="F630" t="s">
        <v>24</v>
      </c>
      <c r="G630">
        <v>2</v>
      </c>
      <c r="H630">
        <v>3</v>
      </c>
      <c r="I630" s="13">
        <v>0.6</v>
      </c>
      <c r="J630" t="s">
        <v>249</v>
      </c>
      <c r="L630" t="s">
        <v>60</v>
      </c>
      <c r="M630" t="s">
        <v>60</v>
      </c>
      <c r="N630" t="s">
        <v>24</v>
      </c>
      <c r="O630">
        <v>2</v>
      </c>
      <c r="P630">
        <v>3</v>
      </c>
      <c r="Q630" s="13">
        <v>0.54459505558641363</v>
      </c>
      <c r="R630" t="s">
        <v>249</v>
      </c>
      <c r="S630">
        <v>-0.54661890619198206</v>
      </c>
      <c r="T630" t="s">
        <v>60</v>
      </c>
      <c r="U630" t="s">
        <v>60</v>
      </c>
      <c r="X630" t="s">
        <v>60</v>
      </c>
      <c r="Y630" t="s">
        <v>412</v>
      </c>
      <c r="Z630" t="s">
        <v>60</v>
      </c>
      <c r="AA630" t="s">
        <v>491</v>
      </c>
    </row>
    <row r="631" spans="1:27" x14ac:dyDescent="0.2">
      <c r="A631" s="1">
        <v>46022</v>
      </c>
      <c r="B631" t="s">
        <v>369</v>
      </c>
      <c r="C631" t="s">
        <v>37</v>
      </c>
      <c r="D631" t="s">
        <v>31</v>
      </c>
      <c r="E631" t="s">
        <v>1099</v>
      </c>
      <c r="F631" t="s">
        <v>37</v>
      </c>
      <c r="G631">
        <v>2</v>
      </c>
      <c r="H631">
        <v>3</v>
      </c>
      <c r="I631" s="13">
        <v>0.6</v>
      </c>
      <c r="J631" t="s">
        <v>249</v>
      </c>
      <c r="L631" t="s">
        <v>60</v>
      </c>
      <c r="M631" t="s">
        <v>60</v>
      </c>
      <c r="N631" t="s">
        <v>37</v>
      </c>
      <c r="O631">
        <v>2</v>
      </c>
      <c r="P631">
        <v>3</v>
      </c>
      <c r="Q631" s="13">
        <v>0.50350435815468431</v>
      </c>
      <c r="R631" t="s">
        <v>249</v>
      </c>
      <c r="S631">
        <v>-0.28190117598417552</v>
      </c>
      <c r="T631" t="s">
        <v>60</v>
      </c>
      <c r="U631" t="s">
        <v>60</v>
      </c>
      <c r="X631" t="s">
        <v>60</v>
      </c>
      <c r="Y631" t="s">
        <v>412</v>
      </c>
      <c r="Z631" t="s">
        <v>60</v>
      </c>
      <c r="AA631" t="s">
        <v>491</v>
      </c>
    </row>
    <row r="632" spans="1:27" x14ac:dyDescent="0.2">
      <c r="A632" s="1">
        <v>46022</v>
      </c>
      <c r="B632" t="s">
        <v>326</v>
      </c>
      <c r="C632" t="s">
        <v>35</v>
      </c>
      <c r="D632" t="s">
        <v>12</v>
      </c>
      <c r="E632" t="s">
        <v>1100</v>
      </c>
      <c r="F632" t="s">
        <v>12</v>
      </c>
      <c r="G632">
        <v>2</v>
      </c>
      <c r="H632">
        <v>3</v>
      </c>
      <c r="I632" s="13">
        <v>0.6</v>
      </c>
      <c r="J632" t="s">
        <v>249</v>
      </c>
      <c r="L632" t="s">
        <v>60</v>
      </c>
      <c r="M632" t="s">
        <v>60</v>
      </c>
      <c r="N632" t="s">
        <v>12</v>
      </c>
      <c r="O632">
        <v>2</v>
      </c>
      <c r="P632">
        <v>3</v>
      </c>
      <c r="Q632" s="13">
        <v>1</v>
      </c>
      <c r="R632" t="s">
        <v>249</v>
      </c>
      <c r="S632">
        <v>3.0762827792978609</v>
      </c>
      <c r="T632" t="s">
        <v>60</v>
      </c>
      <c r="U632" t="s">
        <v>60</v>
      </c>
      <c r="X632" t="s">
        <v>60</v>
      </c>
      <c r="Y632" t="s">
        <v>412</v>
      </c>
      <c r="Z632" t="s">
        <v>60</v>
      </c>
      <c r="AA632" t="s">
        <v>491</v>
      </c>
    </row>
    <row r="633" spans="1:27" x14ac:dyDescent="0.2">
      <c r="A633" s="1">
        <v>46023</v>
      </c>
      <c r="B633" t="s">
        <v>328</v>
      </c>
      <c r="C633" t="s">
        <v>40</v>
      </c>
      <c r="D633" t="s">
        <v>19</v>
      </c>
      <c r="E633" t="s">
        <v>1101</v>
      </c>
      <c r="F633" t="s">
        <v>40</v>
      </c>
      <c r="G633">
        <v>2</v>
      </c>
      <c r="H633">
        <v>3</v>
      </c>
      <c r="I633" s="13">
        <v>0.6</v>
      </c>
      <c r="J633" t="s">
        <v>249</v>
      </c>
      <c r="L633" t="s">
        <v>60</v>
      </c>
      <c r="M633" t="s">
        <v>60</v>
      </c>
      <c r="N633" t="s">
        <v>40</v>
      </c>
      <c r="O633">
        <v>2</v>
      </c>
      <c r="P633">
        <v>3</v>
      </c>
      <c r="Q633" s="13">
        <v>0.51245171557612179</v>
      </c>
      <c r="R633" t="s">
        <v>249</v>
      </c>
      <c r="S633">
        <v>-0.27133601861302648</v>
      </c>
      <c r="T633" t="s">
        <v>60</v>
      </c>
      <c r="U633" t="s">
        <v>60</v>
      </c>
      <c r="X633" t="s">
        <v>60</v>
      </c>
      <c r="Y633" t="s">
        <v>412</v>
      </c>
      <c r="Z633" t="s">
        <v>60</v>
      </c>
      <c r="AA633" t="s">
        <v>491</v>
      </c>
    </row>
    <row r="634" spans="1:27" x14ac:dyDescent="0.2">
      <c r="A634" s="1">
        <v>46023</v>
      </c>
      <c r="B634" t="s">
        <v>328</v>
      </c>
      <c r="C634" t="s">
        <v>26</v>
      </c>
      <c r="D634" t="s">
        <v>14</v>
      </c>
      <c r="E634" t="s">
        <v>1102</v>
      </c>
      <c r="F634" t="s">
        <v>14</v>
      </c>
      <c r="G634">
        <v>2</v>
      </c>
      <c r="H634">
        <v>3</v>
      </c>
      <c r="I634" s="13">
        <v>0.6</v>
      </c>
      <c r="J634" t="s">
        <v>249</v>
      </c>
      <c r="L634" t="s">
        <v>60</v>
      </c>
      <c r="M634" t="s">
        <v>60</v>
      </c>
      <c r="N634" t="s">
        <v>14</v>
      </c>
      <c r="O634">
        <v>2</v>
      </c>
      <c r="P634">
        <v>3</v>
      </c>
      <c r="Q634" s="13">
        <v>0.63142401468889853</v>
      </c>
      <c r="R634" t="s">
        <v>249</v>
      </c>
      <c r="S634">
        <v>0.78297609238998189</v>
      </c>
      <c r="T634" t="s">
        <v>60</v>
      </c>
      <c r="U634" t="s">
        <v>60</v>
      </c>
      <c r="X634" t="s">
        <v>60</v>
      </c>
      <c r="Y634" t="s">
        <v>412</v>
      </c>
      <c r="Z634" t="s">
        <v>60</v>
      </c>
      <c r="AA634" t="s">
        <v>491</v>
      </c>
    </row>
    <row r="635" spans="1:27" x14ac:dyDescent="0.2">
      <c r="A635" s="1">
        <v>46023</v>
      </c>
      <c r="B635" t="s">
        <v>347</v>
      </c>
      <c r="C635" t="s">
        <v>22</v>
      </c>
      <c r="D635" t="s">
        <v>36</v>
      </c>
      <c r="E635" t="s">
        <v>1103</v>
      </c>
      <c r="F635" t="s">
        <v>22</v>
      </c>
      <c r="G635">
        <v>2</v>
      </c>
      <c r="H635">
        <v>3</v>
      </c>
      <c r="I635" s="13">
        <v>0.6</v>
      </c>
      <c r="J635" t="s">
        <v>249</v>
      </c>
      <c r="L635" t="s">
        <v>60</v>
      </c>
      <c r="M635" t="s">
        <v>60</v>
      </c>
      <c r="N635" t="s">
        <v>22</v>
      </c>
      <c r="O635">
        <v>2</v>
      </c>
      <c r="P635">
        <v>3</v>
      </c>
      <c r="Q635" s="13">
        <v>0.60767842138019035</v>
      </c>
      <c r="R635" t="s">
        <v>249</v>
      </c>
      <c r="S635">
        <v>-0.92218253479543322</v>
      </c>
      <c r="T635" t="s">
        <v>60</v>
      </c>
      <c r="U635" t="s">
        <v>60</v>
      </c>
      <c r="X635" t="s">
        <v>60</v>
      </c>
      <c r="Y635" t="s">
        <v>412</v>
      </c>
      <c r="Z635" t="s">
        <v>60</v>
      </c>
      <c r="AA635" t="s">
        <v>491</v>
      </c>
    </row>
    <row r="636" spans="1:27" x14ac:dyDescent="0.2">
      <c r="A636" s="1">
        <v>46023</v>
      </c>
      <c r="B636" t="s">
        <v>322</v>
      </c>
      <c r="C636" t="s">
        <v>29</v>
      </c>
      <c r="D636" t="s">
        <v>32</v>
      </c>
      <c r="E636" t="s">
        <v>1104</v>
      </c>
      <c r="F636" t="s">
        <v>32</v>
      </c>
      <c r="G636">
        <v>2</v>
      </c>
      <c r="H636">
        <v>3</v>
      </c>
      <c r="I636" s="13">
        <v>0.6</v>
      </c>
      <c r="J636" t="s">
        <v>249</v>
      </c>
      <c r="L636" t="s">
        <v>60</v>
      </c>
      <c r="M636" t="s">
        <v>60</v>
      </c>
      <c r="N636" t="s">
        <v>32</v>
      </c>
      <c r="O636">
        <v>2</v>
      </c>
      <c r="P636">
        <v>3</v>
      </c>
      <c r="Q636" s="13">
        <v>0.63171180538170546</v>
      </c>
      <c r="R636" t="s">
        <v>249</v>
      </c>
      <c r="S636">
        <v>0.7854407974551334</v>
      </c>
      <c r="T636" t="s">
        <v>60</v>
      </c>
      <c r="U636" t="s">
        <v>60</v>
      </c>
      <c r="X636" t="s">
        <v>60</v>
      </c>
      <c r="Y636" t="s">
        <v>412</v>
      </c>
      <c r="Z636" t="s">
        <v>60</v>
      </c>
      <c r="AA636" t="s">
        <v>491</v>
      </c>
    </row>
    <row r="637" spans="1:27" x14ac:dyDescent="0.2">
      <c r="A637" s="1">
        <v>46023</v>
      </c>
      <c r="B637" t="s">
        <v>328</v>
      </c>
      <c r="C637" t="s">
        <v>37</v>
      </c>
      <c r="D637" t="s">
        <v>13</v>
      </c>
      <c r="E637" t="s">
        <v>1105</v>
      </c>
      <c r="F637" t="s">
        <v>37</v>
      </c>
      <c r="G637">
        <v>2</v>
      </c>
      <c r="H637">
        <v>3</v>
      </c>
      <c r="I637" s="13">
        <v>0.6</v>
      </c>
      <c r="J637" t="s">
        <v>249</v>
      </c>
      <c r="L637" t="s">
        <v>60</v>
      </c>
      <c r="M637" t="s">
        <v>60</v>
      </c>
      <c r="N637" t="s">
        <v>37</v>
      </c>
      <c r="O637">
        <v>2</v>
      </c>
      <c r="P637">
        <v>3</v>
      </c>
      <c r="Q637" s="13">
        <v>0.6457681288291155</v>
      </c>
      <c r="R637" t="s">
        <v>249</v>
      </c>
      <c r="S637">
        <v>-0.79888779650065556</v>
      </c>
      <c r="T637" t="s">
        <v>60</v>
      </c>
      <c r="U637" t="s">
        <v>60</v>
      </c>
      <c r="X637" t="s">
        <v>60</v>
      </c>
      <c r="Y637" t="s">
        <v>412</v>
      </c>
      <c r="Z637" t="s">
        <v>60</v>
      </c>
      <c r="AA637" t="s">
        <v>491</v>
      </c>
    </row>
    <row r="638" spans="1:27" x14ac:dyDescent="0.2">
      <c r="A638" s="1">
        <v>46023</v>
      </c>
      <c r="B638" t="s">
        <v>416</v>
      </c>
      <c r="C638" t="s">
        <v>39</v>
      </c>
      <c r="D638" t="s">
        <v>10</v>
      </c>
      <c r="E638" t="s">
        <v>1106</v>
      </c>
      <c r="F638" t="s">
        <v>39</v>
      </c>
      <c r="G638">
        <v>2</v>
      </c>
      <c r="H638">
        <v>3</v>
      </c>
      <c r="I638" s="13">
        <v>0.6</v>
      </c>
      <c r="J638" t="s">
        <v>249</v>
      </c>
      <c r="L638" t="s">
        <v>60</v>
      </c>
      <c r="M638" t="s">
        <v>60</v>
      </c>
      <c r="N638" t="s">
        <v>39</v>
      </c>
      <c r="O638">
        <v>2</v>
      </c>
      <c r="P638">
        <v>3</v>
      </c>
      <c r="Q638" s="13">
        <v>0.62482013122102475</v>
      </c>
      <c r="R638" t="s">
        <v>249</v>
      </c>
      <c r="S638">
        <v>-0.53973800811627093</v>
      </c>
      <c r="T638" t="s">
        <v>60</v>
      </c>
      <c r="U638" t="s">
        <v>60</v>
      </c>
      <c r="X638" t="s">
        <v>60</v>
      </c>
      <c r="Y638" t="s">
        <v>412</v>
      </c>
      <c r="Z638" t="s">
        <v>60</v>
      </c>
      <c r="AA638" t="s">
        <v>491</v>
      </c>
    </row>
    <row r="639" spans="1:27" x14ac:dyDescent="0.2">
      <c r="A639" s="1">
        <v>46023</v>
      </c>
      <c r="B639" t="s">
        <v>328</v>
      </c>
      <c r="C639" t="s">
        <v>18</v>
      </c>
      <c r="D639" t="s">
        <v>25</v>
      </c>
      <c r="E639" t="s">
        <v>1107</v>
      </c>
      <c r="F639" t="s">
        <v>25</v>
      </c>
      <c r="G639">
        <v>2</v>
      </c>
      <c r="H639">
        <v>3</v>
      </c>
      <c r="I639" s="13">
        <v>0.6</v>
      </c>
      <c r="J639" t="s">
        <v>249</v>
      </c>
      <c r="L639" t="s">
        <v>60</v>
      </c>
      <c r="M639" t="s">
        <v>60</v>
      </c>
      <c r="N639" t="s">
        <v>25</v>
      </c>
      <c r="O639">
        <v>2</v>
      </c>
      <c r="P639">
        <v>3</v>
      </c>
      <c r="Q639" s="13">
        <v>0.65809245157970586</v>
      </c>
      <c r="R639" t="s">
        <v>249</v>
      </c>
      <c r="S639">
        <v>1.0684655145255399</v>
      </c>
      <c r="T639" t="s">
        <v>60</v>
      </c>
      <c r="U639" t="s">
        <v>60</v>
      </c>
      <c r="X639" t="s">
        <v>60</v>
      </c>
      <c r="Y639" t="s">
        <v>412</v>
      </c>
      <c r="Z639" t="s">
        <v>60</v>
      </c>
      <c r="AA639" t="s">
        <v>491</v>
      </c>
    </row>
    <row r="640" spans="1:27" x14ac:dyDescent="0.2">
      <c r="A640" s="1">
        <v>46023</v>
      </c>
      <c r="B640" t="s">
        <v>453</v>
      </c>
      <c r="C640" t="s">
        <v>55</v>
      </c>
      <c r="D640" t="s">
        <v>30</v>
      </c>
      <c r="E640" t="s">
        <v>1108</v>
      </c>
      <c r="F640" t="s">
        <v>30</v>
      </c>
      <c r="G640">
        <v>2</v>
      </c>
      <c r="H640">
        <v>3</v>
      </c>
      <c r="I640" s="13">
        <v>0.6</v>
      </c>
      <c r="J640" t="s">
        <v>249</v>
      </c>
      <c r="L640" t="s">
        <v>60</v>
      </c>
      <c r="M640" t="s">
        <v>60</v>
      </c>
      <c r="N640" t="s">
        <v>30</v>
      </c>
      <c r="O640">
        <v>2</v>
      </c>
      <c r="P640">
        <v>3</v>
      </c>
      <c r="Q640" s="13">
        <v>0.56476487598383529</v>
      </c>
      <c r="R640" t="s">
        <v>249</v>
      </c>
      <c r="S640">
        <v>0.21209204050301231</v>
      </c>
      <c r="T640" t="s">
        <v>60</v>
      </c>
      <c r="U640" t="s">
        <v>60</v>
      </c>
      <c r="X640" t="s">
        <v>60</v>
      </c>
      <c r="Y640" t="s">
        <v>412</v>
      </c>
      <c r="Z640" t="s">
        <v>60</v>
      </c>
      <c r="AA640" t="s">
        <v>491</v>
      </c>
    </row>
    <row r="641" spans="1:27" x14ac:dyDescent="0.2">
      <c r="A641" s="1">
        <v>46024</v>
      </c>
      <c r="B641" t="s">
        <v>340</v>
      </c>
      <c r="C641" t="s">
        <v>34</v>
      </c>
      <c r="D641" t="s">
        <v>31</v>
      </c>
      <c r="E641" t="s">
        <v>1109</v>
      </c>
      <c r="F641" t="s">
        <v>31</v>
      </c>
      <c r="G641">
        <v>2</v>
      </c>
      <c r="H641">
        <v>3</v>
      </c>
      <c r="I641" s="13">
        <v>0.6</v>
      </c>
      <c r="J641" t="s">
        <v>249</v>
      </c>
      <c r="L641" t="s">
        <v>60</v>
      </c>
      <c r="M641" t="s">
        <v>60</v>
      </c>
      <c r="N641" t="s">
        <v>31</v>
      </c>
      <c r="O641">
        <v>2</v>
      </c>
      <c r="P641">
        <v>3</v>
      </c>
      <c r="Q641" s="13">
        <v>0.61207686512694381</v>
      </c>
      <c r="R641" t="s">
        <v>249</v>
      </c>
      <c r="S641">
        <v>0.28372855821190762</v>
      </c>
      <c r="T641" t="s">
        <v>60</v>
      </c>
      <c r="U641" t="s">
        <v>60</v>
      </c>
      <c r="X641" t="s">
        <v>60</v>
      </c>
      <c r="Y641" t="s">
        <v>412</v>
      </c>
      <c r="Z641" t="s">
        <v>60</v>
      </c>
      <c r="AA641" t="s">
        <v>491</v>
      </c>
    </row>
    <row r="642" spans="1:27" x14ac:dyDescent="0.2">
      <c r="A642" s="1">
        <v>46024</v>
      </c>
      <c r="B642" t="s">
        <v>324</v>
      </c>
      <c r="C642" t="s">
        <v>15</v>
      </c>
      <c r="D642" t="s">
        <v>11</v>
      </c>
      <c r="E642" t="s">
        <v>1110</v>
      </c>
      <c r="F642" t="s">
        <v>15</v>
      </c>
      <c r="G642">
        <v>2</v>
      </c>
      <c r="H642">
        <v>3</v>
      </c>
      <c r="I642" s="13">
        <v>0.6</v>
      </c>
      <c r="J642" t="s">
        <v>249</v>
      </c>
      <c r="L642" t="s">
        <v>60</v>
      </c>
      <c r="M642" t="s">
        <v>60</v>
      </c>
      <c r="N642" t="s">
        <v>15</v>
      </c>
      <c r="O642">
        <v>2</v>
      </c>
      <c r="P642">
        <v>3</v>
      </c>
      <c r="Q642" s="13">
        <v>0.55277631510567293</v>
      </c>
      <c r="R642" t="s">
        <v>249</v>
      </c>
      <c r="S642">
        <v>-5.7183557657001401E-2</v>
      </c>
      <c r="T642" t="s">
        <v>60</v>
      </c>
      <c r="U642" t="s">
        <v>60</v>
      </c>
      <c r="X642" t="s">
        <v>60</v>
      </c>
      <c r="Y642" t="s">
        <v>412</v>
      </c>
      <c r="Z642" t="s">
        <v>60</v>
      </c>
      <c r="AA642" t="s">
        <v>491</v>
      </c>
    </row>
    <row r="643" spans="1:27" x14ac:dyDescent="0.2">
      <c r="A643" s="1">
        <v>46024</v>
      </c>
      <c r="B643" t="s">
        <v>453</v>
      </c>
      <c r="C643" t="s">
        <v>20</v>
      </c>
      <c r="D643" t="s">
        <v>35</v>
      </c>
      <c r="E643" t="s">
        <v>882</v>
      </c>
      <c r="F643" t="s">
        <v>20</v>
      </c>
      <c r="G643">
        <v>2</v>
      </c>
      <c r="H643">
        <v>3</v>
      </c>
      <c r="I643" s="13">
        <v>0.6</v>
      </c>
      <c r="J643" t="s">
        <v>249</v>
      </c>
      <c r="L643" t="s">
        <v>60</v>
      </c>
      <c r="M643" t="s">
        <v>60</v>
      </c>
      <c r="N643" t="s">
        <v>20</v>
      </c>
      <c r="O643">
        <v>2</v>
      </c>
      <c r="P643">
        <v>3</v>
      </c>
      <c r="Q643" s="13">
        <v>0.58845720740840357</v>
      </c>
      <c r="R643" t="s">
        <v>249</v>
      </c>
      <c r="S643">
        <v>-1.1001367927039241</v>
      </c>
      <c r="T643" t="s">
        <v>60</v>
      </c>
      <c r="U643" t="s">
        <v>60</v>
      </c>
      <c r="X643" t="s">
        <v>60</v>
      </c>
      <c r="Y643" t="s">
        <v>412</v>
      </c>
      <c r="Z643" t="s">
        <v>60</v>
      </c>
      <c r="AA643" t="s">
        <v>491</v>
      </c>
    </row>
    <row r="644" spans="1:27" x14ac:dyDescent="0.2">
      <c r="A644" s="1">
        <v>46024</v>
      </c>
      <c r="B644" t="s">
        <v>340</v>
      </c>
      <c r="C644" t="s">
        <v>32</v>
      </c>
      <c r="D644" t="s">
        <v>38</v>
      </c>
      <c r="E644" t="s">
        <v>1111</v>
      </c>
      <c r="F644" t="s">
        <v>32</v>
      </c>
      <c r="G644">
        <v>2</v>
      </c>
      <c r="H644">
        <v>3</v>
      </c>
      <c r="I644" s="13">
        <v>0.6</v>
      </c>
      <c r="J644" t="s">
        <v>249</v>
      </c>
      <c r="L644" t="s">
        <v>60</v>
      </c>
      <c r="M644" t="s">
        <v>60</v>
      </c>
      <c r="N644" t="s">
        <v>32</v>
      </c>
      <c r="O644">
        <v>2</v>
      </c>
      <c r="P644">
        <v>3</v>
      </c>
      <c r="Q644" s="13">
        <v>0.48900433937265447</v>
      </c>
      <c r="R644" t="s">
        <v>249</v>
      </c>
      <c r="S644">
        <v>-0.2483997709095517</v>
      </c>
      <c r="T644" t="s">
        <v>60</v>
      </c>
      <c r="U644" t="s">
        <v>60</v>
      </c>
      <c r="X644" t="s">
        <v>60</v>
      </c>
      <c r="Y644" t="s">
        <v>412</v>
      </c>
      <c r="Z644" t="s">
        <v>60</v>
      </c>
      <c r="AA644" t="s">
        <v>491</v>
      </c>
    </row>
    <row r="645" spans="1:27" x14ac:dyDescent="0.2">
      <c r="A645" s="1">
        <v>46025</v>
      </c>
      <c r="B645" t="s">
        <v>328</v>
      </c>
      <c r="C645" t="s">
        <v>19</v>
      </c>
      <c r="D645" t="s">
        <v>30</v>
      </c>
      <c r="E645" t="s">
        <v>1112</v>
      </c>
      <c r="F645" t="s">
        <v>30</v>
      </c>
      <c r="G645">
        <v>2</v>
      </c>
      <c r="H645">
        <v>3</v>
      </c>
      <c r="I645" s="13">
        <v>0.6</v>
      </c>
      <c r="J645" t="s">
        <v>249</v>
      </c>
      <c r="L645" t="s">
        <v>60</v>
      </c>
      <c r="M645" t="s">
        <v>60</v>
      </c>
      <c r="N645" t="s">
        <v>30</v>
      </c>
      <c r="O645">
        <v>2</v>
      </c>
      <c r="P645">
        <v>3</v>
      </c>
      <c r="Q645" s="13">
        <v>0.59177902208766475</v>
      </c>
      <c r="R645" t="s">
        <v>249</v>
      </c>
      <c r="S645">
        <v>0.44344734280081027</v>
      </c>
      <c r="T645" t="s">
        <v>60</v>
      </c>
      <c r="U645" t="s">
        <v>60</v>
      </c>
      <c r="X645" t="s">
        <v>60</v>
      </c>
      <c r="Y645" t="s">
        <v>412</v>
      </c>
      <c r="Z645" t="s">
        <v>60</v>
      </c>
      <c r="AA645" t="s">
        <v>491</v>
      </c>
    </row>
    <row r="646" spans="1:27" x14ac:dyDescent="0.2">
      <c r="A646" s="1">
        <v>46025</v>
      </c>
      <c r="B646" t="s">
        <v>322</v>
      </c>
      <c r="C646" t="s">
        <v>21</v>
      </c>
      <c r="D646" t="s">
        <v>38</v>
      </c>
      <c r="E646" t="s">
        <v>1113</v>
      </c>
      <c r="F646" t="s">
        <v>21</v>
      </c>
      <c r="G646">
        <v>2</v>
      </c>
      <c r="H646">
        <v>3</v>
      </c>
      <c r="I646" s="13">
        <v>0.6</v>
      </c>
      <c r="J646" t="s">
        <v>249</v>
      </c>
      <c r="L646" t="s">
        <v>60</v>
      </c>
      <c r="M646" t="s">
        <v>60</v>
      </c>
      <c r="N646" t="s">
        <v>21</v>
      </c>
      <c r="O646">
        <v>2</v>
      </c>
      <c r="P646">
        <v>3</v>
      </c>
      <c r="Q646" s="13">
        <v>0.53999684570045359</v>
      </c>
      <c r="R646" t="s">
        <v>249</v>
      </c>
      <c r="S646">
        <v>-0.67800724573991</v>
      </c>
      <c r="T646" t="s">
        <v>60</v>
      </c>
      <c r="U646" t="s">
        <v>60</v>
      </c>
      <c r="X646" t="s">
        <v>60</v>
      </c>
      <c r="Y646" t="s">
        <v>412</v>
      </c>
      <c r="Z646" t="s">
        <v>60</v>
      </c>
      <c r="AA646" t="s">
        <v>491</v>
      </c>
    </row>
    <row r="647" spans="1:27" x14ac:dyDescent="0.2">
      <c r="A647" s="1">
        <v>46025</v>
      </c>
      <c r="B647" t="s">
        <v>369</v>
      </c>
      <c r="C647" t="s">
        <v>18</v>
      </c>
      <c r="D647" t="s">
        <v>35</v>
      </c>
      <c r="E647" t="s">
        <v>1114</v>
      </c>
      <c r="F647" t="s">
        <v>18</v>
      </c>
      <c r="G647">
        <v>2</v>
      </c>
      <c r="H647">
        <v>3</v>
      </c>
      <c r="I647" s="13">
        <v>0.6</v>
      </c>
      <c r="J647" t="s">
        <v>249</v>
      </c>
      <c r="L647" t="s">
        <v>60</v>
      </c>
      <c r="M647" t="s">
        <v>60</v>
      </c>
      <c r="N647" t="s">
        <v>18</v>
      </c>
      <c r="O647">
        <v>2</v>
      </c>
      <c r="P647">
        <v>3</v>
      </c>
      <c r="Q647" s="13">
        <v>0.60705850133804595</v>
      </c>
      <c r="R647" t="s">
        <v>249</v>
      </c>
      <c r="S647">
        <v>-0.75168799475073489</v>
      </c>
      <c r="T647" t="s">
        <v>60</v>
      </c>
      <c r="U647" t="s">
        <v>60</v>
      </c>
      <c r="X647" t="s">
        <v>60</v>
      </c>
      <c r="Y647" t="s">
        <v>412</v>
      </c>
      <c r="Z647" t="s">
        <v>60</v>
      </c>
      <c r="AA647" t="s">
        <v>491</v>
      </c>
    </row>
    <row r="648" spans="1:27" x14ac:dyDescent="0.2">
      <c r="A648" s="1">
        <v>46025</v>
      </c>
      <c r="B648" t="s">
        <v>369</v>
      </c>
      <c r="C648" t="s">
        <v>37</v>
      </c>
      <c r="D648" t="s">
        <v>33</v>
      </c>
      <c r="E648" t="s">
        <v>1115</v>
      </c>
      <c r="F648" t="s">
        <v>37</v>
      </c>
      <c r="G648">
        <v>2</v>
      </c>
      <c r="H648">
        <v>3</v>
      </c>
      <c r="I648" s="13">
        <v>0.6</v>
      </c>
      <c r="J648" t="s">
        <v>249</v>
      </c>
      <c r="L648" t="s">
        <v>60</v>
      </c>
      <c r="M648" t="s">
        <v>60</v>
      </c>
      <c r="N648" t="s">
        <v>37</v>
      </c>
      <c r="O648">
        <v>2</v>
      </c>
      <c r="P648">
        <v>3</v>
      </c>
      <c r="Q648" s="13">
        <v>0.64885477401525748</v>
      </c>
      <c r="R648" t="s">
        <v>249</v>
      </c>
      <c r="S648">
        <v>-0.91193519020568525</v>
      </c>
      <c r="T648" t="s">
        <v>60</v>
      </c>
      <c r="U648" t="s">
        <v>60</v>
      </c>
      <c r="X648" t="s">
        <v>60</v>
      </c>
      <c r="Y648" t="s">
        <v>412</v>
      </c>
      <c r="Z648" t="s">
        <v>60</v>
      </c>
      <c r="AA648" t="s">
        <v>491</v>
      </c>
    </row>
    <row r="649" spans="1:27" x14ac:dyDescent="0.2">
      <c r="A649" s="1">
        <v>46025</v>
      </c>
      <c r="B649" t="s">
        <v>328</v>
      </c>
      <c r="C649" t="s">
        <v>40</v>
      </c>
      <c r="D649" t="s">
        <v>36</v>
      </c>
      <c r="E649" t="s">
        <v>1116</v>
      </c>
      <c r="F649" t="s">
        <v>40</v>
      </c>
      <c r="G649">
        <v>2</v>
      </c>
      <c r="H649">
        <v>3</v>
      </c>
      <c r="I649" s="13">
        <v>0.6</v>
      </c>
      <c r="J649" t="s">
        <v>249</v>
      </c>
      <c r="L649" t="s">
        <v>60</v>
      </c>
      <c r="M649" t="s">
        <v>60</v>
      </c>
      <c r="N649" t="s">
        <v>40</v>
      </c>
      <c r="O649">
        <v>2</v>
      </c>
      <c r="P649">
        <v>3</v>
      </c>
      <c r="Q649" s="13">
        <v>0.49790461108919443</v>
      </c>
      <c r="R649" t="s">
        <v>249</v>
      </c>
      <c r="S649">
        <v>-0.16823347815888459</v>
      </c>
      <c r="T649" t="s">
        <v>60</v>
      </c>
      <c r="U649" t="s">
        <v>60</v>
      </c>
      <c r="X649" t="s">
        <v>60</v>
      </c>
      <c r="Y649" t="s">
        <v>412</v>
      </c>
      <c r="Z649" t="s">
        <v>60</v>
      </c>
      <c r="AA649" t="s">
        <v>491</v>
      </c>
    </row>
    <row r="650" spans="1:27" x14ac:dyDescent="0.2">
      <c r="A650" s="1">
        <v>46025</v>
      </c>
      <c r="B650" t="s">
        <v>453</v>
      </c>
      <c r="C650" t="s">
        <v>55</v>
      </c>
      <c r="D650" t="s">
        <v>24</v>
      </c>
      <c r="E650" t="s">
        <v>1117</v>
      </c>
      <c r="F650" t="s">
        <v>24</v>
      </c>
      <c r="G650">
        <v>2</v>
      </c>
      <c r="H650">
        <v>3</v>
      </c>
      <c r="I650" s="13">
        <v>0.6</v>
      </c>
      <c r="J650" t="s">
        <v>249</v>
      </c>
      <c r="L650" t="s">
        <v>60</v>
      </c>
      <c r="M650" t="s">
        <v>60</v>
      </c>
      <c r="N650" t="s">
        <v>24</v>
      </c>
      <c r="O650">
        <v>2</v>
      </c>
      <c r="P650">
        <v>3</v>
      </c>
      <c r="Q650" s="13">
        <v>0.67291063269306362</v>
      </c>
      <c r="R650" t="s">
        <v>249</v>
      </c>
      <c r="S650">
        <v>0.45455428870894921</v>
      </c>
      <c r="T650" t="s">
        <v>60</v>
      </c>
      <c r="U650" t="s">
        <v>60</v>
      </c>
      <c r="X650" t="s">
        <v>60</v>
      </c>
      <c r="Y650" t="s">
        <v>412</v>
      </c>
      <c r="Z650" t="s">
        <v>60</v>
      </c>
      <c r="AA650" t="s">
        <v>491</v>
      </c>
    </row>
    <row r="651" spans="1:27" x14ac:dyDescent="0.2">
      <c r="A651" s="1">
        <v>46025</v>
      </c>
      <c r="B651" t="s">
        <v>328</v>
      </c>
      <c r="C651" t="s">
        <v>10</v>
      </c>
      <c r="D651" t="s">
        <v>22</v>
      </c>
      <c r="E651" t="s">
        <v>1118</v>
      </c>
      <c r="F651" t="s">
        <v>22</v>
      </c>
      <c r="G651">
        <v>2</v>
      </c>
      <c r="H651">
        <v>3</v>
      </c>
      <c r="I651" s="13">
        <v>0.6</v>
      </c>
      <c r="J651" t="s">
        <v>249</v>
      </c>
      <c r="L651" t="s">
        <v>60</v>
      </c>
      <c r="M651" t="s">
        <v>60</v>
      </c>
      <c r="N651" t="s">
        <v>22</v>
      </c>
      <c r="O651">
        <v>2</v>
      </c>
      <c r="P651">
        <v>3</v>
      </c>
      <c r="Q651" s="13">
        <v>0.64389697184243333</v>
      </c>
      <c r="R651" t="s">
        <v>249</v>
      </c>
      <c r="S651">
        <v>0.66680423696123303</v>
      </c>
      <c r="T651" t="s">
        <v>60</v>
      </c>
      <c r="U651" t="s">
        <v>60</v>
      </c>
      <c r="X651" t="s">
        <v>60</v>
      </c>
      <c r="Y651" t="s">
        <v>412</v>
      </c>
      <c r="Z651" t="s">
        <v>60</v>
      </c>
      <c r="AA651" t="s">
        <v>491</v>
      </c>
    </row>
    <row r="652" spans="1:27" x14ac:dyDescent="0.2">
      <c r="A652" s="1">
        <v>46025</v>
      </c>
      <c r="B652" t="s">
        <v>352</v>
      </c>
      <c r="C652" t="s">
        <v>27</v>
      </c>
      <c r="D652" t="s">
        <v>17</v>
      </c>
      <c r="E652" t="s">
        <v>1119</v>
      </c>
      <c r="F652" t="s">
        <v>27</v>
      </c>
      <c r="G652">
        <v>2</v>
      </c>
      <c r="H652">
        <v>3</v>
      </c>
      <c r="I652" s="13">
        <v>0.6</v>
      </c>
      <c r="J652" t="s">
        <v>249</v>
      </c>
      <c r="L652" t="s">
        <v>60</v>
      </c>
      <c r="M652" t="s">
        <v>60</v>
      </c>
      <c r="N652" t="s">
        <v>27</v>
      </c>
      <c r="O652">
        <v>2</v>
      </c>
      <c r="P652">
        <v>3</v>
      </c>
      <c r="Q652" s="13">
        <v>0.54067160393645486</v>
      </c>
      <c r="R652" t="s">
        <v>249</v>
      </c>
      <c r="S652">
        <v>-0.38760633180804333</v>
      </c>
      <c r="T652" t="s">
        <v>60</v>
      </c>
      <c r="U652" t="s">
        <v>60</v>
      </c>
      <c r="X652" t="s">
        <v>60</v>
      </c>
      <c r="Y652" t="s">
        <v>412</v>
      </c>
      <c r="Z652" t="s">
        <v>60</v>
      </c>
      <c r="AA652" t="s">
        <v>491</v>
      </c>
    </row>
    <row r="653" spans="1:27" x14ac:dyDescent="0.2">
      <c r="A653" s="1">
        <v>46025</v>
      </c>
      <c r="B653" t="s">
        <v>439</v>
      </c>
      <c r="C653" t="s">
        <v>14</v>
      </c>
      <c r="D653" t="s">
        <v>26</v>
      </c>
      <c r="E653" t="s">
        <v>1120</v>
      </c>
      <c r="F653" t="s">
        <v>14</v>
      </c>
      <c r="G653">
        <v>2</v>
      </c>
      <c r="H653">
        <v>3</v>
      </c>
      <c r="I653" s="13">
        <v>0.6</v>
      </c>
      <c r="J653" t="s">
        <v>249</v>
      </c>
      <c r="L653" t="s">
        <v>60</v>
      </c>
      <c r="M653" t="s">
        <v>60</v>
      </c>
      <c r="N653" t="s">
        <v>14</v>
      </c>
      <c r="O653">
        <v>2</v>
      </c>
      <c r="P653">
        <v>3</v>
      </c>
      <c r="Q653" s="13">
        <v>0.57905745008858989</v>
      </c>
      <c r="R653" t="s">
        <v>249</v>
      </c>
      <c r="S653">
        <v>-0.68317459454365703</v>
      </c>
      <c r="T653" t="s">
        <v>60</v>
      </c>
      <c r="U653" t="s">
        <v>60</v>
      </c>
      <c r="X653" t="s">
        <v>60</v>
      </c>
      <c r="Y653" t="s">
        <v>412</v>
      </c>
      <c r="Z653" t="s">
        <v>60</v>
      </c>
      <c r="AA653" t="s">
        <v>491</v>
      </c>
    </row>
    <row r="654" spans="1:27" x14ac:dyDescent="0.2">
      <c r="A654" s="1">
        <v>46025</v>
      </c>
      <c r="B654" t="s">
        <v>328</v>
      </c>
      <c r="C654" t="s">
        <v>29</v>
      </c>
      <c r="D654" t="s">
        <v>16</v>
      </c>
      <c r="E654" t="s">
        <v>1121</v>
      </c>
      <c r="F654" t="s">
        <v>16</v>
      </c>
      <c r="G654">
        <v>2</v>
      </c>
      <c r="H654">
        <v>3</v>
      </c>
      <c r="I654" s="13">
        <v>0.6</v>
      </c>
      <c r="J654" t="s">
        <v>249</v>
      </c>
      <c r="L654" t="s">
        <v>60</v>
      </c>
      <c r="M654" t="s">
        <v>60</v>
      </c>
      <c r="N654" t="s">
        <v>16</v>
      </c>
      <c r="O654">
        <v>2</v>
      </c>
      <c r="P654">
        <v>3</v>
      </c>
      <c r="Q654" s="13">
        <v>0.5830904875869003</v>
      </c>
      <c r="R654" t="s">
        <v>249</v>
      </c>
      <c r="S654">
        <v>0.36903675368860261</v>
      </c>
      <c r="T654" t="s">
        <v>60</v>
      </c>
      <c r="U654" t="s">
        <v>60</v>
      </c>
      <c r="X654" t="s">
        <v>60</v>
      </c>
      <c r="Y654" t="s">
        <v>412</v>
      </c>
      <c r="Z654" t="s">
        <v>60</v>
      </c>
      <c r="AA654" t="s">
        <v>491</v>
      </c>
    </row>
    <row r="655" spans="1:27" x14ac:dyDescent="0.2">
      <c r="A655" s="1">
        <v>46025</v>
      </c>
      <c r="B655" t="s">
        <v>453</v>
      </c>
      <c r="C655" t="s">
        <v>23</v>
      </c>
      <c r="D655" t="s">
        <v>28</v>
      </c>
      <c r="E655" t="s">
        <v>1122</v>
      </c>
      <c r="F655" t="s">
        <v>23</v>
      </c>
      <c r="G655">
        <v>2</v>
      </c>
      <c r="H655">
        <v>3</v>
      </c>
      <c r="I655" s="13">
        <v>0.6</v>
      </c>
      <c r="J655" t="s">
        <v>249</v>
      </c>
      <c r="L655" t="s">
        <v>60</v>
      </c>
      <c r="M655" t="s">
        <v>60</v>
      </c>
      <c r="N655" t="s">
        <v>23</v>
      </c>
      <c r="O655">
        <v>2</v>
      </c>
      <c r="P655">
        <v>3</v>
      </c>
      <c r="Q655" s="13">
        <v>0.46805422519429618</v>
      </c>
      <c r="R655" t="s">
        <v>249</v>
      </c>
      <c r="S655">
        <v>-6.8978219686788106E-2</v>
      </c>
      <c r="T655" t="s">
        <v>60</v>
      </c>
      <c r="U655" t="s">
        <v>60</v>
      </c>
      <c r="X655" t="s">
        <v>60</v>
      </c>
      <c r="Y655" t="s">
        <v>412</v>
      </c>
      <c r="Z655" t="s">
        <v>60</v>
      </c>
      <c r="AA655" t="s">
        <v>491</v>
      </c>
    </row>
    <row r="656" spans="1:27" x14ac:dyDescent="0.2">
      <c r="A656" s="1">
        <v>46025</v>
      </c>
      <c r="B656" t="s">
        <v>328</v>
      </c>
      <c r="C656" t="s">
        <v>12</v>
      </c>
      <c r="D656" t="s">
        <v>25</v>
      </c>
      <c r="E656" t="s">
        <v>1123</v>
      </c>
      <c r="F656" t="s">
        <v>12</v>
      </c>
      <c r="G656">
        <v>2</v>
      </c>
      <c r="H656">
        <v>3</v>
      </c>
      <c r="I656" s="13">
        <v>0.6</v>
      </c>
      <c r="J656" t="s">
        <v>249</v>
      </c>
      <c r="L656" t="s">
        <v>60</v>
      </c>
      <c r="M656" t="s">
        <v>60</v>
      </c>
      <c r="N656" t="s">
        <v>12</v>
      </c>
      <c r="O656">
        <v>2</v>
      </c>
      <c r="P656">
        <v>3</v>
      </c>
      <c r="Q656" s="13">
        <v>0.61501833358134994</v>
      </c>
      <c r="R656" t="s">
        <v>249</v>
      </c>
      <c r="S656">
        <v>-1.1563277721752609</v>
      </c>
      <c r="T656" t="s">
        <v>60</v>
      </c>
      <c r="U656" t="s">
        <v>60</v>
      </c>
      <c r="X656" t="s">
        <v>60</v>
      </c>
      <c r="Y656" t="s">
        <v>412</v>
      </c>
      <c r="Z656" t="s">
        <v>60</v>
      </c>
      <c r="AA656" t="s">
        <v>491</v>
      </c>
    </row>
    <row r="657" spans="1:27" x14ac:dyDescent="0.2">
      <c r="A657" s="1">
        <v>46025</v>
      </c>
      <c r="B657" t="s">
        <v>326</v>
      </c>
      <c r="C657" t="s">
        <v>34</v>
      </c>
      <c r="D657" t="s">
        <v>13</v>
      </c>
      <c r="E657" t="s">
        <v>1124</v>
      </c>
      <c r="F657" t="s">
        <v>34</v>
      </c>
      <c r="G657">
        <v>2</v>
      </c>
      <c r="H657">
        <v>3</v>
      </c>
      <c r="I657" s="13">
        <v>0.6</v>
      </c>
      <c r="J657" t="s">
        <v>249</v>
      </c>
      <c r="L657" t="s">
        <v>60</v>
      </c>
      <c r="M657" t="s">
        <v>60</v>
      </c>
      <c r="N657" t="s">
        <v>34</v>
      </c>
      <c r="O657">
        <v>2</v>
      </c>
      <c r="P657">
        <v>3</v>
      </c>
      <c r="Q657" s="13">
        <v>0.52974888423142408</v>
      </c>
      <c r="R657" t="s">
        <v>249</v>
      </c>
      <c r="S657">
        <v>-0.23325806230457241</v>
      </c>
      <c r="T657" t="s">
        <v>60</v>
      </c>
      <c r="U657" t="s">
        <v>60</v>
      </c>
      <c r="X657" t="s">
        <v>60</v>
      </c>
      <c r="Y657" t="s">
        <v>412</v>
      </c>
      <c r="Z657" t="s">
        <v>60</v>
      </c>
      <c r="AA657" t="s">
        <v>491</v>
      </c>
    </row>
    <row r="658" spans="1:27" x14ac:dyDescent="0.2">
      <c r="A658" s="1">
        <v>46026</v>
      </c>
      <c r="B658" t="s">
        <v>365</v>
      </c>
      <c r="C658" t="s">
        <v>12</v>
      </c>
      <c r="D658" t="s">
        <v>11</v>
      </c>
      <c r="E658" t="s">
        <v>1125</v>
      </c>
      <c r="F658" t="s">
        <v>12</v>
      </c>
      <c r="G658">
        <v>2</v>
      </c>
      <c r="H658">
        <v>3</v>
      </c>
      <c r="I658" s="13">
        <v>0.6</v>
      </c>
      <c r="J658" t="s">
        <v>249</v>
      </c>
      <c r="L658" t="s">
        <v>60</v>
      </c>
      <c r="M658" t="s">
        <v>60</v>
      </c>
      <c r="N658" t="s">
        <v>12</v>
      </c>
      <c r="O658">
        <v>2</v>
      </c>
      <c r="P658">
        <v>3</v>
      </c>
      <c r="Q658" s="13">
        <v>0.74961012842901686</v>
      </c>
      <c r="R658" t="s">
        <v>249</v>
      </c>
      <c r="S658">
        <v>-1.97912120056792</v>
      </c>
      <c r="T658" t="s">
        <v>60</v>
      </c>
      <c r="U658" t="s">
        <v>60</v>
      </c>
      <c r="X658" t="s">
        <v>60</v>
      </c>
      <c r="Y658" t="s">
        <v>412</v>
      </c>
      <c r="Z658" t="s">
        <v>60</v>
      </c>
      <c r="AA658" t="s">
        <v>491</v>
      </c>
    </row>
    <row r="659" spans="1:27" x14ac:dyDescent="0.2">
      <c r="A659" s="1">
        <v>46026</v>
      </c>
      <c r="B659" t="s">
        <v>459</v>
      </c>
      <c r="C659" t="s">
        <v>18</v>
      </c>
      <c r="D659" t="s">
        <v>39</v>
      </c>
      <c r="E659" t="s">
        <v>1126</v>
      </c>
      <c r="F659" t="s">
        <v>39</v>
      </c>
      <c r="G659">
        <v>2</v>
      </c>
      <c r="H659">
        <v>3</v>
      </c>
      <c r="I659" s="13">
        <v>0.6</v>
      </c>
      <c r="J659" t="s">
        <v>249</v>
      </c>
      <c r="L659" t="s">
        <v>60</v>
      </c>
      <c r="M659" t="s">
        <v>60</v>
      </c>
      <c r="N659" t="s">
        <v>39</v>
      </c>
      <c r="O659">
        <v>2</v>
      </c>
      <c r="P659">
        <v>3</v>
      </c>
      <c r="Q659" s="13">
        <v>0.63669976147125429</v>
      </c>
      <c r="R659" t="s">
        <v>249</v>
      </c>
      <c r="S659">
        <v>1.0562328790521069</v>
      </c>
      <c r="T659" t="s">
        <v>60</v>
      </c>
      <c r="U659" t="s">
        <v>60</v>
      </c>
      <c r="X659" t="s">
        <v>60</v>
      </c>
      <c r="Y659" t="s">
        <v>412</v>
      </c>
      <c r="Z659" t="s">
        <v>60</v>
      </c>
      <c r="AA659" t="s">
        <v>491</v>
      </c>
    </row>
    <row r="660" spans="1:27" x14ac:dyDescent="0.2">
      <c r="A660" s="1">
        <v>46026</v>
      </c>
      <c r="B660" t="s">
        <v>328</v>
      </c>
      <c r="C660" t="s">
        <v>25</v>
      </c>
      <c r="D660" t="s">
        <v>24</v>
      </c>
      <c r="E660" t="s">
        <v>1127</v>
      </c>
      <c r="F660" t="s">
        <v>25</v>
      </c>
      <c r="G660">
        <v>2</v>
      </c>
      <c r="H660">
        <v>3</v>
      </c>
      <c r="I660" s="13">
        <v>0.6</v>
      </c>
      <c r="J660" t="s">
        <v>249</v>
      </c>
      <c r="L660" t="s">
        <v>60</v>
      </c>
      <c r="M660" t="s">
        <v>60</v>
      </c>
      <c r="N660" t="s">
        <v>25</v>
      </c>
      <c r="O660">
        <v>2</v>
      </c>
      <c r="P660">
        <v>3</v>
      </c>
      <c r="Q660" s="13">
        <v>0.4944027518709323</v>
      </c>
      <c r="R660" t="s">
        <v>249</v>
      </c>
      <c r="S660">
        <v>-0.37424413764078601</v>
      </c>
      <c r="T660" t="s">
        <v>60</v>
      </c>
      <c r="U660" t="s">
        <v>60</v>
      </c>
      <c r="X660" t="s">
        <v>60</v>
      </c>
      <c r="Y660" t="s">
        <v>412</v>
      </c>
      <c r="Z660" t="s">
        <v>60</v>
      </c>
      <c r="AA660" t="s">
        <v>491</v>
      </c>
    </row>
    <row r="661" spans="1:27" x14ac:dyDescent="0.2">
      <c r="A661" s="1">
        <v>46026</v>
      </c>
      <c r="B661" t="s">
        <v>453</v>
      </c>
      <c r="C661" t="s">
        <v>14</v>
      </c>
      <c r="D661" t="s">
        <v>28</v>
      </c>
      <c r="E661" t="s">
        <v>436</v>
      </c>
      <c r="F661" t="s">
        <v>14</v>
      </c>
      <c r="G661">
        <v>2</v>
      </c>
      <c r="H661">
        <v>3</v>
      </c>
      <c r="I661" s="13">
        <v>0.6</v>
      </c>
      <c r="J661" t="s">
        <v>249</v>
      </c>
      <c r="L661" t="s">
        <v>60</v>
      </c>
      <c r="M661" t="s">
        <v>60</v>
      </c>
      <c r="N661" t="s">
        <v>14</v>
      </c>
      <c r="O661">
        <v>2</v>
      </c>
      <c r="P661">
        <v>3</v>
      </c>
      <c r="Q661" s="13">
        <v>0.54632243115593127</v>
      </c>
      <c r="R661" t="s">
        <v>249</v>
      </c>
      <c r="S661">
        <v>-0.40282443386188782</v>
      </c>
      <c r="T661" t="s">
        <v>60</v>
      </c>
      <c r="U661" t="s">
        <v>60</v>
      </c>
      <c r="X661" t="s">
        <v>60</v>
      </c>
      <c r="Y661" t="s">
        <v>412</v>
      </c>
      <c r="Z661" t="s">
        <v>60</v>
      </c>
      <c r="AA661" t="s">
        <v>491</v>
      </c>
    </row>
    <row r="662" spans="1:27" x14ac:dyDescent="0.2">
      <c r="A662" s="1">
        <v>46026</v>
      </c>
      <c r="B662" t="s">
        <v>328</v>
      </c>
      <c r="C662" t="s">
        <v>20</v>
      </c>
      <c r="D662" t="s">
        <v>10</v>
      </c>
      <c r="E662" t="s">
        <v>1128</v>
      </c>
      <c r="F662" t="s">
        <v>10</v>
      </c>
      <c r="G662">
        <v>2</v>
      </c>
      <c r="H662">
        <v>3</v>
      </c>
      <c r="I662" s="13">
        <v>0.6</v>
      </c>
      <c r="J662" t="s">
        <v>249</v>
      </c>
      <c r="L662" t="s">
        <v>60</v>
      </c>
      <c r="M662" t="s">
        <v>60</v>
      </c>
      <c r="N662" t="s">
        <v>10</v>
      </c>
      <c r="O662">
        <v>2</v>
      </c>
      <c r="P662">
        <v>3</v>
      </c>
      <c r="Q662" s="13">
        <v>0.55379521028447853</v>
      </c>
      <c r="R662" t="s">
        <v>249</v>
      </c>
      <c r="S662">
        <v>0.1181453240594852</v>
      </c>
      <c r="T662" t="s">
        <v>60</v>
      </c>
      <c r="U662" t="s">
        <v>60</v>
      </c>
      <c r="X662" t="s">
        <v>60</v>
      </c>
      <c r="Y662" t="s">
        <v>412</v>
      </c>
      <c r="Z662" t="s">
        <v>60</v>
      </c>
      <c r="AA662" t="s">
        <v>491</v>
      </c>
    </row>
    <row r="663" spans="1:27" x14ac:dyDescent="0.2">
      <c r="A663" s="1">
        <v>46027</v>
      </c>
      <c r="B663" t="s">
        <v>426</v>
      </c>
      <c r="C663" t="s">
        <v>32</v>
      </c>
      <c r="D663" t="s">
        <v>16</v>
      </c>
      <c r="E663" t="s">
        <v>1027</v>
      </c>
      <c r="F663" t="s">
        <v>32</v>
      </c>
      <c r="G663">
        <v>2</v>
      </c>
      <c r="H663">
        <v>3</v>
      </c>
      <c r="I663" s="13">
        <v>0.6</v>
      </c>
      <c r="J663" t="s">
        <v>249</v>
      </c>
      <c r="L663" t="s">
        <v>60</v>
      </c>
      <c r="M663" t="s">
        <v>60</v>
      </c>
      <c r="N663" t="s">
        <v>32</v>
      </c>
      <c r="O663">
        <v>2</v>
      </c>
      <c r="P663">
        <v>3</v>
      </c>
      <c r="Q663" s="13">
        <v>0.50279466887553537</v>
      </c>
      <c r="R663" t="s">
        <v>249</v>
      </c>
      <c r="S663">
        <v>-0.36650329484336841</v>
      </c>
      <c r="T663" t="s">
        <v>60</v>
      </c>
      <c r="U663" t="s">
        <v>60</v>
      </c>
      <c r="X663" t="s">
        <v>60</v>
      </c>
      <c r="Y663" t="s">
        <v>412</v>
      </c>
      <c r="Z663" t="s">
        <v>60</v>
      </c>
      <c r="AA663" t="s">
        <v>491</v>
      </c>
    </row>
    <row r="664" spans="1:27" x14ac:dyDescent="0.2">
      <c r="A664" s="1">
        <v>46027</v>
      </c>
      <c r="B664" t="s">
        <v>340</v>
      </c>
      <c r="C664" t="s">
        <v>34</v>
      </c>
      <c r="D664" t="s">
        <v>13</v>
      </c>
      <c r="E664" t="s">
        <v>1124</v>
      </c>
      <c r="F664" t="s">
        <v>34</v>
      </c>
      <c r="G664">
        <v>2</v>
      </c>
      <c r="H664">
        <v>3</v>
      </c>
      <c r="I664" s="13">
        <v>0.6</v>
      </c>
      <c r="J664" t="s">
        <v>249</v>
      </c>
      <c r="L664" t="s">
        <v>60</v>
      </c>
      <c r="M664" t="s">
        <v>60</v>
      </c>
      <c r="N664" t="s">
        <v>34</v>
      </c>
      <c r="O664">
        <v>2</v>
      </c>
      <c r="P664">
        <v>3</v>
      </c>
      <c r="Q664" s="13">
        <v>0.52974888423142408</v>
      </c>
      <c r="R664" t="s">
        <v>249</v>
      </c>
      <c r="S664">
        <v>-0.23325806230457241</v>
      </c>
      <c r="T664" t="s">
        <v>60</v>
      </c>
      <c r="U664" t="s">
        <v>60</v>
      </c>
      <c r="X664" t="s">
        <v>60</v>
      </c>
      <c r="Y664" t="s">
        <v>412</v>
      </c>
      <c r="Z664" t="s">
        <v>60</v>
      </c>
      <c r="AA664" t="s">
        <v>491</v>
      </c>
    </row>
    <row r="665" spans="1:27" x14ac:dyDescent="0.2">
      <c r="A665" s="1">
        <v>46027</v>
      </c>
      <c r="B665" t="s">
        <v>328</v>
      </c>
      <c r="C665" t="s">
        <v>55</v>
      </c>
      <c r="D665" t="s">
        <v>15</v>
      </c>
      <c r="E665" t="s">
        <v>1129</v>
      </c>
      <c r="F665" t="s">
        <v>15</v>
      </c>
      <c r="G665">
        <v>2</v>
      </c>
      <c r="H665">
        <v>3</v>
      </c>
      <c r="I665" s="13">
        <v>0.6</v>
      </c>
      <c r="J665" t="s">
        <v>249</v>
      </c>
      <c r="L665" t="s">
        <v>60</v>
      </c>
      <c r="M665" t="s">
        <v>60</v>
      </c>
      <c r="N665" t="s">
        <v>15</v>
      </c>
      <c r="O665">
        <v>2</v>
      </c>
      <c r="P665">
        <v>3</v>
      </c>
      <c r="Q665" s="13">
        <v>0.55903149430300392</v>
      </c>
      <c r="R665" t="s">
        <v>249</v>
      </c>
      <c r="S665">
        <v>0.1629900534604023</v>
      </c>
      <c r="T665" t="s">
        <v>60</v>
      </c>
      <c r="U665" t="s">
        <v>60</v>
      </c>
      <c r="X665" t="s">
        <v>60</v>
      </c>
      <c r="Y665" t="s">
        <v>412</v>
      </c>
      <c r="Z665" t="s">
        <v>60</v>
      </c>
      <c r="AA665" t="s">
        <v>491</v>
      </c>
    </row>
    <row r="666" spans="1:27" x14ac:dyDescent="0.2">
      <c r="A666" s="1">
        <v>46027</v>
      </c>
      <c r="B666" t="s">
        <v>334</v>
      </c>
      <c r="C666" t="s">
        <v>26</v>
      </c>
      <c r="D666" t="s">
        <v>36</v>
      </c>
      <c r="E666" t="s">
        <v>1130</v>
      </c>
      <c r="F666" t="s">
        <v>36</v>
      </c>
      <c r="G666">
        <v>2</v>
      </c>
      <c r="H666">
        <v>3</v>
      </c>
      <c r="I666" s="13">
        <v>0.6</v>
      </c>
      <c r="J666" t="s">
        <v>249</v>
      </c>
      <c r="L666" t="s">
        <v>60</v>
      </c>
      <c r="M666" t="s">
        <v>60</v>
      </c>
      <c r="N666" t="s">
        <v>36</v>
      </c>
      <c r="O666">
        <v>2</v>
      </c>
      <c r="P666">
        <v>3</v>
      </c>
      <c r="Q666" s="13">
        <v>0.5884849449418138</v>
      </c>
      <c r="R666" t="s">
        <v>249</v>
      </c>
      <c r="S666">
        <v>0.39386426309063333</v>
      </c>
      <c r="T666" t="s">
        <v>60</v>
      </c>
      <c r="U666" t="s">
        <v>60</v>
      </c>
      <c r="X666" t="s">
        <v>60</v>
      </c>
      <c r="Y666" t="s">
        <v>412</v>
      </c>
      <c r="Z666" t="s">
        <v>60</v>
      </c>
      <c r="AA666" t="s">
        <v>491</v>
      </c>
    </row>
    <row r="667" spans="1:27" x14ac:dyDescent="0.2">
      <c r="A667" s="1">
        <v>46027</v>
      </c>
      <c r="B667" t="s">
        <v>328</v>
      </c>
      <c r="C667" t="s">
        <v>31</v>
      </c>
      <c r="D667" t="s">
        <v>22</v>
      </c>
      <c r="E667" t="s">
        <v>1131</v>
      </c>
      <c r="F667" t="s">
        <v>22</v>
      </c>
      <c r="G667">
        <v>2</v>
      </c>
      <c r="H667">
        <v>3</v>
      </c>
      <c r="I667" s="13">
        <v>0.6</v>
      </c>
      <c r="J667" t="s">
        <v>249</v>
      </c>
      <c r="L667" t="s">
        <v>60</v>
      </c>
      <c r="M667" t="s">
        <v>60</v>
      </c>
      <c r="N667" t="s">
        <v>22</v>
      </c>
      <c r="O667">
        <v>2</v>
      </c>
      <c r="P667">
        <v>3</v>
      </c>
      <c r="Q667" s="13">
        <v>0.58187405291592698</v>
      </c>
      <c r="R667" t="s">
        <v>249</v>
      </c>
      <c r="S667">
        <v>0.3119049599376531</v>
      </c>
      <c r="T667" t="s">
        <v>60</v>
      </c>
      <c r="U667" t="s">
        <v>60</v>
      </c>
      <c r="X667" t="s">
        <v>60</v>
      </c>
      <c r="Y667" t="s">
        <v>412</v>
      </c>
      <c r="Z667" t="s">
        <v>60</v>
      </c>
      <c r="AA667" t="s">
        <v>491</v>
      </c>
    </row>
    <row r="668" spans="1:27" x14ac:dyDescent="0.2">
      <c r="A668" s="1">
        <v>46028</v>
      </c>
      <c r="B668" t="s">
        <v>322</v>
      </c>
      <c r="C668" t="s">
        <v>28</v>
      </c>
      <c r="D668" t="s">
        <v>33</v>
      </c>
      <c r="E668" t="s">
        <v>1132</v>
      </c>
      <c r="F668" t="s">
        <v>33</v>
      </c>
      <c r="G668">
        <v>2</v>
      </c>
      <c r="H668">
        <v>3</v>
      </c>
      <c r="I668" s="13">
        <v>0.6</v>
      </c>
      <c r="J668" t="s">
        <v>249</v>
      </c>
      <c r="L668" t="s">
        <v>60</v>
      </c>
      <c r="M668" t="s">
        <v>60</v>
      </c>
      <c r="N668" t="s">
        <v>33</v>
      </c>
      <c r="O668">
        <v>2</v>
      </c>
      <c r="P668">
        <v>3</v>
      </c>
      <c r="Q668" s="13">
        <v>0.56915959321684639</v>
      </c>
      <c r="R668" t="s">
        <v>249</v>
      </c>
      <c r="S668">
        <v>0.19355916089145939</v>
      </c>
      <c r="T668" t="s">
        <v>60</v>
      </c>
      <c r="U668" t="s">
        <v>60</v>
      </c>
      <c r="X668" t="s">
        <v>60</v>
      </c>
      <c r="Y668" t="s">
        <v>412</v>
      </c>
      <c r="Z668" t="s">
        <v>60</v>
      </c>
      <c r="AA668" t="s">
        <v>491</v>
      </c>
    </row>
    <row r="669" spans="1:27" x14ac:dyDescent="0.2">
      <c r="A669" s="1">
        <v>46028</v>
      </c>
      <c r="B669" t="s">
        <v>324</v>
      </c>
      <c r="C669" t="s">
        <v>20</v>
      </c>
      <c r="D669" t="s">
        <v>40</v>
      </c>
      <c r="E669" t="s">
        <v>1133</v>
      </c>
      <c r="F669" t="s">
        <v>20</v>
      </c>
      <c r="G669">
        <v>2</v>
      </c>
      <c r="H669">
        <v>3</v>
      </c>
      <c r="I669" s="13">
        <v>0.6</v>
      </c>
      <c r="J669" t="s">
        <v>249</v>
      </c>
      <c r="L669" t="s">
        <v>60</v>
      </c>
      <c r="M669" t="s">
        <v>60</v>
      </c>
      <c r="N669" t="s">
        <v>20</v>
      </c>
      <c r="O669">
        <v>2</v>
      </c>
      <c r="P669">
        <v>3</v>
      </c>
      <c r="Q669" s="13">
        <v>0.45971140329328808</v>
      </c>
      <c r="R669" t="s">
        <v>249</v>
      </c>
      <c r="S669">
        <v>-1.8900244538992601E-2</v>
      </c>
      <c r="T669" t="s">
        <v>60</v>
      </c>
      <c r="U669" t="s">
        <v>60</v>
      </c>
      <c r="X669" t="s">
        <v>60</v>
      </c>
      <c r="Y669" t="s">
        <v>412</v>
      </c>
      <c r="Z669" t="s">
        <v>60</v>
      </c>
      <c r="AA669" t="s">
        <v>491</v>
      </c>
    </row>
    <row r="670" spans="1:27" x14ac:dyDescent="0.2">
      <c r="A670" s="1">
        <v>46028</v>
      </c>
      <c r="B670" t="s">
        <v>334</v>
      </c>
      <c r="C670" t="s">
        <v>11</v>
      </c>
      <c r="D670" t="s">
        <v>19</v>
      </c>
      <c r="E670" t="s">
        <v>1134</v>
      </c>
      <c r="F670" t="s">
        <v>11</v>
      </c>
      <c r="G670">
        <v>2</v>
      </c>
      <c r="H670">
        <v>3</v>
      </c>
      <c r="I670" s="13">
        <v>0.6</v>
      </c>
      <c r="J670" t="s">
        <v>249</v>
      </c>
      <c r="L670" t="s">
        <v>60</v>
      </c>
      <c r="M670" t="s">
        <v>60</v>
      </c>
      <c r="N670" t="s">
        <v>11</v>
      </c>
      <c r="O670">
        <v>2</v>
      </c>
      <c r="P670">
        <v>3</v>
      </c>
      <c r="Q670" s="13">
        <v>0.48188866932349261</v>
      </c>
      <c r="R670" t="s">
        <v>249</v>
      </c>
      <c r="S670">
        <v>-0.18745955133171149</v>
      </c>
      <c r="T670" t="s">
        <v>60</v>
      </c>
      <c r="U670" t="s">
        <v>60</v>
      </c>
      <c r="X670" t="s">
        <v>60</v>
      </c>
      <c r="Y670" t="s">
        <v>412</v>
      </c>
      <c r="Z670" t="s">
        <v>60</v>
      </c>
      <c r="AA670" t="s">
        <v>491</v>
      </c>
    </row>
    <row r="671" spans="1:27" x14ac:dyDescent="0.2">
      <c r="A671" s="1">
        <v>46028</v>
      </c>
      <c r="B671" t="s">
        <v>328</v>
      </c>
      <c r="C671" t="s">
        <v>12</v>
      </c>
      <c r="D671" t="s">
        <v>37</v>
      </c>
      <c r="E671" t="s">
        <v>1135</v>
      </c>
      <c r="F671" t="s">
        <v>12</v>
      </c>
      <c r="G671">
        <v>2</v>
      </c>
      <c r="H671">
        <v>3</v>
      </c>
      <c r="I671" s="13">
        <v>0.6</v>
      </c>
      <c r="J671" t="s">
        <v>249</v>
      </c>
      <c r="L671" t="s">
        <v>60</v>
      </c>
      <c r="M671" t="s">
        <v>60</v>
      </c>
      <c r="N671" t="s">
        <v>12</v>
      </c>
      <c r="O671">
        <v>2</v>
      </c>
      <c r="P671">
        <v>3</v>
      </c>
      <c r="Q671" s="13">
        <v>0.62511320133316162</v>
      </c>
      <c r="R671" t="s">
        <v>249</v>
      </c>
      <c r="S671">
        <v>-1.071497962757209</v>
      </c>
      <c r="T671" t="s">
        <v>60</v>
      </c>
      <c r="U671" t="s">
        <v>60</v>
      </c>
      <c r="X671" t="s">
        <v>60</v>
      </c>
      <c r="Y671" t="s">
        <v>412</v>
      </c>
      <c r="Z671" t="s">
        <v>60</v>
      </c>
      <c r="AA671" t="s">
        <v>491</v>
      </c>
    </row>
    <row r="672" spans="1:27" x14ac:dyDescent="0.2">
      <c r="A672" s="1">
        <v>46028</v>
      </c>
      <c r="B672" t="s">
        <v>322</v>
      </c>
      <c r="C672" t="s">
        <v>21</v>
      </c>
      <c r="D672" t="s">
        <v>32</v>
      </c>
      <c r="E672" t="s">
        <v>1136</v>
      </c>
      <c r="F672" t="s">
        <v>21</v>
      </c>
      <c r="G672">
        <v>2</v>
      </c>
      <c r="H672">
        <v>3</v>
      </c>
      <c r="I672" s="13">
        <v>0.6</v>
      </c>
      <c r="J672" t="s">
        <v>249</v>
      </c>
      <c r="L672" t="s">
        <v>60</v>
      </c>
      <c r="M672" t="s">
        <v>60</v>
      </c>
      <c r="N672" t="s">
        <v>21</v>
      </c>
      <c r="O672">
        <v>2</v>
      </c>
      <c r="P672">
        <v>3</v>
      </c>
      <c r="Q672" s="13">
        <v>0.50516585740852926</v>
      </c>
      <c r="R672" t="s">
        <v>249</v>
      </c>
      <c r="S672">
        <v>-0.37970672590719601</v>
      </c>
      <c r="T672" t="s">
        <v>60</v>
      </c>
      <c r="U672" t="s">
        <v>60</v>
      </c>
      <c r="X672" t="s">
        <v>60</v>
      </c>
      <c r="Y672" t="s">
        <v>412</v>
      </c>
      <c r="Z672" t="s">
        <v>60</v>
      </c>
      <c r="AA672" t="s">
        <v>491</v>
      </c>
    </row>
    <row r="673" spans="1:27" x14ac:dyDescent="0.2">
      <c r="A673" s="1">
        <v>46028</v>
      </c>
      <c r="B673" t="s">
        <v>328</v>
      </c>
      <c r="C673" t="s">
        <v>39</v>
      </c>
      <c r="D673" t="s">
        <v>25</v>
      </c>
      <c r="E673" t="s">
        <v>1137</v>
      </c>
      <c r="F673" t="s">
        <v>25</v>
      </c>
      <c r="G673">
        <v>2</v>
      </c>
      <c r="H673">
        <v>3</v>
      </c>
      <c r="I673" s="13">
        <v>0.6</v>
      </c>
      <c r="J673" t="s">
        <v>249</v>
      </c>
      <c r="L673" t="s">
        <v>60</v>
      </c>
      <c r="M673" t="s">
        <v>60</v>
      </c>
      <c r="N673" t="s">
        <v>25</v>
      </c>
      <c r="O673">
        <v>2</v>
      </c>
      <c r="P673">
        <v>3</v>
      </c>
      <c r="Q673" s="13">
        <v>0.49782102738745643</v>
      </c>
      <c r="R673" t="s">
        <v>249</v>
      </c>
      <c r="S673">
        <v>6.2133384396595298E-2</v>
      </c>
      <c r="T673" t="s">
        <v>60</v>
      </c>
      <c r="U673" t="s">
        <v>60</v>
      </c>
      <c r="X673" t="s">
        <v>60</v>
      </c>
      <c r="Y673" t="s">
        <v>412</v>
      </c>
      <c r="Z673" t="s">
        <v>60</v>
      </c>
      <c r="AA673" t="s">
        <v>491</v>
      </c>
    </row>
    <row r="674" spans="1:27" x14ac:dyDescent="0.2">
      <c r="A674" s="1">
        <v>46028</v>
      </c>
      <c r="B674" t="s">
        <v>334</v>
      </c>
      <c r="C674" t="s">
        <v>24</v>
      </c>
      <c r="D674" t="s">
        <v>30</v>
      </c>
      <c r="E674" t="s">
        <v>1061</v>
      </c>
      <c r="F674" t="s">
        <v>24</v>
      </c>
      <c r="G674">
        <v>2</v>
      </c>
      <c r="H674">
        <v>3</v>
      </c>
      <c r="I674" s="13">
        <v>0.6</v>
      </c>
      <c r="J674" t="s">
        <v>249</v>
      </c>
      <c r="L674" t="s">
        <v>60</v>
      </c>
      <c r="M674" t="s">
        <v>60</v>
      </c>
      <c r="N674" t="s">
        <v>24</v>
      </c>
      <c r="O674">
        <v>2</v>
      </c>
      <c r="P674">
        <v>3</v>
      </c>
      <c r="Q674" s="13">
        <v>0.50325362781538752</v>
      </c>
      <c r="R674" t="s">
        <v>249</v>
      </c>
      <c r="S674">
        <v>-0.19256149928277441</v>
      </c>
      <c r="T674" t="s">
        <v>60</v>
      </c>
      <c r="U674" t="s">
        <v>60</v>
      </c>
      <c r="X674" t="s">
        <v>60</v>
      </c>
      <c r="Y674" t="s">
        <v>412</v>
      </c>
      <c r="Z674" t="s">
        <v>60</v>
      </c>
      <c r="AA674" t="s">
        <v>491</v>
      </c>
    </row>
    <row r="675" spans="1:27" x14ac:dyDescent="0.2">
      <c r="A675" s="1">
        <v>46028</v>
      </c>
      <c r="B675" t="s">
        <v>326</v>
      </c>
      <c r="C675" t="s">
        <v>29</v>
      </c>
      <c r="D675" t="s">
        <v>17</v>
      </c>
      <c r="E675" t="s">
        <v>1138</v>
      </c>
      <c r="F675" t="s">
        <v>17</v>
      </c>
      <c r="G675">
        <v>2</v>
      </c>
      <c r="H675">
        <v>3</v>
      </c>
      <c r="I675" s="13">
        <v>0.6</v>
      </c>
      <c r="J675" t="s">
        <v>249</v>
      </c>
      <c r="L675" t="s">
        <v>60</v>
      </c>
      <c r="M675" t="s">
        <v>60</v>
      </c>
      <c r="N675" t="s">
        <v>17</v>
      </c>
      <c r="O675">
        <v>2</v>
      </c>
      <c r="P675">
        <v>3</v>
      </c>
      <c r="Q675" s="13">
        <v>0.61909814145523023</v>
      </c>
      <c r="R675" t="s">
        <v>249</v>
      </c>
      <c r="S675">
        <v>0.61707136849570166</v>
      </c>
      <c r="T675" t="s">
        <v>60</v>
      </c>
      <c r="U675" t="s">
        <v>60</v>
      </c>
      <c r="X675" t="s">
        <v>60</v>
      </c>
      <c r="Y675" t="s">
        <v>412</v>
      </c>
      <c r="Z675" t="s">
        <v>60</v>
      </c>
      <c r="AA675" t="s">
        <v>491</v>
      </c>
    </row>
    <row r="676" spans="1:27" x14ac:dyDescent="0.2">
      <c r="A676" s="1">
        <v>46028</v>
      </c>
      <c r="B676" t="s">
        <v>328</v>
      </c>
      <c r="C676" t="s">
        <v>38</v>
      </c>
      <c r="D676" t="s">
        <v>23</v>
      </c>
      <c r="E676" t="s">
        <v>1139</v>
      </c>
      <c r="F676" t="s">
        <v>23</v>
      </c>
      <c r="G676">
        <v>2</v>
      </c>
      <c r="H676">
        <v>3</v>
      </c>
      <c r="I676" s="13">
        <v>0.6</v>
      </c>
      <c r="J676" t="s">
        <v>249</v>
      </c>
      <c r="L676" t="s">
        <v>60</v>
      </c>
      <c r="M676" t="s">
        <v>60</v>
      </c>
      <c r="N676" t="s">
        <v>23</v>
      </c>
      <c r="O676">
        <v>2</v>
      </c>
      <c r="P676">
        <v>3</v>
      </c>
      <c r="Q676" s="13">
        <v>0.60744779774608748</v>
      </c>
      <c r="R676" t="s">
        <v>249</v>
      </c>
      <c r="S676">
        <v>0.52146806829337689</v>
      </c>
      <c r="T676" t="s">
        <v>60</v>
      </c>
      <c r="U676" t="s">
        <v>60</v>
      </c>
      <c r="X676" t="s">
        <v>60</v>
      </c>
      <c r="Y676" t="s">
        <v>412</v>
      </c>
      <c r="Z676" t="s">
        <v>60</v>
      </c>
      <c r="AA676" t="s">
        <v>491</v>
      </c>
    </row>
    <row r="677" spans="1:27" x14ac:dyDescent="0.2">
      <c r="A677" s="1">
        <v>46028</v>
      </c>
      <c r="B677" t="s">
        <v>328</v>
      </c>
      <c r="C677" t="s">
        <v>31</v>
      </c>
      <c r="D677" t="s">
        <v>27</v>
      </c>
      <c r="E677" t="s">
        <v>1140</v>
      </c>
      <c r="F677" t="s">
        <v>31</v>
      </c>
      <c r="G677">
        <v>2</v>
      </c>
      <c r="H677">
        <v>3</v>
      </c>
      <c r="I677" s="13">
        <v>0.6</v>
      </c>
      <c r="J677" t="s">
        <v>249</v>
      </c>
      <c r="L677" t="s">
        <v>60</v>
      </c>
      <c r="M677" t="s">
        <v>60</v>
      </c>
      <c r="N677" t="s">
        <v>31</v>
      </c>
      <c r="O677">
        <v>2</v>
      </c>
      <c r="P677">
        <v>3</v>
      </c>
      <c r="Q677" s="13">
        <v>0.5261048163255807</v>
      </c>
      <c r="R677" t="s">
        <v>249</v>
      </c>
      <c r="S677">
        <v>-0.50904185642241984</v>
      </c>
      <c r="T677" t="s">
        <v>60</v>
      </c>
      <c r="U677" t="s">
        <v>60</v>
      </c>
      <c r="X677" t="s">
        <v>60</v>
      </c>
      <c r="Y677" t="s">
        <v>412</v>
      </c>
      <c r="Z677" t="s">
        <v>60</v>
      </c>
      <c r="AA677" t="s">
        <v>491</v>
      </c>
    </row>
    <row r="678" spans="1:27" x14ac:dyDescent="0.2">
      <c r="A678" s="1">
        <v>46029</v>
      </c>
      <c r="B678" t="s">
        <v>426</v>
      </c>
      <c r="C678" t="s">
        <v>35</v>
      </c>
      <c r="D678" t="s">
        <v>10</v>
      </c>
      <c r="E678" t="s">
        <v>1141</v>
      </c>
      <c r="F678" t="s">
        <v>10</v>
      </c>
      <c r="G678">
        <v>2</v>
      </c>
      <c r="H678">
        <v>3</v>
      </c>
      <c r="I678" s="13">
        <v>0.6</v>
      </c>
      <c r="J678" t="s">
        <v>249</v>
      </c>
      <c r="L678" t="s">
        <v>60</v>
      </c>
      <c r="M678" t="s">
        <v>60</v>
      </c>
      <c r="N678" t="s">
        <v>10</v>
      </c>
      <c r="O678">
        <v>2</v>
      </c>
      <c r="P678">
        <v>3</v>
      </c>
      <c r="Q678" s="13">
        <v>0.6880790666121519</v>
      </c>
      <c r="R678" t="s">
        <v>249</v>
      </c>
      <c r="S678">
        <v>1.268182865686571</v>
      </c>
      <c r="T678" t="s">
        <v>60</v>
      </c>
      <c r="U678" t="s">
        <v>60</v>
      </c>
      <c r="X678" t="s">
        <v>60</v>
      </c>
      <c r="Y678" t="s">
        <v>412</v>
      </c>
      <c r="Z678" t="s">
        <v>60</v>
      </c>
      <c r="AA678" t="s">
        <v>491</v>
      </c>
    </row>
    <row r="679" spans="1:27" x14ac:dyDescent="0.2">
      <c r="A679" s="1">
        <v>46029</v>
      </c>
      <c r="B679" t="s">
        <v>340</v>
      </c>
      <c r="C679" t="s">
        <v>33</v>
      </c>
      <c r="D679" t="s">
        <v>13</v>
      </c>
      <c r="E679" t="s">
        <v>1142</v>
      </c>
      <c r="F679" t="s">
        <v>13</v>
      </c>
      <c r="G679">
        <v>2</v>
      </c>
      <c r="H679">
        <v>3</v>
      </c>
      <c r="I679" s="13">
        <v>0.6</v>
      </c>
      <c r="J679" t="s">
        <v>249</v>
      </c>
      <c r="L679" t="s">
        <v>60</v>
      </c>
      <c r="M679" t="s">
        <v>60</v>
      </c>
      <c r="N679" t="s">
        <v>13</v>
      </c>
      <c r="O679">
        <v>2</v>
      </c>
      <c r="P679">
        <v>3</v>
      </c>
      <c r="Q679" s="13">
        <v>0.5590266005947836</v>
      </c>
      <c r="R679" t="s">
        <v>249</v>
      </c>
      <c r="S679">
        <v>0.16294814262819221</v>
      </c>
      <c r="T679" t="s">
        <v>60</v>
      </c>
      <c r="U679" t="s">
        <v>60</v>
      </c>
      <c r="X679" t="s">
        <v>60</v>
      </c>
      <c r="Y679" t="s">
        <v>412</v>
      </c>
      <c r="Z679" t="s">
        <v>60</v>
      </c>
      <c r="AA679" t="s">
        <v>491</v>
      </c>
    </row>
    <row r="680" spans="1:27" x14ac:dyDescent="0.2">
      <c r="A680" s="1">
        <v>46029</v>
      </c>
      <c r="B680" t="s">
        <v>334</v>
      </c>
      <c r="C680" t="s">
        <v>16</v>
      </c>
      <c r="D680" t="s">
        <v>18</v>
      </c>
      <c r="E680" t="s">
        <v>1143</v>
      </c>
      <c r="F680" t="s">
        <v>18</v>
      </c>
      <c r="G680">
        <v>2</v>
      </c>
      <c r="H680">
        <v>3</v>
      </c>
      <c r="I680" s="13">
        <v>0.6</v>
      </c>
      <c r="J680" t="s">
        <v>249</v>
      </c>
      <c r="L680" t="s">
        <v>60</v>
      </c>
      <c r="M680" t="s">
        <v>60</v>
      </c>
      <c r="N680" t="s">
        <v>18</v>
      </c>
      <c r="O680">
        <v>2</v>
      </c>
      <c r="P680">
        <v>3</v>
      </c>
      <c r="Q680" s="13">
        <v>0.60104372852940058</v>
      </c>
      <c r="R680" t="s">
        <v>249</v>
      </c>
      <c r="S680">
        <v>0.52279239969395808</v>
      </c>
      <c r="T680" t="s">
        <v>60</v>
      </c>
      <c r="U680" t="s">
        <v>60</v>
      </c>
      <c r="X680" t="s">
        <v>60</v>
      </c>
      <c r="Y680" t="s">
        <v>412</v>
      </c>
      <c r="Z680" t="s">
        <v>60</v>
      </c>
      <c r="AA680" t="s">
        <v>491</v>
      </c>
    </row>
    <row r="681" spans="1:27" x14ac:dyDescent="0.2">
      <c r="A681" s="1">
        <v>46029</v>
      </c>
      <c r="B681" t="s">
        <v>426</v>
      </c>
      <c r="C681" t="s">
        <v>36</v>
      </c>
      <c r="D681" t="s">
        <v>55</v>
      </c>
      <c r="E681" t="s">
        <v>1144</v>
      </c>
      <c r="F681" t="s">
        <v>55</v>
      </c>
      <c r="G681">
        <v>2</v>
      </c>
      <c r="H681">
        <v>3</v>
      </c>
      <c r="I681" s="13">
        <v>0.6</v>
      </c>
      <c r="J681" t="s">
        <v>249</v>
      </c>
      <c r="L681" t="s">
        <v>60</v>
      </c>
      <c r="M681" t="s">
        <v>60</v>
      </c>
      <c r="N681" t="s">
        <v>55</v>
      </c>
      <c r="O681">
        <v>2</v>
      </c>
      <c r="P681">
        <v>3</v>
      </c>
      <c r="Q681" s="13">
        <v>0.60123322918628797</v>
      </c>
      <c r="R681" t="s">
        <v>249</v>
      </c>
      <c r="S681">
        <v>0.1781535107668186</v>
      </c>
      <c r="T681" t="s">
        <v>60</v>
      </c>
      <c r="U681" t="s">
        <v>60</v>
      </c>
      <c r="X681" t="s">
        <v>60</v>
      </c>
      <c r="Y681" t="s">
        <v>412</v>
      </c>
      <c r="Z681" t="s">
        <v>60</v>
      </c>
      <c r="AA681" t="s">
        <v>491</v>
      </c>
    </row>
    <row r="682" spans="1:27" x14ac:dyDescent="0.2">
      <c r="A682" s="1">
        <v>46029</v>
      </c>
      <c r="B682" t="s">
        <v>328</v>
      </c>
      <c r="C682" t="s">
        <v>39</v>
      </c>
      <c r="D682" t="s">
        <v>22</v>
      </c>
      <c r="E682" t="s">
        <v>1145</v>
      </c>
      <c r="F682" t="s">
        <v>22</v>
      </c>
      <c r="G682">
        <v>2</v>
      </c>
      <c r="H682">
        <v>3</v>
      </c>
      <c r="I682" s="13">
        <v>0.6</v>
      </c>
      <c r="J682" t="s">
        <v>249</v>
      </c>
      <c r="L682" t="s">
        <v>60</v>
      </c>
      <c r="M682" t="s">
        <v>60</v>
      </c>
      <c r="N682" t="s">
        <v>22</v>
      </c>
      <c r="O682">
        <v>2</v>
      </c>
      <c r="P682">
        <v>3</v>
      </c>
      <c r="Q682" s="13">
        <v>0.47329592294778511</v>
      </c>
      <c r="R682" t="s">
        <v>249</v>
      </c>
      <c r="S682">
        <v>7.7165479921799604E-2</v>
      </c>
      <c r="T682" t="s">
        <v>60</v>
      </c>
      <c r="U682" t="s">
        <v>60</v>
      </c>
      <c r="X682" t="s">
        <v>60</v>
      </c>
      <c r="Y682" t="s">
        <v>412</v>
      </c>
      <c r="Z682" t="s">
        <v>60</v>
      </c>
      <c r="AA682" t="s">
        <v>491</v>
      </c>
    </row>
    <row r="683" spans="1:27" x14ac:dyDescent="0.2">
      <c r="A683" s="1">
        <v>46030</v>
      </c>
      <c r="B683" t="s">
        <v>328</v>
      </c>
      <c r="C683" t="s">
        <v>24</v>
      </c>
      <c r="D683" t="s">
        <v>14</v>
      </c>
      <c r="E683" t="s">
        <v>1146</v>
      </c>
      <c r="F683" t="s">
        <v>24</v>
      </c>
      <c r="G683">
        <v>2</v>
      </c>
      <c r="H683">
        <v>3</v>
      </c>
      <c r="I683" s="13">
        <v>0.6</v>
      </c>
      <c r="J683" t="s">
        <v>249</v>
      </c>
      <c r="L683" t="s">
        <v>60</v>
      </c>
      <c r="M683" t="s">
        <v>60</v>
      </c>
      <c r="N683" t="s">
        <v>24</v>
      </c>
      <c r="O683">
        <v>2</v>
      </c>
      <c r="P683">
        <v>3</v>
      </c>
      <c r="Q683" s="13">
        <v>0.49173270874944358</v>
      </c>
      <c r="R683" t="s">
        <v>249</v>
      </c>
      <c r="S683">
        <v>-9.3893723406931806E-2</v>
      </c>
      <c r="T683" t="s">
        <v>60</v>
      </c>
      <c r="U683" t="s">
        <v>60</v>
      </c>
      <c r="X683" t="s">
        <v>60</v>
      </c>
      <c r="Y683" t="s">
        <v>412</v>
      </c>
      <c r="Z683" t="s">
        <v>60</v>
      </c>
      <c r="AA683" t="s">
        <v>491</v>
      </c>
    </row>
    <row r="684" spans="1:27" x14ac:dyDescent="0.2">
      <c r="A684" s="1">
        <v>46030</v>
      </c>
      <c r="B684" t="s">
        <v>324</v>
      </c>
      <c r="C684" t="s">
        <v>17</v>
      </c>
      <c r="D684" t="s">
        <v>40</v>
      </c>
      <c r="E684" t="s">
        <v>1085</v>
      </c>
      <c r="F684" t="s">
        <v>40</v>
      </c>
      <c r="G684">
        <v>2</v>
      </c>
      <c r="H684">
        <v>3</v>
      </c>
      <c r="I684" s="13">
        <v>0.6</v>
      </c>
      <c r="J684" t="s">
        <v>249</v>
      </c>
      <c r="L684" t="s">
        <v>60</v>
      </c>
      <c r="M684" t="s">
        <v>60</v>
      </c>
      <c r="N684" t="s">
        <v>40</v>
      </c>
      <c r="O684">
        <v>2</v>
      </c>
      <c r="P684">
        <v>3</v>
      </c>
      <c r="Q684" s="13">
        <v>0.60723051420671958</v>
      </c>
      <c r="R684" t="s">
        <v>249</v>
      </c>
      <c r="S684">
        <v>0.55440558937789264</v>
      </c>
      <c r="T684" t="s">
        <v>60</v>
      </c>
      <c r="U684" t="s">
        <v>60</v>
      </c>
      <c r="X684" t="s">
        <v>60</v>
      </c>
      <c r="Y684" t="s">
        <v>412</v>
      </c>
      <c r="Z684" t="s">
        <v>60</v>
      </c>
      <c r="AA684" t="s">
        <v>491</v>
      </c>
    </row>
    <row r="685" spans="1:27" x14ac:dyDescent="0.2">
      <c r="A685" s="1">
        <v>46030</v>
      </c>
      <c r="B685" t="s">
        <v>322</v>
      </c>
      <c r="C685" t="s">
        <v>28</v>
      </c>
      <c r="D685" t="s">
        <v>20</v>
      </c>
      <c r="E685" t="s">
        <v>1147</v>
      </c>
      <c r="F685" t="s">
        <v>20</v>
      </c>
      <c r="G685">
        <v>2</v>
      </c>
      <c r="H685">
        <v>3</v>
      </c>
      <c r="I685" s="13">
        <v>0.6</v>
      </c>
      <c r="J685" t="s">
        <v>249</v>
      </c>
      <c r="L685" t="s">
        <v>60</v>
      </c>
      <c r="M685" t="s">
        <v>60</v>
      </c>
      <c r="N685" t="s">
        <v>20</v>
      </c>
      <c r="O685">
        <v>2</v>
      </c>
      <c r="P685">
        <v>3</v>
      </c>
      <c r="Q685" s="13">
        <v>0.58318220972456269</v>
      </c>
      <c r="R685" t="s">
        <v>249</v>
      </c>
      <c r="S685">
        <v>0.40044932295306629</v>
      </c>
      <c r="T685" t="s">
        <v>60</v>
      </c>
      <c r="U685" t="s">
        <v>60</v>
      </c>
      <c r="X685" t="s">
        <v>60</v>
      </c>
      <c r="Y685" t="s">
        <v>412</v>
      </c>
      <c r="Z685" t="s">
        <v>60</v>
      </c>
      <c r="AA685" t="s">
        <v>491</v>
      </c>
    </row>
    <row r="686" spans="1:27" x14ac:dyDescent="0.2">
      <c r="A686" s="1">
        <v>46030</v>
      </c>
      <c r="B686" t="s">
        <v>322</v>
      </c>
      <c r="C686" t="s">
        <v>34</v>
      </c>
      <c r="D686" t="s">
        <v>32</v>
      </c>
      <c r="E686" t="s">
        <v>959</v>
      </c>
      <c r="F686" t="s">
        <v>34</v>
      </c>
      <c r="G686">
        <v>2</v>
      </c>
      <c r="H686">
        <v>3</v>
      </c>
      <c r="I686" s="13">
        <v>0.6</v>
      </c>
      <c r="J686" t="s">
        <v>249</v>
      </c>
      <c r="L686" t="s">
        <v>60</v>
      </c>
      <c r="M686" t="s">
        <v>60</v>
      </c>
      <c r="N686" t="s">
        <v>34</v>
      </c>
      <c r="O686">
        <v>2</v>
      </c>
      <c r="P686">
        <v>3</v>
      </c>
      <c r="Q686" s="13">
        <v>0.56607365771895912</v>
      </c>
      <c r="R686" t="s">
        <v>249</v>
      </c>
      <c r="S686">
        <v>-0.54435169890544877</v>
      </c>
      <c r="T686" t="s">
        <v>60</v>
      </c>
      <c r="U686" t="s">
        <v>60</v>
      </c>
      <c r="X686" t="s">
        <v>60</v>
      </c>
      <c r="Y686" t="s">
        <v>412</v>
      </c>
      <c r="Z686" t="s">
        <v>60</v>
      </c>
      <c r="AA686" t="s">
        <v>491</v>
      </c>
    </row>
    <row r="687" spans="1:27" x14ac:dyDescent="0.2">
      <c r="A687" s="1">
        <v>46030</v>
      </c>
      <c r="B687" t="s">
        <v>328</v>
      </c>
      <c r="C687" t="s">
        <v>23</v>
      </c>
      <c r="D687" t="s">
        <v>15</v>
      </c>
      <c r="E687" t="s">
        <v>1148</v>
      </c>
      <c r="F687" t="s">
        <v>15</v>
      </c>
      <c r="G687">
        <v>2</v>
      </c>
      <c r="H687">
        <v>3</v>
      </c>
      <c r="I687" s="13">
        <v>0.6</v>
      </c>
      <c r="J687" t="s">
        <v>249</v>
      </c>
      <c r="L687" t="s">
        <v>60</v>
      </c>
      <c r="M687" t="s">
        <v>60</v>
      </c>
      <c r="N687" t="s">
        <v>15</v>
      </c>
      <c r="O687">
        <v>2</v>
      </c>
      <c r="P687">
        <v>3</v>
      </c>
      <c r="Q687" s="13">
        <v>0.56755382089589856</v>
      </c>
      <c r="R687" t="s">
        <v>249</v>
      </c>
      <c r="S687">
        <v>0.2359772001798095</v>
      </c>
      <c r="T687" t="s">
        <v>60</v>
      </c>
      <c r="U687" t="s">
        <v>60</v>
      </c>
      <c r="X687" t="s">
        <v>60</v>
      </c>
      <c r="Y687" t="s">
        <v>412</v>
      </c>
      <c r="Z687" t="s">
        <v>60</v>
      </c>
      <c r="AA687" t="s">
        <v>491</v>
      </c>
    </row>
    <row r="688" spans="1:27" x14ac:dyDescent="0.2">
      <c r="A688" s="1">
        <v>46030</v>
      </c>
      <c r="B688" t="s">
        <v>328</v>
      </c>
      <c r="C688" t="s">
        <v>19</v>
      </c>
      <c r="D688" t="s">
        <v>27</v>
      </c>
      <c r="E688" t="s">
        <v>759</v>
      </c>
      <c r="F688" t="s">
        <v>27</v>
      </c>
      <c r="G688">
        <v>2</v>
      </c>
      <c r="H688">
        <v>3</v>
      </c>
      <c r="I688" s="13">
        <v>0.6</v>
      </c>
      <c r="J688" t="s">
        <v>249</v>
      </c>
      <c r="L688" t="s">
        <v>60</v>
      </c>
      <c r="M688" t="s">
        <v>60</v>
      </c>
      <c r="N688" t="s">
        <v>27</v>
      </c>
      <c r="O688">
        <v>2</v>
      </c>
      <c r="P688">
        <v>3</v>
      </c>
      <c r="Q688" s="13">
        <v>0.5895294258799636</v>
      </c>
      <c r="R688" t="s">
        <v>249</v>
      </c>
      <c r="S688">
        <v>0.30413975673582699</v>
      </c>
      <c r="T688" t="s">
        <v>60</v>
      </c>
      <c r="U688" t="s">
        <v>60</v>
      </c>
      <c r="X688" t="s">
        <v>60</v>
      </c>
      <c r="Y688" t="s">
        <v>412</v>
      </c>
      <c r="Z688" t="s">
        <v>60</v>
      </c>
      <c r="AA688" t="s">
        <v>491</v>
      </c>
    </row>
    <row r="689" spans="1:27" x14ac:dyDescent="0.2">
      <c r="A689" s="1">
        <v>46030</v>
      </c>
      <c r="B689" t="s">
        <v>328</v>
      </c>
      <c r="C689" t="s">
        <v>11</v>
      </c>
      <c r="D689" t="s">
        <v>18</v>
      </c>
      <c r="E689" t="s">
        <v>1149</v>
      </c>
      <c r="F689" t="s">
        <v>11</v>
      </c>
      <c r="G689">
        <v>2</v>
      </c>
      <c r="H689">
        <v>3</v>
      </c>
      <c r="I689" s="13">
        <v>0.6</v>
      </c>
      <c r="J689" t="s">
        <v>249</v>
      </c>
      <c r="L689" t="s">
        <v>60</v>
      </c>
      <c r="M689" t="s">
        <v>60</v>
      </c>
      <c r="N689" t="s">
        <v>11</v>
      </c>
      <c r="O689">
        <v>2</v>
      </c>
      <c r="P689">
        <v>3</v>
      </c>
      <c r="Q689" s="13">
        <v>0.47703254407868428</v>
      </c>
      <c r="R689" t="s">
        <v>249</v>
      </c>
      <c r="S689">
        <v>-0.14587058828655619</v>
      </c>
      <c r="T689" t="s">
        <v>60</v>
      </c>
      <c r="U689" t="s">
        <v>60</v>
      </c>
      <c r="X689" t="s">
        <v>60</v>
      </c>
      <c r="Y689" t="s">
        <v>412</v>
      </c>
      <c r="Z689" t="s">
        <v>60</v>
      </c>
      <c r="AA689" t="s">
        <v>491</v>
      </c>
    </row>
    <row r="690" spans="1:27" x14ac:dyDescent="0.2">
      <c r="A690" s="1">
        <v>46030</v>
      </c>
      <c r="B690" t="s">
        <v>328</v>
      </c>
      <c r="C690" t="s">
        <v>38</v>
      </c>
      <c r="D690" t="s">
        <v>26</v>
      </c>
      <c r="E690" t="s">
        <v>1150</v>
      </c>
      <c r="F690" t="s">
        <v>26</v>
      </c>
      <c r="G690">
        <v>2</v>
      </c>
      <c r="H690">
        <v>3</v>
      </c>
      <c r="I690" s="13">
        <v>0.6</v>
      </c>
      <c r="J690" t="s">
        <v>249</v>
      </c>
      <c r="L690" t="s">
        <v>60</v>
      </c>
      <c r="M690" t="s">
        <v>60</v>
      </c>
      <c r="N690" t="s">
        <v>26</v>
      </c>
      <c r="O690">
        <v>2</v>
      </c>
      <c r="P690">
        <v>3</v>
      </c>
      <c r="Q690" s="13">
        <v>0.55069704130602415</v>
      </c>
      <c r="R690" t="s">
        <v>249</v>
      </c>
      <c r="S690">
        <v>0.1222389390016571</v>
      </c>
      <c r="T690" t="s">
        <v>60</v>
      </c>
      <c r="U690" t="s">
        <v>60</v>
      </c>
      <c r="X690" t="s">
        <v>60</v>
      </c>
      <c r="Y690" t="s">
        <v>412</v>
      </c>
      <c r="Z690" t="s">
        <v>60</v>
      </c>
      <c r="AA690" t="s">
        <v>491</v>
      </c>
    </row>
    <row r="691" spans="1:27" x14ac:dyDescent="0.2">
      <c r="A691" s="1">
        <v>46030</v>
      </c>
      <c r="B691" t="s">
        <v>326</v>
      </c>
      <c r="C691" t="s">
        <v>36</v>
      </c>
      <c r="D691" t="s">
        <v>12</v>
      </c>
      <c r="E691" t="s">
        <v>1151</v>
      </c>
      <c r="F691" t="s">
        <v>12</v>
      </c>
      <c r="G691">
        <v>2</v>
      </c>
      <c r="H691">
        <v>3</v>
      </c>
      <c r="I691" s="13">
        <v>0.6</v>
      </c>
      <c r="J691" t="s">
        <v>249</v>
      </c>
      <c r="L691" t="s">
        <v>60</v>
      </c>
      <c r="M691" t="s">
        <v>60</v>
      </c>
      <c r="N691" t="s">
        <v>12</v>
      </c>
      <c r="O691">
        <v>2</v>
      </c>
      <c r="P691">
        <v>3</v>
      </c>
      <c r="Q691" s="13">
        <v>0.90275137961610274</v>
      </c>
      <c r="R691" t="s">
        <v>249</v>
      </c>
      <c r="S691">
        <v>2.213180458214977</v>
      </c>
      <c r="T691" t="s">
        <v>60</v>
      </c>
      <c r="U691" t="s">
        <v>60</v>
      </c>
      <c r="X691" t="s">
        <v>60</v>
      </c>
      <c r="Y691" t="s">
        <v>412</v>
      </c>
      <c r="Z691" t="s">
        <v>60</v>
      </c>
      <c r="AA691" t="s">
        <v>491</v>
      </c>
    </row>
    <row r="692" spans="1:27" x14ac:dyDescent="0.2">
      <c r="A692" s="1">
        <v>46030</v>
      </c>
      <c r="B692" t="s">
        <v>328</v>
      </c>
      <c r="C692" t="s">
        <v>31</v>
      </c>
      <c r="D692" t="s">
        <v>25</v>
      </c>
      <c r="E692" t="s">
        <v>1152</v>
      </c>
      <c r="F692" t="s">
        <v>25</v>
      </c>
      <c r="G692">
        <v>2</v>
      </c>
      <c r="H692">
        <v>3</v>
      </c>
      <c r="I692" s="13">
        <v>0.6</v>
      </c>
      <c r="J692" t="s">
        <v>249</v>
      </c>
      <c r="L692" t="s">
        <v>60</v>
      </c>
      <c r="M692" t="s">
        <v>60</v>
      </c>
      <c r="N692" t="s">
        <v>25</v>
      </c>
      <c r="O692">
        <v>2</v>
      </c>
      <c r="P692">
        <v>3</v>
      </c>
      <c r="Q692" s="13">
        <v>0.60609285987948969</v>
      </c>
      <c r="R692" t="s">
        <v>249</v>
      </c>
      <c r="S692">
        <v>0.29687286441244892</v>
      </c>
      <c r="T692" t="s">
        <v>60</v>
      </c>
      <c r="U692" t="s">
        <v>60</v>
      </c>
      <c r="X692" t="s">
        <v>60</v>
      </c>
      <c r="Y692" t="s">
        <v>412</v>
      </c>
      <c r="Z692" t="s">
        <v>60</v>
      </c>
      <c r="AA692" t="s">
        <v>491</v>
      </c>
    </row>
    <row r="693" spans="1:27" x14ac:dyDescent="0.2">
      <c r="A693" s="1">
        <v>46030</v>
      </c>
      <c r="B693" t="s">
        <v>328</v>
      </c>
      <c r="C693" t="s">
        <v>16</v>
      </c>
      <c r="D693" t="s">
        <v>21</v>
      </c>
      <c r="E693" t="s">
        <v>1153</v>
      </c>
      <c r="F693" t="s">
        <v>21</v>
      </c>
      <c r="G693">
        <v>2</v>
      </c>
      <c r="H693">
        <v>3</v>
      </c>
      <c r="I693" s="13">
        <v>0.6</v>
      </c>
      <c r="J693" t="s">
        <v>249</v>
      </c>
      <c r="L693" t="s">
        <v>60</v>
      </c>
      <c r="M693" t="s">
        <v>60</v>
      </c>
      <c r="N693" t="s">
        <v>21</v>
      </c>
      <c r="O693">
        <v>2</v>
      </c>
      <c r="P693">
        <v>3</v>
      </c>
      <c r="Q693" s="13">
        <v>0.68751253435846171</v>
      </c>
      <c r="R693" t="s">
        <v>249</v>
      </c>
      <c r="S693">
        <v>0.89591226752005171</v>
      </c>
      <c r="T693" t="s">
        <v>60</v>
      </c>
      <c r="U693" t="s">
        <v>60</v>
      </c>
      <c r="X693" t="s">
        <v>60</v>
      </c>
      <c r="Y693" t="s">
        <v>412</v>
      </c>
      <c r="Z693" t="s">
        <v>60</v>
      </c>
      <c r="AA693" t="s">
        <v>491</v>
      </c>
    </row>
    <row r="694" spans="1:27" x14ac:dyDescent="0.2">
      <c r="A694" s="1">
        <v>46030</v>
      </c>
      <c r="B694" t="s">
        <v>324</v>
      </c>
      <c r="C694" t="s">
        <v>30</v>
      </c>
      <c r="D694" t="s">
        <v>29</v>
      </c>
      <c r="E694" t="s">
        <v>1154</v>
      </c>
      <c r="F694" t="s">
        <v>30</v>
      </c>
      <c r="G694">
        <v>2</v>
      </c>
      <c r="H694">
        <v>3</v>
      </c>
      <c r="I694" s="13">
        <v>0.6</v>
      </c>
      <c r="J694" t="s">
        <v>249</v>
      </c>
      <c r="L694" t="s">
        <v>60</v>
      </c>
      <c r="M694" t="s">
        <v>60</v>
      </c>
      <c r="N694" t="s">
        <v>30</v>
      </c>
      <c r="O694">
        <v>2</v>
      </c>
      <c r="P694">
        <v>3</v>
      </c>
      <c r="Q694" s="13">
        <v>0.6603736863899341</v>
      </c>
      <c r="R694" t="s">
        <v>249</v>
      </c>
      <c r="S694">
        <v>-1.0940845374455661</v>
      </c>
      <c r="T694" t="s">
        <v>60</v>
      </c>
      <c r="U694" t="s">
        <v>60</v>
      </c>
      <c r="X694" t="s">
        <v>60</v>
      </c>
      <c r="Y694" t="s">
        <v>412</v>
      </c>
      <c r="Z694" t="s">
        <v>60</v>
      </c>
      <c r="AA694" t="s">
        <v>491</v>
      </c>
    </row>
    <row r="695" spans="1:27" x14ac:dyDescent="0.2">
      <c r="A695" s="1">
        <v>46031</v>
      </c>
      <c r="B695" t="s">
        <v>324</v>
      </c>
      <c r="C695" t="s">
        <v>22</v>
      </c>
      <c r="D695" t="s">
        <v>10</v>
      </c>
      <c r="E695" t="s">
        <v>1155</v>
      </c>
      <c r="F695" t="s">
        <v>22</v>
      </c>
      <c r="G695">
        <v>2</v>
      </c>
      <c r="H695">
        <v>3</v>
      </c>
      <c r="I695" s="13">
        <v>0.6</v>
      </c>
      <c r="J695" t="s">
        <v>249</v>
      </c>
      <c r="L695" t="s">
        <v>60</v>
      </c>
      <c r="M695" t="s">
        <v>60</v>
      </c>
      <c r="N695" t="s">
        <v>22</v>
      </c>
      <c r="O695">
        <v>2</v>
      </c>
      <c r="P695">
        <v>3</v>
      </c>
      <c r="Q695" s="13">
        <v>0.5687185009689073</v>
      </c>
      <c r="R695" t="s">
        <v>249</v>
      </c>
      <c r="S695">
        <v>-0.56700273911490806</v>
      </c>
      <c r="T695" t="s">
        <v>60</v>
      </c>
      <c r="U695" t="s">
        <v>60</v>
      </c>
      <c r="X695" t="s">
        <v>60</v>
      </c>
      <c r="Y695" t="s">
        <v>412</v>
      </c>
      <c r="Z695" t="s">
        <v>60</v>
      </c>
      <c r="AA695" t="s">
        <v>491</v>
      </c>
    </row>
    <row r="696" spans="1:27" x14ac:dyDescent="0.2">
      <c r="A696" s="1">
        <v>46031</v>
      </c>
      <c r="B696" t="s">
        <v>326</v>
      </c>
      <c r="C696" t="s">
        <v>35</v>
      </c>
      <c r="D696" t="s">
        <v>55</v>
      </c>
      <c r="E696" t="s">
        <v>1156</v>
      </c>
      <c r="F696" t="s">
        <v>55</v>
      </c>
      <c r="G696">
        <v>2</v>
      </c>
      <c r="H696">
        <v>3</v>
      </c>
      <c r="I696" s="13">
        <v>0.6</v>
      </c>
      <c r="J696" t="s">
        <v>249</v>
      </c>
      <c r="L696" t="s">
        <v>60</v>
      </c>
      <c r="M696" t="s">
        <v>60</v>
      </c>
      <c r="N696" t="s">
        <v>55</v>
      </c>
      <c r="O696">
        <v>2</v>
      </c>
      <c r="P696">
        <v>3</v>
      </c>
      <c r="Q696" s="13">
        <v>0.7020131636538165</v>
      </c>
      <c r="R696" t="s">
        <v>249</v>
      </c>
      <c r="S696">
        <v>1.0412558318497021</v>
      </c>
      <c r="T696" t="s">
        <v>60</v>
      </c>
      <c r="U696" t="s">
        <v>60</v>
      </c>
      <c r="X696" t="s">
        <v>60</v>
      </c>
      <c r="Y696" t="s">
        <v>412</v>
      </c>
      <c r="Z696" t="s">
        <v>60</v>
      </c>
      <c r="AA696" t="s">
        <v>491</v>
      </c>
    </row>
    <row r="697" spans="1:27" x14ac:dyDescent="0.2">
      <c r="A697" s="1">
        <v>46031</v>
      </c>
      <c r="B697" t="s">
        <v>324</v>
      </c>
      <c r="C697" t="s">
        <v>13</v>
      </c>
      <c r="D697" t="s">
        <v>40</v>
      </c>
      <c r="E697" t="s">
        <v>543</v>
      </c>
      <c r="F697" t="s">
        <v>40</v>
      </c>
      <c r="G697">
        <v>2</v>
      </c>
      <c r="H697">
        <v>3</v>
      </c>
      <c r="I697" s="13">
        <v>0.6</v>
      </c>
      <c r="J697" t="s">
        <v>249</v>
      </c>
      <c r="L697" t="s">
        <v>60</v>
      </c>
      <c r="M697" t="s">
        <v>60</v>
      </c>
      <c r="N697" t="s">
        <v>40</v>
      </c>
      <c r="O697">
        <v>2</v>
      </c>
      <c r="P697">
        <v>3</v>
      </c>
      <c r="Q697" s="13">
        <v>0.48494112191888922</v>
      </c>
      <c r="R697" t="s">
        <v>249</v>
      </c>
      <c r="S697">
        <v>7.4942523817584594E-2</v>
      </c>
      <c r="T697" t="s">
        <v>60</v>
      </c>
      <c r="U697" t="s">
        <v>60</v>
      </c>
      <c r="X697" t="s">
        <v>60</v>
      </c>
      <c r="Y697" t="s">
        <v>412</v>
      </c>
      <c r="Z697" t="s">
        <v>60</v>
      </c>
      <c r="AA697" t="s">
        <v>491</v>
      </c>
    </row>
    <row r="698" spans="1:27" x14ac:dyDescent="0.2">
      <c r="A698" s="1">
        <v>46032</v>
      </c>
      <c r="B698" t="s">
        <v>322</v>
      </c>
      <c r="C698" t="s">
        <v>35</v>
      </c>
      <c r="D698" t="s">
        <v>20</v>
      </c>
      <c r="E698" t="s">
        <v>1157</v>
      </c>
      <c r="F698" t="s">
        <v>20</v>
      </c>
      <c r="G698">
        <v>2</v>
      </c>
      <c r="H698">
        <v>3</v>
      </c>
      <c r="I698" s="13">
        <v>0.6</v>
      </c>
      <c r="J698" t="s">
        <v>249</v>
      </c>
      <c r="L698" t="s">
        <v>60</v>
      </c>
      <c r="M698" t="s">
        <v>60</v>
      </c>
      <c r="N698" t="s">
        <v>20</v>
      </c>
      <c r="O698">
        <v>2</v>
      </c>
      <c r="P698">
        <v>3</v>
      </c>
      <c r="Q698" s="13">
        <v>0.68011050524694328</v>
      </c>
      <c r="R698" t="s">
        <v>249</v>
      </c>
      <c r="S698">
        <v>1.199938290550248</v>
      </c>
      <c r="T698" t="s">
        <v>60</v>
      </c>
      <c r="U698" t="s">
        <v>60</v>
      </c>
      <c r="X698" t="s">
        <v>60</v>
      </c>
      <c r="Y698" t="s">
        <v>412</v>
      </c>
      <c r="Z698" t="s">
        <v>60</v>
      </c>
      <c r="AA698" t="s">
        <v>491</v>
      </c>
    </row>
    <row r="699" spans="1:27" x14ac:dyDescent="0.2">
      <c r="A699" s="1">
        <v>46032</v>
      </c>
      <c r="B699" t="s">
        <v>328</v>
      </c>
      <c r="C699" t="s">
        <v>38</v>
      </c>
      <c r="D699" t="s">
        <v>19</v>
      </c>
      <c r="E699" t="s">
        <v>1158</v>
      </c>
      <c r="F699" t="s">
        <v>19</v>
      </c>
      <c r="G699">
        <v>2</v>
      </c>
      <c r="H699">
        <v>3</v>
      </c>
      <c r="I699" s="13">
        <v>0.6</v>
      </c>
      <c r="J699" t="s">
        <v>249</v>
      </c>
      <c r="L699" t="s">
        <v>60</v>
      </c>
      <c r="M699" t="s">
        <v>60</v>
      </c>
      <c r="N699" t="s">
        <v>19</v>
      </c>
      <c r="O699">
        <v>2</v>
      </c>
      <c r="P699">
        <v>3</v>
      </c>
      <c r="Q699" s="13">
        <v>0.57882111484131404</v>
      </c>
      <c r="R699" t="s">
        <v>249</v>
      </c>
      <c r="S699">
        <v>0.36309991271498598</v>
      </c>
      <c r="T699" t="s">
        <v>60</v>
      </c>
      <c r="U699" t="s">
        <v>60</v>
      </c>
      <c r="X699" t="s">
        <v>60</v>
      </c>
      <c r="Y699" t="s">
        <v>412</v>
      </c>
      <c r="Z699" t="s">
        <v>60</v>
      </c>
      <c r="AA699" t="s">
        <v>491</v>
      </c>
    </row>
    <row r="700" spans="1:27" x14ac:dyDescent="0.2">
      <c r="A700" s="1">
        <v>46032</v>
      </c>
      <c r="B700" t="s">
        <v>352</v>
      </c>
      <c r="C700" t="s">
        <v>16</v>
      </c>
      <c r="D700" t="s">
        <v>14</v>
      </c>
      <c r="E700" t="s">
        <v>1159</v>
      </c>
      <c r="F700" t="s">
        <v>14</v>
      </c>
      <c r="G700">
        <v>2</v>
      </c>
      <c r="H700">
        <v>3</v>
      </c>
      <c r="I700" s="13">
        <v>0.6</v>
      </c>
      <c r="J700" t="s">
        <v>249</v>
      </c>
      <c r="L700" t="s">
        <v>60</v>
      </c>
      <c r="M700" t="s">
        <v>60</v>
      </c>
      <c r="N700" t="s">
        <v>14</v>
      </c>
      <c r="O700">
        <v>2</v>
      </c>
      <c r="P700">
        <v>3</v>
      </c>
      <c r="Q700" s="13">
        <v>0.65366089551893103</v>
      </c>
      <c r="R700" t="s">
        <v>249</v>
      </c>
      <c r="S700">
        <v>0.97341780640229325</v>
      </c>
      <c r="T700" t="s">
        <v>60</v>
      </c>
      <c r="U700" t="s">
        <v>60</v>
      </c>
      <c r="X700" t="s">
        <v>60</v>
      </c>
      <c r="Y700" t="s">
        <v>412</v>
      </c>
      <c r="Z700" t="s">
        <v>60</v>
      </c>
      <c r="AA700" t="s">
        <v>491</v>
      </c>
    </row>
    <row r="701" spans="1:27" x14ac:dyDescent="0.2">
      <c r="A701" s="1">
        <v>46032</v>
      </c>
      <c r="B701" t="s">
        <v>328</v>
      </c>
      <c r="C701" t="s">
        <v>37</v>
      </c>
      <c r="D701" t="s">
        <v>27</v>
      </c>
      <c r="E701" t="s">
        <v>1160</v>
      </c>
      <c r="F701" t="s">
        <v>37</v>
      </c>
      <c r="G701">
        <v>2</v>
      </c>
      <c r="H701">
        <v>3</v>
      </c>
      <c r="I701" s="13">
        <v>0.6</v>
      </c>
      <c r="J701" t="s">
        <v>249</v>
      </c>
      <c r="L701" t="s">
        <v>60</v>
      </c>
      <c r="M701" t="s">
        <v>60</v>
      </c>
      <c r="N701" t="s">
        <v>37</v>
      </c>
      <c r="O701">
        <v>2</v>
      </c>
      <c r="P701">
        <v>3</v>
      </c>
      <c r="Q701" s="13">
        <v>0.636642459900289</v>
      </c>
      <c r="R701" t="s">
        <v>249</v>
      </c>
      <c r="S701">
        <v>-0.84084378132975779</v>
      </c>
      <c r="T701" t="s">
        <v>60</v>
      </c>
      <c r="U701" t="s">
        <v>60</v>
      </c>
      <c r="X701" t="s">
        <v>60</v>
      </c>
      <c r="Y701" t="s">
        <v>412</v>
      </c>
      <c r="Z701" t="s">
        <v>60</v>
      </c>
      <c r="AA701" t="s">
        <v>491</v>
      </c>
    </row>
    <row r="702" spans="1:27" x14ac:dyDescent="0.2">
      <c r="A702" s="1">
        <v>46032</v>
      </c>
      <c r="B702" t="s">
        <v>328</v>
      </c>
      <c r="C702" t="s">
        <v>11</v>
      </c>
      <c r="D702" t="s">
        <v>36</v>
      </c>
      <c r="E702" t="s">
        <v>1161</v>
      </c>
      <c r="F702" t="s">
        <v>11</v>
      </c>
      <c r="G702">
        <v>2</v>
      </c>
      <c r="H702">
        <v>3</v>
      </c>
      <c r="I702" s="13">
        <v>0.6</v>
      </c>
      <c r="J702" t="s">
        <v>249</v>
      </c>
      <c r="L702" t="s">
        <v>60</v>
      </c>
      <c r="M702" t="s">
        <v>60</v>
      </c>
      <c r="N702" t="s">
        <v>11</v>
      </c>
      <c r="O702">
        <v>2</v>
      </c>
      <c r="P702">
        <v>3</v>
      </c>
      <c r="Q702" s="13">
        <v>0.46735444683623861</v>
      </c>
      <c r="R702" t="s">
        <v>249</v>
      </c>
      <c r="S702">
        <v>-8.4357010877569499E-2</v>
      </c>
      <c r="T702" t="s">
        <v>60</v>
      </c>
      <c r="U702" t="s">
        <v>60</v>
      </c>
      <c r="X702" t="s">
        <v>60</v>
      </c>
      <c r="Y702" t="s">
        <v>412</v>
      </c>
      <c r="Z702" t="s">
        <v>60</v>
      </c>
      <c r="AA702" t="s">
        <v>491</v>
      </c>
    </row>
    <row r="703" spans="1:27" x14ac:dyDescent="0.2">
      <c r="A703" s="1">
        <v>46032</v>
      </c>
      <c r="B703" t="s">
        <v>324</v>
      </c>
      <c r="C703" t="s">
        <v>10</v>
      </c>
      <c r="D703" t="s">
        <v>29</v>
      </c>
      <c r="E703" t="s">
        <v>1162</v>
      </c>
      <c r="F703" t="s">
        <v>10</v>
      </c>
      <c r="G703">
        <v>2</v>
      </c>
      <c r="H703">
        <v>3</v>
      </c>
      <c r="I703" s="13">
        <v>0.6</v>
      </c>
      <c r="J703" t="s">
        <v>249</v>
      </c>
      <c r="L703" t="s">
        <v>60</v>
      </c>
      <c r="M703" t="s">
        <v>60</v>
      </c>
      <c r="N703" t="s">
        <v>10</v>
      </c>
      <c r="O703">
        <v>2</v>
      </c>
      <c r="P703">
        <v>3</v>
      </c>
      <c r="Q703" s="13">
        <v>0.59530937062195044</v>
      </c>
      <c r="R703" t="s">
        <v>249</v>
      </c>
      <c r="S703">
        <v>-1.1588202797025851</v>
      </c>
      <c r="T703" t="s">
        <v>60</v>
      </c>
      <c r="U703" t="s">
        <v>60</v>
      </c>
      <c r="X703" t="s">
        <v>60</v>
      </c>
      <c r="Y703" t="s">
        <v>412</v>
      </c>
      <c r="Z703" t="s">
        <v>60</v>
      </c>
      <c r="AA703" t="s">
        <v>491</v>
      </c>
    </row>
    <row r="704" spans="1:27" x14ac:dyDescent="0.2">
      <c r="A704" s="1">
        <v>46032</v>
      </c>
      <c r="B704" t="s">
        <v>369</v>
      </c>
      <c r="C704" t="s">
        <v>39</v>
      </c>
      <c r="D704" t="s">
        <v>33</v>
      </c>
      <c r="E704" t="s">
        <v>1025</v>
      </c>
      <c r="F704" t="s">
        <v>39</v>
      </c>
      <c r="G704">
        <v>2</v>
      </c>
      <c r="H704">
        <v>3</v>
      </c>
      <c r="I704" s="13">
        <v>0.6</v>
      </c>
      <c r="J704" t="s">
        <v>249</v>
      </c>
      <c r="L704" t="s">
        <v>60</v>
      </c>
      <c r="M704" t="s">
        <v>60</v>
      </c>
      <c r="N704" t="s">
        <v>39</v>
      </c>
      <c r="O704">
        <v>2</v>
      </c>
      <c r="P704">
        <v>3</v>
      </c>
      <c r="Q704" s="13">
        <v>0.64687255760983398</v>
      </c>
      <c r="R704" t="s">
        <v>249</v>
      </c>
      <c r="S704">
        <v>-0.81487274531420062</v>
      </c>
      <c r="T704" t="s">
        <v>60</v>
      </c>
      <c r="U704" t="s">
        <v>60</v>
      </c>
      <c r="X704" t="s">
        <v>60</v>
      </c>
      <c r="Y704" t="s">
        <v>412</v>
      </c>
      <c r="Z704" t="s">
        <v>60</v>
      </c>
      <c r="AA704" t="s">
        <v>491</v>
      </c>
    </row>
    <row r="705" spans="1:27" x14ac:dyDescent="0.2">
      <c r="A705" s="1">
        <v>46032</v>
      </c>
      <c r="B705" t="s">
        <v>324</v>
      </c>
      <c r="C705" t="s">
        <v>30</v>
      </c>
      <c r="D705" t="s">
        <v>34</v>
      </c>
      <c r="E705" t="s">
        <v>1163</v>
      </c>
      <c r="F705" t="s">
        <v>34</v>
      </c>
      <c r="G705">
        <v>2</v>
      </c>
      <c r="H705">
        <v>3</v>
      </c>
      <c r="I705" s="13">
        <v>0.6</v>
      </c>
      <c r="J705" t="s">
        <v>249</v>
      </c>
      <c r="L705" t="s">
        <v>60</v>
      </c>
      <c r="M705" t="s">
        <v>60</v>
      </c>
      <c r="N705" t="s">
        <v>34</v>
      </c>
      <c r="O705">
        <v>2</v>
      </c>
      <c r="P705">
        <v>3</v>
      </c>
      <c r="Q705" s="13">
        <v>0.49489921389666031</v>
      </c>
      <c r="R705" t="s">
        <v>249</v>
      </c>
      <c r="S705">
        <v>0.23570795891501631</v>
      </c>
      <c r="T705" t="s">
        <v>60</v>
      </c>
      <c r="U705" t="s">
        <v>60</v>
      </c>
      <c r="X705" t="s">
        <v>60</v>
      </c>
      <c r="Y705" t="s">
        <v>412</v>
      </c>
      <c r="Z705" t="s">
        <v>60</v>
      </c>
      <c r="AA705" t="s">
        <v>491</v>
      </c>
    </row>
    <row r="706" spans="1:27" x14ac:dyDescent="0.2">
      <c r="A706" s="1">
        <v>46032</v>
      </c>
      <c r="B706" t="s">
        <v>322</v>
      </c>
      <c r="C706" t="s">
        <v>13</v>
      </c>
      <c r="D706" t="s">
        <v>17</v>
      </c>
      <c r="E706" t="s">
        <v>1164</v>
      </c>
      <c r="F706" t="s">
        <v>13</v>
      </c>
      <c r="G706">
        <v>2</v>
      </c>
      <c r="H706">
        <v>3</v>
      </c>
      <c r="I706" s="13">
        <v>0.6</v>
      </c>
      <c r="J706" t="s">
        <v>249</v>
      </c>
      <c r="L706" t="s">
        <v>60</v>
      </c>
      <c r="M706" t="s">
        <v>60</v>
      </c>
      <c r="N706" t="s">
        <v>13</v>
      </c>
      <c r="O706">
        <v>2</v>
      </c>
      <c r="P706">
        <v>3</v>
      </c>
      <c r="Q706" s="13">
        <v>0.56938850958546594</v>
      </c>
      <c r="R706" t="s">
        <v>249</v>
      </c>
      <c r="S706">
        <v>-0.42956231663714561</v>
      </c>
      <c r="T706" t="s">
        <v>60</v>
      </c>
      <c r="U706" t="s">
        <v>60</v>
      </c>
      <c r="X706" t="s">
        <v>60</v>
      </c>
      <c r="Y706" t="s">
        <v>412</v>
      </c>
      <c r="Z706" t="s">
        <v>60</v>
      </c>
      <c r="AA706" t="s">
        <v>491</v>
      </c>
    </row>
    <row r="707" spans="1:27" x14ac:dyDescent="0.2">
      <c r="A707" s="1">
        <v>46032</v>
      </c>
      <c r="B707" t="s">
        <v>369</v>
      </c>
      <c r="C707" t="s">
        <v>28</v>
      </c>
      <c r="D707" t="s">
        <v>12</v>
      </c>
      <c r="E707" t="s">
        <v>1165</v>
      </c>
      <c r="F707" t="s">
        <v>12</v>
      </c>
      <c r="G707">
        <v>2</v>
      </c>
      <c r="H707">
        <v>3</v>
      </c>
      <c r="I707" s="13">
        <v>0.6</v>
      </c>
      <c r="J707" t="s">
        <v>249</v>
      </c>
      <c r="L707" t="s">
        <v>60</v>
      </c>
      <c r="M707" t="s">
        <v>60</v>
      </c>
      <c r="N707" t="s">
        <v>12</v>
      </c>
      <c r="O707">
        <v>2</v>
      </c>
      <c r="P707">
        <v>3</v>
      </c>
      <c r="Q707" s="13">
        <v>0.90687492162007277</v>
      </c>
      <c r="R707" t="s">
        <v>249</v>
      </c>
      <c r="S707">
        <v>2.2767938117006792</v>
      </c>
      <c r="T707" t="s">
        <v>60</v>
      </c>
      <c r="U707" t="s">
        <v>60</v>
      </c>
      <c r="X707" t="s">
        <v>60</v>
      </c>
      <c r="Y707" t="s">
        <v>412</v>
      </c>
      <c r="Z707" t="s">
        <v>60</v>
      </c>
      <c r="AA707" t="s">
        <v>491</v>
      </c>
    </row>
    <row r="708" spans="1:27" x14ac:dyDescent="0.2">
      <c r="A708" s="1">
        <v>46032</v>
      </c>
      <c r="B708" t="s">
        <v>328</v>
      </c>
      <c r="C708" t="s">
        <v>32</v>
      </c>
      <c r="D708" t="s">
        <v>25</v>
      </c>
      <c r="E708" t="s">
        <v>1166</v>
      </c>
      <c r="F708" t="s">
        <v>25</v>
      </c>
      <c r="G708">
        <v>2</v>
      </c>
      <c r="H708">
        <v>3</v>
      </c>
      <c r="I708" s="13">
        <v>0.6</v>
      </c>
      <c r="J708" t="s">
        <v>249</v>
      </c>
      <c r="L708" t="s">
        <v>60</v>
      </c>
      <c r="M708" t="s">
        <v>60</v>
      </c>
      <c r="N708" t="s">
        <v>25</v>
      </c>
      <c r="O708">
        <v>2</v>
      </c>
      <c r="P708">
        <v>3</v>
      </c>
      <c r="Q708" s="13">
        <v>0.72307085639305901</v>
      </c>
      <c r="R708" t="s">
        <v>249</v>
      </c>
      <c r="S708">
        <v>1.124953121529805</v>
      </c>
      <c r="T708" t="s">
        <v>60</v>
      </c>
      <c r="U708" t="s">
        <v>60</v>
      </c>
      <c r="X708" t="s">
        <v>60</v>
      </c>
      <c r="Y708" t="s">
        <v>412</v>
      </c>
      <c r="Z708" t="s">
        <v>60</v>
      </c>
      <c r="AA708" t="s">
        <v>491</v>
      </c>
    </row>
    <row r="709" spans="1:27" x14ac:dyDescent="0.2">
      <c r="A709" s="1">
        <v>46032</v>
      </c>
      <c r="B709" t="s">
        <v>328</v>
      </c>
      <c r="C709" t="s">
        <v>31</v>
      </c>
      <c r="D709" t="s">
        <v>23</v>
      </c>
      <c r="E709" t="s">
        <v>1167</v>
      </c>
      <c r="F709" t="s">
        <v>31</v>
      </c>
      <c r="G709">
        <v>2</v>
      </c>
      <c r="H709">
        <v>3</v>
      </c>
      <c r="I709" s="13">
        <v>0.6</v>
      </c>
      <c r="J709" t="s">
        <v>249</v>
      </c>
      <c r="L709" t="s">
        <v>60</v>
      </c>
      <c r="M709" t="s">
        <v>60</v>
      </c>
      <c r="N709" t="s">
        <v>31</v>
      </c>
      <c r="O709">
        <v>2</v>
      </c>
      <c r="P709">
        <v>3</v>
      </c>
      <c r="Q709" s="13">
        <v>0.54122072190417558</v>
      </c>
      <c r="R709" t="s">
        <v>249</v>
      </c>
      <c r="S709">
        <v>-0.60491270865669344</v>
      </c>
      <c r="T709" t="s">
        <v>60</v>
      </c>
      <c r="U709" t="s">
        <v>60</v>
      </c>
      <c r="X709" t="s">
        <v>60</v>
      </c>
      <c r="Y709" t="s">
        <v>412</v>
      </c>
      <c r="Z709" t="s">
        <v>60</v>
      </c>
      <c r="AA709" t="s">
        <v>491</v>
      </c>
    </row>
    <row r="710" spans="1:27" x14ac:dyDescent="0.2">
      <c r="A710" s="1">
        <v>46032</v>
      </c>
      <c r="B710" t="s">
        <v>347</v>
      </c>
      <c r="C710" t="s">
        <v>15</v>
      </c>
      <c r="D710" t="s">
        <v>21</v>
      </c>
      <c r="E710" t="s">
        <v>433</v>
      </c>
      <c r="F710" t="s">
        <v>21</v>
      </c>
      <c r="G710">
        <v>2</v>
      </c>
      <c r="H710">
        <v>3</v>
      </c>
      <c r="I710" s="13">
        <v>0.6</v>
      </c>
      <c r="J710" t="s">
        <v>249</v>
      </c>
      <c r="L710" t="s">
        <v>60</v>
      </c>
      <c r="M710" t="s">
        <v>60</v>
      </c>
      <c r="N710" t="s">
        <v>21</v>
      </c>
      <c r="O710">
        <v>2</v>
      </c>
      <c r="P710">
        <v>3</v>
      </c>
      <c r="Q710" s="13">
        <v>0.497252510611498</v>
      </c>
      <c r="R710" t="s">
        <v>249</v>
      </c>
      <c r="S710">
        <v>0.12016497295937351</v>
      </c>
      <c r="T710" t="s">
        <v>60</v>
      </c>
      <c r="U710" t="s">
        <v>60</v>
      </c>
      <c r="X710" t="s">
        <v>60</v>
      </c>
      <c r="Y710" t="s">
        <v>412</v>
      </c>
      <c r="Z710" t="s">
        <v>60</v>
      </c>
      <c r="AA710" t="s">
        <v>491</v>
      </c>
    </row>
    <row r="711" spans="1:27" x14ac:dyDescent="0.2">
      <c r="A711" s="1">
        <v>46032</v>
      </c>
      <c r="B711" t="s">
        <v>328</v>
      </c>
      <c r="C711" t="s">
        <v>26</v>
      </c>
      <c r="D711" t="s">
        <v>18</v>
      </c>
      <c r="E711" t="s">
        <v>1168</v>
      </c>
      <c r="F711" t="s">
        <v>18</v>
      </c>
      <c r="G711">
        <v>2</v>
      </c>
      <c r="H711">
        <v>3</v>
      </c>
      <c r="I711" s="13">
        <v>0.6</v>
      </c>
      <c r="J711" t="s">
        <v>249</v>
      </c>
      <c r="L711" t="s">
        <v>60</v>
      </c>
      <c r="M711" t="s">
        <v>60</v>
      </c>
      <c r="N711" t="s">
        <v>18</v>
      </c>
      <c r="O711">
        <v>2</v>
      </c>
      <c r="P711">
        <v>3</v>
      </c>
      <c r="Q711" s="13">
        <v>0.57880684769936808</v>
      </c>
      <c r="R711" t="s">
        <v>249</v>
      </c>
      <c r="S711">
        <v>0.33235068568164672</v>
      </c>
      <c r="T711" t="s">
        <v>60</v>
      </c>
      <c r="U711" t="s">
        <v>60</v>
      </c>
      <c r="X711" t="s">
        <v>60</v>
      </c>
      <c r="Y711" t="s">
        <v>412</v>
      </c>
      <c r="Z711" t="s">
        <v>60</v>
      </c>
      <c r="AA711" t="s">
        <v>491</v>
      </c>
    </row>
    <row r="712" spans="1:27" x14ac:dyDescent="0.2">
      <c r="A712" s="1">
        <v>46033</v>
      </c>
      <c r="B712" t="s">
        <v>365</v>
      </c>
      <c r="C712" t="s">
        <v>14</v>
      </c>
      <c r="D712" t="s">
        <v>21</v>
      </c>
      <c r="E712" t="s">
        <v>1169</v>
      </c>
      <c r="F712" t="s">
        <v>14</v>
      </c>
      <c r="G712">
        <v>2</v>
      </c>
      <c r="H712">
        <v>3</v>
      </c>
      <c r="I712" s="13">
        <v>0.6</v>
      </c>
      <c r="J712" t="s">
        <v>249</v>
      </c>
      <c r="L712" t="s">
        <v>60</v>
      </c>
      <c r="M712" t="s">
        <v>60</v>
      </c>
      <c r="N712" t="s">
        <v>14</v>
      </c>
      <c r="O712">
        <v>2</v>
      </c>
      <c r="P712">
        <v>3</v>
      </c>
      <c r="Q712" s="13">
        <v>0.45903722013371662</v>
      </c>
      <c r="R712" t="s">
        <v>249</v>
      </c>
      <c r="S712">
        <v>-2.7604789959079098E-2</v>
      </c>
      <c r="T712" t="s">
        <v>60</v>
      </c>
      <c r="U712" t="s">
        <v>60</v>
      </c>
      <c r="X712" t="s">
        <v>60</v>
      </c>
      <c r="Y712" t="s">
        <v>412</v>
      </c>
      <c r="Z712" t="s">
        <v>60</v>
      </c>
      <c r="AA712" t="s">
        <v>491</v>
      </c>
    </row>
    <row r="713" spans="1:27" x14ac:dyDescent="0.2">
      <c r="A713" s="1">
        <v>46033</v>
      </c>
      <c r="B713" t="s">
        <v>328</v>
      </c>
      <c r="C713" t="s">
        <v>22</v>
      </c>
      <c r="D713" t="s">
        <v>29</v>
      </c>
      <c r="E713" t="s">
        <v>1170</v>
      </c>
      <c r="F713" t="s">
        <v>22</v>
      </c>
      <c r="G713">
        <v>2</v>
      </c>
      <c r="H713">
        <v>3</v>
      </c>
      <c r="I713" s="13">
        <v>0.6</v>
      </c>
      <c r="J713" t="s">
        <v>249</v>
      </c>
      <c r="L713" t="s">
        <v>60</v>
      </c>
      <c r="M713" t="s">
        <v>60</v>
      </c>
      <c r="N713" t="s">
        <v>22</v>
      </c>
      <c r="O713">
        <v>2</v>
      </c>
      <c r="P713">
        <v>3</v>
      </c>
      <c r="Q713" s="13">
        <v>0.70985452051012765</v>
      </c>
      <c r="R713" t="s">
        <v>249</v>
      </c>
      <c r="S713">
        <v>-1.775723767740655</v>
      </c>
      <c r="T713" t="s">
        <v>60</v>
      </c>
      <c r="U713" t="s">
        <v>60</v>
      </c>
      <c r="X713" t="s">
        <v>60</v>
      </c>
      <c r="Y713" t="s">
        <v>412</v>
      </c>
      <c r="Z713" t="s">
        <v>60</v>
      </c>
      <c r="AA713" t="s">
        <v>491</v>
      </c>
    </row>
    <row r="714" spans="1:27" x14ac:dyDescent="0.2">
      <c r="A714" s="1">
        <v>46033</v>
      </c>
      <c r="B714" t="s">
        <v>324</v>
      </c>
      <c r="C714" t="s">
        <v>20</v>
      </c>
      <c r="D714" t="s">
        <v>33</v>
      </c>
      <c r="E714" t="s">
        <v>509</v>
      </c>
      <c r="F714" t="s">
        <v>20</v>
      </c>
      <c r="G714">
        <v>2</v>
      </c>
      <c r="H714">
        <v>3</v>
      </c>
      <c r="I714" s="13">
        <v>0.6</v>
      </c>
      <c r="J714" t="s">
        <v>249</v>
      </c>
      <c r="L714" t="s">
        <v>60</v>
      </c>
      <c r="M714" t="s">
        <v>60</v>
      </c>
      <c r="N714" t="s">
        <v>20</v>
      </c>
      <c r="O714">
        <v>2</v>
      </c>
      <c r="P714">
        <v>3</v>
      </c>
      <c r="Q714" s="13">
        <v>0.46820858159353201</v>
      </c>
      <c r="R714" t="s">
        <v>249</v>
      </c>
      <c r="S714">
        <v>-0.1569894131384445</v>
      </c>
      <c r="T714" t="s">
        <v>60</v>
      </c>
      <c r="U714" t="s">
        <v>60</v>
      </c>
      <c r="X714" t="s">
        <v>60</v>
      </c>
      <c r="Y714" t="s">
        <v>412</v>
      </c>
      <c r="Z714" t="s">
        <v>60</v>
      </c>
      <c r="AA714" t="s">
        <v>491</v>
      </c>
    </row>
    <row r="715" spans="1:27" x14ac:dyDescent="0.2">
      <c r="A715" s="1">
        <v>46033</v>
      </c>
      <c r="B715" t="s">
        <v>328</v>
      </c>
      <c r="C715" t="s">
        <v>28</v>
      </c>
      <c r="D715" t="s">
        <v>55</v>
      </c>
      <c r="E715" t="s">
        <v>1171</v>
      </c>
      <c r="F715" t="s">
        <v>55</v>
      </c>
      <c r="G715">
        <v>2</v>
      </c>
      <c r="H715">
        <v>3</v>
      </c>
      <c r="I715" s="13">
        <v>0.6</v>
      </c>
      <c r="J715" t="s">
        <v>249</v>
      </c>
      <c r="L715" t="s">
        <v>60</v>
      </c>
      <c r="M715" t="s">
        <v>60</v>
      </c>
      <c r="N715" t="s">
        <v>55</v>
      </c>
      <c r="O715">
        <v>2</v>
      </c>
      <c r="P715">
        <v>3</v>
      </c>
      <c r="Q715" s="13">
        <v>0.60515292654880748</v>
      </c>
      <c r="R715" t="s">
        <v>249</v>
      </c>
      <c r="S715">
        <v>0.24176686425252031</v>
      </c>
      <c r="T715" t="s">
        <v>60</v>
      </c>
      <c r="U715" t="s">
        <v>60</v>
      </c>
      <c r="X715" t="s">
        <v>60</v>
      </c>
      <c r="Y715" t="s">
        <v>412</v>
      </c>
      <c r="Z715" t="s">
        <v>60</v>
      </c>
      <c r="AA715" t="s">
        <v>491</v>
      </c>
    </row>
    <row r="716" spans="1:27" x14ac:dyDescent="0.2">
      <c r="A716" s="1">
        <v>46033</v>
      </c>
      <c r="B716" t="s">
        <v>459</v>
      </c>
      <c r="C716" t="s">
        <v>24</v>
      </c>
      <c r="D716" t="s">
        <v>40</v>
      </c>
      <c r="E716" t="s">
        <v>1172</v>
      </c>
      <c r="F716" t="s">
        <v>24</v>
      </c>
      <c r="G716">
        <v>2</v>
      </c>
      <c r="H716">
        <v>3</v>
      </c>
      <c r="I716" s="13">
        <v>0.6</v>
      </c>
      <c r="J716" t="s">
        <v>249</v>
      </c>
      <c r="L716" t="s">
        <v>60</v>
      </c>
      <c r="M716" t="s">
        <v>60</v>
      </c>
      <c r="N716" t="s">
        <v>24</v>
      </c>
      <c r="O716">
        <v>2</v>
      </c>
      <c r="P716">
        <v>3</v>
      </c>
      <c r="Q716" s="13">
        <v>0.5091885060536081</v>
      </c>
      <c r="R716" t="s">
        <v>249</v>
      </c>
      <c r="S716">
        <v>-0.26487132562423338</v>
      </c>
      <c r="T716" t="s">
        <v>60</v>
      </c>
      <c r="U716" t="s">
        <v>60</v>
      </c>
      <c r="X716" t="s">
        <v>60</v>
      </c>
      <c r="Y716" t="s">
        <v>412</v>
      </c>
      <c r="Z716" t="s">
        <v>60</v>
      </c>
      <c r="AA716" t="s">
        <v>491</v>
      </c>
    </row>
    <row r="717" spans="1:27" x14ac:dyDescent="0.2">
      <c r="A717" s="1">
        <v>46034</v>
      </c>
      <c r="B717" t="s">
        <v>328</v>
      </c>
      <c r="C717" t="s">
        <v>37</v>
      </c>
      <c r="D717" t="s">
        <v>27</v>
      </c>
      <c r="E717" t="s">
        <v>1160</v>
      </c>
      <c r="F717" t="s">
        <v>37</v>
      </c>
      <c r="G717">
        <v>2</v>
      </c>
      <c r="H717">
        <v>3</v>
      </c>
      <c r="I717" s="13">
        <v>0.6</v>
      </c>
      <c r="J717" t="s">
        <v>249</v>
      </c>
      <c r="L717" t="s">
        <v>60</v>
      </c>
      <c r="M717" t="s">
        <v>60</v>
      </c>
      <c r="N717" t="s">
        <v>37</v>
      </c>
      <c r="O717">
        <v>2</v>
      </c>
      <c r="P717">
        <v>3</v>
      </c>
      <c r="Q717" s="13">
        <v>0.636642459900289</v>
      </c>
      <c r="R717" t="s">
        <v>249</v>
      </c>
      <c r="S717">
        <v>-0.84084378132975779</v>
      </c>
      <c r="T717" t="s">
        <v>60</v>
      </c>
      <c r="U717" t="s">
        <v>60</v>
      </c>
      <c r="X717" t="s">
        <v>60</v>
      </c>
      <c r="Y717" t="s">
        <v>412</v>
      </c>
      <c r="Z717" t="s">
        <v>60</v>
      </c>
      <c r="AA717" t="s">
        <v>491</v>
      </c>
    </row>
    <row r="718" spans="1:27" x14ac:dyDescent="0.2">
      <c r="A718" s="1">
        <v>46034</v>
      </c>
      <c r="B718" t="s">
        <v>328</v>
      </c>
      <c r="C718" t="s">
        <v>32</v>
      </c>
      <c r="D718" t="s">
        <v>15</v>
      </c>
      <c r="E718" t="s">
        <v>1173</v>
      </c>
      <c r="F718" t="s">
        <v>15</v>
      </c>
      <c r="G718">
        <v>2</v>
      </c>
      <c r="H718">
        <v>3</v>
      </c>
      <c r="I718" s="13">
        <v>0.6</v>
      </c>
      <c r="J718" t="s">
        <v>249</v>
      </c>
      <c r="L718" t="s">
        <v>60</v>
      </c>
      <c r="M718" t="s">
        <v>60</v>
      </c>
      <c r="N718" t="s">
        <v>15</v>
      </c>
      <c r="O718">
        <v>2</v>
      </c>
      <c r="P718">
        <v>3</v>
      </c>
      <c r="Q718" s="13">
        <v>0.58778527697735061</v>
      </c>
      <c r="R718" t="s">
        <v>249</v>
      </c>
      <c r="S718">
        <v>0.40924399971730979</v>
      </c>
      <c r="T718" t="s">
        <v>60</v>
      </c>
      <c r="U718" t="s">
        <v>60</v>
      </c>
      <c r="X718" t="s">
        <v>60</v>
      </c>
      <c r="Y718" t="s">
        <v>412</v>
      </c>
      <c r="Z718" t="s">
        <v>60</v>
      </c>
      <c r="AA718" t="s">
        <v>491</v>
      </c>
    </row>
    <row r="719" spans="1:27" x14ac:dyDescent="0.2">
      <c r="A719" s="1">
        <v>46034</v>
      </c>
      <c r="B719" t="s">
        <v>334</v>
      </c>
      <c r="C719" t="s">
        <v>38</v>
      </c>
      <c r="D719" t="s">
        <v>18</v>
      </c>
      <c r="E719" t="s">
        <v>1174</v>
      </c>
      <c r="F719" t="s">
        <v>18</v>
      </c>
      <c r="G719">
        <v>2</v>
      </c>
      <c r="H719">
        <v>3</v>
      </c>
      <c r="I719" s="13">
        <v>0.6</v>
      </c>
      <c r="J719" t="s">
        <v>249</v>
      </c>
      <c r="L719" t="s">
        <v>60</v>
      </c>
      <c r="M719" t="s">
        <v>60</v>
      </c>
      <c r="N719" t="s">
        <v>18</v>
      </c>
      <c r="O719">
        <v>2</v>
      </c>
      <c r="P719">
        <v>3</v>
      </c>
      <c r="Q719" s="13">
        <v>0.58367724008612232</v>
      </c>
      <c r="R719" t="s">
        <v>249</v>
      </c>
      <c r="S719">
        <v>0.40468887576014129</v>
      </c>
      <c r="T719" t="s">
        <v>60</v>
      </c>
      <c r="U719" t="s">
        <v>60</v>
      </c>
      <c r="X719" t="s">
        <v>60</v>
      </c>
      <c r="Y719" t="s">
        <v>412</v>
      </c>
      <c r="Z719" t="s">
        <v>60</v>
      </c>
      <c r="AA719" t="s">
        <v>491</v>
      </c>
    </row>
    <row r="720" spans="1:27" x14ac:dyDescent="0.2">
      <c r="A720" s="1">
        <v>46034</v>
      </c>
      <c r="B720" t="s">
        <v>324</v>
      </c>
      <c r="C720" t="s">
        <v>24</v>
      </c>
      <c r="D720" t="s">
        <v>34</v>
      </c>
      <c r="E720" t="s">
        <v>1175</v>
      </c>
      <c r="F720" t="s">
        <v>24</v>
      </c>
      <c r="G720">
        <v>2</v>
      </c>
      <c r="H720">
        <v>3</v>
      </c>
      <c r="I720" s="13">
        <v>0.6</v>
      </c>
      <c r="J720" t="s">
        <v>249</v>
      </c>
      <c r="L720" t="s">
        <v>60</v>
      </c>
      <c r="M720" t="s">
        <v>60</v>
      </c>
      <c r="N720" t="s">
        <v>24</v>
      </c>
      <c r="O720">
        <v>2</v>
      </c>
      <c r="P720">
        <v>3</v>
      </c>
      <c r="Q720" s="13">
        <v>0.48155789373014102</v>
      </c>
      <c r="R720" t="s">
        <v>249</v>
      </c>
      <c r="S720">
        <v>-6.7542892909206002E-3</v>
      </c>
      <c r="T720" t="s">
        <v>60</v>
      </c>
      <c r="U720" t="s">
        <v>60</v>
      </c>
      <c r="X720" t="s">
        <v>60</v>
      </c>
      <c r="Y720" t="s">
        <v>412</v>
      </c>
      <c r="Z720" t="s">
        <v>60</v>
      </c>
      <c r="AA720" t="s">
        <v>491</v>
      </c>
    </row>
    <row r="721" spans="1:27" x14ac:dyDescent="0.2">
      <c r="A721" s="1">
        <v>46034</v>
      </c>
      <c r="B721" t="s">
        <v>328</v>
      </c>
      <c r="C721" t="s">
        <v>11</v>
      </c>
      <c r="D721" t="s">
        <v>23</v>
      </c>
      <c r="E721" t="s">
        <v>593</v>
      </c>
      <c r="F721" t="s">
        <v>11</v>
      </c>
      <c r="G721">
        <v>2</v>
      </c>
      <c r="H721">
        <v>3</v>
      </c>
      <c r="I721" s="13">
        <v>0.6</v>
      </c>
      <c r="J721" t="s">
        <v>249</v>
      </c>
      <c r="L721" t="s">
        <v>60</v>
      </c>
      <c r="M721" t="s">
        <v>60</v>
      </c>
      <c r="N721" t="s">
        <v>11</v>
      </c>
      <c r="O721">
        <v>2</v>
      </c>
      <c r="P721">
        <v>3</v>
      </c>
      <c r="Q721" s="13">
        <v>0.45327460042380469</v>
      </c>
      <c r="R721" t="s">
        <v>249</v>
      </c>
      <c r="S721">
        <v>-2.9091395753320599E-2</v>
      </c>
      <c r="T721" t="s">
        <v>60</v>
      </c>
      <c r="U721" t="s">
        <v>60</v>
      </c>
      <c r="X721" t="s">
        <v>60</v>
      </c>
      <c r="Y721" t="s">
        <v>412</v>
      </c>
      <c r="Z721" t="s">
        <v>60</v>
      </c>
      <c r="AA721" t="s">
        <v>491</v>
      </c>
    </row>
    <row r="722" spans="1:27" x14ac:dyDescent="0.2">
      <c r="A722" s="1">
        <v>46034</v>
      </c>
      <c r="B722" t="s">
        <v>328</v>
      </c>
      <c r="C722" t="s">
        <v>25</v>
      </c>
      <c r="D722" t="s">
        <v>26</v>
      </c>
      <c r="E722" t="s">
        <v>1176</v>
      </c>
      <c r="F722" t="s">
        <v>25</v>
      </c>
      <c r="G722">
        <v>2</v>
      </c>
      <c r="H722">
        <v>3</v>
      </c>
      <c r="I722" s="13">
        <v>0.6</v>
      </c>
      <c r="J722" t="s">
        <v>249</v>
      </c>
      <c r="L722" t="s">
        <v>60</v>
      </c>
      <c r="M722" t="s">
        <v>60</v>
      </c>
      <c r="N722" t="s">
        <v>25</v>
      </c>
      <c r="O722">
        <v>2</v>
      </c>
      <c r="P722">
        <v>3</v>
      </c>
      <c r="Q722" s="13">
        <v>0.67870918829578719</v>
      </c>
      <c r="R722" t="s">
        <v>249</v>
      </c>
      <c r="S722">
        <v>-1.2511139534377</v>
      </c>
      <c r="T722" t="s">
        <v>60</v>
      </c>
      <c r="U722" t="s">
        <v>60</v>
      </c>
      <c r="X722" t="s">
        <v>60</v>
      </c>
      <c r="Y722" t="s">
        <v>412</v>
      </c>
      <c r="Z722" t="s">
        <v>60</v>
      </c>
      <c r="AA722" t="s">
        <v>491</v>
      </c>
    </row>
    <row r="723" spans="1:27" x14ac:dyDescent="0.2">
      <c r="A723" s="1">
        <v>46034</v>
      </c>
      <c r="B723" t="s">
        <v>322</v>
      </c>
      <c r="C723" t="s">
        <v>19</v>
      </c>
      <c r="D723" t="s">
        <v>12</v>
      </c>
      <c r="E723" t="s">
        <v>1177</v>
      </c>
      <c r="F723" t="s">
        <v>12</v>
      </c>
      <c r="G723">
        <v>2</v>
      </c>
      <c r="H723">
        <v>3</v>
      </c>
      <c r="I723" s="13">
        <v>0.6</v>
      </c>
      <c r="J723" t="s">
        <v>249</v>
      </c>
      <c r="L723" t="s">
        <v>60</v>
      </c>
      <c r="M723" t="s">
        <v>60</v>
      </c>
      <c r="N723" t="s">
        <v>12</v>
      </c>
      <c r="O723">
        <v>2</v>
      </c>
      <c r="P723">
        <v>3</v>
      </c>
      <c r="Q723" s="13">
        <v>0.91479012289901696</v>
      </c>
      <c r="R723" t="s">
        <v>249</v>
      </c>
      <c r="S723">
        <v>2.3162829986691191</v>
      </c>
      <c r="T723" t="s">
        <v>60</v>
      </c>
      <c r="U723" t="s">
        <v>60</v>
      </c>
      <c r="X723" t="s">
        <v>60</v>
      </c>
      <c r="Y723" t="s">
        <v>412</v>
      </c>
      <c r="Z723" t="s">
        <v>60</v>
      </c>
      <c r="AA723" t="s">
        <v>491</v>
      </c>
    </row>
    <row r="724" spans="1:27" x14ac:dyDescent="0.2">
      <c r="A724" s="1">
        <v>46034</v>
      </c>
      <c r="B724" t="s">
        <v>416</v>
      </c>
      <c r="C724" t="s">
        <v>17</v>
      </c>
      <c r="D724" t="s">
        <v>10</v>
      </c>
      <c r="E724" t="s">
        <v>1178</v>
      </c>
      <c r="F724" t="s">
        <v>10</v>
      </c>
      <c r="G724">
        <v>2</v>
      </c>
      <c r="H724">
        <v>3</v>
      </c>
      <c r="I724" s="13">
        <v>0.6</v>
      </c>
      <c r="J724" t="s">
        <v>249</v>
      </c>
      <c r="L724" t="s">
        <v>60</v>
      </c>
      <c r="M724" t="s">
        <v>60</v>
      </c>
      <c r="N724" t="s">
        <v>10</v>
      </c>
      <c r="O724">
        <v>2</v>
      </c>
      <c r="P724">
        <v>3</v>
      </c>
      <c r="Q724" s="13">
        <v>0.6207371277844862</v>
      </c>
      <c r="R724" t="s">
        <v>249</v>
      </c>
      <c r="S724">
        <v>0.69145115797637058</v>
      </c>
      <c r="T724" t="s">
        <v>60</v>
      </c>
      <c r="U724" t="s">
        <v>60</v>
      </c>
      <c r="X724" t="s">
        <v>60</v>
      </c>
      <c r="Y724" t="s">
        <v>412</v>
      </c>
      <c r="Z724" t="s">
        <v>60</v>
      </c>
      <c r="AA724" t="s">
        <v>491</v>
      </c>
    </row>
    <row r="725" spans="1:27" x14ac:dyDescent="0.2">
      <c r="A725" s="1">
        <v>46034</v>
      </c>
      <c r="B725" t="s">
        <v>322</v>
      </c>
      <c r="C725" t="s">
        <v>39</v>
      </c>
      <c r="D725" t="s">
        <v>13</v>
      </c>
      <c r="E725" t="s">
        <v>1179</v>
      </c>
      <c r="F725" t="s">
        <v>39</v>
      </c>
      <c r="G725">
        <v>2</v>
      </c>
      <c r="H725">
        <v>3</v>
      </c>
      <c r="I725" s="13">
        <v>0.6</v>
      </c>
      <c r="J725" t="s">
        <v>249</v>
      </c>
      <c r="L725" t="s">
        <v>60</v>
      </c>
      <c r="M725" t="s">
        <v>60</v>
      </c>
      <c r="N725" t="s">
        <v>39</v>
      </c>
      <c r="O725">
        <v>2</v>
      </c>
      <c r="P725">
        <v>3</v>
      </c>
      <c r="Q725" s="13">
        <v>0.64374622081227451</v>
      </c>
      <c r="R725" t="s">
        <v>249</v>
      </c>
      <c r="S725">
        <v>-0.70182535160917103</v>
      </c>
      <c r="T725" t="s">
        <v>60</v>
      </c>
      <c r="U725" t="s">
        <v>60</v>
      </c>
      <c r="X725" t="s">
        <v>60</v>
      </c>
      <c r="Y725" t="s">
        <v>412</v>
      </c>
      <c r="Z725" t="s">
        <v>60</v>
      </c>
      <c r="AA725" t="s">
        <v>491</v>
      </c>
    </row>
    <row r="726" spans="1:27" x14ac:dyDescent="0.2">
      <c r="A726" s="1">
        <v>46035</v>
      </c>
      <c r="B726" t="s">
        <v>334</v>
      </c>
      <c r="C726" t="s">
        <v>25</v>
      </c>
      <c r="D726" t="s">
        <v>35</v>
      </c>
      <c r="E726" t="s">
        <v>1180</v>
      </c>
      <c r="F726" t="s">
        <v>25</v>
      </c>
      <c r="G726">
        <v>2</v>
      </c>
      <c r="H726">
        <v>3</v>
      </c>
      <c r="I726" s="13">
        <v>0.6</v>
      </c>
      <c r="J726" t="s">
        <v>249</v>
      </c>
      <c r="L726" t="s">
        <v>60</v>
      </c>
      <c r="M726" t="s">
        <v>60</v>
      </c>
      <c r="N726" t="s">
        <v>25</v>
      </c>
      <c r="O726">
        <v>2</v>
      </c>
      <c r="P726">
        <v>3</v>
      </c>
      <c r="Q726" s="13">
        <v>0.73932630594511184</v>
      </c>
      <c r="R726" t="s">
        <v>249</v>
      </c>
      <c r="S726">
        <v>-1.7702527603531131</v>
      </c>
      <c r="T726" t="s">
        <v>60</v>
      </c>
      <c r="U726" t="s">
        <v>60</v>
      </c>
      <c r="X726" t="s">
        <v>60</v>
      </c>
      <c r="Y726" t="s">
        <v>412</v>
      </c>
      <c r="Z726" t="s">
        <v>60</v>
      </c>
      <c r="AA726" t="s">
        <v>491</v>
      </c>
    </row>
    <row r="727" spans="1:27" x14ac:dyDescent="0.2">
      <c r="A727" s="1">
        <v>46035</v>
      </c>
      <c r="B727" t="s">
        <v>328</v>
      </c>
      <c r="C727" t="s">
        <v>18</v>
      </c>
      <c r="D727" t="s">
        <v>22</v>
      </c>
      <c r="E727" t="s">
        <v>1181</v>
      </c>
      <c r="F727" t="s">
        <v>22</v>
      </c>
      <c r="G727">
        <v>2</v>
      </c>
      <c r="H727">
        <v>3</v>
      </c>
      <c r="I727" s="13">
        <v>0.6</v>
      </c>
      <c r="J727" t="s">
        <v>249</v>
      </c>
      <c r="L727" t="s">
        <v>60</v>
      </c>
      <c r="M727" t="s">
        <v>60</v>
      </c>
      <c r="N727" t="s">
        <v>22</v>
      </c>
      <c r="O727">
        <v>2</v>
      </c>
      <c r="P727">
        <v>3</v>
      </c>
      <c r="Q727" s="13">
        <v>0.63355659077796267</v>
      </c>
      <c r="R727" t="s">
        <v>249</v>
      </c>
      <c r="S727">
        <v>1.083497610050745</v>
      </c>
      <c r="T727" t="s">
        <v>60</v>
      </c>
      <c r="U727" t="s">
        <v>60</v>
      </c>
      <c r="X727" t="s">
        <v>60</v>
      </c>
      <c r="Y727" t="s">
        <v>412</v>
      </c>
      <c r="Z727" t="s">
        <v>60</v>
      </c>
      <c r="AA727" t="s">
        <v>491</v>
      </c>
    </row>
    <row r="728" spans="1:27" x14ac:dyDescent="0.2">
      <c r="A728" s="1">
        <v>46035</v>
      </c>
      <c r="B728" t="s">
        <v>324</v>
      </c>
      <c r="C728" t="s">
        <v>30</v>
      </c>
      <c r="D728" t="s">
        <v>40</v>
      </c>
      <c r="E728" t="s">
        <v>1182</v>
      </c>
      <c r="F728" t="s">
        <v>30</v>
      </c>
      <c r="G728">
        <v>2</v>
      </c>
      <c r="H728">
        <v>3</v>
      </c>
      <c r="I728" s="13">
        <v>0.6</v>
      </c>
      <c r="J728" t="s">
        <v>249</v>
      </c>
      <c r="L728" t="s">
        <v>60</v>
      </c>
      <c r="M728" t="s">
        <v>60</v>
      </c>
      <c r="N728" t="s">
        <v>30</v>
      </c>
      <c r="O728">
        <v>2</v>
      </c>
      <c r="P728">
        <v>3</v>
      </c>
      <c r="Q728" s="13">
        <v>0.53273707245067492</v>
      </c>
      <c r="R728" t="s">
        <v>249</v>
      </c>
      <c r="S728">
        <v>-2.24090774182964E-2</v>
      </c>
      <c r="T728" t="s">
        <v>60</v>
      </c>
      <c r="U728" t="s">
        <v>60</v>
      </c>
      <c r="X728" t="s">
        <v>60</v>
      </c>
      <c r="Y728" t="s">
        <v>412</v>
      </c>
      <c r="Z728" t="s">
        <v>60</v>
      </c>
      <c r="AA728" t="s">
        <v>491</v>
      </c>
    </row>
    <row r="729" spans="1:27" x14ac:dyDescent="0.2">
      <c r="A729" s="1">
        <v>46035</v>
      </c>
      <c r="B729" t="s">
        <v>328</v>
      </c>
      <c r="C729" t="s">
        <v>37</v>
      </c>
      <c r="D729" t="s">
        <v>14</v>
      </c>
      <c r="E729" t="s">
        <v>1183</v>
      </c>
      <c r="F729" t="s">
        <v>37</v>
      </c>
      <c r="G729">
        <v>2</v>
      </c>
      <c r="H729">
        <v>3</v>
      </c>
      <c r="I729" s="13">
        <v>0.6</v>
      </c>
      <c r="J729" t="s">
        <v>249</v>
      </c>
      <c r="L729" t="s">
        <v>60</v>
      </c>
      <c r="M729" t="s">
        <v>60</v>
      </c>
      <c r="N729" t="s">
        <v>37</v>
      </c>
      <c r="O729">
        <v>2</v>
      </c>
      <c r="P729">
        <v>3</v>
      </c>
      <c r="Q729" s="13">
        <v>0.62287997351179447</v>
      </c>
      <c r="R729" t="s">
        <v>249</v>
      </c>
      <c r="S729">
        <v>-0.60286841938893188</v>
      </c>
      <c r="T729" t="s">
        <v>60</v>
      </c>
      <c r="U729" t="s">
        <v>60</v>
      </c>
      <c r="X729" t="s">
        <v>60</v>
      </c>
      <c r="Y729" t="s">
        <v>412</v>
      </c>
      <c r="Z729" t="s">
        <v>60</v>
      </c>
      <c r="AA729" t="s">
        <v>491</v>
      </c>
    </row>
    <row r="730" spans="1:27" x14ac:dyDescent="0.2">
      <c r="A730" s="1">
        <v>46035</v>
      </c>
      <c r="B730" t="s">
        <v>322</v>
      </c>
      <c r="C730" t="s">
        <v>19</v>
      </c>
      <c r="D730" t="s">
        <v>55</v>
      </c>
      <c r="E730" t="s">
        <v>1184</v>
      </c>
      <c r="F730" t="s">
        <v>55</v>
      </c>
      <c r="G730">
        <v>2</v>
      </c>
      <c r="H730">
        <v>3</v>
      </c>
      <c r="I730" s="13">
        <v>0.6</v>
      </c>
      <c r="J730" t="s">
        <v>249</v>
      </c>
      <c r="L730" t="s">
        <v>60</v>
      </c>
      <c r="M730" t="s">
        <v>60</v>
      </c>
      <c r="N730" t="s">
        <v>55</v>
      </c>
      <c r="O730">
        <v>2</v>
      </c>
      <c r="P730">
        <v>3</v>
      </c>
      <c r="Q730" s="13">
        <v>0.61327197246920206</v>
      </c>
      <c r="R730" t="s">
        <v>249</v>
      </c>
      <c r="S730">
        <v>0.28125605122096048</v>
      </c>
      <c r="T730" t="s">
        <v>60</v>
      </c>
      <c r="U730" t="s">
        <v>60</v>
      </c>
      <c r="X730" t="s">
        <v>60</v>
      </c>
      <c r="Y730" t="s">
        <v>412</v>
      </c>
      <c r="Z730" t="s">
        <v>60</v>
      </c>
      <c r="AA730" t="s">
        <v>491</v>
      </c>
    </row>
    <row r="731" spans="1:27" x14ac:dyDescent="0.2">
      <c r="A731" s="1">
        <v>46035</v>
      </c>
      <c r="B731" t="s">
        <v>324</v>
      </c>
      <c r="C731" t="s">
        <v>17</v>
      </c>
      <c r="D731" t="s">
        <v>29</v>
      </c>
      <c r="E731" t="s">
        <v>1185</v>
      </c>
      <c r="F731" t="s">
        <v>17</v>
      </c>
      <c r="G731">
        <v>2</v>
      </c>
      <c r="H731">
        <v>3</v>
      </c>
      <c r="I731" s="13">
        <v>0.6</v>
      </c>
      <c r="J731" t="s">
        <v>249</v>
      </c>
      <c r="L731" t="s">
        <v>60</v>
      </c>
      <c r="M731" t="s">
        <v>60</v>
      </c>
      <c r="N731" t="s">
        <v>17</v>
      </c>
      <c r="O731">
        <v>2</v>
      </c>
      <c r="P731">
        <v>3</v>
      </c>
      <c r="Q731" s="13">
        <v>0.52039889175673426</v>
      </c>
      <c r="R731" t="s">
        <v>249</v>
      </c>
      <c r="S731">
        <v>-0.5172698706493768</v>
      </c>
      <c r="T731" t="s">
        <v>60</v>
      </c>
      <c r="U731" t="s">
        <v>60</v>
      </c>
      <c r="X731" t="s">
        <v>60</v>
      </c>
      <c r="Y731" t="s">
        <v>412</v>
      </c>
      <c r="Z731" t="s">
        <v>60</v>
      </c>
      <c r="AA731" t="s">
        <v>491</v>
      </c>
    </row>
    <row r="732" spans="1:27" x14ac:dyDescent="0.2">
      <c r="A732" s="1">
        <v>46035</v>
      </c>
      <c r="B732" t="s">
        <v>328</v>
      </c>
      <c r="C732" t="s">
        <v>16</v>
      </c>
      <c r="D732" t="s">
        <v>28</v>
      </c>
      <c r="E732" t="s">
        <v>1186</v>
      </c>
      <c r="F732" t="s">
        <v>28</v>
      </c>
      <c r="G732">
        <v>2</v>
      </c>
      <c r="H732">
        <v>3</v>
      </c>
      <c r="I732" s="13">
        <v>0.6</v>
      </c>
      <c r="J732" t="s">
        <v>249</v>
      </c>
      <c r="L732" t="s">
        <v>60</v>
      </c>
      <c r="M732" t="s">
        <v>60</v>
      </c>
      <c r="N732" t="s">
        <v>28</v>
      </c>
      <c r="O732">
        <v>2</v>
      </c>
      <c r="P732">
        <v>3</v>
      </c>
      <c r="Q732" s="13">
        <v>0.60079854868196103</v>
      </c>
      <c r="R732" t="s">
        <v>249</v>
      </c>
      <c r="S732">
        <v>0.520692623617243</v>
      </c>
      <c r="T732" t="s">
        <v>60</v>
      </c>
      <c r="U732" t="s">
        <v>60</v>
      </c>
      <c r="X732" t="s">
        <v>60</v>
      </c>
      <c r="Y732" t="s">
        <v>412</v>
      </c>
      <c r="Z732" t="s">
        <v>60</v>
      </c>
      <c r="AA732" t="s">
        <v>491</v>
      </c>
    </row>
    <row r="733" spans="1:27" x14ac:dyDescent="0.2">
      <c r="A733" s="1">
        <v>46035</v>
      </c>
      <c r="B733" t="s">
        <v>328</v>
      </c>
      <c r="C733" t="s">
        <v>38</v>
      </c>
      <c r="D733" t="s">
        <v>36</v>
      </c>
      <c r="E733" t="s">
        <v>1187</v>
      </c>
      <c r="F733" t="s">
        <v>36</v>
      </c>
      <c r="G733">
        <v>2</v>
      </c>
      <c r="H733">
        <v>3</v>
      </c>
      <c r="I733" s="13">
        <v>0.6</v>
      </c>
      <c r="J733" t="s">
        <v>249</v>
      </c>
      <c r="L733" t="s">
        <v>60</v>
      </c>
      <c r="M733" t="s">
        <v>60</v>
      </c>
      <c r="N733" t="s">
        <v>36</v>
      </c>
      <c r="O733">
        <v>2</v>
      </c>
      <c r="P733">
        <v>3</v>
      </c>
      <c r="Q733" s="13">
        <v>0.5933581727532482</v>
      </c>
      <c r="R733" t="s">
        <v>249</v>
      </c>
      <c r="S733">
        <v>0.46620245316912801</v>
      </c>
      <c r="T733" t="s">
        <v>60</v>
      </c>
      <c r="U733" t="s">
        <v>60</v>
      </c>
      <c r="X733" t="s">
        <v>60</v>
      </c>
      <c r="Y733" t="s">
        <v>412</v>
      </c>
      <c r="Z733" t="s">
        <v>60</v>
      </c>
      <c r="AA733" t="s">
        <v>491</v>
      </c>
    </row>
    <row r="734" spans="1:27" x14ac:dyDescent="0.2">
      <c r="A734" s="1">
        <v>46035</v>
      </c>
      <c r="B734" t="s">
        <v>334</v>
      </c>
      <c r="C734" t="s">
        <v>26</v>
      </c>
      <c r="D734" t="s">
        <v>21</v>
      </c>
      <c r="E734" t="s">
        <v>452</v>
      </c>
      <c r="F734" t="s">
        <v>21</v>
      </c>
      <c r="G734">
        <v>2</v>
      </c>
      <c r="H734">
        <v>3</v>
      </c>
      <c r="I734" s="13">
        <v>0.6</v>
      </c>
      <c r="J734" t="s">
        <v>249</v>
      </c>
      <c r="L734" t="s">
        <v>60</v>
      </c>
      <c r="M734" t="s">
        <v>60</v>
      </c>
      <c r="N734" t="s">
        <v>21</v>
      </c>
      <c r="O734">
        <v>2</v>
      </c>
      <c r="P734">
        <v>3</v>
      </c>
      <c r="Q734" s="13">
        <v>0.66527565352842921</v>
      </c>
      <c r="R734" t="s">
        <v>249</v>
      </c>
      <c r="S734">
        <v>0.70547055350774035</v>
      </c>
      <c r="T734" t="s">
        <v>60</v>
      </c>
      <c r="U734" t="s">
        <v>60</v>
      </c>
      <c r="X734" t="s">
        <v>60</v>
      </c>
      <c r="Y734" t="s">
        <v>412</v>
      </c>
      <c r="Z734" t="s">
        <v>60</v>
      </c>
      <c r="AA734" t="s">
        <v>491</v>
      </c>
    </row>
    <row r="735" spans="1:27" x14ac:dyDescent="0.2">
      <c r="A735" s="1">
        <v>46035</v>
      </c>
      <c r="B735" t="s">
        <v>322</v>
      </c>
      <c r="C735" t="s">
        <v>39</v>
      </c>
      <c r="D735" t="s">
        <v>31</v>
      </c>
      <c r="E735" t="s">
        <v>1032</v>
      </c>
      <c r="F735" t="s">
        <v>39</v>
      </c>
      <c r="G735">
        <v>2</v>
      </c>
      <c r="H735">
        <v>3</v>
      </c>
      <c r="I735" s="13">
        <v>0.6</v>
      </c>
      <c r="J735" t="s">
        <v>249</v>
      </c>
      <c r="L735" t="s">
        <v>60</v>
      </c>
      <c r="M735" t="s">
        <v>60</v>
      </c>
      <c r="N735" t="s">
        <v>39</v>
      </c>
      <c r="O735">
        <v>2</v>
      </c>
      <c r="P735">
        <v>3</v>
      </c>
      <c r="Q735" s="13">
        <v>0.50158264988004087</v>
      </c>
      <c r="R735" t="s">
        <v>249</v>
      </c>
      <c r="S735">
        <v>-0.184838731092691</v>
      </c>
      <c r="T735" t="s">
        <v>60</v>
      </c>
      <c r="U735" t="s">
        <v>60</v>
      </c>
      <c r="X735" t="s">
        <v>60</v>
      </c>
      <c r="Y735" t="s">
        <v>412</v>
      </c>
      <c r="Z735" t="s">
        <v>60</v>
      </c>
      <c r="AA735" t="s">
        <v>491</v>
      </c>
    </row>
    <row r="736" spans="1:27" x14ac:dyDescent="0.2">
      <c r="A736" s="1">
        <v>46036</v>
      </c>
      <c r="B736" t="s">
        <v>334</v>
      </c>
      <c r="C736" t="s">
        <v>27</v>
      </c>
      <c r="D736" t="s">
        <v>23</v>
      </c>
      <c r="E736" t="s">
        <v>1029</v>
      </c>
      <c r="F736" t="s">
        <v>27</v>
      </c>
      <c r="G736">
        <v>2</v>
      </c>
      <c r="H736">
        <v>3</v>
      </c>
      <c r="I736" s="13">
        <v>0.6</v>
      </c>
      <c r="J736" t="s">
        <v>249</v>
      </c>
      <c r="L736" t="s">
        <v>60</v>
      </c>
      <c r="M736" t="s">
        <v>60</v>
      </c>
      <c r="N736" t="s">
        <v>27</v>
      </c>
      <c r="O736">
        <v>2</v>
      </c>
      <c r="P736">
        <v>3</v>
      </c>
      <c r="Q736" s="13">
        <v>0.49767538033956632</v>
      </c>
      <c r="R736" t="s">
        <v>249</v>
      </c>
      <c r="S736">
        <v>-4.59701033111111E-2</v>
      </c>
      <c r="T736" t="s">
        <v>60</v>
      </c>
      <c r="U736" t="s">
        <v>60</v>
      </c>
      <c r="X736" t="s">
        <v>60</v>
      </c>
      <c r="Y736" t="s">
        <v>412</v>
      </c>
      <c r="Z736" t="s">
        <v>60</v>
      </c>
      <c r="AA736" t="s">
        <v>491</v>
      </c>
    </row>
    <row r="737" spans="1:27" x14ac:dyDescent="0.2">
      <c r="A737" s="1">
        <v>46036</v>
      </c>
      <c r="B737" t="s">
        <v>322</v>
      </c>
      <c r="C737" t="s">
        <v>20</v>
      </c>
      <c r="D737" t="s">
        <v>13</v>
      </c>
      <c r="E737" t="s">
        <v>1188</v>
      </c>
      <c r="F737" t="s">
        <v>20</v>
      </c>
      <c r="G737">
        <v>2</v>
      </c>
      <c r="H737">
        <v>3</v>
      </c>
      <c r="I737" s="13">
        <v>0.6</v>
      </c>
      <c r="J737" t="s">
        <v>249</v>
      </c>
      <c r="L737" t="s">
        <v>60</v>
      </c>
      <c r="M737" t="s">
        <v>60</v>
      </c>
      <c r="N737" t="s">
        <v>20</v>
      </c>
      <c r="O737">
        <v>2</v>
      </c>
      <c r="P737">
        <v>3</v>
      </c>
      <c r="Q737" s="13">
        <v>0.46513087930677133</v>
      </c>
      <c r="R737" t="s">
        <v>249</v>
      </c>
      <c r="S737">
        <v>-4.3942019433414699E-2</v>
      </c>
      <c r="T737" t="s">
        <v>60</v>
      </c>
      <c r="U737" t="s">
        <v>60</v>
      </c>
      <c r="X737" t="s">
        <v>60</v>
      </c>
      <c r="Y737" t="s">
        <v>412</v>
      </c>
      <c r="Z737" t="s">
        <v>60</v>
      </c>
      <c r="AA737" t="s">
        <v>491</v>
      </c>
    </row>
    <row r="738" spans="1:27" x14ac:dyDescent="0.2">
      <c r="A738" s="1">
        <v>46036</v>
      </c>
      <c r="B738" t="s">
        <v>328</v>
      </c>
      <c r="C738" t="s">
        <v>32</v>
      </c>
      <c r="D738" t="s">
        <v>24</v>
      </c>
      <c r="E738" t="s">
        <v>1189</v>
      </c>
      <c r="F738" t="s">
        <v>24</v>
      </c>
      <c r="G738">
        <v>2</v>
      </c>
      <c r="H738">
        <v>3</v>
      </c>
      <c r="I738" s="13">
        <v>0.6</v>
      </c>
      <c r="J738" t="s">
        <v>249</v>
      </c>
      <c r="L738" t="s">
        <v>60</v>
      </c>
      <c r="M738" t="s">
        <v>60</v>
      </c>
      <c r="N738" t="s">
        <v>24</v>
      </c>
      <c r="O738">
        <v>2</v>
      </c>
      <c r="P738">
        <v>3</v>
      </c>
      <c r="Q738" s="13">
        <v>0.70166441536741031</v>
      </c>
      <c r="R738" t="s">
        <v>249</v>
      </c>
      <c r="S738">
        <v>0.70080823496585676</v>
      </c>
      <c r="T738" t="s">
        <v>60</v>
      </c>
      <c r="U738" t="s">
        <v>60</v>
      </c>
      <c r="X738" t="s">
        <v>60</v>
      </c>
      <c r="Y738" t="s">
        <v>412</v>
      </c>
      <c r="Z738" t="s">
        <v>60</v>
      </c>
      <c r="AA738" t="s">
        <v>491</v>
      </c>
    </row>
    <row r="739" spans="1:27" x14ac:dyDescent="0.2">
      <c r="A739" s="1">
        <v>46036</v>
      </c>
      <c r="B739" t="s">
        <v>334</v>
      </c>
      <c r="C739" t="s">
        <v>36</v>
      </c>
      <c r="D739" t="s">
        <v>15</v>
      </c>
      <c r="E739" t="s">
        <v>1190</v>
      </c>
      <c r="F739" t="s">
        <v>15</v>
      </c>
      <c r="G739">
        <v>2</v>
      </c>
      <c r="H739">
        <v>3</v>
      </c>
      <c r="I739" s="13">
        <v>0.6</v>
      </c>
      <c r="J739" t="s">
        <v>249</v>
      </c>
      <c r="L739" t="s">
        <v>60</v>
      </c>
      <c r="M739" t="s">
        <v>60</v>
      </c>
      <c r="N739" t="s">
        <v>15</v>
      </c>
      <c r="O739">
        <v>2</v>
      </c>
      <c r="P739">
        <v>3</v>
      </c>
      <c r="Q739" s="13">
        <v>0.57400689712391928</v>
      </c>
      <c r="R739" t="s">
        <v>249</v>
      </c>
      <c r="S739">
        <v>0.29124281530405849</v>
      </c>
      <c r="T739" t="s">
        <v>60</v>
      </c>
      <c r="U739" t="s">
        <v>60</v>
      </c>
      <c r="X739" t="s">
        <v>60</v>
      </c>
      <c r="Y739" t="s">
        <v>412</v>
      </c>
      <c r="Z739" t="s">
        <v>60</v>
      </c>
      <c r="AA739" t="s">
        <v>491</v>
      </c>
    </row>
    <row r="740" spans="1:27" x14ac:dyDescent="0.2">
      <c r="A740" s="1">
        <v>46037</v>
      </c>
      <c r="B740" t="s">
        <v>328</v>
      </c>
      <c r="C740" t="s">
        <v>33</v>
      </c>
      <c r="D740" t="s">
        <v>22</v>
      </c>
      <c r="E740" t="s">
        <v>1191</v>
      </c>
      <c r="F740" t="s">
        <v>22</v>
      </c>
      <c r="G740">
        <v>2</v>
      </c>
      <c r="H740">
        <v>3</v>
      </c>
      <c r="I740" s="13">
        <v>0.6</v>
      </c>
      <c r="J740" t="s">
        <v>249</v>
      </c>
      <c r="L740" t="s">
        <v>60</v>
      </c>
      <c r="M740" t="s">
        <v>60</v>
      </c>
      <c r="N740" t="s">
        <v>22</v>
      </c>
      <c r="O740">
        <v>2</v>
      </c>
      <c r="P740">
        <v>3</v>
      </c>
      <c r="Q740" s="13">
        <v>0.67602301310919677</v>
      </c>
      <c r="R740" t="s">
        <v>249</v>
      </c>
      <c r="S740">
        <v>0.94193897415916283</v>
      </c>
      <c r="T740" t="s">
        <v>60</v>
      </c>
      <c r="U740" t="s">
        <v>60</v>
      </c>
      <c r="X740" t="s">
        <v>60</v>
      </c>
      <c r="Y740" t="s">
        <v>412</v>
      </c>
      <c r="Z740" t="s">
        <v>60</v>
      </c>
      <c r="AA740" t="s">
        <v>491</v>
      </c>
    </row>
    <row r="741" spans="1:27" x14ac:dyDescent="0.2">
      <c r="A741" s="1">
        <v>46037</v>
      </c>
      <c r="B741" t="s">
        <v>426</v>
      </c>
      <c r="C741" t="s">
        <v>19</v>
      </c>
      <c r="D741" t="s">
        <v>20</v>
      </c>
      <c r="E741" t="s">
        <v>1192</v>
      </c>
      <c r="F741" t="s">
        <v>20</v>
      </c>
      <c r="G741">
        <v>2</v>
      </c>
      <c r="H741">
        <v>3</v>
      </c>
      <c r="I741" s="13">
        <v>0.6</v>
      </c>
      <c r="J741" t="s">
        <v>249</v>
      </c>
      <c r="L741" t="s">
        <v>60</v>
      </c>
      <c r="M741" t="s">
        <v>60</v>
      </c>
      <c r="N741" t="s">
        <v>20</v>
      </c>
      <c r="O741">
        <v>2</v>
      </c>
      <c r="P741">
        <v>3</v>
      </c>
      <c r="Q741" s="13">
        <v>0.59136931406232884</v>
      </c>
      <c r="R741" t="s">
        <v>249</v>
      </c>
      <c r="S741">
        <v>0.43993850992150663</v>
      </c>
      <c r="T741" t="s">
        <v>60</v>
      </c>
      <c r="U741" t="s">
        <v>60</v>
      </c>
      <c r="X741" t="s">
        <v>60</v>
      </c>
      <c r="Y741" t="s">
        <v>412</v>
      </c>
      <c r="Z741" t="s">
        <v>60</v>
      </c>
      <c r="AA741" t="s">
        <v>491</v>
      </c>
    </row>
    <row r="742" spans="1:27" x14ac:dyDescent="0.2">
      <c r="A742" s="1">
        <v>46037</v>
      </c>
      <c r="B742" t="s">
        <v>326</v>
      </c>
      <c r="C742" t="s">
        <v>39</v>
      </c>
      <c r="D742" t="s">
        <v>55</v>
      </c>
      <c r="E742" t="s">
        <v>1193</v>
      </c>
      <c r="F742" t="s">
        <v>39</v>
      </c>
      <c r="G742">
        <v>2</v>
      </c>
      <c r="H742">
        <v>3</v>
      </c>
      <c r="I742" s="13">
        <v>0.6</v>
      </c>
      <c r="J742" t="s">
        <v>249</v>
      </c>
      <c r="L742" t="s">
        <v>60</v>
      </c>
      <c r="M742" t="s">
        <v>60</v>
      </c>
      <c r="N742" t="s">
        <v>39</v>
      </c>
      <c r="O742">
        <v>2</v>
      </c>
      <c r="P742">
        <v>3</v>
      </c>
      <c r="Q742" s="13">
        <v>0.61057209039542149</v>
      </c>
      <c r="R742" t="s">
        <v>249</v>
      </c>
      <c r="S742">
        <v>-0.76666504195313978</v>
      </c>
      <c r="T742" t="s">
        <v>60</v>
      </c>
      <c r="U742" t="s">
        <v>60</v>
      </c>
      <c r="X742" t="s">
        <v>60</v>
      </c>
      <c r="Y742" t="s">
        <v>412</v>
      </c>
      <c r="Z742" t="s">
        <v>60</v>
      </c>
      <c r="AA742" t="s">
        <v>491</v>
      </c>
    </row>
    <row r="743" spans="1:27" x14ac:dyDescent="0.2">
      <c r="A743" s="1">
        <v>46037</v>
      </c>
      <c r="B743" t="s">
        <v>328</v>
      </c>
      <c r="C743" t="s">
        <v>27</v>
      </c>
      <c r="D743" t="s">
        <v>14</v>
      </c>
      <c r="E743" t="s">
        <v>1194</v>
      </c>
      <c r="F743" t="s">
        <v>14</v>
      </c>
      <c r="G743">
        <v>2</v>
      </c>
      <c r="H743">
        <v>3</v>
      </c>
      <c r="I743" s="13">
        <v>0.6</v>
      </c>
      <c r="J743" t="s">
        <v>249</v>
      </c>
      <c r="L743" t="s">
        <v>60</v>
      </c>
      <c r="M743" t="s">
        <v>60</v>
      </c>
      <c r="N743" t="s">
        <v>14</v>
      </c>
      <c r="O743">
        <v>2</v>
      </c>
      <c r="P743">
        <v>3</v>
      </c>
      <c r="Q743" s="13">
        <v>0.53110122187745956</v>
      </c>
      <c r="R743" t="s">
        <v>249</v>
      </c>
      <c r="S743">
        <v>0.28787611086398851</v>
      </c>
      <c r="T743" t="s">
        <v>60</v>
      </c>
      <c r="U743" t="s">
        <v>60</v>
      </c>
      <c r="X743" t="s">
        <v>60</v>
      </c>
      <c r="Y743" t="s">
        <v>412</v>
      </c>
      <c r="Z743" t="s">
        <v>60</v>
      </c>
      <c r="AA743" t="s">
        <v>491</v>
      </c>
    </row>
    <row r="744" spans="1:27" x14ac:dyDescent="0.2">
      <c r="A744" s="1">
        <v>46037</v>
      </c>
      <c r="B744" t="s">
        <v>324</v>
      </c>
      <c r="C744" t="s">
        <v>40</v>
      </c>
      <c r="D744" t="s">
        <v>34</v>
      </c>
      <c r="E744" t="s">
        <v>714</v>
      </c>
      <c r="F744" t="s">
        <v>34</v>
      </c>
      <c r="G744">
        <v>2</v>
      </c>
      <c r="H744">
        <v>3</v>
      </c>
      <c r="I744" s="13">
        <v>0.6</v>
      </c>
      <c r="J744" t="s">
        <v>249</v>
      </c>
      <c r="L744" t="s">
        <v>60</v>
      </c>
      <c r="M744" t="s">
        <v>60</v>
      </c>
      <c r="N744" t="s">
        <v>34</v>
      </c>
      <c r="O744">
        <v>2</v>
      </c>
      <c r="P744">
        <v>3</v>
      </c>
      <c r="Q744" s="13">
        <v>0.55519639167751955</v>
      </c>
      <c r="R744" t="s">
        <v>249</v>
      </c>
      <c r="S744">
        <v>0.30801778525647522</v>
      </c>
      <c r="T744" t="s">
        <v>60</v>
      </c>
      <c r="U744" t="s">
        <v>60</v>
      </c>
      <c r="X744" t="s">
        <v>60</v>
      </c>
      <c r="Y744" t="s">
        <v>412</v>
      </c>
      <c r="Z744" t="s">
        <v>60</v>
      </c>
      <c r="AA744" t="s">
        <v>491</v>
      </c>
    </row>
    <row r="745" spans="1:27" x14ac:dyDescent="0.2">
      <c r="A745" s="1">
        <v>46037</v>
      </c>
      <c r="B745" t="s">
        <v>328</v>
      </c>
      <c r="C745" t="s">
        <v>18</v>
      </c>
      <c r="D745" t="s">
        <v>23</v>
      </c>
      <c r="E745" t="s">
        <v>1195</v>
      </c>
      <c r="F745" t="s">
        <v>23</v>
      </c>
      <c r="G745">
        <v>2</v>
      </c>
      <c r="H745">
        <v>3</v>
      </c>
      <c r="I745" s="13">
        <v>0.6</v>
      </c>
      <c r="J745" t="s">
        <v>249</v>
      </c>
      <c r="L745" t="s">
        <v>60</v>
      </c>
      <c r="M745" t="s">
        <v>60</v>
      </c>
      <c r="N745" t="s">
        <v>23</v>
      </c>
      <c r="O745">
        <v>2</v>
      </c>
      <c r="P745">
        <v>3</v>
      </c>
      <c r="Q745" s="13">
        <v>0.51037143409448726</v>
      </c>
      <c r="R745" t="s">
        <v>249</v>
      </c>
      <c r="S745">
        <v>0.166679941456398</v>
      </c>
      <c r="T745" t="s">
        <v>60</v>
      </c>
      <c r="U745" t="s">
        <v>60</v>
      </c>
      <c r="X745" t="s">
        <v>60</v>
      </c>
      <c r="Y745" t="s">
        <v>412</v>
      </c>
      <c r="Z745" t="s">
        <v>60</v>
      </c>
      <c r="AA745" t="s">
        <v>491</v>
      </c>
    </row>
    <row r="746" spans="1:27" x14ac:dyDescent="0.2">
      <c r="A746" s="1">
        <v>46037</v>
      </c>
      <c r="B746" t="s">
        <v>416</v>
      </c>
      <c r="C746" t="s">
        <v>16</v>
      </c>
      <c r="D746" t="s">
        <v>10</v>
      </c>
      <c r="E746" t="s">
        <v>302</v>
      </c>
      <c r="F746" t="s">
        <v>10</v>
      </c>
      <c r="G746">
        <v>2</v>
      </c>
      <c r="H746">
        <v>3</v>
      </c>
      <c r="I746" s="13">
        <v>0.6</v>
      </c>
      <c r="J746" t="s">
        <v>249</v>
      </c>
      <c r="L746" t="s">
        <v>60</v>
      </c>
      <c r="M746" t="s">
        <v>60</v>
      </c>
      <c r="N746" t="s">
        <v>10</v>
      </c>
      <c r="O746">
        <v>2</v>
      </c>
      <c r="P746">
        <v>3</v>
      </c>
      <c r="Q746" s="13">
        <v>0.64969882979285987</v>
      </c>
      <c r="R746" t="s">
        <v>249</v>
      </c>
      <c r="S746">
        <v>0.93948577278346956</v>
      </c>
      <c r="T746" t="s">
        <v>60</v>
      </c>
      <c r="U746" t="s">
        <v>60</v>
      </c>
      <c r="X746" t="s">
        <v>60</v>
      </c>
      <c r="Y746" t="s">
        <v>412</v>
      </c>
      <c r="Z746" t="s">
        <v>60</v>
      </c>
      <c r="AA746" t="s">
        <v>491</v>
      </c>
    </row>
    <row r="747" spans="1:27" x14ac:dyDescent="0.2">
      <c r="A747" s="1">
        <v>46037</v>
      </c>
      <c r="B747" t="s">
        <v>328</v>
      </c>
      <c r="C747" t="s">
        <v>38</v>
      </c>
      <c r="D747" t="s">
        <v>28</v>
      </c>
      <c r="E747" t="s">
        <v>1196</v>
      </c>
      <c r="F747" t="s">
        <v>28</v>
      </c>
      <c r="G747">
        <v>2</v>
      </c>
      <c r="H747">
        <v>3</v>
      </c>
      <c r="I747" s="13">
        <v>0.6</v>
      </c>
      <c r="J747" t="s">
        <v>249</v>
      </c>
      <c r="L747" t="s">
        <v>60</v>
      </c>
      <c r="M747" t="s">
        <v>60</v>
      </c>
      <c r="N747" t="s">
        <v>28</v>
      </c>
      <c r="O747">
        <v>2</v>
      </c>
      <c r="P747">
        <v>3</v>
      </c>
      <c r="Q747" s="13">
        <v>0.58343206023868277</v>
      </c>
      <c r="R747" t="s">
        <v>249</v>
      </c>
      <c r="S747">
        <v>0.40258909968342632</v>
      </c>
      <c r="T747" t="s">
        <v>60</v>
      </c>
      <c r="U747" t="s">
        <v>60</v>
      </c>
      <c r="X747" t="s">
        <v>60</v>
      </c>
      <c r="Y747" t="s">
        <v>412</v>
      </c>
      <c r="Z747" t="s">
        <v>60</v>
      </c>
      <c r="AA747" t="s">
        <v>491</v>
      </c>
    </row>
    <row r="748" spans="1:27" x14ac:dyDescent="0.2">
      <c r="A748" s="1">
        <v>46037</v>
      </c>
      <c r="B748" t="s">
        <v>328</v>
      </c>
      <c r="C748" t="s">
        <v>32</v>
      </c>
      <c r="D748" t="s">
        <v>21</v>
      </c>
      <c r="E748" t="s">
        <v>1197</v>
      </c>
      <c r="F748" t="s">
        <v>21</v>
      </c>
      <c r="G748">
        <v>2</v>
      </c>
      <c r="H748">
        <v>3</v>
      </c>
      <c r="I748" s="13">
        <v>0.6</v>
      </c>
      <c r="J748" t="s">
        <v>249</v>
      </c>
      <c r="L748" t="s">
        <v>60</v>
      </c>
      <c r="M748" t="s">
        <v>60</v>
      </c>
      <c r="N748" t="s">
        <v>21</v>
      </c>
      <c r="O748">
        <v>2</v>
      </c>
      <c r="P748">
        <v>3</v>
      </c>
      <c r="Q748" s="13">
        <v>0.63889121656365655</v>
      </c>
      <c r="R748" t="s">
        <v>249</v>
      </c>
      <c r="S748">
        <v>0.47950822375352092</v>
      </c>
      <c r="T748" t="s">
        <v>60</v>
      </c>
      <c r="U748" t="s">
        <v>60</v>
      </c>
      <c r="X748" t="s">
        <v>60</v>
      </c>
      <c r="Y748" t="s">
        <v>412</v>
      </c>
      <c r="Z748" t="s">
        <v>60</v>
      </c>
      <c r="AA748" t="s">
        <v>491</v>
      </c>
    </row>
    <row r="749" spans="1:27" x14ac:dyDescent="0.2">
      <c r="A749" s="1">
        <v>46037</v>
      </c>
      <c r="B749" t="s">
        <v>326</v>
      </c>
      <c r="C749" t="s">
        <v>30</v>
      </c>
      <c r="D749" t="s">
        <v>17</v>
      </c>
      <c r="E749" t="s">
        <v>1198</v>
      </c>
      <c r="F749" t="s">
        <v>30</v>
      </c>
      <c r="G749">
        <v>2</v>
      </c>
      <c r="H749">
        <v>3</v>
      </c>
      <c r="I749" s="13">
        <v>0.6</v>
      </c>
      <c r="J749" t="s">
        <v>249</v>
      </c>
      <c r="L749" t="s">
        <v>60</v>
      </c>
      <c r="M749" t="s">
        <v>60</v>
      </c>
      <c r="N749" t="s">
        <v>30</v>
      </c>
      <c r="O749">
        <v>2</v>
      </c>
      <c r="P749">
        <v>3</v>
      </c>
      <c r="Q749" s="13">
        <v>0.58707242186154818</v>
      </c>
      <c r="R749" t="s">
        <v>249</v>
      </c>
      <c r="S749">
        <v>-0.52691391787302666</v>
      </c>
      <c r="T749" t="s">
        <v>60</v>
      </c>
      <c r="U749" t="s">
        <v>60</v>
      </c>
      <c r="X749" t="s">
        <v>60</v>
      </c>
      <c r="Y749" t="s">
        <v>412</v>
      </c>
      <c r="Z749" t="s">
        <v>60</v>
      </c>
      <c r="AA749" t="s">
        <v>491</v>
      </c>
    </row>
    <row r="750" spans="1:27" x14ac:dyDescent="0.2">
      <c r="A750" s="1">
        <v>46038</v>
      </c>
      <c r="B750" t="s">
        <v>324</v>
      </c>
      <c r="C750" t="s">
        <v>37</v>
      </c>
      <c r="D750" t="s">
        <v>35</v>
      </c>
      <c r="E750" t="s">
        <v>1199</v>
      </c>
      <c r="F750" t="s">
        <v>37</v>
      </c>
      <c r="G750">
        <v>2</v>
      </c>
      <c r="H750">
        <v>3</v>
      </c>
      <c r="I750" s="13">
        <v>0.6</v>
      </c>
      <c r="J750" t="s">
        <v>249</v>
      </c>
      <c r="L750" t="s">
        <v>60</v>
      </c>
      <c r="M750" t="s">
        <v>60</v>
      </c>
      <c r="N750" t="s">
        <v>37</v>
      </c>
      <c r="O750">
        <v>2</v>
      </c>
      <c r="P750">
        <v>3</v>
      </c>
      <c r="Q750" s="13">
        <v>0.76909445693074763</v>
      </c>
      <c r="R750" t="s">
        <v>249</v>
      </c>
      <c r="S750">
        <v>-1.8550825697711639</v>
      </c>
      <c r="T750" t="s">
        <v>60</v>
      </c>
      <c r="U750" t="s">
        <v>60</v>
      </c>
      <c r="X750" t="s">
        <v>60</v>
      </c>
      <c r="Y750" t="s">
        <v>412</v>
      </c>
      <c r="Z750" t="s">
        <v>60</v>
      </c>
      <c r="AA750" t="s">
        <v>491</v>
      </c>
    </row>
    <row r="751" spans="1:27" x14ac:dyDescent="0.2">
      <c r="A751" s="1">
        <v>46038</v>
      </c>
      <c r="B751" t="s">
        <v>328</v>
      </c>
      <c r="C751" t="s">
        <v>33</v>
      </c>
      <c r="D751" t="s">
        <v>26</v>
      </c>
      <c r="E751" t="s">
        <v>1200</v>
      </c>
      <c r="F751" t="s">
        <v>33</v>
      </c>
      <c r="G751">
        <v>2</v>
      </c>
      <c r="H751">
        <v>3</v>
      </c>
      <c r="I751" s="13">
        <v>0.6</v>
      </c>
      <c r="J751" t="s">
        <v>249</v>
      </c>
      <c r="L751" t="s">
        <v>60</v>
      </c>
      <c r="M751" t="s">
        <v>60</v>
      </c>
      <c r="N751" t="s">
        <v>33</v>
      </c>
      <c r="O751">
        <v>2</v>
      </c>
      <c r="P751">
        <v>3</v>
      </c>
      <c r="Q751" s="13">
        <v>0.50368260985752411</v>
      </c>
      <c r="R751" t="s">
        <v>249</v>
      </c>
      <c r="S751">
        <v>-0.37410782372690371</v>
      </c>
      <c r="T751" t="s">
        <v>60</v>
      </c>
      <c r="U751" t="s">
        <v>60</v>
      </c>
      <c r="X751" t="s">
        <v>60</v>
      </c>
      <c r="Y751" t="s">
        <v>412</v>
      </c>
      <c r="Z751" t="s">
        <v>60</v>
      </c>
      <c r="AA751" t="s">
        <v>491</v>
      </c>
    </row>
    <row r="752" spans="1:27" x14ac:dyDescent="0.2">
      <c r="A752" s="1">
        <v>46038</v>
      </c>
      <c r="B752" t="s">
        <v>340</v>
      </c>
      <c r="C752" t="s">
        <v>31</v>
      </c>
      <c r="D752" t="s">
        <v>13</v>
      </c>
      <c r="E752" t="s">
        <v>1070</v>
      </c>
      <c r="F752" t="s">
        <v>31</v>
      </c>
      <c r="G752">
        <v>2</v>
      </c>
      <c r="H752">
        <v>3</v>
      </c>
      <c r="I752" s="13">
        <v>0.6</v>
      </c>
      <c r="J752" t="s">
        <v>249</v>
      </c>
      <c r="L752" t="s">
        <v>60</v>
      </c>
      <c r="M752" t="s">
        <v>60</v>
      </c>
      <c r="N752" t="s">
        <v>31</v>
      </c>
      <c r="O752">
        <v>2</v>
      </c>
      <c r="P752">
        <v>3</v>
      </c>
      <c r="Q752" s="13">
        <v>0.53530839997320578</v>
      </c>
      <c r="R752" t="s">
        <v>249</v>
      </c>
      <c r="S752">
        <v>-0.46708587159331749</v>
      </c>
      <c r="T752" t="s">
        <v>60</v>
      </c>
      <c r="U752" t="s">
        <v>60</v>
      </c>
      <c r="X752" t="s">
        <v>60</v>
      </c>
      <c r="Y752" t="s">
        <v>412</v>
      </c>
      <c r="Z752" t="s">
        <v>60</v>
      </c>
      <c r="AA752" t="s">
        <v>491</v>
      </c>
    </row>
    <row r="753" spans="1:27" x14ac:dyDescent="0.2">
      <c r="A753" s="1">
        <v>46038</v>
      </c>
      <c r="B753" t="s">
        <v>328</v>
      </c>
      <c r="C753" t="s">
        <v>11</v>
      </c>
      <c r="D753" t="s">
        <v>25</v>
      </c>
      <c r="E753" t="s">
        <v>1065</v>
      </c>
      <c r="F753" t="s">
        <v>25</v>
      </c>
      <c r="G753">
        <v>2</v>
      </c>
      <c r="H753">
        <v>3</v>
      </c>
      <c r="I753" s="13">
        <v>0.6</v>
      </c>
      <c r="J753" t="s">
        <v>249</v>
      </c>
      <c r="L753" t="s">
        <v>60</v>
      </c>
      <c r="M753" t="s">
        <v>60</v>
      </c>
      <c r="N753" t="s">
        <v>25</v>
      </c>
      <c r="O753">
        <v>2</v>
      </c>
      <c r="P753">
        <v>3</v>
      </c>
      <c r="Q753" s="13">
        <v>0.69361590157977926</v>
      </c>
      <c r="R753" t="s">
        <v>249</v>
      </c>
      <c r="S753">
        <v>0.87269417731582166</v>
      </c>
      <c r="T753" t="s">
        <v>60</v>
      </c>
      <c r="U753" t="s">
        <v>60</v>
      </c>
      <c r="X753" t="s">
        <v>60</v>
      </c>
      <c r="Y753" t="s">
        <v>412</v>
      </c>
      <c r="Z753" t="s">
        <v>60</v>
      </c>
      <c r="AA753" t="s">
        <v>491</v>
      </c>
    </row>
    <row r="754" spans="1:27" x14ac:dyDescent="0.2">
      <c r="A754" s="1">
        <v>46038</v>
      </c>
      <c r="B754" t="s">
        <v>326</v>
      </c>
      <c r="C754" t="s">
        <v>29</v>
      </c>
      <c r="D754" t="s">
        <v>12</v>
      </c>
      <c r="E754" t="s">
        <v>997</v>
      </c>
      <c r="F754" t="s">
        <v>12</v>
      </c>
      <c r="G754">
        <v>2</v>
      </c>
      <c r="H754">
        <v>3</v>
      </c>
      <c r="I754" s="13">
        <v>0.6</v>
      </c>
      <c r="J754" t="s">
        <v>249</v>
      </c>
      <c r="L754" t="s">
        <v>60</v>
      </c>
      <c r="M754" t="s">
        <v>60</v>
      </c>
      <c r="N754" t="s">
        <v>12</v>
      </c>
      <c r="O754">
        <v>2</v>
      </c>
      <c r="P754">
        <v>3</v>
      </c>
      <c r="Q754" s="13">
        <v>1</v>
      </c>
      <c r="R754" t="s">
        <v>249</v>
      </c>
      <c r="S754">
        <v>3.0667216911602</v>
      </c>
      <c r="T754" t="s">
        <v>60</v>
      </c>
      <c r="U754" t="s">
        <v>60</v>
      </c>
      <c r="X754" t="s">
        <v>60</v>
      </c>
      <c r="Y754" t="s">
        <v>412</v>
      </c>
      <c r="Z754" t="s">
        <v>60</v>
      </c>
      <c r="AA754" t="s">
        <v>491</v>
      </c>
    </row>
    <row r="755" spans="1:27" x14ac:dyDescent="0.2">
      <c r="A755" s="1">
        <v>46039</v>
      </c>
      <c r="B755" t="s">
        <v>322</v>
      </c>
      <c r="C755" t="s">
        <v>17</v>
      </c>
      <c r="D755" t="s">
        <v>38</v>
      </c>
      <c r="E755" t="s">
        <v>688</v>
      </c>
      <c r="F755" t="s">
        <v>17</v>
      </c>
      <c r="G755">
        <v>2</v>
      </c>
      <c r="H755">
        <v>3</v>
      </c>
      <c r="I755" s="13">
        <v>0.6</v>
      </c>
      <c r="J755" t="s">
        <v>249</v>
      </c>
      <c r="L755" t="s">
        <v>60</v>
      </c>
      <c r="M755" t="s">
        <v>60</v>
      </c>
      <c r="N755" t="s">
        <v>17</v>
      </c>
      <c r="O755">
        <v>2</v>
      </c>
      <c r="P755">
        <v>3</v>
      </c>
      <c r="Q755" s="13">
        <v>0.46934472358622298</v>
      </c>
      <c r="R755" t="s">
        <v>249</v>
      </c>
      <c r="S755">
        <v>-8.0030341950119904E-2</v>
      </c>
      <c r="T755" t="s">
        <v>60</v>
      </c>
      <c r="U755" t="s">
        <v>60</v>
      </c>
      <c r="X755" t="s">
        <v>60</v>
      </c>
      <c r="Y755" t="s">
        <v>412</v>
      </c>
      <c r="Z755" t="s">
        <v>60</v>
      </c>
      <c r="AA755" t="s">
        <v>491</v>
      </c>
    </row>
    <row r="756" spans="1:27" x14ac:dyDescent="0.2">
      <c r="A756" s="1">
        <v>46039</v>
      </c>
      <c r="B756" t="s">
        <v>328</v>
      </c>
      <c r="C756" t="s">
        <v>11</v>
      </c>
      <c r="D756" t="s">
        <v>22</v>
      </c>
      <c r="E756" t="s">
        <v>1201</v>
      </c>
      <c r="F756" t="s">
        <v>22</v>
      </c>
      <c r="G756">
        <v>2</v>
      </c>
      <c r="H756">
        <v>3</v>
      </c>
      <c r="I756" s="13">
        <v>0.6</v>
      </c>
      <c r="J756" t="s">
        <v>249</v>
      </c>
      <c r="L756" t="s">
        <v>60</v>
      </c>
      <c r="M756" t="s">
        <v>60</v>
      </c>
      <c r="N756" t="s">
        <v>22</v>
      </c>
      <c r="O756">
        <v>2</v>
      </c>
      <c r="P756">
        <v>3</v>
      </c>
      <c r="Q756" s="13">
        <v>0.66969288010793826</v>
      </c>
      <c r="R756" t="s">
        <v>249</v>
      </c>
      <c r="S756">
        <v>0.88772627284102601</v>
      </c>
      <c r="T756" t="s">
        <v>60</v>
      </c>
      <c r="U756" t="s">
        <v>60</v>
      </c>
      <c r="X756" t="s">
        <v>60</v>
      </c>
      <c r="Y756" t="s">
        <v>412</v>
      </c>
      <c r="Z756" t="s">
        <v>60</v>
      </c>
      <c r="AA756" t="s">
        <v>491</v>
      </c>
    </row>
    <row r="757" spans="1:27" x14ac:dyDescent="0.2">
      <c r="A757" s="1">
        <v>46039</v>
      </c>
      <c r="B757" t="s">
        <v>328</v>
      </c>
      <c r="C757" t="s">
        <v>19</v>
      </c>
      <c r="D757" t="s">
        <v>40</v>
      </c>
      <c r="E757" t="s">
        <v>1202</v>
      </c>
      <c r="F757" t="s">
        <v>40</v>
      </c>
      <c r="G757">
        <v>2</v>
      </c>
      <c r="H757">
        <v>3</v>
      </c>
      <c r="I757" s="13">
        <v>0.6</v>
      </c>
      <c r="J757" t="s">
        <v>249</v>
      </c>
      <c r="L757" t="s">
        <v>60</v>
      </c>
      <c r="M757" t="s">
        <v>60</v>
      </c>
      <c r="N757" t="s">
        <v>40</v>
      </c>
      <c r="O757">
        <v>2</v>
      </c>
      <c r="P757">
        <v>3</v>
      </c>
      <c r="Q757" s="13">
        <v>0.58583126184977086</v>
      </c>
      <c r="R757" t="s">
        <v>249</v>
      </c>
      <c r="S757">
        <v>0.37113751645935139</v>
      </c>
      <c r="T757" t="s">
        <v>60</v>
      </c>
      <c r="U757" t="s">
        <v>60</v>
      </c>
      <c r="X757" t="s">
        <v>60</v>
      </c>
      <c r="Y757" t="s">
        <v>412</v>
      </c>
      <c r="Z757" t="s">
        <v>60</v>
      </c>
      <c r="AA757" t="s">
        <v>491</v>
      </c>
    </row>
    <row r="758" spans="1:27" x14ac:dyDescent="0.2">
      <c r="A758" s="1">
        <v>46039</v>
      </c>
      <c r="B758" t="s">
        <v>322</v>
      </c>
      <c r="C758" t="s">
        <v>29</v>
      </c>
      <c r="D758" t="s">
        <v>20</v>
      </c>
      <c r="E758" t="s">
        <v>1094</v>
      </c>
      <c r="F758" t="s">
        <v>20</v>
      </c>
      <c r="G758">
        <v>2</v>
      </c>
      <c r="H758">
        <v>3</v>
      </c>
      <c r="I758" s="13">
        <v>0.6</v>
      </c>
      <c r="J758" t="s">
        <v>249</v>
      </c>
      <c r="L758" t="s">
        <v>60</v>
      </c>
      <c r="M758" t="s">
        <v>60</v>
      </c>
      <c r="N758" t="s">
        <v>20</v>
      </c>
      <c r="O758">
        <v>2</v>
      </c>
      <c r="P758">
        <v>3</v>
      </c>
      <c r="Q758" s="13">
        <v>0.67899410709528163</v>
      </c>
      <c r="R758" t="s">
        <v>249</v>
      </c>
      <c r="S758">
        <v>1.1903772024125869</v>
      </c>
      <c r="T758" t="s">
        <v>60</v>
      </c>
      <c r="U758" t="s">
        <v>60</v>
      </c>
      <c r="X758" t="s">
        <v>60</v>
      </c>
      <c r="Y758" t="s">
        <v>412</v>
      </c>
      <c r="Z758" t="s">
        <v>60</v>
      </c>
      <c r="AA758" t="s">
        <v>491</v>
      </c>
    </row>
    <row r="759" spans="1:27" x14ac:dyDescent="0.2">
      <c r="A759" s="1">
        <v>46039</v>
      </c>
      <c r="B759" t="s">
        <v>365</v>
      </c>
      <c r="C759" t="s">
        <v>32</v>
      </c>
      <c r="D759" t="s">
        <v>55</v>
      </c>
      <c r="E759" t="s">
        <v>988</v>
      </c>
      <c r="F759" t="s">
        <v>55</v>
      </c>
      <c r="G759">
        <v>2</v>
      </c>
      <c r="H759">
        <v>3</v>
      </c>
      <c r="I759" s="13">
        <v>0.6</v>
      </c>
      <c r="J759" t="s">
        <v>249</v>
      </c>
      <c r="L759" t="s">
        <v>60</v>
      </c>
      <c r="M759" t="s">
        <v>60</v>
      </c>
      <c r="N759" t="s">
        <v>55</v>
      </c>
      <c r="O759">
        <v>2</v>
      </c>
      <c r="P759">
        <v>3</v>
      </c>
      <c r="Q759" s="13">
        <v>0.6150116090397193</v>
      </c>
      <c r="R759" t="s">
        <v>249</v>
      </c>
      <c r="S759">
        <v>0.29615469518006998</v>
      </c>
      <c r="T759" t="s">
        <v>60</v>
      </c>
      <c r="U759" t="s">
        <v>60</v>
      </c>
      <c r="X759" t="s">
        <v>60</v>
      </c>
      <c r="Y759" t="s">
        <v>412</v>
      </c>
      <c r="Z759" t="s">
        <v>60</v>
      </c>
      <c r="AA759" t="s">
        <v>491</v>
      </c>
    </row>
    <row r="760" spans="1:27" x14ac:dyDescent="0.2">
      <c r="A760" s="1">
        <v>46039</v>
      </c>
      <c r="B760" t="s">
        <v>347</v>
      </c>
      <c r="C760" t="s">
        <v>15</v>
      </c>
      <c r="D760" t="s">
        <v>27</v>
      </c>
      <c r="E760" t="s">
        <v>1203</v>
      </c>
      <c r="F760" t="s">
        <v>15</v>
      </c>
      <c r="G760">
        <v>2</v>
      </c>
      <c r="H760">
        <v>3</v>
      </c>
      <c r="I760" s="13">
        <v>0.6</v>
      </c>
      <c r="J760" t="s">
        <v>249</v>
      </c>
      <c r="L760" t="s">
        <v>60</v>
      </c>
      <c r="M760" t="s">
        <v>60</v>
      </c>
      <c r="N760" t="s">
        <v>15</v>
      </c>
      <c r="O760">
        <v>2</v>
      </c>
      <c r="P760">
        <v>3</v>
      </c>
      <c r="Q760" s="13">
        <v>0.55080547688635673</v>
      </c>
      <c r="R760" t="s">
        <v>249</v>
      </c>
      <c r="S760">
        <v>-4.03048500992109E-2</v>
      </c>
      <c r="T760" t="s">
        <v>60</v>
      </c>
      <c r="U760" t="s">
        <v>60</v>
      </c>
      <c r="X760" t="s">
        <v>60</v>
      </c>
      <c r="Y760" t="s">
        <v>412</v>
      </c>
      <c r="Z760" t="s">
        <v>60</v>
      </c>
      <c r="AA760" t="s">
        <v>491</v>
      </c>
    </row>
    <row r="761" spans="1:27" x14ac:dyDescent="0.2">
      <c r="A761" s="1">
        <v>46039</v>
      </c>
      <c r="B761" t="s">
        <v>328</v>
      </c>
      <c r="C761" t="s">
        <v>28</v>
      </c>
      <c r="D761" t="s">
        <v>14</v>
      </c>
      <c r="E761" t="s">
        <v>684</v>
      </c>
      <c r="F761" t="s">
        <v>14</v>
      </c>
      <c r="G761">
        <v>2</v>
      </c>
      <c r="H761">
        <v>3</v>
      </c>
      <c r="I761" s="13">
        <v>0.6</v>
      </c>
      <c r="J761" t="s">
        <v>249</v>
      </c>
      <c r="L761" t="s">
        <v>60</v>
      </c>
      <c r="M761" t="s">
        <v>60</v>
      </c>
      <c r="N761" t="s">
        <v>14</v>
      </c>
      <c r="O761">
        <v>2</v>
      </c>
      <c r="P761">
        <v>3</v>
      </c>
      <c r="Q761" s="13">
        <v>0.59511283681584248</v>
      </c>
      <c r="R761" t="s">
        <v>249</v>
      </c>
      <c r="S761">
        <v>0.50262593170821268</v>
      </c>
      <c r="T761" t="s">
        <v>60</v>
      </c>
      <c r="U761" t="s">
        <v>60</v>
      </c>
      <c r="X761" t="s">
        <v>60</v>
      </c>
      <c r="Y761" t="s">
        <v>412</v>
      </c>
      <c r="Z761" t="s">
        <v>60</v>
      </c>
      <c r="AA761" t="s">
        <v>491</v>
      </c>
    </row>
    <row r="762" spans="1:27" x14ac:dyDescent="0.2">
      <c r="A762" s="1">
        <v>46039</v>
      </c>
      <c r="B762" t="s">
        <v>328</v>
      </c>
      <c r="C762" t="s">
        <v>25</v>
      </c>
      <c r="D762" t="s">
        <v>24</v>
      </c>
      <c r="E762" t="s">
        <v>1127</v>
      </c>
      <c r="F762" t="s">
        <v>25</v>
      </c>
      <c r="G762">
        <v>2</v>
      </c>
      <c r="H762">
        <v>3</v>
      </c>
      <c r="I762" s="13">
        <v>0.6</v>
      </c>
      <c r="J762" t="s">
        <v>249</v>
      </c>
      <c r="L762" t="s">
        <v>60</v>
      </c>
      <c r="M762" t="s">
        <v>60</v>
      </c>
      <c r="N762" t="s">
        <v>25</v>
      </c>
      <c r="O762">
        <v>2</v>
      </c>
      <c r="P762">
        <v>3</v>
      </c>
      <c r="Q762" s="13">
        <v>0.4944027518709323</v>
      </c>
      <c r="R762" t="s">
        <v>249</v>
      </c>
      <c r="S762">
        <v>-0.37424413764078601</v>
      </c>
      <c r="T762" t="s">
        <v>60</v>
      </c>
      <c r="U762" t="s">
        <v>60</v>
      </c>
      <c r="X762" t="s">
        <v>60</v>
      </c>
      <c r="Y762" t="s">
        <v>412</v>
      </c>
      <c r="Z762" t="s">
        <v>60</v>
      </c>
      <c r="AA762" t="s">
        <v>491</v>
      </c>
    </row>
    <row r="763" spans="1:27" x14ac:dyDescent="0.2">
      <c r="A763" s="1">
        <v>46039</v>
      </c>
      <c r="B763" t="s">
        <v>324</v>
      </c>
      <c r="C763" t="s">
        <v>21</v>
      </c>
      <c r="D763" t="s">
        <v>10</v>
      </c>
      <c r="E763" t="s">
        <v>1204</v>
      </c>
      <c r="F763" t="s">
        <v>10</v>
      </c>
      <c r="G763">
        <v>2</v>
      </c>
      <c r="H763">
        <v>3</v>
      </c>
      <c r="I763" s="13">
        <v>0.6</v>
      </c>
      <c r="J763" t="s">
        <v>249</v>
      </c>
      <c r="L763" t="s">
        <v>60</v>
      </c>
      <c r="M763" t="s">
        <v>60</v>
      </c>
      <c r="N763" t="s">
        <v>10</v>
      </c>
      <c r="O763">
        <v>2</v>
      </c>
      <c r="P763">
        <v>3</v>
      </c>
      <c r="Q763" s="13">
        <v>0.55008500567025542</v>
      </c>
      <c r="R763" t="s">
        <v>249</v>
      </c>
      <c r="S763">
        <v>9.3474254186580397E-2</v>
      </c>
      <c r="T763" t="s">
        <v>60</v>
      </c>
      <c r="U763" t="s">
        <v>60</v>
      </c>
      <c r="X763" t="s">
        <v>60</v>
      </c>
      <c r="Y763" t="s">
        <v>412</v>
      </c>
      <c r="Z763" t="s">
        <v>60</v>
      </c>
      <c r="AA763" t="s">
        <v>491</v>
      </c>
    </row>
    <row r="764" spans="1:27" x14ac:dyDescent="0.2">
      <c r="A764" s="1">
        <v>46039</v>
      </c>
      <c r="B764" t="s">
        <v>453</v>
      </c>
      <c r="C764" t="s">
        <v>30</v>
      </c>
      <c r="D764" t="s">
        <v>16</v>
      </c>
      <c r="E764" t="s">
        <v>1205</v>
      </c>
      <c r="F764" t="s">
        <v>30</v>
      </c>
      <c r="G764">
        <v>2</v>
      </c>
      <c r="H764">
        <v>3</v>
      </c>
      <c r="I764" s="13">
        <v>0.6</v>
      </c>
      <c r="J764" t="s">
        <v>249</v>
      </c>
      <c r="L764" t="s">
        <v>60</v>
      </c>
      <c r="M764" t="s">
        <v>60</v>
      </c>
      <c r="N764" t="s">
        <v>30</v>
      </c>
      <c r="O764">
        <v>2</v>
      </c>
      <c r="P764">
        <v>3</v>
      </c>
      <c r="Q764" s="13">
        <v>0.6231098477223036</v>
      </c>
      <c r="R764" t="s">
        <v>249</v>
      </c>
      <c r="S764">
        <v>-0.77494853268012576</v>
      </c>
      <c r="T764" t="s">
        <v>60</v>
      </c>
      <c r="U764" t="s">
        <v>60</v>
      </c>
      <c r="X764" t="s">
        <v>60</v>
      </c>
      <c r="Y764" t="s">
        <v>412</v>
      </c>
      <c r="Z764" t="s">
        <v>60</v>
      </c>
      <c r="AA764" t="s">
        <v>491</v>
      </c>
    </row>
    <row r="765" spans="1:27" x14ac:dyDescent="0.2">
      <c r="A765" s="1">
        <v>46039</v>
      </c>
      <c r="B765" t="s">
        <v>555</v>
      </c>
      <c r="C765" t="s">
        <v>34</v>
      </c>
      <c r="D765" t="s">
        <v>23</v>
      </c>
      <c r="E765" t="s">
        <v>1206</v>
      </c>
      <c r="F765" t="s">
        <v>34</v>
      </c>
      <c r="G765">
        <v>2</v>
      </c>
      <c r="H765">
        <v>3</v>
      </c>
      <c r="I765" s="13">
        <v>0.6</v>
      </c>
      <c r="J765" t="s">
        <v>249</v>
      </c>
      <c r="L765" t="s">
        <v>60</v>
      </c>
      <c r="M765" t="s">
        <v>60</v>
      </c>
      <c r="N765" t="s">
        <v>34</v>
      </c>
      <c r="O765">
        <v>2</v>
      </c>
      <c r="P765">
        <v>3</v>
      </c>
      <c r="Q765" s="13">
        <v>0.53563733113112899</v>
      </c>
      <c r="R765" t="s">
        <v>249</v>
      </c>
      <c r="S765">
        <v>-0.37108489936794842</v>
      </c>
      <c r="T765" t="s">
        <v>60</v>
      </c>
      <c r="U765" t="s">
        <v>60</v>
      </c>
      <c r="X765" t="s">
        <v>60</v>
      </c>
      <c r="Y765" t="s">
        <v>412</v>
      </c>
      <c r="Z765" t="s">
        <v>60</v>
      </c>
      <c r="AA765" t="s">
        <v>491</v>
      </c>
    </row>
    <row r="766" spans="1:27" x14ac:dyDescent="0.2">
      <c r="A766" s="1">
        <v>46039</v>
      </c>
      <c r="B766" t="s">
        <v>322</v>
      </c>
      <c r="C766" t="s">
        <v>13</v>
      </c>
      <c r="D766" t="s">
        <v>31</v>
      </c>
      <c r="E766" t="s">
        <v>431</v>
      </c>
      <c r="F766" t="s">
        <v>31</v>
      </c>
      <c r="G766">
        <v>2</v>
      </c>
      <c r="H766">
        <v>3</v>
      </c>
      <c r="I766" s="13">
        <v>0.6</v>
      </c>
      <c r="J766" t="s">
        <v>249</v>
      </c>
      <c r="L766" t="s">
        <v>60</v>
      </c>
      <c r="M766" t="s">
        <v>60</v>
      </c>
      <c r="N766" t="s">
        <v>31</v>
      </c>
      <c r="O766">
        <v>2</v>
      </c>
      <c r="P766">
        <v>3</v>
      </c>
      <c r="Q766" s="13">
        <v>0.62174802259807027</v>
      </c>
      <c r="R766" t="s">
        <v>249</v>
      </c>
      <c r="S766">
        <v>0.56688736943964246</v>
      </c>
      <c r="T766" t="s">
        <v>60</v>
      </c>
      <c r="U766" t="s">
        <v>60</v>
      </c>
      <c r="X766" t="s">
        <v>60</v>
      </c>
      <c r="Y766" t="s">
        <v>412</v>
      </c>
      <c r="Z766" t="s">
        <v>60</v>
      </c>
      <c r="AA766" t="s">
        <v>491</v>
      </c>
    </row>
    <row r="767" spans="1:27" x14ac:dyDescent="0.2">
      <c r="A767" s="1">
        <v>46039</v>
      </c>
      <c r="B767" t="s">
        <v>328</v>
      </c>
      <c r="C767" t="s">
        <v>18</v>
      </c>
      <c r="D767" t="s">
        <v>36</v>
      </c>
      <c r="E767" t="s">
        <v>1207</v>
      </c>
      <c r="F767" t="s">
        <v>36</v>
      </c>
      <c r="G767">
        <v>2</v>
      </c>
      <c r="H767">
        <v>3</v>
      </c>
      <c r="I767" s="13">
        <v>0.6</v>
      </c>
      <c r="J767" t="s">
        <v>249</v>
      </c>
      <c r="L767" t="s">
        <v>60</v>
      </c>
      <c r="M767" t="s">
        <v>60</v>
      </c>
      <c r="N767" t="s">
        <v>36</v>
      </c>
      <c r="O767">
        <v>2</v>
      </c>
      <c r="P767">
        <v>3</v>
      </c>
      <c r="Q767" s="13">
        <v>0.49623074346744273</v>
      </c>
      <c r="R767" t="s">
        <v>249</v>
      </c>
      <c r="S767">
        <v>0.111414326332149</v>
      </c>
      <c r="T767" t="s">
        <v>60</v>
      </c>
      <c r="U767" t="s">
        <v>60</v>
      </c>
      <c r="X767" t="s">
        <v>60</v>
      </c>
      <c r="Y767" t="s">
        <v>412</v>
      </c>
      <c r="Z767" t="s">
        <v>60</v>
      </c>
      <c r="AA767" t="s">
        <v>491</v>
      </c>
    </row>
    <row r="768" spans="1:27" x14ac:dyDescent="0.2">
      <c r="A768" s="1">
        <v>46040</v>
      </c>
      <c r="B768" t="s">
        <v>324</v>
      </c>
      <c r="C768" t="s">
        <v>35</v>
      </c>
      <c r="D768" t="s">
        <v>17</v>
      </c>
      <c r="E768" t="s">
        <v>1208</v>
      </c>
      <c r="F768" t="s">
        <v>17</v>
      </c>
      <c r="G768">
        <v>2</v>
      </c>
      <c r="H768">
        <v>3</v>
      </c>
      <c r="I768" s="13">
        <v>0.6</v>
      </c>
      <c r="J768" t="s">
        <v>249</v>
      </c>
      <c r="L768" t="s">
        <v>60</v>
      </c>
      <c r="M768" t="s">
        <v>60</v>
      </c>
      <c r="N768" t="s">
        <v>17</v>
      </c>
      <c r="O768">
        <v>2</v>
      </c>
      <c r="P768">
        <v>3</v>
      </c>
      <c r="Q768" s="13">
        <v>0.62021453960689188</v>
      </c>
      <c r="R768" t="s">
        <v>249</v>
      </c>
      <c r="S768">
        <v>0.6266324566333632</v>
      </c>
      <c r="T768" t="s">
        <v>60</v>
      </c>
      <c r="U768" t="s">
        <v>60</v>
      </c>
      <c r="X768" t="s">
        <v>60</v>
      </c>
      <c r="Y768" t="s">
        <v>412</v>
      </c>
      <c r="Z768" t="s">
        <v>60</v>
      </c>
      <c r="AA768" t="s">
        <v>491</v>
      </c>
    </row>
    <row r="769" spans="1:27" x14ac:dyDescent="0.2">
      <c r="A769" s="1">
        <v>46040</v>
      </c>
      <c r="B769" t="s">
        <v>459</v>
      </c>
      <c r="C769" t="s">
        <v>37</v>
      </c>
      <c r="D769" t="s">
        <v>39</v>
      </c>
      <c r="E769" t="s">
        <v>1209</v>
      </c>
      <c r="F769" t="s">
        <v>37</v>
      </c>
      <c r="G769">
        <v>2</v>
      </c>
      <c r="H769">
        <v>3</v>
      </c>
      <c r="I769" s="13">
        <v>0.6</v>
      </c>
      <c r="J769" t="s">
        <v>249</v>
      </c>
      <c r="L769" t="s">
        <v>60</v>
      </c>
      <c r="M769" t="s">
        <v>60</v>
      </c>
      <c r="N769" t="s">
        <v>37</v>
      </c>
      <c r="O769">
        <v>2</v>
      </c>
      <c r="P769">
        <v>3</v>
      </c>
      <c r="Q769" s="13">
        <v>0.52550682406125582</v>
      </c>
      <c r="R769" t="s">
        <v>249</v>
      </c>
      <c r="S769">
        <v>-4.7161695968322002E-2</v>
      </c>
      <c r="T769" t="s">
        <v>60</v>
      </c>
      <c r="U769" t="s">
        <v>60</v>
      </c>
      <c r="X769" t="s">
        <v>60</v>
      </c>
      <c r="Y769" t="s">
        <v>412</v>
      </c>
      <c r="Z769" t="s">
        <v>60</v>
      </c>
      <c r="AA769" t="s">
        <v>491</v>
      </c>
    </row>
    <row r="770" spans="1:27" x14ac:dyDescent="0.2">
      <c r="A770" s="1">
        <v>46040</v>
      </c>
      <c r="B770" t="s">
        <v>365</v>
      </c>
      <c r="C770" t="s">
        <v>36</v>
      </c>
      <c r="D770" t="s">
        <v>26</v>
      </c>
      <c r="E770" t="s">
        <v>1210</v>
      </c>
      <c r="F770" t="s">
        <v>36</v>
      </c>
      <c r="G770">
        <v>2</v>
      </c>
      <c r="H770">
        <v>3</v>
      </c>
      <c r="I770" s="13">
        <v>0.6</v>
      </c>
      <c r="J770" t="s">
        <v>249</v>
      </c>
      <c r="L770" t="s">
        <v>60</v>
      </c>
      <c r="M770" t="s">
        <v>60</v>
      </c>
      <c r="N770" t="s">
        <v>36</v>
      </c>
      <c r="O770">
        <v>2</v>
      </c>
      <c r="P770">
        <v>3</v>
      </c>
      <c r="Q770" s="13">
        <v>0.49433616789893409</v>
      </c>
      <c r="R770" t="s">
        <v>249</v>
      </c>
      <c r="S770">
        <v>-0.29406276524430841</v>
      </c>
      <c r="T770" t="s">
        <v>60</v>
      </c>
      <c r="U770" t="s">
        <v>60</v>
      </c>
      <c r="X770" t="s">
        <v>60</v>
      </c>
      <c r="Y770" t="s">
        <v>412</v>
      </c>
      <c r="Z770" t="s">
        <v>60</v>
      </c>
      <c r="AA770" t="s">
        <v>491</v>
      </c>
    </row>
    <row r="771" spans="1:27" x14ac:dyDescent="0.2">
      <c r="A771" s="1">
        <v>46041</v>
      </c>
      <c r="B771" t="s">
        <v>334</v>
      </c>
      <c r="C771" t="s">
        <v>34</v>
      </c>
      <c r="D771" t="s">
        <v>19</v>
      </c>
      <c r="E771" t="s">
        <v>1211</v>
      </c>
      <c r="F771" t="s">
        <v>34</v>
      </c>
      <c r="G771">
        <v>2</v>
      </c>
      <c r="H771">
        <v>3</v>
      </c>
      <c r="I771" s="13">
        <v>0.6</v>
      </c>
      <c r="J771" t="s">
        <v>249</v>
      </c>
      <c r="L771" t="s">
        <v>60</v>
      </c>
      <c r="M771" t="s">
        <v>60</v>
      </c>
      <c r="N771" t="s">
        <v>34</v>
      </c>
      <c r="O771">
        <v>2</v>
      </c>
      <c r="P771">
        <v>3</v>
      </c>
      <c r="Q771" s="13">
        <v>0.56433402114844189</v>
      </c>
      <c r="R771" t="s">
        <v>249</v>
      </c>
      <c r="S771">
        <v>-0.52945305494633932</v>
      </c>
      <c r="T771" t="s">
        <v>60</v>
      </c>
      <c r="U771" t="s">
        <v>60</v>
      </c>
      <c r="X771" t="s">
        <v>60</v>
      </c>
      <c r="Y771" t="s">
        <v>412</v>
      </c>
      <c r="Z771" t="s">
        <v>60</v>
      </c>
      <c r="AA771" t="s">
        <v>491</v>
      </c>
    </row>
    <row r="772" spans="1:27" x14ac:dyDescent="0.2">
      <c r="A772" s="1">
        <v>46041</v>
      </c>
      <c r="B772" t="s">
        <v>365</v>
      </c>
      <c r="C772" t="s">
        <v>14</v>
      </c>
      <c r="D772" t="s">
        <v>32</v>
      </c>
      <c r="E772" t="s">
        <v>1212</v>
      </c>
      <c r="F772" t="s">
        <v>14</v>
      </c>
      <c r="G772">
        <v>2</v>
      </c>
      <c r="H772">
        <v>3</v>
      </c>
      <c r="I772" s="13">
        <v>0.6</v>
      </c>
      <c r="J772" t="s">
        <v>249</v>
      </c>
      <c r="L772" t="s">
        <v>60</v>
      </c>
      <c r="M772" t="s">
        <v>60</v>
      </c>
      <c r="N772" t="s">
        <v>14</v>
      </c>
      <c r="O772">
        <v>2</v>
      </c>
      <c r="P772">
        <v>3</v>
      </c>
      <c r="Q772" s="13">
        <v>0.55267301312381723</v>
      </c>
      <c r="R772" t="s">
        <v>249</v>
      </c>
      <c r="S772">
        <v>-0.45721226478943761</v>
      </c>
      <c r="T772" t="s">
        <v>60</v>
      </c>
      <c r="U772" t="s">
        <v>60</v>
      </c>
      <c r="X772" t="s">
        <v>60</v>
      </c>
      <c r="Y772" t="s">
        <v>412</v>
      </c>
      <c r="Z772" t="s">
        <v>60</v>
      </c>
      <c r="AA772" t="s">
        <v>491</v>
      </c>
    </row>
    <row r="773" spans="1:27" x14ac:dyDescent="0.2">
      <c r="A773" s="1">
        <v>46041</v>
      </c>
      <c r="B773" t="s">
        <v>322</v>
      </c>
      <c r="C773" t="s">
        <v>30</v>
      </c>
      <c r="D773" t="s">
        <v>38</v>
      </c>
      <c r="E773" t="s">
        <v>1213</v>
      </c>
      <c r="F773" t="s">
        <v>30</v>
      </c>
      <c r="G773">
        <v>2</v>
      </c>
      <c r="H773">
        <v>3</v>
      </c>
      <c r="I773" s="13">
        <v>0.6</v>
      </c>
      <c r="J773" t="s">
        <v>249</v>
      </c>
      <c r="L773" t="s">
        <v>60</v>
      </c>
      <c r="M773" t="s">
        <v>60</v>
      </c>
      <c r="N773" t="s">
        <v>30</v>
      </c>
      <c r="O773">
        <v>2</v>
      </c>
      <c r="P773">
        <v>3</v>
      </c>
      <c r="Q773" s="13">
        <v>0.60931951821942276</v>
      </c>
      <c r="R773" t="s">
        <v>249</v>
      </c>
      <c r="S773">
        <v>-0.65684500874630902</v>
      </c>
      <c r="T773" t="s">
        <v>60</v>
      </c>
      <c r="U773" t="s">
        <v>60</v>
      </c>
      <c r="X773" t="s">
        <v>60</v>
      </c>
      <c r="Y773" t="s">
        <v>412</v>
      </c>
      <c r="Z773" t="s">
        <v>60</v>
      </c>
      <c r="AA773" t="s">
        <v>491</v>
      </c>
    </row>
    <row r="774" spans="1:27" x14ac:dyDescent="0.2">
      <c r="A774" s="1">
        <v>46041</v>
      </c>
      <c r="B774" t="s">
        <v>324</v>
      </c>
      <c r="C774" t="s">
        <v>27</v>
      </c>
      <c r="D774" t="s">
        <v>20</v>
      </c>
      <c r="E774" t="s">
        <v>1214</v>
      </c>
      <c r="F774" t="s">
        <v>20</v>
      </c>
      <c r="G774">
        <v>2</v>
      </c>
      <c r="H774">
        <v>3</v>
      </c>
      <c r="I774" s="13">
        <v>0.6</v>
      </c>
      <c r="J774" t="s">
        <v>249</v>
      </c>
      <c r="L774" t="s">
        <v>60</v>
      </c>
      <c r="M774" t="s">
        <v>60</v>
      </c>
      <c r="N774" t="s">
        <v>20</v>
      </c>
      <c r="O774">
        <v>2</v>
      </c>
      <c r="P774">
        <v>3</v>
      </c>
      <c r="Q774" s="13">
        <v>0.51917059478617977</v>
      </c>
      <c r="R774" t="s">
        <v>249</v>
      </c>
      <c r="S774">
        <v>0.18569950210884209</v>
      </c>
      <c r="T774" t="s">
        <v>60</v>
      </c>
      <c r="U774" t="s">
        <v>60</v>
      </c>
      <c r="X774" t="s">
        <v>60</v>
      </c>
      <c r="Y774" t="s">
        <v>412</v>
      </c>
      <c r="Z774" t="s">
        <v>60</v>
      </c>
      <c r="AA774" t="s">
        <v>491</v>
      </c>
    </row>
    <row r="775" spans="1:27" x14ac:dyDescent="0.2">
      <c r="A775" s="1">
        <v>46041</v>
      </c>
      <c r="B775" t="s">
        <v>328</v>
      </c>
      <c r="C775" t="s">
        <v>33</v>
      </c>
      <c r="D775" t="s">
        <v>11</v>
      </c>
      <c r="E775" t="s">
        <v>1215</v>
      </c>
      <c r="F775" t="s">
        <v>11</v>
      </c>
      <c r="G775">
        <v>2</v>
      </c>
      <c r="H775">
        <v>3</v>
      </c>
      <c r="I775" s="13">
        <v>0.6</v>
      </c>
      <c r="J775" t="s">
        <v>249</v>
      </c>
      <c r="L775" t="s">
        <v>60</v>
      </c>
      <c r="M775" t="s">
        <v>60</v>
      </c>
      <c r="N775" t="s">
        <v>11</v>
      </c>
      <c r="O775">
        <v>2</v>
      </c>
      <c r="P775">
        <v>3</v>
      </c>
      <c r="Q775" s="13">
        <v>0.56617340241914338</v>
      </c>
      <c r="R775" t="s">
        <v>249</v>
      </c>
      <c r="S775">
        <v>0.1041134502412993</v>
      </c>
      <c r="T775" t="s">
        <v>60</v>
      </c>
      <c r="U775" t="s">
        <v>60</v>
      </c>
      <c r="X775" t="s">
        <v>60</v>
      </c>
      <c r="Y775" t="s">
        <v>412</v>
      </c>
      <c r="Z775" t="s">
        <v>60</v>
      </c>
      <c r="AA775" t="s">
        <v>491</v>
      </c>
    </row>
    <row r="776" spans="1:27" x14ac:dyDescent="0.2">
      <c r="A776" s="1">
        <v>46041</v>
      </c>
      <c r="B776" t="s">
        <v>542</v>
      </c>
      <c r="C776" t="s">
        <v>23</v>
      </c>
      <c r="D776" t="s">
        <v>25</v>
      </c>
      <c r="E776" t="s">
        <v>830</v>
      </c>
      <c r="F776" t="s">
        <v>25</v>
      </c>
      <c r="G776">
        <v>2</v>
      </c>
      <c r="H776">
        <v>3</v>
      </c>
      <c r="I776" s="13">
        <v>0.6</v>
      </c>
      <c r="J776" t="s">
        <v>249</v>
      </c>
      <c r="L776" t="s">
        <v>60</v>
      </c>
      <c r="M776" t="s">
        <v>60</v>
      </c>
      <c r="N776" t="s">
        <v>25</v>
      </c>
      <c r="O776">
        <v>2</v>
      </c>
      <c r="P776">
        <v>3</v>
      </c>
      <c r="Q776" s="13">
        <v>0.70283940031160697</v>
      </c>
      <c r="R776" t="s">
        <v>249</v>
      </c>
      <c r="S776">
        <v>0.95168632199230485</v>
      </c>
      <c r="T776" t="s">
        <v>60</v>
      </c>
      <c r="U776" t="s">
        <v>60</v>
      </c>
      <c r="X776" t="s">
        <v>60</v>
      </c>
      <c r="Y776" t="s">
        <v>412</v>
      </c>
      <c r="Z776" t="s">
        <v>60</v>
      </c>
      <c r="AA776" t="s">
        <v>491</v>
      </c>
    </row>
    <row r="777" spans="1:27" x14ac:dyDescent="0.2">
      <c r="A777" s="1">
        <v>46041</v>
      </c>
      <c r="B777" t="s">
        <v>416</v>
      </c>
      <c r="C777" t="s">
        <v>40</v>
      </c>
      <c r="D777" t="s">
        <v>10</v>
      </c>
      <c r="E777" t="s">
        <v>1216</v>
      </c>
      <c r="F777" t="s">
        <v>10</v>
      </c>
      <c r="G777">
        <v>2</v>
      </c>
      <c r="H777">
        <v>3</v>
      </c>
      <c r="I777" s="13">
        <v>0.6</v>
      </c>
      <c r="J777" t="s">
        <v>249</v>
      </c>
      <c r="L777" t="s">
        <v>60</v>
      </c>
      <c r="M777" t="s">
        <v>60</v>
      </c>
      <c r="N777" t="s">
        <v>10</v>
      </c>
      <c r="O777">
        <v>2</v>
      </c>
      <c r="P777">
        <v>3</v>
      </c>
      <c r="Q777" s="13">
        <v>0.54105951093214566</v>
      </c>
      <c r="R777" t="s">
        <v>249</v>
      </c>
      <c r="S777">
        <v>0.1869463175216404</v>
      </c>
      <c r="T777" t="s">
        <v>60</v>
      </c>
      <c r="U777" t="s">
        <v>60</v>
      </c>
      <c r="X777" t="s">
        <v>60</v>
      </c>
      <c r="Y777" t="s">
        <v>412</v>
      </c>
      <c r="Z777" t="s">
        <v>60</v>
      </c>
      <c r="AA777" t="s">
        <v>491</v>
      </c>
    </row>
    <row r="778" spans="1:27" x14ac:dyDescent="0.2">
      <c r="A778" s="1">
        <v>46041</v>
      </c>
      <c r="B778" t="s">
        <v>326</v>
      </c>
      <c r="C778" t="s">
        <v>24</v>
      </c>
      <c r="D778" t="s">
        <v>16</v>
      </c>
      <c r="E778" t="s">
        <v>1217</v>
      </c>
      <c r="F778" t="s">
        <v>24</v>
      </c>
      <c r="G778">
        <v>2</v>
      </c>
      <c r="H778">
        <v>3</v>
      </c>
      <c r="I778" s="13">
        <v>0.6</v>
      </c>
      <c r="J778" t="s">
        <v>249</v>
      </c>
      <c r="L778" t="s">
        <v>60</v>
      </c>
      <c r="M778" t="s">
        <v>60</v>
      </c>
      <c r="N778" t="s">
        <v>24</v>
      </c>
      <c r="O778">
        <v>2</v>
      </c>
      <c r="P778">
        <v>3</v>
      </c>
      <c r="Q778" s="13">
        <v>0.59956695534910476</v>
      </c>
      <c r="R778" t="s">
        <v>249</v>
      </c>
      <c r="S778">
        <v>-1.0174107808860631</v>
      </c>
      <c r="T778" t="s">
        <v>60</v>
      </c>
      <c r="U778" t="s">
        <v>60</v>
      </c>
      <c r="X778" t="s">
        <v>60</v>
      </c>
      <c r="Y778" t="s">
        <v>412</v>
      </c>
      <c r="Z778" t="s">
        <v>60</v>
      </c>
      <c r="AA778" t="s">
        <v>491</v>
      </c>
    </row>
    <row r="779" spans="1:27" x14ac:dyDescent="0.2">
      <c r="A779" s="1">
        <v>46041</v>
      </c>
      <c r="B779" t="s">
        <v>322</v>
      </c>
      <c r="C779" t="s">
        <v>15</v>
      </c>
      <c r="D779" t="s">
        <v>31</v>
      </c>
      <c r="E779" t="s">
        <v>1218</v>
      </c>
      <c r="F779" t="s">
        <v>31</v>
      </c>
      <c r="G779">
        <v>2</v>
      </c>
      <c r="H779">
        <v>3</v>
      </c>
      <c r="I779" s="13">
        <v>0.6</v>
      </c>
      <c r="J779" t="s">
        <v>249</v>
      </c>
      <c r="L779" t="s">
        <v>60</v>
      </c>
      <c r="M779" t="s">
        <v>60</v>
      </c>
      <c r="N779" t="s">
        <v>31</v>
      </c>
      <c r="O779">
        <v>2</v>
      </c>
      <c r="P779">
        <v>3</v>
      </c>
      <c r="Q779" s="13">
        <v>0.58229774290675174</v>
      </c>
      <c r="R779" t="s">
        <v>249</v>
      </c>
      <c r="S779">
        <v>0.51863775524637135</v>
      </c>
      <c r="T779" t="s">
        <v>60</v>
      </c>
      <c r="U779" t="s">
        <v>60</v>
      </c>
      <c r="X779" t="s">
        <v>60</v>
      </c>
      <c r="Y779" t="s">
        <v>412</v>
      </c>
      <c r="Z779" t="s">
        <v>60</v>
      </c>
      <c r="AA779" t="s">
        <v>491</v>
      </c>
    </row>
    <row r="780" spans="1:27" x14ac:dyDescent="0.2">
      <c r="A780" s="1">
        <v>46041</v>
      </c>
      <c r="B780" t="s">
        <v>369</v>
      </c>
      <c r="C780" t="s">
        <v>22</v>
      </c>
      <c r="D780" t="s">
        <v>12</v>
      </c>
      <c r="E780" t="s">
        <v>1219</v>
      </c>
      <c r="F780" t="s">
        <v>12</v>
      </c>
      <c r="G780">
        <v>2</v>
      </c>
      <c r="H780">
        <v>3</v>
      </c>
      <c r="I780" s="13">
        <v>0.6</v>
      </c>
      <c r="J780" t="s">
        <v>249</v>
      </c>
      <c r="L780" t="s">
        <v>60</v>
      </c>
      <c r="M780" t="s">
        <v>60</v>
      </c>
      <c r="N780" t="s">
        <v>12</v>
      </c>
      <c r="O780">
        <v>2</v>
      </c>
      <c r="P780">
        <v>3</v>
      </c>
      <c r="Q780" s="13">
        <v>0.74931201680503057</v>
      </c>
      <c r="R780" t="s">
        <v>249</v>
      </c>
      <c r="S780">
        <v>1.2410971744963819</v>
      </c>
      <c r="T780" t="s">
        <v>60</v>
      </c>
      <c r="U780" t="s">
        <v>60</v>
      </c>
      <c r="X780" t="s">
        <v>60</v>
      </c>
      <c r="Y780" t="s">
        <v>412</v>
      </c>
      <c r="Z780" t="s">
        <v>60</v>
      </c>
      <c r="AA780" t="s">
        <v>491</v>
      </c>
    </row>
    <row r="781" spans="1:27" x14ac:dyDescent="0.2">
      <c r="A781" s="1">
        <v>46042</v>
      </c>
      <c r="B781" t="s">
        <v>324</v>
      </c>
      <c r="C781" t="s">
        <v>35</v>
      </c>
      <c r="D781" t="s">
        <v>40</v>
      </c>
      <c r="E781" t="s">
        <v>1220</v>
      </c>
      <c r="F781" t="s">
        <v>40</v>
      </c>
      <c r="G781">
        <v>2</v>
      </c>
      <c r="H781">
        <v>3</v>
      </c>
      <c r="I781" s="13">
        <v>0.6</v>
      </c>
      <c r="J781" t="s">
        <v>249</v>
      </c>
      <c r="L781" t="s">
        <v>60</v>
      </c>
      <c r="M781" t="s">
        <v>60</v>
      </c>
      <c r="N781" t="s">
        <v>40</v>
      </c>
      <c r="O781">
        <v>2</v>
      </c>
      <c r="P781">
        <v>3</v>
      </c>
      <c r="Q781" s="13">
        <v>0.67457245303438529</v>
      </c>
      <c r="R781" t="s">
        <v>249</v>
      </c>
      <c r="S781">
        <v>1.131137297088094</v>
      </c>
      <c r="T781" t="s">
        <v>60</v>
      </c>
      <c r="U781" t="s">
        <v>60</v>
      </c>
      <c r="X781" t="s">
        <v>60</v>
      </c>
      <c r="Y781" t="s">
        <v>412</v>
      </c>
      <c r="Z781" t="s">
        <v>60</v>
      </c>
      <c r="AA781" t="s">
        <v>491</v>
      </c>
    </row>
    <row r="782" spans="1:27" x14ac:dyDescent="0.2">
      <c r="A782" s="1">
        <v>46042</v>
      </c>
      <c r="B782" t="s">
        <v>324</v>
      </c>
      <c r="C782" t="s">
        <v>23</v>
      </c>
      <c r="D782" t="s">
        <v>29</v>
      </c>
      <c r="E782" t="s">
        <v>1221</v>
      </c>
      <c r="F782" t="s">
        <v>23</v>
      </c>
      <c r="G782">
        <v>2</v>
      </c>
      <c r="H782">
        <v>3</v>
      </c>
      <c r="I782" s="13">
        <v>0.6</v>
      </c>
      <c r="J782" t="s">
        <v>249</v>
      </c>
      <c r="L782" t="s">
        <v>60</v>
      </c>
      <c r="M782" t="s">
        <v>60</v>
      </c>
      <c r="N782" t="s">
        <v>23</v>
      </c>
      <c r="O782">
        <v>2</v>
      </c>
      <c r="P782">
        <v>3</v>
      </c>
      <c r="Q782" s="13">
        <v>0.5602899636246178</v>
      </c>
      <c r="R782" t="s">
        <v>249</v>
      </c>
      <c r="S782">
        <v>-0.85890609914630889</v>
      </c>
      <c r="T782" t="s">
        <v>60</v>
      </c>
      <c r="U782" t="s">
        <v>60</v>
      </c>
      <c r="X782" t="s">
        <v>60</v>
      </c>
      <c r="Y782" t="s">
        <v>412</v>
      </c>
      <c r="Z782" t="s">
        <v>60</v>
      </c>
      <c r="AA782" t="s">
        <v>491</v>
      </c>
    </row>
    <row r="783" spans="1:27" x14ac:dyDescent="0.2">
      <c r="A783" s="1">
        <v>46042</v>
      </c>
      <c r="B783" t="s">
        <v>328</v>
      </c>
      <c r="C783" t="s">
        <v>34</v>
      </c>
      <c r="D783" t="s">
        <v>18</v>
      </c>
      <c r="E783" t="s">
        <v>1222</v>
      </c>
      <c r="F783" t="s">
        <v>34</v>
      </c>
      <c r="G783">
        <v>2</v>
      </c>
      <c r="H783">
        <v>3</v>
      </c>
      <c r="I783" s="13">
        <v>0.6</v>
      </c>
      <c r="J783" t="s">
        <v>249</v>
      </c>
      <c r="L783" t="s">
        <v>60</v>
      </c>
      <c r="M783" t="s">
        <v>60</v>
      </c>
      <c r="N783" t="s">
        <v>34</v>
      </c>
      <c r="O783">
        <v>2</v>
      </c>
      <c r="P783">
        <v>3</v>
      </c>
      <c r="Q783" s="13">
        <v>0.5594778959036335</v>
      </c>
      <c r="R783" t="s">
        <v>249</v>
      </c>
      <c r="S783">
        <v>-0.4878640919011839</v>
      </c>
      <c r="T783" t="s">
        <v>60</v>
      </c>
      <c r="U783" t="s">
        <v>60</v>
      </c>
      <c r="X783" t="s">
        <v>60</v>
      </c>
      <c r="Y783" t="s">
        <v>412</v>
      </c>
      <c r="Z783" t="s">
        <v>60</v>
      </c>
      <c r="AA783" t="s">
        <v>491</v>
      </c>
    </row>
    <row r="784" spans="1:27" x14ac:dyDescent="0.2">
      <c r="A784" s="1">
        <v>46042</v>
      </c>
      <c r="B784" t="s">
        <v>328</v>
      </c>
      <c r="C784" t="s">
        <v>33</v>
      </c>
      <c r="D784" t="s">
        <v>37</v>
      </c>
      <c r="E784" t="s">
        <v>1223</v>
      </c>
      <c r="F784" t="s">
        <v>37</v>
      </c>
      <c r="G784">
        <v>2</v>
      </c>
      <c r="H784">
        <v>3</v>
      </c>
      <c r="I784" s="13">
        <v>0.6</v>
      </c>
      <c r="J784" t="s">
        <v>249</v>
      </c>
      <c r="L784" t="s">
        <v>60</v>
      </c>
      <c r="M784" t="s">
        <v>60</v>
      </c>
      <c r="N784" t="s">
        <v>37</v>
      </c>
      <c r="O784">
        <v>2</v>
      </c>
      <c r="P784">
        <v>3</v>
      </c>
      <c r="Q784" s="13">
        <v>0.69038125630616265</v>
      </c>
      <c r="R784" t="s">
        <v>249</v>
      </c>
      <c r="S784">
        <v>1.01173668805201</v>
      </c>
      <c r="T784" t="s">
        <v>60</v>
      </c>
      <c r="U784" t="s">
        <v>60</v>
      </c>
      <c r="X784" t="s">
        <v>60</v>
      </c>
      <c r="Y784" t="s">
        <v>412</v>
      </c>
      <c r="Z784" t="s">
        <v>60</v>
      </c>
      <c r="AA784" t="s">
        <v>491</v>
      </c>
    </row>
    <row r="785" spans="1:27" x14ac:dyDescent="0.2">
      <c r="A785" s="1">
        <v>46042</v>
      </c>
      <c r="B785" t="s">
        <v>322</v>
      </c>
      <c r="C785" t="s">
        <v>24</v>
      </c>
      <c r="D785" t="s">
        <v>17</v>
      </c>
      <c r="E785" t="s">
        <v>1224</v>
      </c>
      <c r="F785" t="s">
        <v>24</v>
      </c>
      <c r="G785">
        <v>2</v>
      </c>
      <c r="H785">
        <v>3</v>
      </c>
      <c r="I785" s="13">
        <v>0.6</v>
      </c>
      <c r="J785" t="s">
        <v>249</v>
      </c>
      <c r="L785" t="s">
        <v>60</v>
      </c>
      <c r="M785" t="s">
        <v>60</v>
      </c>
      <c r="N785" t="s">
        <v>24</v>
      </c>
      <c r="O785">
        <v>2</v>
      </c>
      <c r="P785">
        <v>3</v>
      </c>
      <c r="Q785" s="13">
        <v>0.56352023309781618</v>
      </c>
      <c r="R785" t="s">
        <v>249</v>
      </c>
      <c r="S785">
        <v>-0.76937616607896353</v>
      </c>
      <c r="T785" t="s">
        <v>60</v>
      </c>
      <c r="U785" t="s">
        <v>60</v>
      </c>
      <c r="X785" t="s">
        <v>60</v>
      </c>
      <c r="Y785" t="s">
        <v>412</v>
      </c>
      <c r="Z785" t="s">
        <v>60</v>
      </c>
      <c r="AA785" t="s">
        <v>491</v>
      </c>
    </row>
    <row r="786" spans="1:27" x14ac:dyDescent="0.2">
      <c r="A786" s="1">
        <v>46042</v>
      </c>
      <c r="B786" t="s">
        <v>334</v>
      </c>
      <c r="C786" t="s">
        <v>21</v>
      </c>
      <c r="D786" t="s">
        <v>39</v>
      </c>
      <c r="E786" t="s">
        <v>1225</v>
      </c>
      <c r="F786" t="s">
        <v>39</v>
      </c>
      <c r="G786">
        <v>2</v>
      </c>
      <c r="H786">
        <v>3</v>
      </c>
      <c r="I786" s="13">
        <v>0.6</v>
      </c>
      <c r="J786" t="s">
        <v>249</v>
      </c>
      <c r="L786" t="s">
        <v>60</v>
      </c>
      <c r="M786" t="s">
        <v>60</v>
      </c>
      <c r="N786" t="s">
        <v>39</v>
      </c>
      <c r="O786">
        <v>2</v>
      </c>
      <c r="P786">
        <v>3</v>
      </c>
      <c r="Q786" s="13">
        <v>0.65119209751769036</v>
      </c>
      <c r="R786" t="s">
        <v>249</v>
      </c>
      <c r="S786">
        <v>0.68311301122601387</v>
      </c>
      <c r="T786" t="s">
        <v>60</v>
      </c>
      <c r="U786" t="s">
        <v>60</v>
      </c>
      <c r="X786" t="s">
        <v>60</v>
      </c>
      <c r="Y786" t="s">
        <v>412</v>
      </c>
      <c r="Z786" t="s">
        <v>60</v>
      </c>
      <c r="AA786" t="s">
        <v>491</v>
      </c>
    </row>
    <row r="787" spans="1:27" x14ac:dyDescent="0.2">
      <c r="A787" s="1">
        <v>46042</v>
      </c>
      <c r="B787" t="s">
        <v>328</v>
      </c>
      <c r="C787" t="s">
        <v>36</v>
      </c>
      <c r="D787" t="s">
        <v>28</v>
      </c>
      <c r="E787" t="s">
        <v>986</v>
      </c>
      <c r="F787" t="s">
        <v>36</v>
      </c>
      <c r="G787">
        <v>2</v>
      </c>
      <c r="H787">
        <v>3</v>
      </c>
      <c r="I787" s="13">
        <v>0.6</v>
      </c>
      <c r="J787" t="s">
        <v>249</v>
      </c>
      <c r="L787" t="s">
        <v>60</v>
      </c>
      <c r="M787" t="s">
        <v>60</v>
      </c>
      <c r="N787" t="s">
        <v>36</v>
      </c>
      <c r="O787">
        <v>2</v>
      </c>
      <c r="P787">
        <v>3</v>
      </c>
      <c r="Q787" s="13">
        <v>0.46160114896627552</v>
      </c>
      <c r="R787" t="s">
        <v>249</v>
      </c>
      <c r="S787">
        <v>-1.3712604562539201E-2</v>
      </c>
      <c r="T787" t="s">
        <v>60</v>
      </c>
      <c r="U787" t="s">
        <v>60</v>
      </c>
      <c r="X787" t="s">
        <v>60</v>
      </c>
      <c r="Y787" t="s">
        <v>412</v>
      </c>
      <c r="Z787" t="s">
        <v>60</v>
      </c>
      <c r="AA787" t="s">
        <v>491</v>
      </c>
    </row>
    <row r="788" spans="1:27" x14ac:dyDescent="0.2">
      <c r="A788" s="1">
        <v>46042</v>
      </c>
      <c r="B788" t="s">
        <v>322</v>
      </c>
      <c r="C788" t="s">
        <v>15</v>
      </c>
      <c r="D788" t="s">
        <v>13</v>
      </c>
      <c r="E788" t="s">
        <v>1226</v>
      </c>
      <c r="F788" t="s">
        <v>13</v>
      </c>
      <c r="G788">
        <v>2</v>
      </c>
      <c r="H788">
        <v>3</v>
      </c>
      <c r="I788" s="13">
        <v>0.6</v>
      </c>
      <c r="J788" t="s">
        <v>249</v>
      </c>
      <c r="L788" t="s">
        <v>60</v>
      </c>
      <c r="M788" t="s">
        <v>60</v>
      </c>
      <c r="N788" t="s">
        <v>13</v>
      </c>
      <c r="O788">
        <v>2</v>
      </c>
      <c r="P788">
        <v>3</v>
      </c>
      <c r="Q788" s="13">
        <v>0.44011132795361219</v>
      </c>
      <c r="R788" t="s">
        <v>249</v>
      </c>
      <c r="S788">
        <v>1.6511347298914E-3</v>
      </c>
      <c r="T788" t="s">
        <v>60</v>
      </c>
      <c r="U788" t="s">
        <v>60</v>
      </c>
      <c r="X788" t="s">
        <v>60</v>
      </c>
      <c r="Y788" t="s">
        <v>412</v>
      </c>
      <c r="Z788" t="s">
        <v>60</v>
      </c>
      <c r="AA788" t="s">
        <v>491</v>
      </c>
    </row>
    <row r="789" spans="1:27" x14ac:dyDescent="0.2">
      <c r="A789" s="1">
        <v>46043</v>
      </c>
      <c r="B789" t="s">
        <v>426</v>
      </c>
      <c r="C789" t="s">
        <v>14</v>
      </c>
      <c r="D789" t="s">
        <v>16</v>
      </c>
      <c r="E789" t="s">
        <v>1227</v>
      </c>
      <c r="F789" t="s">
        <v>14</v>
      </c>
      <c r="G789">
        <v>2</v>
      </c>
      <c r="H789">
        <v>3</v>
      </c>
      <c r="I789" s="13">
        <v>0.6</v>
      </c>
      <c r="J789" t="s">
        <v>249</v>
      </c>
      <c r="L789" t="s">
        <v>60</v>
      </c>
      <c r="M789" t="s">
        <v>60</v>
      </c>
      <c r="N789" t="s">
        <v>14</v>
      </c>
      <c r="O789">
        <v>2</v>
      </c>
      <c r="P789">
        <v>3</v>
      </c>
      <c r="Q789" s="13">
        <v>0.60129433091862239</v>
      </c>
      <c r="R789" t="s">
        <v>249</v>
      </c>
      <c r="S789">
        <v>-0.87361630855596839</v>
      </c>
      <c r="T789" t="s">
        <v>60</v>
      </c>
      <c r="U789" t="s">
        <v>60</v>
      </c>
      <c r="X789" t="s">
        <v>60</v>
      </c>
      <c r="Y789" t="s">
        <v>412</v>
      </c>
      <c r="Z789" t="s">
        <v>60</v>
      </c>
      <c r="AA789" t="s">
        <v>491</v>
      </c>
    </row>
    <row r="790" spans="1:27" x14ac:dyDescent="0.2">
      <c r="A790" s="1">
        <v>46043</v>
      </c>
      <c r="B790" t="s">
        <v>326</v>
      </c>
      <c r="C790" t="s">
        <v>31</v>
      </c>
      <c r="D790" t="s">
        <v>12</v>
      </c>
      <c r="E790" t="s">
        <v>852</v>
      </c>
      <c r="F790" t="s">
        <v>12</v>
      </c>
      <c r="G790">
        <v>2</v>
      </c>
      <c r="H790">
        <v>3</v>
      </c>
      <c r="I790" s="13">
        <v>0.6</v>
      </c>
      <c r="J790" t="s">
        <v>249</v>
      </c>
      <c r="L790" t="s">
        <v>60</v>
      </c>
      <c r="M790" t="s">
        <v>60</v>
      </c>
      <c r="N790" t="s">
        <v>12</v>
      </c>
      <c r="O790">
        <v>2</v>
      </c>
      <c r="P790">
        <v>3</v>
      </c>
      <c r="Q790" s="13">
        <v>0.8005092709515379</v>
      </c>
      <c r="R790" t="s">
        <v>249</v>
      </c>
      <c r="S790">
        <v>1.5031013855108719</v>
      </c>
      <c r="T790" t="s">
        <v>60</v>
      </c>
      <c r="U790" t="s">
        <v>60</v>
      </c>
      <c r="X790" t="s">
        <v>60</v>
      </c>
      <c r="Y790" t="s">
        <v>412</v>
      </c>
      <c r="Z790" t="s">
        <v>60</v>
      </c>
      <c r="AA790" t="s">
        <v>491</v>
      </c>
    </row>
    <row r="791" spans="1:27" x14ac:dyDescent="0.2">
      <c r="A791" s="1">
        <v>46043</v>
      </c>
      <c r="B791" t="s">
        <v>426</v>
      </c>
      <c r="C791" t="s">
        <v>30</v>
      </c>
      <c r="D791" t="s">
        <v>32</v>
      </c>
      <c r="E791" t="s">
        <v>1228</v>
      </c>
      <c r="F791" t="s">
        <v>30</v>
      </c>
      <c r="G791">
        <v>2</v>
      </c>
      <c r="H791">
        <v>3</v>
      </c>
      <c r="I791" s="13">
        <v>0.6</v>
      </c>
      <c r="J791" t="s">
        <v>249</v>
      </c>
      <c r="L791" t="s">
        <v>60</v>
      </c>
      <c r="M791" t="s">
        <v>60</v>
      </c>
      <c r="N791" t="s">
        <v>30</v>
      </c>
      <c r="O791">
        <v>2</v>
      </c>
      <c r="P791">
        <v>3</v>
      </c>
      <c r="Q791" s="13">
        <v>0.57448852992749844</v>
      </c>
      <c r="R791" t="s">
        <v>249</v>
      </c>
      <c r="S791">
        <v>-0.35854448891359492</v>
      </c>
      <c r="T791" t="s">
        <v>60</v>
      </c>
      <c r="U791" t="s">
        <v>60</v>
      </c>
      <c r="X791" t="s">
        <v>60</v>
      </c>
      <c r="Y791" t="s">
        <v>412</v>
      </c>
      <c r="Z791" t="s">
        <v>60</v>
      </c>
      <c r="AA791" t="s">
        <v>491</v>
      </c>
    </row>
    <row r="792" spans="1:27" x14ac:dyDescent="0.2">
      <c r="A792" s="1">
        <v>46043</v>
      </c>
      <c r="B792" t="s">
        <v>328</v>
      </c>
      <c r="C792" t="s">
        <v>26</v>
      </c>
      <c r="D792" t="s">
        <v>19</v>
      </c>
      <c r="E792" t="s">
        <v>547</v>
      </c>
      <c r="F792" t="s">
        <v>19</v>
      </c>
      <c r="G792">
        <v>2</v>
      </c>
      <c r="H792">
        <v>3</v>
      </c>
      <c r="I792" s="13">
        <v>0.6</v>
      </c>
      <c r="J792" t="s">
        <v>249</v>
      </c>
      <c r="L792" t="s">
        <v>60</v>
      </c>
      <c r="M792" t="s">
        <v>60</v>
      </c>
      <c r="N792" t="s">
        <v>19</v>
      </c>
      <c r="O792">
        <v>2</v>
      </c>
      <c r="P792">
        <v>3</v>
      </c>
      <c r="Q792" s="13">
        <v>0.5739507224545598</v>
      </c>
      <c r="R792" t="s">
        <v>249</v>
      </c>
      <c r="S792">
        <v>0.29076172263649142</v>
      </c>
      <c r="T792" t="s">
        <v>60</v>
      </c>
      <c r="U792" t="s">
        <v>60</v>
      </c>
      <c r="X792" t="s">
        <v>60</v>
      </c>
      <c r="Y792" t="s">
        <v>412</v>
      </c>
      <c r="Z792" t="s">
        <v>60</v>
      </c>
      <c r="AA792" t="s">
        <v>491</v>
      </c>
    </row>
    <row r="793" spans="1:27" x14ac:dyDescent="0.2">
      <c r="A793" s="1">
        <v>46043</v>
      </c>
      <c r="B793" t="s">
        <v>326</v>
      </c>
      <c r="C793" t="s">
        <v>27</v>
      </c>
      <c r="D793" t="s">
        <v>55</v>
      </c>
      <c r="E793" t="s">
        <v>1229</v>
      </c>
      <c r="F793" t="s">
        <v>55</v>
      </c>
      <c r="G793">
        <v>2</v>
      </c>
      <c r="H793">
        <v>3</v>
      </c>
      <c r="I793" s="13">
        <v>0.6</v>
      </c>
      <c r="J793" t="s">
        <v>249</v>
      </c>
      <c r="L793" t="s">
        <v>60</v>
      </c>
      <c r="M793" t="s">
        <v>60</v>
      </c>
      <c r="N793" t="s">
        <v>55</v>
      </c>
      <c r="O793">
        <v>2</v>
      </c>
      <c r="P793">
        <v>3</v>
      </c>
      <c r="Q793" s="13">
        <v>0.54161617702255915</v>
      </c>
      <c r="R793" t="s">
        <v>249</v>
      </c>
      <c r="S793">
        <v>2.7017043408295999E-2</v>
      </c>
      <c r="T793" t="s">
        <v>60</v>
      </c>
      <c r="U793" t="s">
        <v>60</v>
      </c>
      <c r="X793" t="s">
        <v>60</v>
      </c>
      <c r="Y793" t="s">
        <v>412</v>
      </c>
      <c r="Z793" t="s">
        <v>60</v>
      </c>
      <c r="AA793" t="s">
        <v>491</v>
      </c>
    </row>
    <row r="794" spans="1:27" x14ac:dyDescent="0.2">
      <c r="A794" s="1">
        <v>46043</v>
      </c>
      <c r="B794" t="s">
        <v>322</v>
      </c>
      <c r="C794" t="s">
        <v>22</v>
      </c>
      <c r="D794" t="s">
        <v>38</v>
      </c>
      <c r="E794" t="s">
        <v>1230</v>
      </c>
      <c r="F794" t="s">
        <v>22</v>
      </c>
      <c r="G794">
        <v>2</v>
      </c>
      <c r="H794">
        <v>3</v>
      </c>
      <c r="I794" s="13">
        <v>0.6</v>
      </c>
      <c r="J794" t="s">
        <v>249</v>
      </c>
      <c r="L794" t="s">
        <v>60</v>
      </c>
      <c r="M794" t="s">
        <v>60</v>
      </c>
      <c r="N794" t="s">
        <v>22</v>
      </c>
      <c r="O794">
        <v>2</v>
      </c>
      <c r="P794">
        <v>3</v>
      </c>
      <c r="Q794" s="13">
        <v>0.65880035233961631</v>
      </c>
      <c r="R794" t="s">
        <v>249</v>
      </c>
      <c r="S794">
        <v>-1.338484239041398</v>
      </c>
      <c r="T794" t="s">
        <v>60</v>
      </c>
      <c r="U794" t="s">
        <v>60</v>
      </c>
      <c r="X794" t="s">
        <v>60</v>
      </c>
      <c r="Y794" t="s">
        <v>412</v>
      </c>
      <c r="Z794" t="s">
        <v>60</v>
      </c>
      <c r="AA794" t="s">
        <v>491</v>
      </c>
    </row>
    <row r="795" spans="1:27" x14ac:dyDescent="0.2">
      <c r="A795" s="1">
        <v>46044</v>
      </c>
      <c r="B795" t="s">
        <v>328</v>
      </c>
      <c r="C795" t="s">
        <v>23</v>
      </c>
      <c r="D795" t="s">
        <v>18</v>
      </c>
      <c r="E795" t="s">
        <v>619</v>
      </c>
      <c r="F795" t="s">
        <v>23</v>
      </c>
      <c r="G795">
        <v>2</v>
      </c>
      <c r="H795">
        <v>3</v>
      </c>
      <c r="I795" s="13">
        <v>0.6</v>
      </c>
      <c r="J795" t="s">
        <v>249</v>
      </c>
      <c r="L795" t="s">
        <v>60</v>
      </c>
      <c r="M795" t="s">
        <v>60</v>
      </c>
      <c r="N795" t="s">
        <v>23</v>
      </c>
      <c r="O795">
        <v>2</v>
      </c>
      <c r="P795">
        <v>3</v>
      </c>
      <c r="Q795" s="13">
        <v>0.46780904534685669</v>
      </c>
      <c r="R795" t="s">
        <v>249</v>
      </c>
      <c r="S795">
        <v>-6.6878443610073002E-2</v>
      </c>
      <c r="T795" t="s">
        <v>60</v>
      </c>
      <c r="U795" t="s">
        <v>60</v>
      </c>
      <c r="X795" t="s">
        <v>60</v>
      </c>
      <c r="Y795" t="s">
        <v>412</v>
      </c>
      <c r="Z795" t="s">
        <v>60</v>
      </c>
      <c r="AA795" t="s">
        <v>491</v>
      </c>
    </row>
    <row r="796" spans="1:27" x14ac:dyDescent="0.2">
      <c r="A796" s="1">
        <v>46044</v>
      </c>
      <c r="B796" t="s">
        <v>324</v>
      </c>
      <c r="C796" t="s">
        <v>11</v>
      </c>
      <c r="D796" t="s">
        <v>40</v>
      </c>
      <c r="E796" t="s">
        <v>1231</v>
      </c>
      <c r="F796" t="s">
        <v>40</v>
      </c>
      <c r="G796">
        <v>2</v>
      </c>
      <c r="H796">
        <v>3</v>
      </c>
      <c r="I796" s="13">
        <v>0.6</v>
      </c>
      <c r="J796" t="s">
        <v>249</v>
      </c>
      <c r="L796" t="s">
        <v>60</v>
      </c>
      <c r="M796" t="s">
        <v>60</v>
      </c>
      <c r="N796" t="s">
        <v>40</v>
      </c>
      <c r="O796">
        <v>2</v>
      </c>
      <c r="P796">
        <v>3</v>
      </c>
      <c r="Q796" s="13">
        <v>0.55811594360700834</v>
      </c>
      <c r="R796" t="s">
        <v>249</v>
      </c>
      <c r="S796">
        <v>0.13377721620447749</v>
      </c>
      <c r="T796" t="s">
        <v>60</v>
      </c>
      <c r="U796" t="s">
        <v>60</v>
      </c>
      <c r="X796" t="s">
        <v>60</v>
      </c>
      <c r="Y796" t="s">
        <v>412</v>
      </c>
      <c r="Z796" t="s">
        <v>60</v>
      </c>
      <c r="AA796" t="s">
        <v>491</v>
      </c>
    </row>
    <row r="797" spans="1:27" x14ac:dyDescent="0.2">
      <c r="A797" s="1">
        <v>46044</v>
      </c>
      <c r="B797" t="s">
        <v>324</v>
      </c>
      <c r="C797" t="s">
        <v>36</v>
      </c>
      <c r="D797" t="s">
        <v>29</v>
      </c>
      <c r="E797" t="s">
        <v>1232</v>
      </c>
      <c r="F797" t="s">
        <v>36</v>
      </c>
      <c r="G797">
        <v>2</v>
      </c>
      <c r="H797">
        <v>3</v>
      </c>
      <c r="I797" s="13">
        <v>0.6</v>
      </c>
      <c r="J797" t="s">
        <v>249</v>
      </c>
      <c r="L797" t="s">
        <v>60</v>
      </c>
      <c r="M797" t="s">
        <v>60</v>
      </c>
      <c r="N797" t="s">
        <v>36</v>
      </c>
      <c r="O797">
        <v>2</v>
      </c>
      <c r="P797">
        <v>3</v>
      </c>
      <c r="Q797" s="13">
        <v>0.55383688739659709</v>
      </c>
      <c r="R797" t="s">
        <v>249</v>
      </c>
      <c r="S797">
        <v>-0.8036404840220599</v>
      </c>
      <c r="T797" t="s">
        <v>60</v>
      </c>
      <c r="U797" t="s">
        <v>60</v>
      </c>
      <c r="X797" t="s">
        <v>60</v>
      </c>
      <c r="Y797" t="s">
        <v>412</v>
      </c>
      <c r="Z797" t="s">
        <v>60</v>
      </c>
      <c r="AA797" t="s">
        <v>491</v>
      </c>
    </row>
    <row r="798" spans="1:27" x14ac:dyDescent="0.2">
      <c r="A798" s="1">
        <v>46044</v>
      </c>
      <c r="B798" t="s">
        <v>426</v>
      </c>
      <c r="C798" t="s">
        <v>26</v>
      </c>
      <c r="D798" t="s">
        <v>34</v>
      </c>
      <c r="E798" t="s">
        <v>1233</v>
      </c>
      <c r="F798" t="s">
        <v>34</v>
      </c>
      <c r="G798">
        <v>2</v>
      </c>
      <c r="H798">
        <v>3</v>
      </c>
      <c r="I798" s="13">
        <v>0.6</v>
      </c>
      <c r="J798" t="s">
        <v>249</v>
      </c>
      <c r="L798" t="s">
        <v>60</v>
      </c>
      <c r="M798" t="s">
        <v>60</v>
      </c>
      <c r="N798" t="s">
        <v>34</v>
      </c>
      <c r="O798">
        <v>2</v>
      </c>
      <c r="P798">
        <v>3</v>
      </c>
      <c r="Q798" s="13">
        <v>0.64159882970820126</v>
      </c>
      <c r="R798" t="s">
        <v>249</v>
      </c>
      <c r="S798">
        <v>0.87011552650599311</v>
      </c>
      <c r="T798" t="s">
        <v>60</v>
      </c>
      <c r="U798" t="s">
        <v>60</v>
      </c>
      <c r="X798" t="s">
        <v>60</v>
      </c>
      <c r="Y798" t="s">
        <v>412</v>
      </c>
      <c r="Z798" t="s">
        <v>60</v>
      </c>
      <c r="AA798" t="s">
        <v>491</v>
      </c>
    </row>
    <row r="799" spans="1:27" x14ac:dyDescent="0.2">
      <c r="A799" s="1">
        <v>46044</v>
      </c>
      <c r="B799" t="s">
        <v>328</v>
      </c>
      <c r="C799" t="s">
        <v>20</v>
      </c>
      <c r="D799" t="s">
        <v>21</v>
      </c>
      <c r="E799" t="s">
        <v>1234</v>
      </c>
      <c r="F799" t="s">
        <v>21</v>
      </c>
      <c r="G799">
        <v>2</v>
      </c>
      <c r="H799">
        <v>3</v>
      </c>
      <c r="I799" s="13">
        <v>0.6</v>
      </c>
      <c r="J799" t="s">
        <v>249</v>
      </c>
      <c r="L799" t="s">
        <v>60</v>
      </c>
      <c r="M799" t="s">
        <v>60</v>
      </c>
      <c r="N799" t="s">
        <v>21</v>
      </c>
      <c r="O799">
        <v>2</v>
      </c>
      <c r="P799">
        <v>3</v>
      </c>
      <c r="Q799" s="13">
        <v>0.59160891485008038</v>
      </c>
      <c r="R799" t="s">
        <v>249</v>
      </c>
      <c r="S799">
        <v>7.4571818796067196E-2</v>
      </c>
      <c r="T799" t="s">
        <v>60</v>
      </c>
      <c r="U799" t="s">
        <v>60</v>
      </c>
      <c r="X799" t="s">
        <v>60</v>
      </c>
      <c r="Y799" t="s">
        <v>412</v>
      </c>
      <c r="Z799" t="s">
        <v>60</v>
      </c>
      <c r="AA799" t="s">
        <v>491</v>
      </c>
    </row>
    <row r="800" spans="1:27" x14ac:dyDescent="0.2">
      <c r="A800" s="1">
        <v>46044</v>
      </c>
      <c r="B800" t="s">
        <v>328</v>
      </c>
      <c r="C800" t="s">
        <v>39</v>
      </c>
      <c r="D800" t="s">
        <v>28</v>
      </c>
      <c r="E800" t="s">
        <v>1235</v>
      </c>
      <c r="F800" t="s">
        <v>39</v>
      </c>
      <c r="G800">
        <v>2</v>
      </c>
      <c r="H800">
        <v>3</v>
      </c>
      <c r="I800" s="13">
        <v>0.6</v>
      </c>
      <c r="J800" t="s">
        <v>249</v>
      </c>
      <c r="L800" t="s">
        <v>60</v>
      </c>
      <c r="M800" t="s">
        <v>60</v>
      </c>
      <c r="N800" t="s">
        <v>39</v>
      </c>
      <c r="O800">
        <v>2</v>
      </c>
      <c r="P800">
        <v>3</v>
      </c>
      <c r="Q800" s="13">
        <v>0.67372041233192359</v>
      </c>
      <c r="R800" t="s">
        <v>249</v>
      </c>
      <c r="S800">
        <v>-0.9585311572824976</v>
      </c>
      <c r="T800" t="s">
        <v>60</v>
      </c>
      <c r="U800" t="s">
        <v>60</v>
      </c>
      <c r="X800" t="s">
        <v>60</v>
      </c>
      <c r="Y800" t="s">
        <v>412</v>
      </c>
      <c r="Z800" t="s">
        <v>60</v>
      </c>
      <c r="AA800" t="s">
        <v>491</v>
      </c>
    </row>
    <row r="801" spans="1:27" x14ac:dyDescent="0.2">
      <c r="A801" s="1">
        <v>46044</v>
      </c>
      <c r="B801" t="s">
        <v>328</v>
      </c>
      <c r="C801" t="s">
        <v>10</v>
      </c>
      <c r="D801" t="s">
        <v>25</v>
      </c>
      <c r="E801" t="s">
        <v>1236</v>
      </c>
      <c r="F801" t="s">
        <v>25</v>
      </c>
      <c r="G801">
        <v>2</v>
      </c>
      <c r="H801">
        <v>3</v>
      </c>
      <c r="I801" s="13">
        <v>0.6</v>
      </c>
      <c r="J801" t="s">
        <v>249</v>
      </c>
      <c r="L801" t="s">
        <v>60</v>
      </c>
      <c r="M801" t="s">
        <v>60</v>
      </c>
      <c r="N801" t="s">
        <v>25</v>
      </c>
      <c r="O801">
        <v>2</v>
      </c>
      <c r="P801">
        <v>3</v>
      </c>
      <c r="Q801" s="13">
        <v>0.66781999331427422</v>
      </c>
      <c r="R801" t="s">
        <v>249</v>
      </c>
      <c r="S801">
        <v>0.6517721414360288</v>
      </c>
      <c r="T801" t="s">
        <v>60</v>
      </c>
      <c r="U801" t="s">
        <v>60</v>
      </c>
      <c r="X801" t="s">
        <v>60</v>
      </c>
      <c r="Y801" t="s">
        <v>412</v>
      </c>
      <c r="Z801" t="s">
        <v>60</v>
      </c>
      <c r="AA801" t="s">
        <v>491</v>
      </c>
    </row>
    <row r="802" spans="1:27" x14ac:dyDescent="0.2">
      <c r="A802" s="1">
        <v>46044</v>
      </c>
      <c r="B802" t="s">
        <v>326</v>
      </c>
      <c r="C802" t="s">
        <v>14</v>
      </c>
      <c r="D802" t="s">
        <v>17</v>
      </c>
      <c r="E802" t="s">
        <v>1237</v>
      </c>
      <c r="F802" t="s">
        <v>14</v>
      </c>
      <c r="G802">
        <v>2</v>
      </c>
      <c r="H802">
        <v>3</v>
      </c>
      <c r="I802" s="13">
        <v>0.6</v>
      </c>
      <c r="J802" t="s">
        <v>249</v>
      </c>
      <c r="L802" t="s">
        <v>60</v>
      </c>
      <c r="M802" t="s">
        <v>60</v>
      </c>
      <c r="N802" t="s">
        <v>14</v>
      </c>
      <c r="O802">
        <v>2</v>
      </c>
      <c r="P802">
        <v>3</v>
      </c>
      <c r="Q802" s="13">
        <v>0.56523339567201758</v>
      </c>
      <c r="R802" t="s">
        <v>249</v>
      </c>
      <c r="S802">
        <v>-0.62558169374886929</v>
      </c>
      <c r="T802" t="s">
        <v>60</v>
      </c>
      <c r="U802" t="s">
        <v>60</v>
      </c>
      <c r="X802" t="s">
        <v>60</v>
      </c>
      <c r="Y802" t="s">
        <v>412</v>
      </c>
      <c r="Z802" t="s">
        <v>60</v>
      </c>
      <c r="AA802" t="s">
        <v>491</v>
      </c>
    </row>
    <row r="803" spans="1:27" x14ac:dyDescent="0.2">
      <c r="A803" s="1">
        <v>46045</v>
      </c>
      <c r="B803" t="s">
        <v>326</v>
      </c>
      <c r="C803" t="s">
        <v>22</v>
      </c>
      <c r="D803" t="s">
        <v>16</v>
      </c>
      <c r="E803" t="s">
        <v>1238</v>
      </c>
      <c r="F803" t="s">
        <v>22</v>
      </c>
      <c r="G803">
        <v>2</v>
      </c>
      <c r="H803">
        <v>3</v>
      </c>
      <c r="I803" s="13">
        <v>0.6</v>
      </c>
      <c r="J803" t="s">
        <v>249</v>
      </c>
      <c r="L803" t="s">
        <v>60</v>
      </c>
      <c r="M803" t="s">
        <v>60</v>
      </c>
      <c r="N803" t="s">
        <v>22</v>
      </c>
      <c r="O803">
        <v>2</v>
      </c>
      <c r="P803">
        <v>3</v>
      </c>
      <c r="Q803" s="13">
        <v>0.67259068184249715</v>
      </c>
      <c r="R803" t="s">
        <v>249</v>
      </c>
      <c r="S803">
        <v>-1.4565877629752151</v>
      </c>
      <c r="T803" t="s">
        <v>60</v>
      </c>
      <c r="U803" t="s">
        <v>60</v>
      </c>
      <c r="X803" t="s">
        <v>60</v>
      </c>
      <c r="Y803" t="s">
        <v>412</v>
      </c>
      <c r="Z803" t="s">
        <v>60</v>
      </c>
      <c r="AA803" t="s">
        <v>491</v>
      </c>
    </row>
    <row r="804" spans="1:27" x14ac:dyDescent="0.2">
      <c r="A804" s="1">
        <v>46045</v>
      </c>
      <c r="B804" t="s">
        <v>328</v>
      </c>
      <c r="C804" t="s">
        <v>37</v>
      </c>
      <c r="D804" t="s">
        <v>10</v>
      </c>
      <c r="E804" t="s">
        <v>1239</v>
      </c>
      <c r="F804" t="s">
        <v>37</v>
      </c>
      <c r="G804">
        <v>2</v>
      </c>
      <c r="H804">
        <v>3</v>
      </c>
      <c r="I804" s="13">
        <v>0.6</v>
      </c>
      <c r="J804" t="s">
        <v>249</v>
      </c>
      <c r="L804" t="s">
        <v>60</v>
      </c>
      <c r="M804" t="s">
        <v>60</v>
      </c>
      <c r="N804" t="s">
        <v>37</v>
      </c>
      <c r="O804">
        <v>2</v>
      </c>
      <c r="P804">
        <v>3</v>
      </c>
      <c r="Q804" s="13">
        <v>0.62684203923786574</v>
      </c>
      <c r="R804" t="s">
        <v>249</v>
      </c>
      <c r="S804">
        <v>-0.63680045300775545</v>
      </c>
      <c r="T804" t="s">
        <v>60</v>
      </c>
      <c r="U804" t="s">
        <v>60</v>
      </c>
      <c r="X804" t="s">
        <v>60</v>
      </c>
      <c r="Y804" t="s">
        <v>412</v>
      </c>
      <c r="Z804" t="s">
        <v>60</v>
      </c>
      <c r="AA804" t="s">
        <v>491</v>
      </c>
    </row>
    <row r="805" spans="1:27" x14ac:dyDescent="0.2">
      <c r="A805" s="1">
        <v>46045</v>
      </c>
      <c r="B805" t="s">
        <v>326</v>
      </c>
      <c r="C805" t="s">
        <v>27</v>
      </c>
      <c r="D805" t="s">
        <v>12</v>
      </c>
      <c r="E805" t="s">
        <v>1240</v>
      </c>
      <c r="F805" t="s">
        <v>12</v>
      </c>
      <c r="G805">
        <v>2</v>
      </c>
      <c r="H805">
        <v>3</v>
      </c>
      <c r="I805" s="13">
        <v>0.6</v>
      </c>
      <c r="J805" t="s">
        <v>249</v>
      </c>
      <c r="L805" t="s">
        <v>60</v>
      </c>
      <c r="M805" t="s">
        <v>60</v>
      </c>
      <c r="N805" t="s">
        <v>12</v>
      </c>
      <c r="O805">
        <v>2</v>
      </c>
      <c r="P805">
        <v>3</v>
      </c>
      <c r="Q805" s="13">
        <v>0.84516967392532616</v>
      </c>
      <c r="R805" t="s">
        <v>249</v>
      </c>
      <c r="S805">
        <v>2.0620439908564552</v>
      </c>
      <c r="T805" t="s">
        <v>60</v>
      </c>
      <c r="U805" t="s">
        <v>60</v>
      </c>
      <c r="X805" t="s">
        <v>60</v>
      </c>
      <c r="Y805" t="s">
        <v>412</v>
      </c>
      <c r="Z805" t="s">
        <v>60</v>
      </c>
      <c r="AA805" t="s">
        <v>491</v>
      </c>
    </row>
    <row r="806" spans="1:27" x14ac:dyDescent="0.2">
      <c r="A806" s="1">
        <v>46045</v>
      </c>
      <c r="B806" t="s">
        <v>324</v>
      </c>
      <c r="C806" t="s">
        <v>35</v>
      </c>
      <c r="D806" t="s">
        <v>39</v>
      </c>
      <c r="E806" t="s">
        <v>1241</v>
      </c>
      <c r="F806" t="s">
        <v>39</v>
      </c>
      <c r="G806">
        <v>2</v>
      </c>
      <c r="H806">
        <v>3</v>
      </c>
      <c r="I806" s="13">
        <v>0.6</v>
      </c>
      <c r="J806" t="s">
        <v>249</v>
      </c>
      <c r="L806" t="s">
        <v>60</v>
      </c>
      <c r="M806" t="s">
        <v>60</v>
      </c>
      <c r="N806" t="s">
        <v>39</v>
      </c>
      <c r="O806">
        <v>2</v>
      </c>
      <c r="P806">
        <v>3</v>
      </c>
      <c r="Q806" s="13">
        <v>0.78917415975175542</v>
      </c>
      <c r="R806" t="s">
        <v>249</v>
      </c>
      <c r="S806">
        <v>1.8578216227260049</v>
      </c>
      <c r="T806" t="s">
        <v>60</v>
      </c>
      <c r="U806" t="s">
        <v>60</v>
      </c>
      <c r="X806" t="s">
        <v>60</v>
      </c>
      <c r="Y806" t="s">
        <v>412</v>
      </c>
      <c r="Z806" t="s">
        <v>60</v>
      </c>
      <c r="AA806" t="s">
        <v>491</v>
      </c>
    </row>
    <row r="807" spans="1:27" x14ac:dyDescent="0.2">
      <c r="A807" s="1">
        <v>46045</v>
      </c>
      <c r="B807" t="s">
        <v>322</v>
      </c>
      <c r="C807" t="s">
        <v>31</v>
      </c>
      <c r="D807" t="s">
        <v>32</v>
      </c>
      <c r="E807" t="s">
        <v>511</v>
      </c>
      <c r="F807" t="s">
        <v>31</v>
      </c>
      <c r="G807">
        <v>2</v>
      </c>
      <c r="H807">
        <v>3</v>
      </c>
      <c r="I807" s="13">
        <v>0.6</v>
      </c>
      <c r="J807" t="s">
        <v>249</v>
      </c>
      <c r="L807" t="s">
        <v>60</v>
      </c>
      <c r="M807" t="s">
        <v>60</v>
      </c>
      <c r="N807" t="s">
        <v>31</v>
      </c>
      <c r="O807">
        <v>2</v>
      </c>
      <c r="P807">
        <v>3</v>
      </c>
      <c r="Q807" s="13">
        <v>0.57163317346074072</v>
      </c>
      <c r="R807" t="s">
        <v>249</v>
      </c>
      <c r="S807">
        <v>-0.77817950819419379</v>
      </c>
      <c r="T807" t="s">
        <v>60</v>
      </c>
      <c r="U807" t="s">
        <v>60</v>
      </c>
      <c r="X807" t="s">
        <v>60</v>
      </c>
      <c r="Y807" t="s">
        <v>412</v>
      </c>
      <c r="Z807" t="s">
        <v>60</v>
      </c>
      <c r="AA807" t="s">
        <v>491</v>
      </c>
    </row>
    <row r="808" spans="1:27" x14ac:dyDescent="0.2">
      <c r="A808" s="1">
        <v>46045</v>
      </c>
      <c r="B808" t="s">
        <v>322</v>
      </c>
      <c r="C808" t="s">
        <v>15</v>
      </c>
      <c r="D808" t="s">
        <v>33</v>
      </c>
      <c r="E808" t="s">
        <v>1242</v>
      </c>
      <c r="F808" t="s">
        <v>15</v>
      </c>
      <c r="G808">
        <v>2</v>
      </c>
      <c r="H808">
        <v>3</v>
      </c>
      <c r="I808" s="13">
        <v>0.6</v>
      </c>
      <c r="J808" t="s">
        <v>249</v>
      </c>
      <c r="L808" t="s">
        <v>60</v>
      </c>
      <c r="M808" t="s">
        <v>60</v>
      </c>
      <c r="N808" t="s">
        <v>15</v>
      </c>
      <c r="O808">
        <v>2</v>
      </c>
      <c r="P808">
        <v>3</v>
      </c>
      <c r="Q808" s="13">
        <v>0.56300715732678952</v>
      </c>
      <c r="R808" t="s">
        <v>249</v>
      </c>
      <c r="S808">
        <v>-0.1113962589751383</v>
      </c>
      <c r="T808" t="s">
        <v>60</v>
      </c>
      <c r="U808" t="s">
        <v>60</v>
      </c>
      <c r="X808" t="s">
        <v>60</v>
      </c>
      <c r="Y808" t="s">
        <v>412</v>
      </c>
      <c r="Z808" t="s">
        <v>60</v>
      </c>
      <c r="AA808" t="s">
        <v>491</v>
      </c>
    </row>
    <row r="809" spans="1:27" x14ac:dyDescent="0.2">
      <c r="A809" s="1">
        <v>46045</v>
      </c>
      <c r="B809" t="s">
        <v>328</v>
      </c>
      <c r="C809" t="s">
        <v>20</v>
      </c>
      <c r="D809" t="s">
        <v>19</v>
      </c>
      <c r="E809" t="s">
        <v>1243</v>
      </c>
      <c r="F809" t="s">
        <v>20</v>
      </c>
      <c r="G809">
        <v>2</v>
      </c>
      <c r="H809">
        <v>3</v>
      </c>
      <c r="I809" s="13">
        <v>0.6</v>
      </c>
      <c r="J809" t="s">
        <v>249</v>
      </c>
      <c r="L809" t="s">
        <v>60</v>
      </c>
      <c r="M809" t="s">
        <v>60</v>
      </c>
      <c r="N809" t="s">
        <v>20</v>
      </c>
      <c r="O809">
        <v>2</v>
      </c>
      <c r="P809">
        <v>3</v>
      </c>
      <c r="Q809" s="13">
        <v>0.49971601622378897</v>
      </c>
      <c r="R809" t="s">
        <v>249</v>
      </c>
      <c r="S809">
        <v>-0.34013701207518171</v>
      </c>
      <c r="T809" t="s">
        <v>60</v>
      </c>
      <c r="U809" t="s">
        <v>60</v>
      </c>
      <c r="X809" t="s">
        <v>60</v>
      </c>
      <c r="Y809" t="s">
        <v>412</v>
      </c>
      <c r="Z809" t="s">
        <v>60</v>
      </c>
      <c r="AA809" t="s">
        <v>491</v>
      </c>
    </row>
    <row r="810" spans="1:27" x14ac:dyDescent="0.2">
      <c r="A810" s="1">
        <v>46045</v>
      </c>
      <c r="B810" t="s">
        <v>322</v>
      </c>
      <c r="C810" t="s">
        <v>24</v>
      </c>
      <c r="D810" t="s">
        <v>38</v>
      </c>
      <c r="E810" t="s">
        <v>1244</v>
      </c>
      <c r="F810" t="s">
        <v>24</v>
      </c>
      <c r="G810">
        <v>2</v>
      </c>
      <c r="H810">
        <v>3</v>
      </c>
      <c r="I810" s="13">
        <v>0.6</v>
      </c>
      <c r="J810" t="s">
        <v>249</v>
      </c>
      <c r="L810" t="s">
        <v>60</v>
      </c>
      <c r="M810" t="s">
        <v>60</v>
      </c>
      <c r="N810" t="s">
        <v>24</v>
      </c>
      <c r="O810">
        <v>2</v>
      </c>
      <c r="P810">
        <v>3</v>
      </c>
      <c r="Q810" s="13">
        <v>0.58577662584622392</v>
      </c>
      <c r="R810" t="s">
        <v>249</v>
      </c>
      <c r="S810">
        <v>-0.89930725695224589</v>
      </c>
      <c r="T810" t="s">
        <v>60</v>
      </c>
      <c r="U810" t="s">
        <v>60</v>
      </c>
      <c r="X810" t="s">
        <v>60</v>
      </c>
      <c r="Y810" t="s">
        <v>412</v>
      </c>
      <c r="Z810" t="s">
        <v>60</v>
      </c>
      <c r="AA810" t="s">
        <v>491</v>
      </c>
    </row>
    <row r="811" spans="1:27" x14ac:dyDescent="0.2">
      <c r="A811" s="1">
        <v>46046</v>
      </c>
      <c r="B811" t="s">
        <v>328</v>
      </c>
      <c r="C811" t="s">
        <v>25</v>
      </c>
      <c r="D811" t="s">
        <v>36</v>
      </c>
      <c r="E811" t="s">
        <v>1245</v>
      </c>
      <c r="F811" t="s">
        <v>25</v>
      </c>
      <c r="G811">
        <v>2</v>
      </c>
      <c r="H811">
        <v>3</v>
      </c>
      <c r="I811" s="13">
        <v>0.6</v>
      </c>
      <c r="J811" t="s">
        <v>249</v>
      </c>
      <c r="L811" t="s">
        <v>60</v>
      </c>
      <c r="M811" t="s">
        <v>60</v>
      </c>
      <c r="N811" t="s">
        <v>25</v>
      </c>
      <c r="O811">
        <v>2</v>
      </c>
      <c r="P811">
        <v>3</v>
      </c>
      <c r="Q811" s="13">
        <v>0.63604368429743785</v>
      </c>
      <c r="R811" t="s">
        <v>249</v>
      </c>
      <c r="S811">
        <v>-0.90715043927022876</v>
      </c>
      <c r="T811" t="s">
        <v>60</v>
      </c>
      <c r="U811" t="s">
        <v>60</v>
      </c>
      <c r="X811" t="s">
        <v>60</v>
      </c>
      <c r="Y811" t="s">
        <v>412</v>
      </c>
      <c r="Z811" t="s">
        <v>60</v>
      </c>
      <c r="AA811" t="s">
        <v>491</v>
      </c>
    </row>
    <row r="812" spans="1:27" x14ac:dyDescent="0.2">
      <c r="A812" s="1">
        <v>46046</v>
      </c>
      <c r="B812" t="s">
        <v>328</v>
      </c>
      <c r="C812" t="s">
        <v>26</v>
      </c>
      <c r="D812" t="s">
        <v>40</v>
      </c>
      <c r="E812" t="s">
        <v>1246</v>
      </c>
      <c r="F812" t="s">
        <v>40</v>
      </c>
      <c r="G812">
        <v>2</v>
      </c>
      <c r="H812">
        <v>3</v>
      </c>
      <c r="I812" s="13">
        <v>0.6</v>
      </c>
      <c r="J812" t="s">
        <v>249</v>
      </c>
      <c r="L812" t="s">
        <v>60</v>
      </c>
      <c r="M812" t="s">
        <v>60</v>
      </c>
      <c r="N812" t="s">
        <v>40</v>
      </c>
      <c r="O812">
        <v>2</v>
      </c>
      <c r="P812">
        <v>3</v>
      </c>
      <c r="Q812" s="13">
        <v>0.61395533538506064</v>
      </c>
      <c r="R812" t="s">
        <v>249</v>
      </c>
      <c r="S812">
        <v>0.61199849017268038</v>
      </c>
      <c r="T812" t="s">
        <v>60</v>
      </c>
      <c r="U812" t="s">
        <v>60</v>
      </c>
      <c r="X812" t="s">
        <v>60</v>
      </c>
      <c r="Y812" t="s">
        <v>412</v>
      </c>
      <c r="Z812" t="s">
        <v>60</v>
      </c>
      <c r="AA812" t="s">
        <v>491</v>
      </c>
    </row>
    <row r="813" spans="1:27" x14ac:dyDescent="0.2">
      <c r="A813" s="1">
        <v>46046</v>
      </c>
      <c r="B813" t="s">
        <v>324</v>
      </c>
      <c r="C813" t="s">
        <v>13</v>
      </c>
      <c r="D813" t="s">
        <v>35</v>
      </c>
      <c r="E813" t="s">
        <v>627</v>
      </c>
      <c r="F813" t="s">
        <v>13</v>
      </c>
      <c r="G813">
        <v>2</v>
      </c>
      <c r="H813">
        <v>3</v>
      </c>
      <c r="I813" s="13">
        <v>0.6</v>
      </c>
      <c r="J813" t="s">
        <v>249</v>
      </c>
      <c r="L813" t="s">
        <v>60</v>
      </c>
      <c r="M813" t="s">
        <v>60</v>
      </c>
      <c r="N813" t="s">
        <v>13</v>
      </c>
      <c r="O813">
        <v>2</v>
      </c>
      <c r="P813">
        <v>3</v>
      </c>
      <c r="Q813" s="13">
        <v>0.64381546865604655</v>
      </c>
      <c r="R813" t="s">
        <v>249</v>
      </c>
      <c r="S813">
        <v>-1.0062940243473459</v>
      </c>
      <c r="T813" t="s">
        <v>60</v>
      </c>
      <c r="U813" t="s">
        <v>60</v>
      </c>
      <c r="X813" t="s">
        <v>60</v>
      </c>
      <c r="Y813" t="s">
        <v>412</v>
      </c>
      <c r="Z813" t="s">
        <v>60</v>
      </c>
      <c r="AA813" t="s">
        <v>491</v>
      </c>
    </row>
    <row r="814" spans="1:27" x14ac:dyDescent="0.2">
      <c r="A814" s="1">
        <v>46046</v>
      </c>
      <c r="B814" t="s">
        <v>347</v>
      </c>
      <c r="C814" t="s">
        <v>23</v>
      </c>
      <c r="D814" t="s">
        <v>30</v>
      </c>
      <c r="E814" t="s">
        <v>1247</v>
      </c>
      <c r="F814" t="s">
        <v>30</v>
      </c>
      <c r="G814">
        <v>2</v>
      </c>
      <c r="H814">
        <v>3</v>
      </c>
      <c r="I814" s="13">
        <v>0.6</v>
      </c>
      <c r="J814" t="s">
        <v>249</v>
      </c>
      <c r="L814" t="s">
        <v>60</v>
      </c>
      <c r="M814" t="s">
        <v>60</v>
      </c>
      <c r="N814" t="s">
        <v>30</v>
      </c>
      <c r="O814">
        <v>2</v>
      </c>
      <c r="P814">
        <v>3</v>
      </c>
      <c r="Q814" s="13">
        <v>0.57328720257672994</v>
      </c>
      <c r="R814" t="s">
        <v>249</v>
      </c>
      <c r="S814">
        <v>0.28507918722241948</v>
      </c>
      <c r="T814" t="s">
        <v>60</v>
      </c>
      <c r="U814" t="s">
        <v>60</v>
      </c>
      <c r="X814" t="s">
        <v>60</v>
      </c>
      <c r="Y814" t="s">
        <v>412</v>
      </c>
      <c r="Z814" t="s">
        <v>60</v>
      </c>
      <c r="AA814" t="s">
        <v>491</v>
      </c>
    </row>
    <row r="815" spans="1:27" x14ac:dyDescent="0.2">
      <c r="A815" s="1">
        <v>46046</v>
      </c>
      <c r="B815" t="s">
        <v>352</v>
      </c>
      <c r="C815" t="s">
        <v>55</v>
      </c>
      <c r="D815" t="s">
        <v>29</v>
      </c>
      <c r="E815" t="s">
        <v>526</v>
      </c>
      <c r="F815" t="s">
        <v>55</v>
      </c>
      <c r="G815">
        <v>2</v>
      </c>
      <c r="H815">
        <v>3</v>
      </c>
      <c r="I815" s="13">
        <v>0.6</v>
      </c>
      <c r="J815" t="s">
        <v>249</v>
      </c>
      <c r="L815" t="s">
        <v>60</v>
      </c>
      <c r="M815" t="s">
        <v>60</v>
      </c>
      <c r="N815" t="s">
        <v>55</v>
      </c>
      <c r="O815">
        <v>2</v>
      </c>
      <c r="P815">
        <v>3</v>
      </c>
      <c r="Q815" s="13">
        <v>0.56881229021751245</v>
      </c>
      <c r="R815" t="s">
        <v>249</v>
      </c>
      <c r="S815">
        <v>-0.93189324586571598</v>
      </c>
      <c r="T815" t="s">
        <v>60</v>
      </c>
      <c r="U815" t="s">
        <v>60</v>
      </c>
      <c r="X815" t="s">
        <v>60</v>
      </c>
      <c r="Y815" t="s">
        <v>412</v>
      </c>
      <c r="Z815" t="s">
        <v>60</v>
      </c>
      <c r="AA815" t="s">
        <v>491</v>
      </c>
    </row>
    <row r="816" spans="1:27" x14ac:dyDescent="0.2">
      <c r="A816" s="1">
        <v>46046</v>
      </c>
      <c r="B816" t="s">
        <v>326</v>
      </c>
      <c r="C816" t="s">
        <v>11</v>
      </c>
      <c r="D816" t="s">
        <v>34</v>
      </c>
      <c r="E816" t="s">
        <v>1248</v>
      </c>
      <c r="F816" t="s">
        <v>34</v>
      </c>
      <c r="G816">
        <v>2</v>
      </c>
      <c r="H816">
        <v>3</v>
      </c>
      <c r="I816" s="13">
        <v>0.6</v>
      </c>
      <c r="J816" t="s">
        <v>249</v>
      </c>
      <c r="L816" t="s">
        <v>60</v>
      </c>
      <c r="M816" t="s">
        <v>60</v>
      </c>
      <c r="N816" t="s">
        <v>34</v>
      </c>
      <c r="O816">
        <v>2</v>
      </c>
      <c r="P816">
        <v>3</v>
      </c>
      <c r="Q816" s="13">
        <v>0.58575943793014884</v>
      </c>
      <c r="R816" t="s">
        <v>249</v>
      </c>
      <c r="S816">
        <v>0.3918942525377902</v>
      </c>
      <c r="T816" t="s">
        <v>60</v>
      </c>
      <c r="U816" t="s">
        <v>60</v>
      </c>
      <c r="X816" t="s">
        <v>60</v>
      </c>
      <c r="Y816" t="s">
        <v>412</v>
      </c>
      <c r="Z816" t="s">
        <v>60</v>
      </c>
      <c r="AA816" t="s">
        <v>491</v>
      </c>
    </row>
    <row r="817" spans="1:27" x14ac:dyDescent="0.2">
      <c r="A817" s="1">
        <v>46046</v>
      </c>
      <c r="B817" t="s">
        <v>322</v>
      </c>
      <c r="C817" t="s">
        <v>22</v>
      </c>
      <c r="D817" t="s">
        <v>17</v>
      </c>
      <c r="E817" t="s">
        <v>1249</v>
      </c>
      <c r="F817" t="s">
        <v>22</v>
      </c>
      <c r="G817">
        <v>2</v>
      </c>
      <c r="H817">
        <v>3</v>
      </c>
      <c r="I817" s="13">
        <v>0.6</v>
      </c>
      <c r="J817" t="s">
        <v>249</v>
      </c>
      <c r="L817" t="s">
        <v>60</v>
      </c>
      <c r="M817" t="s">
        <v>60</v>
      </c>
      <c r="N817" t="s">
        <v>22</v>
      </c>
      <c r="O817">
        <v>2</v>
      </c>
      <c r="P817">
        <v>3</v>
      </c>
      <c r="Q817" s="13">
        <v>0.63652926105675034</v>
      </c>
      <c r="R817" t="s">
        <v>249</v>
      </c>
      <c r="S817">
        <v>-1.208553148168116</v>
      </c>
      <c r="T817" t="s">
        <v>60</v>
      </c>
      <c r="U817" t="s">
        <v>60</v>
      </c>
      <c r="X817" t="s">
        <v>60</v>
      </c>
      <c r="Y817" t="s">
        <v>412</v>
      </c>
      <c r="Z817" t="s">
        <v>60</v>
      </c>
      <c r="AA817" t="s">
        <v>491</v>
      </c>
    </row>
    <row r="818" spans="1:27" x14ac:dyDescent="0.2">
      <c r="A818" s="1">
        <v>46046</v>
      </c>
      <c r="B818" t="s">
        <v>328</v>
      </c>
      <c r="C818" t="s">
        <v>37</v>
      </c>
      <c r="D818" t="s">
        <v>28</v>
      </c>
      <c r="E818" t="s">
        <v>595</v>
      </c>
      <c r="F818" t="s">
        <v>37</v>
      </c>
      <c r="G818">
        <v>2</v>
      </c>
      <c r="H818">
        <v>3</v>
      </c>
      <c r="I818" s="13">
        <v>0.6</v>
      </c>
      <c r="J818" t="s">
        <v>249</v>
      </c>
      <c r="L818" t="s">
        <v>60</v>
      </c>
      <c r="M818" t="s">
        <v>60</v>
      </c>
      <c r="N818" t="s">
        <v>37</v>
      </c>
      <c r="O818">
        <v>2</v>
      </c>
      <c r="P818">
        <v>3</v>
      </c>
      <c r="Q818" s="13">
        <v>0.67574232034876447</v>
      </c>
      <c r="R818" t="s">
        <v>249</v>
      </c>
      <c r="S818">
        <v>-1.055593602173982</v>
      </c>
      <c r="T818" t="s">
        <v>60</v>
      </c>
      <c r="U818" t="s">
        <v>60</v>
      </c>
      <c r="X818" t="s">
        <v>60</v>
      </c>
      <c r="Y818" t="s">
        <v>412</v>
      </c>
      <c r="Z818" t="s">
        <v>60</v>
      </c>
      <c r="AA818" t="s">
        <v>491</v>
      </c>
    </row>
    <row r="819" spans="1:27" x14ac:dyDescent="0.2">
      <c r="A819" s="1">
        <v>46046</v>
      </c>
      <c r="B819" t="s">
        <v>328</v>
      </c>
      <c r="C819" t="s">
        <v>18</v>
      </c>
      <c r="D819" t="s">
        <v>21</v>
      </c>
      <c r="E819" t="s">
        <v>1066</v>
      </c>
      <c r="F819" t="s">
        <v>21</v>
      </c>
      <c r="G819">
        <v>2</v>
      </c>
      <c r="H819">
        <v>3</v>
      </c>
      <c r="I819" s="13">
        <v>0.6</v>
      </c>
      <c r="J819" t="s">
        <v>249</v>
      </c>
      <c r="L819" t="s">
        <v>60</v>
      </c>
      <c r="M819" t="s">
        <v>60</v>
      </c>
      <c r="N819" t="s">
        <v>21</v>
      </c>
      <c r="O819">
        <v>2</v>
      </c>
      <c r="P819">
        <v>3</v>
      </c>
      <c r="Q819" s="13">
        <v>0.57366574500438006</v>
      </c>
      <c r="R819" t="s">
        <v>249</v>
      </c>
      <c r="S819">
        <v>0.42302061674925612</v>
      </c>
      <c r="T819" t="s">
        <v>60</v>
      </c>
      <c r="U819" t="s">
        <v>60</v>
      </c>
      <c r="X819" t="s">
        <v>60</v>
      </c>
      <c r="Y819" t="s">
        <v>412</v>
      </c>
      <c r="Z819" t="s">
        <v>60</v>
      </c>
      <c r="AA819" t="s">
        <v>491</v>
      </c>
    </row>
    <row r="820" spans="1:27" x14ac:dyDescent="0.2">
      <c r="A820" s="1">
        <v>46047</v>
      </c>
      <c r="B820" t="s">
        <v>542</v>
      </c>
      <c r="C820" t="s">
        <v>12</v>
      </c>
      <c r="D820" t="s">
        <v>19</v>
      </c>
      <c r="E820" t="s">
        <v>1250</v>
      </c>
      <c r="F820" t="s">
        <v>12</v>
      </c>
      <c r="G820">
        <v>2</v>
      </c>
      <c r="H820">
        <v>3</v>
      </c>
      <c r="I820" s="13">
        <v>0.6</v>
      </c>
      <c r="J820" t="s">
        <v>249</v>
      </c>
      <c r="L820" t="s">
        <v>60</v>
      </c>
      <c r="M820" t="s">
        <v>60</v>
      </c>
      <c r="N820" t="s">
        <v>12</v>
      </c>
      <c r="O820">
        <v>2</v>
      </c>
      <c r="P820">
        <v>3</v>
      </c>
      <c r="Q820" s="13">
        <v>0.79143009726111702</v>
      </c>
      <c r="R820" t="s">
        <v>249</v>
      </c>
      <c r="S820">
        <v>-2.2164815008227938</v>
      </c>
      <c r="T820" t="s">
        <v>60</v>
      </c>
      <c r="U820" t="s">
        <v>60</v>
      </c>
      <c r="X820" t="s">
        <v>60</v>
      </c>
      <c r="Y820" t="s">
        <v>412</v>
      </c>
      <c r="Z820" t="s">
        <v>60</v>
      </c>
      <c r="AA820" t="s">
        <v>491</v>
      </c>
    </row>
    <row r="821" spans="1:27" x14ac:dyDescent="0.2">
      <c r="A821" s="1">
        <v>46047</v>
      </c>
      <c r="B821" t="s">
        <v>369</v>
      </c>
      <c r="C821" t="s">
        <v>24</v>
      </c>
      <c r="D821" t="s">
        <v>32</v>
      </c>
      <c r="E821" t="s">
        <v>1251</v>
      </c>
      <c r="F821" t="s">
        <v>24</v>
      </c>
      <c r="G821">
        <v>2</v>
      </c>
      <c r="H821">
        <v>3</v>
      </c>
      <c r="I821" s="13">
        <v>0.6</v>
      </c>
      <c r="J821" t="s">
        <v>249</v>
      </c>
      <c r="L821" t="s">
        <v>60</v>
      </c>
      <c r="M821" t="s">
        <v>60</v>
      </c>
      <c r="N821" t="s">
        <v>24</v>
      </c>
      <c r="O821">
        <v>2</v>
      </c>
      <c r="P821">
        <v>3</v>
      </c>
      <c r="Q821" s="13">
        <v>0.55094563755429959</v>
      </c>
      <c r="R821" t="s">
        <v>249</v>
      </c>
      <c r="S821">
        <v>-0.60100673711953179</v>
      </c>
      <c r="T821" t="s">
        <v>60</v>
      </c>
      <c r="U821" t="s">
        <v>60</v>
      </c>
      <c r="X821" t="s">
        <v>60</v>
      </c>
      <c r="Y821" t="s">
        <v>412</v>
      </c>
      <c r="Z821" t="s">
        <v>60</v>
      </c>
      <c r="AA821" t="s">
        <v>491</v>
      </c>
    </row>
    <row r="822" spans="1:27" x14ac:dyDescent="0.2">
      <c r="A822" s="1">
        <v>46047</v>
      </c>
      <c r="B822" t="s">
        <v>469</v>
      </c>
      <c r="C822" t="s">
        <v>14</v>
      </c>
      <c r="D822" t="s">
        <v>38</v>
      </c>
      <c r="E822" t="s">
        <v>1252</v>
      </c>
      <c r="F822" t="s">
        <v>14</v>
      </c>
      <c r="G822">
        <v>2</v>
      </c>
      <c r="H822">
        <v>3</v>
      </c>
      <c r="I822" s="13">
        <v>0.6</v>
      </c>
      <c r="J822" t="s">
        <v>249</v>
      </c>
      <c r="L822" t="s">
        <v>60</v>
      </c>
      <c r="M822" t="s">
        <v>60</v>
      </c>
      <c r="N822" t="s">
        <v>14</v>
      </c>
      <c r="O822">
        <v>2</v>
      </c>
      <c r="P822">
        <v>3</v>
      </c>
      <c r="Q822" s="13">
        <v>0.58750400141574155</v>
      </c>
      <c r="R822" t="s">
        <v>249</v>
      </c>
      <c r="S822">
        <v>-0.75551278462215166</v>
      </c>
      <c r="T822" t="s">
        <v>60</v>
      </c>
      <c r="U822" t="s">
        <v>60</v>
      </c>
      <c r="X822" t="s">
        <v>60</v>
      </c>
      <c r="Y822" t="s">
        <v>412</v>
      </c>
      <c r="Z822" t="s">
        <v>60</v>
      </c>
      <c r="AA822" t="s">
        <v>491</v>
      </c>
    </row>
    <row r="823" spans="1:27" x14ac:dyDescent="0.2">
      <c r="A823" s="1">
        <v>46047</v>
      </c>
      <c r="B823" t="s">
        <v>328</v>
      </c>
      <c r="C823" t="s">
        <v>11</v>
      </c>
      <c r="D823" t="s">
        <v>10</v>
      </c>
      <c r="E823" t="s">
        <v>1253</v>
      </c>
      <c r="F823" t="s">
        <v>10</v>
      </c>
      <c r="G823">
        <v>2</v>
      </c>
      <c r="H823">
        <v>3</v>
      </c>
      <c r="I823" s="13">
        <v>0.6</v>
      </c>
      <c r="J823" t="s">
        <v>249</v>
      </c>
      <c r="L823" t="s">
        <v>60</v>
      </c>
      <c r="M823" t="s">
        <v>60</v>
      </c>
      <c r="N823" t="s">
        <v>10</v>
      </c>
      <c r="O823">
        <v>2</v>
      </c>
      <c r="P823">
        <v>3</v>
      </c>
      <c r="Q823" s="13">
        <v>0.57162255718477495</v>
      </c>
      <c r="R823" t="s">
        <v>249</v>
      </c>
      <c r="S823">
        <v>0.27082278480295541</v>
      </c>
      <c r="T823" t="s">
        <v>60</v>
      </c>
      <c r="U823" t="s">
        <v>60</v>
      </c>
      <c r="X823" t="s">
        <v>60</v>
      </c>
      <c r="Y823" t="s">
        <v>412</v>
      </c>
      <c r="Z823" t="s">
        <v>60</v>
      </c>
      <c r="AA823" t="s">
        <v>491</v>
      </c>
    </row>
    <row r="824" spans="1:27" x14ac:dyDescent="0.2">
      <c r="A824" s="1">
        <v>46047</v>
      </c>
      <c r="B824" t="s">
        <v>324</v>
      </c>
      <c r="C824" t="s">
        <v>31</v>
      </c>
      <c r="D824" t="s">
        <v>16</v>
      </c>
      <c r="E824" t="s">
        <v>1254</v>
      </c>
      <c r="F824" t="s">
        <v>31</v>
      </c>
      <c r="G824">
        <v>2</v>
      </c>
      <c r="H824">
        <v>3</v>
      </c>
      <c r="I824" s="13">
        <v>0.6</v>
      </c>
      <c r="J824" t="s">
        <v>249</v>
      </c>
      <c r="L824" t="s">
        <v>60</v>
      </c>
      <c r="M824" t="s">
        <v>60</v>
      </c>
      <c r="N824" t="s">
        <v>31</v>
      </c>
      <c r="O824">
        <v>2</v>
      </c>
      <c r="P824">
        <v>3</v>
      </c>
      <c r="Q824" s="13">
        <v>0.62025449125554588</v>
      </c>
      <c r="R824" t="s">
        <v>249</v>
      </c>
      <c r="S824">
        <v>-1.1945835519607251</v>
      </c>
      <c r="T824" t="s">
        <v>60</v>
      </c>
      <c r="U824" t="s">
        <v>60</v>
      </c>
      <c r="X824" t="s">
        <v>60</v>
      </c>
      <c r="Y824" t="s">
        <v>412</v>
      </c>
      <c r="Z824" t="s">
        <v>60</v>
      </c>
      <c r="AA824" t="s">
        <v>491</v>
      </c>
    </row>
    <row r="825" spans="1:27" x14ac:dyDescent="0.2">
      <c r="A825" s="1">
        <v>46047</v>
      </c>
      <c r="B825" t="s">
        <v>365</v>
      </c>
      <c r="C825" t="s">
        <v>20</v>
      </c>
      <c r="D825" t="s">
        <v>36</v>
      </c>
      <c r="E825" t="s">
        <v>1255</v>
      </c>
      <c r="F825" t="s">
        <v>20</v>
      </c>
      <c r="G825">
        <v>2</v>
      </c>
      <c r="H825">
        <v>3</v>
      </c>
      <c r="I825" s="13">
        <v>0.6</v>
      </c>
      <c r="J825" t="s">
        <v>249</v>
      </c>
      <c r="L825" t="s">
        <v>60</v>
      </c>
      <c r="M825" t="s">
        <v>60</v>
      </c>
      <c r="N825" t="s">
        <v>20</v>
      </c>
      <c r="O825">
        <v>2</v>
      </c>
      <c r="P825">
        <v>3</v>
      </c>
      <c r="Q825" s="13">
        <v>0.48518179373653503</v>
      </c>
      <c r="R825" t="s">
        <v>249</v>
      </c>
      <c r="S825">
        <v>-0.23703447162103969</v>
      </c>
      <c r="T825" t="s">
        <v>60</v>
      </c>
      <c r="U825" t="s">
        <v>60</v>
      </c>
      <c r="X825" t="s">
        <v>60</v>
      </c>
      <c r="Y825" t="s">
        <v>412</v>
      </c>
      <c r="Z825" t="s">
        <v>60</v>
      </c>
      <c r="AA825" t="s">
        <v>491</v>
      </c>
    </row>
    <row r="826" spans="1:27" x14ac:dyDescent="0.2">
      <c r="A826" s="1">
        <v>46048</v>
      </c>
      <c r="B826" t="s">
        <v>328</v>
      </c>
      <c r="C826" t="s">
        <v>13</v>
      </c>
      <c r="D826" t="s">
        <v>28</v>
      </c>
      <c r="E826" t="s">
        <v>1256</v>
      </c>
      <c r="F826" t="s">
        <v>13</v>
      </c>
      <c r="G826">
        <v>2</v>
      </c>
      <c r="H826">
        <v>3</v>
      </c>
      <c r="I826" s="13">
        <v>0.6</v>
      </c>
      <c r="J826" t="s">
        <v>249</v>
      </c>
      <c r="L826" t="s">
        <v>60</v>
      </c>
      <c r="M826" t="s">
        <v>60</v>
      </c>
      <c r="N826" t="s">
        <v>13</v>
      </c>
      <c r="O826">
        <v>2</v>
      </c>
      <c r="P826">
        <v>3</v>
      </c>
      <c r="Q826" s="13">
        <v>0.55046333207406328</v>
      </c>
      <c r="R826" t="s">
        <v>249</v>
      </c>
      <c r="S826">
        <v>-0.20680505675016411</v>
      </c>
      <c r="T826" t="s">
        <v>60</v>
      </c>
      <c r="U826" t="s">
        <v>60</v>
      </c>
      <c r="X826" t="s">
        <v>60</v>
      </c>
      <c r="Y826" t="s">
        <v>412</v>
      </c>
      <c r="Z826" t="s">
        <v>60</v>
      </c>
      <c r="AA826" t="s">
        <v>491</v>
      </c>
    </row>
    <row r="827" spans="1:27" x14ac:dyDescent="0.2">
      <c r="A827" s="1">
        <v>46048</v>
      </c>
      <c r="B827" t="s">
        <v>416</v>
      </c>
      <c r="C827" t="s">
        <v>31</v>
      </c>
      <c r="D827" t="s">
        <v>17</v>
      </c>
      <c r="E827" t="s">
        <v>1257</v>
      </c>
      <c r="F827" t="s">
        <v>31</v>
      </c>
      <c r="G827">
        <v>2</v>
      </c>
      <c r="H827">
        <v>3</v>
      </c>
      <c r="I827" s="13">
        <v>0.6</v>
      </c>
      <c r="J827" t="s">
        <v>249</v>
      </c>
      <c r="L827" t="s">
        <v>60</v>
      </c>
      <c r="M827" t="s">
        <v>60</v>
      </c>
      <c r="N827" t="s">
        <v>31</v>
      </c>
      <c r="O827">
        <v>2</v>
      </c>
      <c r="P827">
        <v>3</v>
      </c>
      <c r="Q827" s="13">
        <v>0.5842077690042573</v>
      </c>
      <c r="R827" t="s">
        <v>249</v>
      </c>
      <c r="S827">
        <v>-0.94654893715362565</v>
      </c>
      <c r="T827" t="s">
        <v>60</v>
      </c>
      <c r="U827" t="s">
        <v>60</v>
      </c>
      <c r="X827" t="s">
        <v>60</v>
      </c>
      <c r="Y827" t="s">
        <v>412</v>
      </c>
      <c r="Z827" t="s">
        <v>60</v>
      </c>
      <c r="AA827" t="s">
        <v>491</v>
      </c>
    </row>
    <row r="828" spans="1:27" x14ac:dyDescent="0.2">
      <c r="A828" s="1">
        <v>46048</v>
      </c>
      <c r="B828" t="s">
        <v>328</v>
      </c>
      <c r="C828" t="s">
        <v>21</v>
      </c>
      <c r="D828" t="s">
        <v>15</v>
      </c>
      <c r="E828" t="s">
        <v>1258</v>
      </c>
      <c r="F828" t="s">
        <v>21</v>
      </c>
      <c r="G828">
        <v>2</v>
      </c>
      <c r="H828">
        <v>3</v>
      </c>
      <c r="I828" s="13">
        <v>0.6</v>
      </c>
      <c r="J828" t="s">
        <v>249</v>
      </c>
      <c r="L828" t="s">
        <v>60</v>
      </c>
      <c r="M828" t="s">
        <v>60</v>
      </c>
      <c r="N828" t="s">
        <v>21</v>
      </c>
      <c r="O828">
        <v>2</v>
      </c>
      <c r="P828">
        <v>3</v>
      </c>
      <c r="Q828" s="13">
        <v>0.46320722935044861</v>
      </c>
      <c r="R828" t="s">
        <v>249</v>
      </c>
      <c r="S828">
        <v>-2.03634751130485E-2</v>
      </c>
      <c r="T828" t="s">
        <v>60</v>
      </c>
      <c r="U828" t="s">
        <v>60</v>
      </c>
      <c r="X828" t="s">
        <v>60</v>
      </c>
      <c r="Y828" t="s">
        <v>412</v>
      </c>
      <c r="Z828" t="s">
        <v>60</v>
      </c>
      <c r="AA828" t="s">
        <v>491</v>
      </c>
    </row>
    <row r="829" spans="1:27" x14ac:dyDescent="0.2">
      <c r="A829" s="1">
        <v>46048</v>
      </c>
      <c r="B829" t="s">
        <v>328</v>
      </c>
      <c r="C829" t="s">
        <v>30</v>
      </c>
      <c r="D829" t="s">
        <v>27</v>
      </c>
      <c r="E829" t="s">
        <v>675</v>
      </c>
      <c r="F829" t="s">
        <v>30</v>
      </c>
      <c r="G829">
        <v>2</v>
      </c>
      <c r="H829">
        <v>3</v>
      </c>
      <c r="I829" s="13">
        <v>0.6</v>
      </c>
      <c r="J829" t="s">
        <v>249</v>
      </c>
      <c r="L829" t="s">
        <v>60</v>
      </c>
      <c r="M829" t="s">
        <v>60</v>
      </c>
      <c r="N829" t="s">
        <v>30</v>
      </c>
      <c r="O829">
        <v>2</v>
      </c>
      <c r="P829">
        <v>3</v>
      </c>
      <c r="Q829" s="13">
        <v>0.52895808630556485</v>
      </c>
      <c r="R829" t="s">
        <v>249</v>
      </c>
      <c r="S829">
        <v>-8.9406837141820905E-2</v>
      </c>
      <c r="T829" t="s">
        <v>60</v>
      </c>
      <c r="U829" t="s">
        <v>60</v>
      </c>
      <c r="X829" t="s">
        <v>60</v>
      </c>
      <c r="Y829" t="s">
        <v>412</v>
      </c>
      <c r="Z829" t="s">
        <v>60</v>
      </c>
      <c r="AA829" t="s">
        <v>491</v>
      </c>
    </row>
    <row r="830" spans="1:27" x14ac:dyDescent="0.2">
      <c r="A830" s="1">
        <v>46048</v>
      </c>
      <c r="B830" t="s">
        <v>328</v>
      </c>
      <c r="C830" t="s">
        <v>55</v>
      </c>
      <c r="D830" t="s">
        <v>37</v>
      </c>
      <c r="E830" t="s">
        <v>1259</v>
      </c>
      <c r="F830" t="s">
        <v>37</v>
      </c>
      <c r="G830">
        <v>2</v>
      </c>
      <c r="H830">
        <v>3</v>
      </c>
      <c r="I830" s="13">
        <v>0.6</v>
      </c>
      <c r="J830" t="s">
        <v>249</v>
      </c>
      <c r="L830" t="s">
        <v>60</v>
      </c>
      <c r="M830" t="s">
        <v>60</v>
      </c>
      <c r="N830" t="s">
        <v>37</v>
      </c>
      <c r="O830">
        <v>2</v>
      </c>
      <c r="P830">
        <v>3</v>
      </c>
      <c r="Q830" s="13">
        <v>0.6847522954438372</v>
      </c>
      <c r="R830" t="s">
        <v>249</v>
      </c>
      <c r="S830">
        <v>0.96352898469094916</v>
      </c>
      <c r="T830" t="s">
        <v>60</v>
      </c>
      <c r="U830" t="s">
        <v>60</v>
      </c>
      <c r="X830" t="s">
        <v>60</v>
      </c>
      <c r="Y830" t="s">
        <v>412</v>
      </c>
      <c r="Z830" t="s">
        <v>60</v>
      </c>
      <c r="AA830" t="s">
        <v>491</v>
      </c>
    </row>
    <row r="831" spans="1:27" x14ac:dyDescent="0.2">
      <c r="A831" s="1">
        <v>46049</v>
      </c>
      <c r="B831" t="s">
        <v>322</v>
      </c>
      <c r="C831" t="s">
        <v>22</v>
      </c>
      <c r="D831" t="s">
        <v>32</v>
      </c>
      <c r="E831" t="s">
        <v>1260</v>
      </c>
      <c r="F831" t="s">
        <v>22</v>
      </c>
      <c r="G831">
        <v>2</v>
      </c>
      <c r="H831">
        <v>3</v>
      </c>
      <c r="I831" s="13">
        <v>0.6</v>
      </c>
      <c r="J831" t="s">
        <v>249</v>
      </c>
      <c r="L831" t="s">
        <v>60</v>
      </c>
      <c r="M831" t="s">
        <v>60</v>
      </c>
      <c r="N831" t="s">
        <v>22</v>
      </c>
      <c r="O831">
        <v>2</v>
      </c>
      <c r="P831">
        <v>3</v>
      </c>
      <c r="Q831" s="13">
        <v>0.62396936404769199</v>
      </c>
      <c r="R831" t="s">
        <v>249</v>
      </c>
      <c r="S831">
        <v>-1.040183719208684</v>
      </c>
      <c r="T831" t="s">
        <v>60</v>
      </c>
      <c r="U831" t="s">
        <v>60</v>
      </c>
      <c r="X831" t="s">
        <v>60</v>
      </c>
      <c r="Y831" t="s">
        <v>412</v>
      </c>
      <c r="Z831" t="s">
        <v>60</v>
      </c>
      <c r="AA831" t="s">
        <v>491</v>
      </c>
    </row>
    <row r="832" spans="1:27" x14ac:dyDescent="0.2">
      <c r="A832" s="1">
        <v>46049</v>
      </c>
      <c r="B832" t="s">
        <v>322</v>
      </c>
      <c r="C832" t="s">
        <v>33</v>
      </c>
      <c r="D832" t="s">
        <v>38</v>
      </c>
      <c r="E832" t="s">
        <v>1067</v>
      </c>
      <c r="F832" t="s">
        <v>33</v>
      </c>
      <c r="G832">
        <v>2</v>
      </c>
      <c r="H832">
        <v>3</v>
      </c>
      <c r="I832" s="13">
        <v>0.6</v>
      </c>
      <c r="J832" t="s">
        <v>249</v>
      </c>
      <c r="L832" t="s">
        <v>60</v>
      </c>
      <c r="M832" t="s">
        <v>60</v>
      </c>
      <c r="N832" t="s">
        <v>33</v>
      </c>
      <c r="O832">
        <v>2</v>
      </c>
      <c r="P832">
        <v>3</v>
      </c>
      <c r="Q832" s="13">
        <v>0.51212916118467577</v>
      </c>
      <c r="R832" t="s">
        <v>249</v>
      </c>
      <c r="S832">
        <v>-0.44644601380539828</v>
      </c>
      <c r="T832" t="s">
        <v>60</v>
      </c>
      <c r="U832" t="s">
        <v>60</v>
      </c>
      <c r="X832" t="s">
        <v>60</v>
      </c>
      <c r="Y832" t="s">
        <v>412</v>
      </c>
      <c r="Z832" t="s">
        <v>60</v>
      </c>
      <c r="AA832" t="s">
        <v>491</v>
      </c>
    </row>
    <row r="833" spans="1:27" x14ac:dyDescent="0.2">
      <c r="A833" s="1">
        <v>46049</v>
      </c>
      <c r="B833" t="s">
        <v>328</v>
      </c>
      <c r="C833" t="s">
        <v>23</v>
      </c>
      <c r="D833" t="s">
        <v>19</v>
      </c>
      <c r="E833" t="s">
        <v>671</v>
      </c>
      <c r="F833" t="s">
        <v>23</v>
      </c>
      <c r="G833">
        <v>2</v>
      </c>
      <c r="H833">
        <v>3</v>
      </c>
      <c r="I833" s="13">
        <v>0.6</v>
      </c>
      <c r="J833" t="s">
        <v>249</v>
      </c>
      <c r="L833" t="s">
        <v>60</v>
      </c>
      <c r="M833" t="s">
        <v>60</v>
      </c>
      <c r="N833" t="s">
        <v>23</v>
      </c>
      <c r="O833">
        <v>2</v>
      </c>
      <c r="P833">
        <v>3</v>
      </c>
      <c r="Q833" s="13">
        <v>0.47266517059166502</v>
      </c>
      <c r="R833" t="s">
        <v>249</v>
      </c>
      <c r="S833">
        <v>-0.1084674066552284</v>
      </c>
      <c r="T833" t="s">
        <v>60</v>
      </c>
      <c r="U833" t="s">
        <v>60</v>
      </c>
      <c r="X833" t="s">
        <v>60</v>
      </c>
      <c r="Y833" t="s">
        <v>412</v>
      </c>
      <c r="Z833" t="s">
        <v>60</v>
      </c>
      <c r="AA833" t="s">
        <v>491</v>
      </c>
    </row>
    <row r="834" spans="1:27" x14ac:dyDescent="0.2">
      <c r="A834" s="1">
        <v>46049</v>
      </c>
      <c r="B834" t="s">
        <v>324</v>
      </c>
      <c r="C834" t="s">
        <v>39</v>
      </c>
      <c r="D834" t="s">
        <v>35</v>
      </c>
      <c r="E834" t="s">
        <v>605</v>
      </c>
      <c r="F834" t="s">
        <v>39</v>
      </c>
      <c r="G834">
        <v>2</v>
      </c>
      <c r="H834">
        <v>3</v>
      </c>
      <c r="I834" s="13">
        <v>0.6</v>
      </c>
      <c r="J834" t="s">
        <v>249</v>
      </c>
      <c r="L834" t="s">
        <v>60</v>
      </c>
      <c r="M834" t="s">
        <v>60</v>
      </c>
      <c r="N834" t="s">
        <v>39</v>
      </c>
      <c r="O834">
        <v>2</v>
      </c>
      <c r="P834">
        <v>3</v>
      </c>
      <c r="Q834" s="13">
        <v>0.76707254891390675</v>
      </c>
      <c r="R834" t="s">
        <v>249</v>
      </c>
      <c r="S834">
        <v>-1.7580201248796801</v>
      </c>
      <c r="T834" t="s">
        <v>60</v>
      </c>
      <c r="U834" t="s">
        <v>60</v>
      </c>
      <c r="X834" t="s">
        <v>60</v>
      </c>
      <c r="Y834" t="s">
        <v>412</v>
      </c>
      <c r="Z834" t="s">
        <v>60</v>
      </c>
      <c r="AA834" t="s">
        <v>491</v>
      </c>
    </row>
    <row r="835" spans="1:27" x14ac:dyDescent="0.2">
      <c r="A835" s="1">
        <v>46049</v>
      </c>
      <c r="B835" t="s">
        <v>328</v>
      </c>
      <c r="C835" t="s">
        <v>40</v>
      </c>
      <c r="D835" t="s">
        <v>24</v>
      </c>
      <c r="E835" t="s">
        <v>1261</v>
      </c>
      <c r="F835" t="s">
        <v>24</v>
      </c>
      <c r="G835">
        <v>2</v>
      </c>
      <c r="H835">
        <v>3</v>
      </c>
      <c r="I835" s="13">
        <v>0.6</v>
      </c>
      <c r="J835" t="s">
        <v>249</v>
      </c>
      <c r="L835" t="s">
        <v>60</v>
      </c>
      <c r="M835" t="s">
        <v>60</v>
      </c>
      <c r="N835" t="s">
        <v>24</v>
      </c>
      <c r="O835">
        <v>2</v>
      </c>
      <c r="P835">
        <v>3</v>
      </c>
      <c r="Q835" s="13">
        <v>0.64258093432693042</v>
      </c>
      <c r="R835" t="s">
        <v>249</v>
      </c>
      <c r="S835">
        <v>0.36467282347055829</v>
      </c>
      <c r="T835" t="s">
        <v>60</v>
      </c>
      <c r="U835" t="s">
        <v>60</v>
      </c>
      <c r="X835" t="s">
        <v>60</v>
      </c>
      <c r="Y835" t="s">
        <v>412</v>
      </c>
      <c r="Z835" t="s">
        <v>60</v>
      </c>
      <c r="AA835" t="s">
        <v>491</v>
      </c>
    </row>
    <row r="836" spans="1:27" x14ac:dyDescent="0.2">
      <c r="A836" s="1">
        <v>46049</v>
      </c>
      <c r="B836" t="s">
        <v>328</v>
      </c>
      <c r="C836" t="s">
        <v>55</v>
      </c>
      <c r="D836" t="s">
        <v>11</v>
      </c>
      <c r="E836" t="s">
        <v>1262</v>
      </c>
      <c r="F836" t="s">
        <v>11</v>
      </c>
      <c r="G836">
        <v>2</v>
      </c>
      <c r="H836">
        <v>3</v>
      </c>
      <c r="I836" s="13">
        <v>0.6</v>
      </c>
      <c r="J836" t="s">
        <v>249</v>
      </c>
      <c r="L836" t="s">
        <v>60</v>
      </c>
      <c r="M836" t="s">
        <v>60</v>
      </c>
      <c r="N836" t="s">
        <v>11</v>
      </c>
      <c r="O836">
        <v>2</v>
      </c>
      <c r="P836">
        <v>3</v>
      </c>
      <c r="Q836" s="13">
        <v>0.56054444155681793</v>
      </c>
      <c r="R836" t="s">
        <v>249</v>
      </c>
      <c r="S836">
        <v>5.5905746880238402E-2</v>
      </c>
      <c r="T836" t="s">
        <v>60</v>
      </c>
      <c r="U836" t="s">
        <v>60</v>
      </c>
      <c r="X836" t="s">
        <v>60</v>
      </c>
      <c r="Y836" t="s">
        <v>412</v>
      </c>
      <c r="Z836" t="s">
        <v>60</v>
      </c>
      <c r="AA836" t="s">
        <v>491</v>
      </c>
    </row>
    <row r="837" spans="1:27" x14ac:dyDescent="0.2">
      <c r="A837" s="1">
        <v>46049</v>
      </c>
      <c r="B837" t="s">
        <v>324</v>
      </c>
      <c r="C837" t="s">
        <v>10</v>
      </c>
      <c r="D837" t="s">
        <v>34</v>
      </c>
      <c r="E837" t="s">
        <v>1263</v>
      </c>
      <c r="F837" t="s">
        <v>34</v>
      </c>
      <c r="G837">
        <v>2</v>
      </c>
      <c r="H837">
        <v>3</v>
      </c>
      <c r="I837" s="13">
        <v>0.6</v>
      </c>
      <c r="J837" t="s">
        <v>249</v>
      </c>
      <c r="L837" t="s">
        <v>60</v>
      </c>
      <c r="M837" t="s">
        <v>60</v>
      </c>
      <c r="N837" t="s">
        <v>34</v>
      </c>
      <c r="O837">
        <v>2</v>
      </c>
      <c r="P837">
        <v>3</v>
      </c>
      <c r="Q837" s="13">
        <v>0.5599635296646438</v>
      </c>
      <c r="R837" t="s">
        <v>249</v>
      </c>
      <c r="S837">
        <v>0.17097221665799731</v>
      </c>
      <c r="T837" t="s">
        <v>60</v>
      </c>
      <c r="U837" t="s">
        <v>60</v>
      </c>
      <c r="X837" t="s">
        <v>60</v>
      </c>
      <c r="Y837" t="s">
        <v>412</v>
      </c>
      <c r="Z837" t="s">
        <v>60</v>
      </c>
      <c r="AA837" t="s">
        <v>491</v>
      </c>
    </row>
    <row r="838" spans="1:27" x14ac:dyDescent="0.2">
      <c r="A838" s="1">
        <v>46049</v>
      </c>
      <c r="B838" t="s">
        <v>328</v>
      </c>
      <c r="C838" t="s">
        <v>13</v>
      </c>
      <c r="D838" t="s">
        <v>26</v>
      </c>
      <c r="E838" t="s">
        <v>1264</v>
      </c>
      <c r="F838" t="s">
        <v>13</v>
      </c>
      <c r="G838">
        <v>2</v>
      </c>
      <c r="H838">
        <v>3</v>
      </c>
      <c r="I838" s="13">
        <v>0.6</v>
      </c>
      <c r="J838" t="s">
        <v>249</v>
      </c>
      <c r="L838" t="s">
        <v>60</v>
      </c>
      <c r="M838" t="s">
        <v>60</v>
      </c>
      <c r="N838" t="s">
        <v>13</v>
      </c>
      <c r="O838">
        <v>2</v>
      </c>
      <c r="P838">
        <v>3</v>
      </c>
      <c r="Q838" s="13">
        <v>0.5831983510067219</v>
      </c>
      <c r="R838" t="s">
        <v>249</v>
      </c>
      <c r="S838">
        <v>-0.48715521743193341</v>
      </c>
      <c r="T838" t="s">
        <v>60</v>
      </c>
      <c r="U838" t="s">
        <v>60</v>
      </c>
      <c r="X838" t="s">
        <v>60</v>
      </c>
      <c r="Y838" t="s">
        <v>412</v>
      </c>
      <c r="Z838" t="s">
        <v>60</v>
      </c>
      <c r="AA838" t="s">
        <v>491</v>
      </c>
    </row>
    <row r="839" spans="1:27" x14ac:dyDescent="0.2">
      <c r="A839" s="1">
        <v>46049</v>
      </c>
      <c r="B839" t="s">
        <v>328</v>
      </c>
      <c r="C839" t="s">
        <v>29</v>
      </c>
      <c r="D839" t="s">
        <v>21</v>
      </c>
      <c r="E839" t="s">
        <v>1265</v>
      </c>
      <c r="F839" t="s">
        <v>21</v>
      </c>
      <c r="G839">
        <v>2</v>
      </c>
      <c r="H839">
        <v>3</v>
      </c>
      <c r="I839" s="13">
        <v>0.6</v>
      </c>
      <c r="J839" t="s">
        <v>249</v>
      </c>
      <c r="L839" t="s">
        <v>60</v>
      </c>
      <c r="M839" t="s">
        <v>60</v>
      </c>
      <c r="N839" t="s">
        <v>21</v>
      </c>
      <c r="O839">
        <v>2</v>
      </c>
      <c r="P839">
        <v>3</v>
      </c>
      <c r="Q839" s="13">
        <v>0.7247763730260921</v>
      </c>
      <c r="R839" t="s">
        <v>249</v>
      </c>
      <c r="S839">
        <v>1.2150482722854921</v>
      </c>
      <c r="T839" t="s">
        <v>60</v>
      </c>
      <c r="U839" t="s">
        <v>60</v>
      </c>
      <c r="X839" t="s">
        <v>60</v>
      </c>
      <c r="Y839" t="s">
        <v>412</v>
      </c>
      <c r="Z839" t="s">
        <v>60</v>
      </c>
      <c r="AA839" t="s">
        <v>491</v>
      </c>
    </row>
    <row r="840" spans="1:27" x14ac:dyDescent="0.2">
      <c r="A840" s="1">
        <v>46049</v>
      </c>
      <c r="B840" t="s">
        <v>328</v>
      </c>
      <c r="C840" t="s">
        <v>20</v>
      </c>
      <c r="D840" t="s">
        <v>18</v>
      </c>
      <c r="E840" t="s">
        <v>1266</v>
      </c>
      <c r="F840" t="s">
        <v>20</v>
      </c>
      <c r="G840">
        <v>2</v>
      </c>
      <c r="H840">
        <v>3</v>
      </c>
      <c r="I840" s="13">
        <v>0.6</v>
      </c>
      <c r="J840" t="s">
        <v>249</v>
      </c>
      <c r="L840" t="s">
        <v>60</v>
      </c>
      <c r="M840" t="s">
        <v>60</v>
      </c>
      <c r="N840" t="s">
        <v>20</v>
      </c>
      <c r="O840">
        <v>2</v>
      </c>
      <c r="P840">
        <v>3</v>
      </c>
      <c r="Q840" s="13">
        <v>0.49485989097898081</v>
      </c>
      <c r="R840" t="s">
        <v>249</v>
      </c>
      <c r="S840">
        <v>-0.2985480490300263</v>
      </c>
      <c r="T840" t="s">
        <v>60</v>
      </c>
      <c r="U840" t="s">
        <v>60</v>
      </c>
      <c r="X840" t="s">
        <v>60</v>
      </c>
      <c r="Y840" t="s">
        <v>412</v>
      </c>
      <c r="Z840" t="s">
        <v>60</v>
      </c>
      <c r="AA840" t="s">
        <v>491</v>
      </c>
    </row>
    <row r="841" spans="1:27" x14ac:dyDescent="0.2">
      <c r="A841" s="1">
        <v>46050</v>
      </c>
      <c r="B841" t="s">
        <v>328</v>
      </c>
      <c r="C841" t="s">
        <v>27</v>
      </c>
      <c r="D841" t="s">
        <v>28</v>
      </c>
      <c r="E841" t="s">
        <v>1267</v>
      </c>
      <c r="F841" t="s">
        <v>27</v>
      </c>
      <c r="G841">
        <v>2</v>
      </c>
      <c r="H841">
        <v>3</v>
      </c>
      <c r="I841" s="13">
        <v>0.6</v>
      </c>
      <c r="J841" t="s">
        <v>249</v>
      </c>
      <c r="L841" t="s">
        <v>60</v>
      </c>
      <c r="M841" t="s">
        <v>60</v>
      </c>
      <c r="N841" t="s">
        <v>27</v>
      </c>
      <c r="O841">
        <v>2</v>
      </c>
      <c r="P841">
        <v>3</v>
      </c>
      <c r="Q841" s="13">
        <v>0.52176112495951044</v>
      </c>
      <c r="R841" t="s">
        <v>249</v>
      </c>
      <c r="S841">
        <v>-0.1648490719210618</v>
      </c>
      <c r="T841" t="s">
        <v>60</v>
      </c>
      <c r="U841" t="s">
        <v>60</v>
      </c>
      <c r="X841" t="s">
        <v>60</v>
      </c>
      <c r="Y841" t="s">
        <v>412</v>
      </c>
      <c r="Z841" t="s">
        <v>60</v>
      </c>
      <c r="AA841" t="s">
        <v>491</v>
      </c>
    </row>
    <row r="842" spans="1:27" x14ac:dyDescent="0.2">
      <c r="A842" s="1">
        <v>46050</v>
      </c>
      <c r="B842" t="s">
        <v>334</v>
      </c>
      <c r="C842" t="s">
        <v>15</v>
      </c>
      <c r="D842" t="s">
        <v>30</v>
      </c>
      <c r="E842" t="s">
        <v>1069</v>
      </c>
      <c r="F842" t="s">
        <v>30</v>
      </c>
      <c r="G842">
        <v>2</v>
      </c>
      <c r="H842">
        <v>3</v>
      </c>
      <c r="I842" s="13">
        <v>0.6</v>
      </c>
      <c r="J842" t="s">
        <v>249</v>
      </c>
      <c r="L842" t="s">
        <v>60</v>
      </c>
      <c r="M842" t="s">
        <v>60</v>
      </c>
      <c r="N842" t="s">
        <v>30</v>
      </c>
      <c r="O842">
        <v>2</v>
      </c>
      <c r="P842">
        <v>3</v>
      </c>
      <c r="Q842" s="13">
        <v>0.45147856420498927</v>
      </c>
      <c r="R842" t="s">
        <v>249</v>
      </c>
      <c r="S842">
        <v>9.9002735965772401E-2</v>
      </c>
      <c r="T842" t="s">
        <v>60</v>
      </c>
      <c r="U842" t="s">
        <v>60</v>
      </c>
      <c r="X842" t="s">
        <v>60</v>
      </c>
      <c r="Y842" t="s">
        <v>412</v>
      </c>
      <c r="Z842" t="s">
        <v>60</v>
      </c>
      <c r="AA842" t="s">
        <v>491</v>
      </c>
    </row>
    <row r="843" spans="1:27" x14ac:dyDescent="0.2">
      <c r="A843" s="1">
        <v>46050</v>
      </c>
      <c r="B843" t="s">
        <v>334</v>
      </c>
      <c r="C843" t="s">
        <v>12</v>
      </c>
      <c r="D843" t="s">
        <v>36</v>
      </c>
      <c r="E843" t="s">
        <v>1268</v>
      </c>
      <c r="F843" t="s">
        <v>12</v>
      </c>
      <c r="G843">
        <v>2</v>
      </c>
      <c r="H843">
        <v>3</v>
      </c>
      <c r="I843" s="13">
        <v>0.6</v>
      </c>
      <c r="J843" t="s">
        <v>249</v>
      </c>
      <c r="L843" t="s">
        <v>60</v>
      </c>
      <c r="M843" t="s">
        <v>60</v>
      </c>
      <c r="N843" t="s">
        <v>12</v>
      </c>
      <c r="O843">
        <v>2</v>
      </c>
      <c r="P843">
        <v>3</v>
      </c>
      <c r="Q843" s="13">
        <v>0.77688866679805757</v>
      </c>
      <c r="R843" t="s">
        <v>249</v>
      </c>
      <c r="S843">
        <v>-2.1133789603686521</v>
      </c>
      <c r="T843" t="s">
        <v>60</v>
      </c>
      <c r="U843" t="s">
        <v>60</v>
      </c>
      <c r="X843" t="s">
        <v>60</v>
      </c>
      <c r="Y843" t="s">
        <v>412</v>
      </c>
      <c r="Z843" t="s">
        <v>60</v>
      </c>
      <c r="AA843" t="s">
        <v>491</v>
      </c>
    </row>
    <row r="844" spans="1:27" x14ac:dyDescent="0.2">
      <c r="A844" s="1">
        <v>46051</v>
      </c>
      <c r="B844" t="s">
        <v>328</v>
      </c>
      <c r="C844" t="s">
        <v>30</v>
      </c>
      <c r="D844" t="s">
        <v>15</v>
      </c>
      <c r="E844" t="s">
        <v>823</v>
      </c>
      <c r="F844" t="s">
        <v>15</v>
      </c>
      <c r="G844">
        <v>2</v>
      </c>
      <c r="H844">
        <v>3</v>
      </c>
      <c r="I844" s="13">
        <v>0.6</v>
      </c>
      <c r="J844" t="s">
        <v>249</v>
      </c>
      <c r="L844" t="s">
        <v>60</v>
      </c>
      <c r="M844" t="s">
        <v>60</v>
      </c>
      <c r="N844" t="s">
        <v>15</v>
      </c>
      <c r="O844">
        <v>2</v>
      </c>
      <c r="P844">
        <v>3</v>
      </c>
      <c r="Q844" s="13">
        <v>0.46747009813058232</v>
      </c>
      <c r="R844" t="s">
        <v>249</v>
      </c>
      <c r="S844">
        <v>7.9876188055240003E-4</v>
      </c>
      <c r="T844" t="s">
        <v>60</v>
      </c>
      <c r="U844" t="s">
        <v>60</v>
      </c>
      <c r="X844" t="s">
        <v>60</v>
      </c>
      <c r="Y844" t="s">
        <v>412</v>
      </c>
      <c r="Z844" t="s">
        <v>60</v>
      </c>
      <c r="AA844" t="s">
        <v>491</v>
      </c>
    </row>
    <row r="845" spans="1:27" x14ac:dyDescent="0.2">
      <c r="A845" s="1">
        <v>46051</v>
      </c>
      <c r="B845" t="s">
        <v>322</v>
      </c>
      <c r="C845" t="s">
        <v>39</v>
      </c>
      <c r="D845" t="s">
        <v>20</v>
      </c>
      <c r="E845" t="s">
        <v>1269</v>
      </c>
      <c r="F845" t="s">
        <v>39</v>
      </c>
      <c r="G845">
        <v>2</v>
      </c>
      <c r="H845">
        <v>3</v>
      </c>
      <c r="I845" s="13">
        <v>0.6</v>
      </c>
      <c r="J845" t="s">
        <v>249</v>
      </c>
      <c r="L845" t="s">
        <v>60</v>
      </c>
      <c r="M845" t="s">
        <v>60</v>
      </c>
      <c r="N845" t="s">
        <v>39</v>
      </c>
      <c r="O845">
        <v>2</v>
      </c>
      <c r="P845">
        <v>3</v>
      </c>
      <c r="Q845" s="13">
        <v>0.63278869258623338</v>
      </c>
      <c r="R845" t="s">
        <v>249</v>
      </c>
      <c r="S845">
        <v>-0.6079825832525938</v>
      </c>
      <c r="T845" t="s">
        <v>60</v>
      </c>
      <c r="U845" t="s">
        <v>60</v>
      </c>
      <c r="X845" t="s">
        <v>60</v>
      </c>
      <c r="Y845" t="s">
        <v>412</v>
      </c>
      <c r="Z845" t="s">
        <v>60</v>
      </c>
      <c r="AA845" t="s">
        <v>491</v>
      </c>
    </row>
    <row r="846" spans="1:27" x14ac:dyDescent="0.2">
      <c r="A846" s="1">
        <v>46051</v>
      </c>
      <c r="B846" t="s">
        <v>328</v>
      </c>
      <c r="C846" t="s">
        <v>40</v>
      </c>
      <c r="D846" t="s">
        <v>37</v>
      </c>
      <c r="E846" t="s">
        <v>1270</v>
      </c>
      <c r="F846" t="s">
        <v>37</v>
      </c>
      <c r="G846">
        <v>2</v>
      </c>
      <c r="H846">
        <v>3</v>
      </c>
      <c r="I846" s="13">
        <v>0.6</v>
      </c>
      <c r="J846" t="s">
        <v>249</v>
      </c>
      <c r="L846" t="s">
        <v>60</v>
      </c>
      <c r="M846" t="s">
        <v>60</v>
      </c>
      <c r="N846" t="s">
        <v>37</v>
      </c>
      <c r="O846">
        <v>2</v>
      </c>
      <c r="P846">
        <v>3</v>
      </c>
      <c r="Q846" s="13">
        <v>0.65373537994424258</v>
      </c>
      <c r="R846" t="s">
        <v>249</v>
      </c>
      <c r="S846">
        <v>0.87364751945255836</v>
      </c>
      <c r="T846" t="s">
        <v>60</v>
      </c>
      <c r="U846" t="s">
        <v>60</v>
      </c>
      <c r="X846" t="s">
        <v>60</v>
      </c>
      <c r="Y846" t="s">
        <v>412</v>
      </c>
      <c r="Z846" t="s">
        <v>60</v>
      </c>
      <c r="AA846" t="s">
        <v>491</v>
      </c>
    </row>
    <row r="847" spans="1:27" x14ac:dyDescent="0.2">
      <c r="A847" s="1">
        <v>46051</v>
      </c>
      <c r="B847" t="s">
        <v>324</v>
      </c>
      <c r="C847" t="s">
        <v>11</v>
      </c>
      <c r="D847" t="s">
        <v>35</v>
      </c>
      <c r="E847" t="s">
        <v>1271</v>
      </c>
      <c r="F847" t="s">
        <v>11</v>
      </c>
      <c r="G847">
        <v>2</v>
      </c>
      <c r="H847">
        <v>3</v>
      </c>
      <c r="I847" s="13">
        <v>0.6</v>
      </c>
      <c r="J847" t="s">
        <v>249</v>
      </c>
      <c r="L847" t="s">
        <v>60</v>
      </c>
      <c r="M847" t="s">
        <v>60</v>
      </c>
      <c r="N847" t="s">
        <v>11</v>
      </c>
      <c r="O847">
        <v>2</v>
      </c>
      <c r="P847">
        <v>3</v>
      </c>
      <c r="Q847" s="13">
        <v>0.57062986050810705</v>
      </c>
      <c r="R847" t="s">
        <v>249</v>
      </c>
      <c r="S847">
        <v>-0.94745933196045362</v>
      </c>
      <c r="T847" t="s">
        <v>60</v>
      </c>
      <c r="U847" t="s">
        <v>60</v>
      </c>
      <c r="X847" t="s">
        <v>60</v>
      </c>
      <c r="Y847" t="s">
        <v>412</v>
      </c>
      <c r="Z847" t="s">
        <v>60</v>
      </c>
      <c r="AA847" t="s">
        <v>491</v>
      </c>
    </row>
    <row r="848" spans="1:27" x14ac:dyDescent="0.2">
      <c r="A848" s="1">
        <v>46051</v>
      </c>
      <c r="B848" t="s">
        <v>322</v>
      </c>
      <c r="C848" t="s">
        <v>19</v>
      </c>
      <c r="D848" t="s">
        <v>32</v>
      </c>
      <c r="E848" t="s">
        <v>1272</v>
      </c>
      <c r="F848" t="s">
        <v>32</v>
      </c>
      <c r="G848">
        <v>2</v>
      </c>
      <c r="H848">
        <v>3</v>
      </c>
      <c r="I848" s="13">
        <v>0.6</v>
      </c>
      <c r="J848" t="s">
        <v>249</v>
      </c>
      <c r="L848" t="s">
        <v>60</v>
      </c>
      <c r="M848" t="s">
        <v>60</v>
      </c>
      <c r="N848" t="s">
        <v>32</v>
      </c>
      <c r="O848">
        <v>2</v>
      </c>
      <c r="P848">
        <v>3</v>
      </c>
      <c r="Q848" s="13">
        <v>0.54408701234875267</v>
      </c>
      <c r="R848" t="s">
        <v>249</v>
      </c>
      <c r="S848">
        <v>3.5002104964052899E-2</v>
      </c>
      <c r="T848" t="s">
        <v>60</v>
      </c>
      <c r="U848" t="s">
        <v>60</v>
      </c>
      <c r="X848" t="s">
        <v>60</v>
      </c>
      <c r="Y848" t="s">
        <v>412</v>
      </c>
      <c r="Z848" t="s">
        <v>60</v>
      </c>
      <c r="AA848" t="s">
        <v>491</v>
      </c>
    </row>
    <row r="849" spans="1:27" x14ac:dyDescent="0.2">
      <c r="A849" s="1">
        <v>46051</v>
      </c>
      <c r="B849" t="s">
        <v>328</v>
      </c>
      <c r="C849" t="s">
        <v>10</v>
      </c>
      <c r="D849" t="s">
        <v>14</v>
      </c>
      <c r="E849" t="s">
        <v>1273</v>
      </c>
      <c r="F849" t="s">
        <v>14</v>
      </c>
      <c r="G849">
        <v>2</v>
      </c>
      <c r="H849">
        <v>3</v>
      </c>
      <c r="I849" s="13">
        <v>0.6</v>
      </c>
      <c r="J849" t="s">
        <v>249</v>
      </c>
      <c r="L849" t="s">
        <v>60</v>
      </c>
      <c r="M849" t="s">
        <v>60</v>
      </c>
      <c r="N849" t="s">
        <v>14</v>
      </c>
      <c r="O849">
        <v>2</v>
      </c>
      <c r="P849">
        <v>3</v>
      </c>
      <c r="Q849" s="13">
        <v>0.54978871464534118</v>
      </c>
      <c r="R849" t="s">
        <v>249</v>
      </c>
      <c r="S849">
        <v>8.3832782541986006E-2</v>
      </c>
      <c r="T849" t="s">
        <v>60</v>
      </c>
      <c r="U849" t="s">
        <v>60</v>
      </c>
      <c r="X849" t="s">
        <v>60</v>
      </c>
      <c r="Y849" t="s">
        <v>412</v>
      </c>
      <c r="Z849" t="s">
        <v>60</v>
      </c>
      <c r="AA849" t="s">
        <v>491</v>
      </c>
    </row>
    <row r="850" spans="1:27" x14ac:dyDescent="0.2">
      <c r="A850" s="1">
        <v>46051</v>
      </c>
      <c r="B850" t="s">
        <v>328</v>
      </c>
      <c r="C850" t="s">
        <v>29</v>
      </c>
      <c r="D850" t="s">
        <v>24</v>
      </c>
      <c r="E850" t="s">
        <v>1274</v>
      </c>
      <c r="F850" t="s">
        <v>24</v>
      </c>
      <c r="G850">
        <v>2</v>
      </c>
      <c r="H850">
        <v>3</v>
      </c>
      <c r="I850" s="13">
        <v>0.6</v>
      </c>
      <c r="J850" t="s">
        <v>249</v>
      </c>
      <c r="L850" t="s">
        <v>60</v>
      </c>
      <c r="M850" t="s">
        <v>60</v>
      </c>
      <c r="N850" t="s">
        <v>24</v>
      </c>
      <c r="O850">
        <v>2</v>
      </c>
      <c r="P850">
        <v>3</v>
      </c>
      <c r="Q850" s="13">
        <v>0.78754957182984597</v>
      </c>
      <c r="R850" t="s">
        <v>249</v>
      </c>
      <c r="S850">
        <v>1.4363482834978281</v>
      </c>
      <c r="T850" t="s">
        <v>60</v>
      </c>
      <c r="U850" t="s">
        <v>60</v>
      </c>
      <c r="X850" t="s">
        <v>60</v>
      </c>
      <c r="Y850" t="s">
        <v>412</v>
      </c>
      <c r="Z850" t="s">
        <v>60</v>
      </c>
      <c r="AA850" t="s">
        <v>491</v>
      </c>
    </row>
    <row r="851" spans="1:27" x14ac:dyDescent="0.2">
      <c r="A851" s="1">
        <v>46051</v>
      </c>
      <c r="B851" t="s">
        <v>322</v>
      </c>
      <c r="C851" t="s">
        <v>31</v>
      </c>
      <c r="D851" t="s">
        <v>38</v>
      </c>
      <c r="E851" t="s">
        <v>1275</v>
      </c>
      <c r="F851" t="s">
        <v>31</v>
      </c>
      <c r="G851">
        <v>2</v>
      </c>
      <c r="H851">
        <v>3</v>
      </c>
      <c r="I851" s="13">
        <v>0.6</v>
      </c>
      <c r="J851" t="s">
        <v>249</v>
      </c>
      <c r="L851" t="s">
        <v>60</v>
      </c>
      <c r="M851" t="s">
        <v>60</v>
      </c>
      <c r="N851" t="s">
        <v>31</v>
      </c>
      <c r="O851">
        <v>2</v>
      </c>
      <c r="P851">
        <v>3</v>
      </c>
      <c r="Q851" s="13">
        <v>0.60646416175266515</v>
      </c>
      <c r="R851" t="s">
        <v>249</v>
      </c>
      <c r="S851">
        <v>-1.076480028026908</v>
      </c>
      <c r="T851" t="s">
        <v>60</v>
      </c>
      <c r="U851" t="s">
        <v>60</v>
      </c>
      <c r="X851" t="s">
        <v>60</v>
      </c>
      <c r="Y851" t="s">
        <v>412</v>
      </c>
      <c r="Z851" t="s">
        <v>60</v>
      </c>
      <c r="AA851" t="s">
        <v>491</v>
      </c>
    </row>
    <row r="852" spans="1:27" x14ac:dyDescent="0.2">
      <c r="A852" s="1">
        <v>46051</v>
      </c>
      <c r="B852" t="s">
        <v>324</v>
      </c>
      <c r="C852" t="s">
        <v>16</v>
      </c>
      <c r="D852" t="s">
        <v>34</v>
      </c>
      <c r="E852" t="s">
        <v>835</v>
      </c>
      <c r="F852" t="s">
        <v>34</v>
      </c>
      <c r="G852">
        <v>2</v>
      </c>
      <c r="H852">
        <v>3</v>
      </c>
      <c r="I852" s="13">
        <v>0.6</v>
      </c>
      <c r="J852" t="s">
        <v>249</v>
      </c>
      <c r="L852" t="s">
        <v>60</v>
      </c>
      <c r="M852" t="s">
        <v>60</v>
      </c>
      <c r="N852" t="s">
        <v>34</v>
      </c>
      <c r="O852">
        <v>2</v>
      </c>
      <c r="P852">
        <v>3</v>
      </c>
      <c r="Q852" s="13">
        <v>0.66383571053823376</v>
      </c>
      <c r="R852" t="s">
        <v>249</v>
      </c>
      <c r="S852">
        <v>1.0605572405183039</v>
      </c>
      <c r="T852" t="s">
        <v>60</v>
      </c>
      <c r="U852" t="s">
        <v>60</v>
      </c>
      <c r="X852" t="s">
        <v>60</v>
      </c>
      <c r="Y852" t="s">
        <v>412</v>
      </c>
      <c r="Z852" t="s">
        <v>60</v>
      </c>
      <c r="AA852" t="s">
        <v>491</v>
      </c>
    </row>
    <row r="853" spans="1:27" x14ac:dyDescent="0.2">
      <c r="A853" s="1">
        <v>46051</v>
      </c>
      <c r="B853" t="s">
        <v>328</v>
      </c>
      <c r="C853" t="s">
        <v>27</v>
      </c>
      <c r="D853" t="s">
        <v>21</v>
      </c>
      <c r="E853" t="s">
        <v>1276</v>
      </c>
      <c r="F853" t="s">
        <v>21</v>
      </c>
      <c r="G853">
        <v>2</v>
      </c>
      <c r="H853">
        <v>3</v>
      </c>
      <c r="I853" s="13">
        <v>0.6</v>
      </c>
      <c r="J853" t="s">
        <v>249</v>
      </c>
      <c r="L853" t="s">
        <v>60</v>
      </c>
      <c r="M853" t="s">
        <v>60</v>
      </c>
      <c r="N853" t="s">
        <v>21</v>
      </c>
      <c r="O853">
        <v>2</v>
      </c>
      <c r="P853">
        <v>3</v>
      </c>
      <c r="Q853" s="13">
        <v>0.56554747568429253</v>
      </c>
      <c r="R853" t="s">
        <v>249</v>
      </c>
      <c r="S853">
        <v>0.21037057198174691</v>
      </c>
      <c r="T853" t="s">
        <v>60</v>
      </c>
      <c r="U853" t="s">
        <v>60</v>
      </c>
      <c r="X853" t="s">
        <v>60</v>
      </c>
      <c r="Y853" t="s">
        <v>412</v>
      </c>
      <c r="Z853" t="s">
        <v>60</v>
      </c>
      <c r="AA853" t="s">
        <v>491</v>
      </c>
    </row>
    <row r="854" spans="1:27" x14ac:dyDescent="0.2">
      <c r="A854" s="1">
        <v>46051</v>
      </c>
      <c r="B854" t="s">
        <v>328</v>
      </c>
      <c r="C854" t="s">
        <v>13</v>
      </c>
      <c r="D854" t="s">
        <v>23</v>
      </c>
      <c r="E854" t="s">
        <v>1277</v>
      </c>
      <c r="F854" t="s">
        <v>13</v>
      </c>
      <c r="G854">
        <v>2</v>
      </c>
      <c r="H854">
        <v>3</v>
      </c>
      <c r="I854" s="13">
        <v>0.6</v>
      </c>
      <c r="J854" t="s">
        <v>249</v>
      </c>
      <c r="L854" t="s">
        <v>60</v>
      </c>
      <c r="M854" t="s">
        <v>60</v>
      </c>
      <c r="N854" t="s">
        <v>13</v>
      </c>
      <c r="O854">
        <v>2</v>
      </c>
      <c r="P854">
        <v>3</v>
      </c>
      <c r="Q854" s="13">
        <v>0.52639570074487763</v>
      </c>
      <c r="R854" t="s">
        <v>249</v>
      </c>
      <c r="S854">
        <v>-8.7926088140213507E-2</v>
      </c>
      <c r="T854" t="s">
        <v>60</v>
      </c>
      <c r="U854" t="s">
        <v>60</v>
      </c>
      <c r="X854" t="s">
        <v>60</v>
      </c>
      <c r="Y854" t="s">
        <v>412</v>
      </c>
      <c r="Z854" t="s">
        <v>60</v>
      </c>
      <c r="AA854" t="s">
        <v>491</v>
      </c>
    </row>
    <row r="855" spans="1:27" x14ac:dyDescent="0.2">
      <c r="A855" s="1">
        <v>46051</v>
      </c>
      <c r="B855" t="s">
        <v>328</v>
      </c>
      <c r="C855" t="s">
        <v>12</v>
      </c>
      <c r="D855" t="s">
        <v>18</v>
      </c>
      <c r="E855" t="s">
        <v>1278</v>
      </c>
      <c r="F855" t="s">
        <v>12</v>
      </c>
      <c r="G855">
        <v>2</v>
      </c>
      <c r="H855">
        <v>3</v>
      </c>
      <c r="I855" s="13">
        <v>0.6</v>
      </c>
      <c r="J855" t="s">
        <v>249</v>
      </c>
      <c r="L855" t="s">
        <v>60</v>
      </c>
      <c r="M855" t="s">
        <v>60</v>
      </c>
      <c r="N855" t="s">
        <v>12</v>
      </c>
      <c r="O855">
        <v>2</v>
      </c>
      <c r="P855">
        <v>3</v>
      </c>
      <c r="Q855" s="13">
        <v>0.78657397201630874</v>
      </c>
      <c r="R855" t="s">
        <v>249</v>
      </c>
      <c r="S855">
        <v>-2.1748925377776391</v>
      </c>
      <c r="T855" t="s">
        <v>60</v>
      </c>
      <c r="U855" t="s">
        <v>60</v>
      </c>
      <c r="X855" t="s">
        <v>60</v>
      </c>
      <c r="Y855" t="s">
        <v>412</v>
      </c>
      <c r="Z855" t="s">
        <v>60</v>
      </c>
      <c r="AA855" t="s">
        <v>491</v>
      </c>
    </row>
    <row r="856" spans="1:27" x14ac:dyDescent="0.2">
      <c r="A856" s="1">
        <v>46051</v>
      </c>
      <c r="B856" t="s">
        <v>334</v>
      </c>
      <c r="C856" t="s">
        <v>22</v>
      </c>
      <c r="D856" t="s">
        <v>26</v>
      </c>
      <c r="E856" t="s">
        <v>1053</v>
      </c>
      <c r="F856" t="s">
        <v>22</v>
      </c>
      <c r="G856">
        <v>2</v>
      </c>
      <c r="H856">
        <v>3</v>
      </c>
      <c r="I856" s="13">
        <v>0.6</v>
      </c>
      <c r="J856" t="s">
        <v>249</v>
      </c>
      <c r="L856" t="s">
        <v>60</v>
      </c>
      <c r="M856" t="s">
        <v>60</v>
      </c>
      <c r="N856" t="s">
        <v>22</v>
      </c>
      <c r="O856">
        <v>2</v>
      </c>
      <c r="P856">
        <v>3</v>
      </c>
      <c r="Q856" s="13">
        <v>0.65035380101246465</v>
      </c>
      <c r="R856" t="s">
        <v>249</v>
      </c>
      <c r="S856">
        <v>-1.2661460489629039</v>
      </c>
      <c r="T856" t="s">
        <v>60</v>
      </c>
      <c r="U856" t="s">
        <v>60</v>
      </c>
      <c r="X856" t="s">
        <v>60</v>
      </c>
      <c r="Y856" t="s">
        <v>412</v>
      </c>
      <c r="Z856" t="s">
        <v>60</v>
      </c>
      <c r="AA856" t="s">
        <v>491</v>
      </c>
    </row>
    <row r="857" spans="1:27" x14ac:dyDescent="0.2">
      <c r="A857" s="1">
        <v>46051</v>
      </c>
      <c r="B857" t="s">
        <v>326</v>
      </c>
      <c r="C857" t="s">
        <v>33</v>
      </c>
      <c r="D857" t="s">
        <v>17</v>
      </c>
      <c r="E857" t="s">
        <v>1279</v>
      </c>
      <c r="F857" t="s">
        <v>33</v>
      </c>
      <c r="G857">
        <v>2</v>
      </c>
      <c r="H857">
        <v>3</v>
      </c>
      <c r="I857" s="13">
        <v>0.6</v>
      </c>
      <c r="J857" t="s">
        <v>249</v>
      </c>
      <c r="L857" t="s">
        <v>60</v>
      </c>
      <c r="M857" t="s">
        <v>60</v>
      </c>
      <c r="N857" t="s">
        <v>33</v>
      </c>
      <c r="O857">
        <v>2</v>
      </c>
      <c r="P857">
        <v>3</v>
      </c>
      <c r="Q857" s="13">
        <v>0.48991183681922668</v>
      </c>
      <c r="R857" t="s">
        <v>249</v>
      </c>
      <c r="S857">
        <v>-0.31651492293211592</v>
      </c>
      <c r="T857" t="s">
        <v>60</v>
      </c>
      <c r="U857" t="s">
        <v>60</v>
      </c>
      <c r="X857" t="s">
        <v>60</v>
      </c>
      <c r="Y857" t="s">
        <v>412</v>
      </c>
      <c r="Z857" t="s">
        <v>60</v>
      </c>
      <c r="AA857" t="s">
        <v>491</v>
      </c>
    </row>
    <row r="858" spans="1:27" x14ac:dyDescent="0.2">
      <c r="A858" s="1">
        <v>46051</v>
      </c>
      <c r="B858" t="s">
        <v>328</v>
      </c>
      <c r="C858" t="s">
        <v>55</v>
      </c>
      <c r="D858" t="s">
        <v>25</v>
      </c>
      <c r="E858" t="s">
        <v>1280</v>
      </c>
      <c r="F858" t="s">
        <v>25</v>
      </c>
      <c r="G858">
        <v>2</v>
      </c>
      <c r="H858">
        <v>3</v>
      </c>
      <c r="I858" s="13">
        <v>0.6</v>
      </c>
      <c r="J858" t="s">
        <v>249</v>
      </c>
      <c r="L858" t="s">
        <v>60</v>
      </c>
      <c r="M858" t="s">
        <v>60</v>
      </c>
      <c r="N858" t="s">
        <v>25</v>
      </c>
      <c r="O858">
        <v>2</v>
      </c>
      <c r="P858">
        <v>3</v>
      </c>
      <c r="Q858" s="13">
        <v>0.69431707371871232</v>
      </c>
      <c r="R858" t="s">
        <v>249</v>
      </c>
      <c r="S858">
        <v>0.87869917527289765</v>
      </c>
      <c r="T858" t="s">
        <v>60</v>
      </c>
      <c r="U858" t="s">
        <v>60</v>
      </c>
      <c r="X858" t="s">
        <v>60</v>
      </c>
      <c r="Y858" t="s">
        <v>412</v>
      </c>
      <c r="Z858" t="s">
        <v>60</v>
      </c>
      <c r="AA858" t="s">
        <v>491</v>
      </c>
    </row>
    <row r="859" spans="1:27" x14ac:dyDescent="0.2">
      <c r="A859" s="1">
        <v>46052</v>
      </c>
      <c r="B859" t="s">
        <v>416</v>
      </c>
      <c r="C859" t="s">
        <v>28</v>
      </c>
      <c r="D859" t="s">
        <v>10</v>
      </c>
      <c r="E859" t="s">
        <v>1281</v>
      </c>
      <c r="F859" t="s">
        <v>10</v>
      </c>
      <c r="G859">
        <v>2</v>
      </c>
      <c r="H859">
        <v>3</v>
      </c>
      <c r="I859" s="13">
        <v>0.6</v>
      </c>
      <c r="J859" t="s">
        <v>249</v>
      </c>
      <c r="L859" t="s">
        <v>60</v>
      </c>
      <c r="M859" t="s">
        <v>60</v>
      </c>
      <c r="N859" t="s">
        <v>10</v>
      </c>
      <c r="O859">
        <v>2</v>
      </c>
      <c r="P859">
        <v>3</v>
      </c>
      <c r="Q859" s="13">
        <v>0.59115077108977121</v>
      </c>
      <c r="R859" t="s">
        <v>249</v>
      </c>
      <c r="S859">
        <v>0.4686938980893891</v>
      </c>
      <c r="T859" t="s">
        <v>60</v>
      </c>
      <c r="U859" t="s">
        <v>60</v>
      </c>
      <c r="X859" t="s">
        <v>60</v>
      </c>
      <c r="Y859" t="s">
        <v>412</v>
      </c>
      <c r="Z859" t="s">
        <v>60</v>
      </c>
      <c r="AA859" t="s">
        <v>491</v>
      </c>
    </row>
    <row r="860" spans="1:27" x14ac:dyDescent="0.2">
      <c r="A860" s="1">
        <v>46053</v>
      </c>
      <c r="B860" t="s">
        <v>322</v>
      </c>
      <c r="C860" t="s">
        <v>32</v>
      </c>
      <c r="D860" t="s">
        <v>20</v>
      </c>
      <c r="E860" t="s">
        <v>1282</v>
      </c>
      <c r="F860" t="s">
        <v>20</v>
      </c>
      <c r="G860">
        <v>2</v>
      </c>
      <c r="H860">
        <v>3</v>
      </c>
      <c r="I860" s="13">
        <v>0.6</v>
      </c>
      <c r="J860" t="s">
        <v>249</v>
      </c>
      <c r="L860" t="s">
        <v>60</v>
      </c>
      <c r="M860" t="s">
        <v>60</v>
      </c>
      <c r="N860" t="s">
        <v>20</v>
      </c>
      <c r="O860">
        <v>2</v>
      </c>
      <c r="P860">
        <v>3</v>
      </c>
      <c r="Q860" s="13">
        <v>0.59310895063284608</v>
      </c>
      <c r="R860" t="s">
        <v>249</v>
      </c>
      <c r="S860">
        <v>0.45483715388061602</v>
      </c>
      <c r="T860" t="s">
        <v>60</v>
      </c>
      <c r="U860" t="s">
        <v>60</v>
      </c>
      <c r="X860" t="s">
        <v>60</v>
      </c>
      <c r="Y860" t="s">
        <v>412</v>
      </c>
      <c r="Z860" t="s">
        <v>60</v>
      </c>
      <c r="AA860" t="s">
        <v>491</v>
      </c>
    </row>
    <row r="861" spans="1:27" x14ac:dyDescent="0.2">
      <c r="A861" s="1">
        <v>46053</v>
      </c>
      <c r="B861" t="s">
        <v>328</v>
      </c>
      <c r="C861" t="s">
        <v>19</v>
      </c>
      <c r="D861" t="s">
        <v>38</v>
      </c>
      <c r="E861" t="s">
        <v>1283</v>
      </c>
      <c r="F861" t="s">
        <v>19</v>
      </c>
      <c r="G861">
        <v>2</v>
      </c>
      <c r="H861">
        <v>3</v>
      </c>
      <c r="I861" s="13">
        <v>0.6</v>
      </c>
      <c r="J861" t="s">
        <v>249</v>
      </c>
      <c r="L861" t="s">
        <v>60</v>
      </c>
      <c r="M861" t="s">
        <v>60</v>
      </c>
      <c r="N861" t="s">
        <v>19</v>
      </c>
      <c r="O861">
        <v>2</v>
      </c>
      <c r="P861">
        <v>3</v>
      </c>
      <c r="Q861" s="13">
        <v>0.49074397594317171</v>
      </c>
      <c r="R861" t="s">
        <v>249</v>
      </c>
      <c r="S861">
        <v>-0.26329841486866112</v>
      </c>
      <c r="T861" t="s">
        <v>60</v>
      </c>
      <c r="U861" t="s">
        <v>60</v>
      </c>
      <c r="X861" t="s">
        <v>60</v>
      </c>
      <c r="Y861" t="s">
        <v>412</v>
      </c>
      <c r="Z861" t="s">
        <v>60</v>
      </c>
      <c r="AA861" t="s">
        <v>491</v>
      </c>
    </row>
    <row r="862" spans="1:27" x14ac:dyDescent="0.2">
      <c r="A862" s="1">
        <v>46053</v>
      </c>
      <c r="B862" t="s">
        <v>326</v>
      </c>
      <c r="C862" t="s">
        <v>39</v>
      </c>
      <c r="D862" t="s">
        <v>55</v>
      </c>
      <c r="E862" t="s">
        <v>1193</v>
      </c>
      <c r="F862" t="s">
        <v>39</v>
      </c>
      <c r="G862">
        <v>2</v>
      </c>
      <c r="H862">
        <v>3</v>
      </c>
      <c r="I862" s="13">
        <v>0.6</v>
      </c>
      <c r="J862" t="s">
        <v>249</v>
      </c>
      <c r="L862" t="s">
        <v>60</v>
      </c>
      <c r="M862" t="s">
        <v>60</v>
      </c>
      <c r="N862" t="s">
        <v>39</v>
      </c>
      <c r="O862">
        <v>2</v>
      </c>
      <c r="P862">
        <v>3</v>
      </c>
      <c r="Q862" s="13">
        <v>0.61057209039542149</v>
      </c>
      <c r="R862" t="s">
        <v>249</v>
      </c>
      <c r="S862">
        <v>-0.76666504195313978</v>
      </c>
      <c r="T862" t="s">
        <v>60</v>
      </c>
      <c r="U862" t="s">
        <v>60</v>
      </c>
      <c r="X862" t="s">
        <v>60</v>
      </c>
      <c r="Y862" t="s">
        <v>412</v>
      </c>
      <c r="Z862" t="s">
        <v>60</v>
      </c>
      <c r="AA862" t="s">
        <v>491</v>
      </c>
    </row>
    <row r="863" spans="1:27" x14ac:dyDescent="0.2">
      <c r="A863" s="1">
        <v>46053</v>
      </c>
      <c r="B863" t="s">
        <v>328</v>
      </c>
      <c r="C863" t="s">
        <v>28</v>
      </c>
      <c r="D863" t="s">
        <v>35</v>
      </c>
      <c r="E863" t="s">
        <v>1284</v>
      </c>
      <c r="F863" t="s">
        <v>28</v>
      </c>
      <c r="G863">
        <v>2</v>
      </c>
      <c r="H863">
        <v>3</v>
      </c>
      <c r="I863" s="13">
        <v>0.6</v>
      </c>
      <c r="J863" t="s">
        <v>249</v>
      </c>
      <c r="L863" t="s">
        <v>60</v>
      </c>
      <c r="M863" t="s">
        <v>60</v>
      </c>
      <c r="N863" t="s">
        <v>28</v>
      </c>
      <c r="O863">
        <v>2</v>
      </c>
      <c r="P863">
        <v>3</v>
      </c>
      <c r="Q863" s="13">
        <v>0.55110164660311056</v>
      </c>
      <c r="R863" t="s">
        <v>249</v>
      </c>
      <c r="S863">
        <v>-0.74958821867401981</v>
      </c>
      <c r="T863" t="s">
        <v>60</v>
      </c>
      <c r="U863" t="s">
        <v>60</v>
      </c>
      <c r="X863" t="s">
        <v>60</v>
      </c>
      <c r="Y863" t="s">
        <v>412</v>
      </c>
      <c r="Z863" t="s">
        <v>60</v>
      </c>
      <c r="AA863" t="s">
        <v>491</v>
      </c>
    </row>
    <row r="864" spans="1:27" x14ac:dyDescent="0.2">
      <c r="A864" s="1">
        <v>46053</v>
      </c>
      <c r="B864" t="s">
        <v>352</v>
      </c>
      <c r="C864" t="s">
        <v>15</v>
      </c>
      <c r="D864" t="s">
        <v>14</v>
      </c>
      <c r="E864" t="s">
        <v>534</v>
      </c>
      <c r="F864" t="s">
        <v>14</v>
      </c>
      <c r="G864">
        <v>2</v>
      </c>
      <c r="H864">
        <v>3</v>
      </c>
      <c r="I864" s="13">
        <v>0.6</v>
      </c>
      <c r="J864" t="s">
        <v>249</v>
      </c>
      <c r="L864" t="s">
        <v>60</v>
      </c>
      <c r="M864" t="s">
        <v>60</v>
      </c>
      <c r="N864" t="s">
        <v>14</v>
      </c>
      <c r="O864">
        <v>2</v>
      </c>
      <c r="P864">
        <v>3</v>
      </c>
      <c r="Q864" s="13">
        <v>0.46299948327093321</v>
      </c>
      <c r="R864" t="s">
        <v>249</v>
      </c>
      <c r="S864">
        <v>0.19767051184161499</v>
      </c>
      <c r="T864" t="s">
        <v>60</v>
      </c>
      <c r="U864" t="s">
        <v>60</v>
      </c>
      <c r="X864" t="s">
        <v>60</v>
      </c>
      <c r="Y864" t="s">
        <v>412</v>
      </c>
      <c r="Z864" t="s">
        <v>60</v>
      </c>
      <c r="AA864" t="s">
        <v>491</v>
      </c>
    </row>
    <row r="865" spans="1:27" x14ac:dyDescent="0.2">
      <c r="A865" s="1">
        <v>46053</v>
      </c>
      <c r="B865" t="s">
        <v>555</v>
      </c>
      <c r="C865" t="s">
        <v>13</v>
      </c>
      <c r="D865" t="s">
        <v>27</v>
      </c>
      <c r="E865" t="s">
        <v>1285</v>
      </c>
      <c r="F865" t="s">
        <v>27</v>
      </c>
      <c r="G865">
        <v>2</v>
      </c>
      <c r="H865">
        <v>3</v>
      </c>
      <c r="I865" s="13">
        <v>0.6</v>
      </c>
      <c r="J865" t="s">
        <v>249</v>
      </c>
      <c r="L865" t="s">
        <v>60</v>
      </c>
      <c r="M865" t="s">
        <v>60</v>
      </c>
      <c r="N865" t="s">
        <v>27</v>
      </c>
      <c r="O865">
        <v>2</v>
      </c>
      <c r="P865">
        <v>3</v>
      </c>
      <c r="Q865" s="13">
        <v>0.48873254651311138</v>
      </c>
      <c r="R865" t="s">
        <v>249</v>
      </c>
      <c r="S865">
        <v>7.9447640940601E-3</v>
      </c>
      <c r="T865" t="s">
        <v>60</v>
      </c>
      <c r="U865" t="s">
        <v>60</v>
      </c>
      <c r="X865" t="s">
        <v>60</v>
      </c>
      <c r="Y865" t="s">
        <v>412</v>
      </c>
      <c r="Z865" t="s">
        <v>60</v>
      </c>
      <c r="AA865" t="s">
        <v>491</v>
      </c>
    </row>
    <row r="866" spans="1:27" x14ac:dyDescent="0.2">
      <c r="A866" s="1">
        <v>46053</v>
      </c>
      <c r="B866" t="s">
        <v>328</v>
      </c>
      <c r="C866" t="s">
        <v>29</v>
      </c>
      <c r="D866" t="s">
        <v>30</v>
      </c>
      <c r="E866" t="s">
        <v>1286</v>
      </c>
      <c r="F866" t="s">
        <v>30</v>
      </c>
      <c r="G866">
        <v>2</v>
      </c>
      <c r="H866">
        <v>3</v>
      </c>
      <c r="I866" s="13">
        <v>0.6</v>
      </c>
      <c r="J866" t="s">
        <v>249</v>
      </c>
      <c r="L866" t="s">
        <v>60</v>
      </c>
      <c r="M866" t="s">
        <v>60</v>
      </c>
      <c r="N866" t="s">
        <v>30</v>
      </c>
      <c r="O866">
        <v>2</v>
      </c>
      <c r="P866">
        <v>3</v>
      </c>
      <c r="Q866" s="13">
        <v>0.67940381512061765</v>
      </c>
      <c r="R866" t="s">
        <v>249</v>
      </c>
      <c r="S866">
        <v>1.193886035291891</v>
      </c>
      <c r="T866" t="s">
        <v>60</v>
      </c>
      <c r="U866" t="s">
        <v>60</v>
      </c>
      <c r="X866" t="s">
        <v>60</v>
      </c>
      <c r="Y866" t="s">
        <v>412</v>
      </c>
      <c r="Z866" t="s">
        <v>60</v>
      </c>
      <c r="AA866" t="s">
        <v>491</v>
      </c>
    </row>
    <row r="867" spans="1:27" x14ac:dyDescent="0.2">
      <c r="A867" s="1">
        <v>46053</v>
      </c>
      <c r="B867" t="s">
        <v>369</v>
      </c>
      <c r="C867" t="s">
        <v>40</v>
      </c>
      <c r="D867" t="s">
        <v>11</v>
      </c>
      <c r="E867" t="s">
        <v>1287</v>
      </c>
      <c r="F867" t="s">
        <v>40</v>
      </c>
      <c r="G867">
        <v>2</v>
      </c>
      <c r="H867">
        <v>3</v>
      </c>
      <c r="I867" s="13">
        <v>0.6</v>
      </c>
      <c r="J867" t="s">
        <v>249</v>
      </c>
      <c r="L867" t="s">
        <v>60</v>
      </c>
      <c r="M867" t="s">
        <v>60</v>
      </c>
      <c r="N867" t="s">
        <v>40</v>
      </c>
      <c r="O867">
        <v>2</v>
      </c>
      <c r="P867">
        <v>3</v>
      </c>
      <c r="Q867" s="13">
        <v>0.47063383323079527</v>
      </c>
      <c r="R867" t="s">
        <v>249</v>
      </c>
      <c r="S867">
        <v>-3.3975718358152503E-2</v>
      </c>
      <c r="T867" t="s">
        <v>60</v>
      </c>
      <c r="U867" t="s">
        <v>60</v>
      </c>
      <c r="X867" t="s">
        <v>60</v>
      </c>
      <c r="Y867" t="s">
        <v>412</v>
      </c>
      <c r="Z867" t="s">
        <v>60</v>
      </c>
      <c r="AA867" t="s">
        <v>491</v>
      </c>
    </row>
    <row r="868" spans="1:27" x14ac:dyDescent="0.2">
      <c r="A868" s="1">
        <v>46053</v>
      </c>
      <c r="B868" t="s">
        <v>365</v>
      </c>
      <c r="C868" t="s">
        <v>25</v>
      </c>
      <c r="D868" t="s">
        <v>22</v>
      </c>
      <c r="E868" t="s">
        <v>975</v>
      </c>
      <c r="F868" t="s">
        <v>22</v>
      </c>
      <c r="G868">
        <v>2</v>
      </c>
      <c r="H868">
        <v>3</v>
      </c>
      <c r="I868" s="13">
        <v>0.6</v>
      </c>
      <c r="J868" t="s">
        <v>249</v>
      </c>
      <c r="L868" t="s">
        <v>60</v>
      </c>
      <c r="M868" t="s">
        <v>60</v>
      </c>
      <c r="N868" t="s">
        <v>22</v>
      </c>
      <c r="O868">
        <v>2</v>
      </c>
      <c r="P868">
        <v>3</v>
      </c>
      <c r="Q868" s="13">
        <v>0.50125275400568248</v>
      </c>
      <c r="R868" t="s">
        <v>249</v>
      </c>
      <c r="S868">
        <v>6.4932844448366694E-2</v>
      </c>
      <c r="T868" t="s">
        <v>60</v>
      </c>
      <c r="U868" t="s">
        <v>60</v>
      </c>
      <c r="X868" t="s">
        <v>60</v>
      </c>
      <c r="Y868" t="s">
        <v>412</v>
      </c>
      <c r="Z868" t="s">
        <v>60</v>
      </c>
      <c r="AA868" t="s">
        <v>491</v>
      </c>
    </row>
    <row r="869" spans="1:27" x14ac:dyDescent="0.2">
      <c r="A869" s="1">
        <v>46053</v>
      </c>
      <c r="B869" t="s">
        <v>347</v>
      </c>
      <c r="C869" t="s">
        <v>12</v>
      </c>
      <c r="D869" t="s">
        <v>26</v>
      </c>
      <c r="E869" t="s">
        <v>1288</v>
      </c>
      <c r="F869" t="s">
        <v>12</v>
      </c>
      <c r="G869">
        <v>2</v>
      </c>
      <c r="H869">
        <v>3</v>
      </c>
      <c r="I869" s="13">
        <v>0.6</v>
      </c>
      <c r="J869" t="s">
        <v>249</v>
      </c>
      <c r="L869" t="s">
        <v>60</v>
      </c>
      <c r="M869" t="s">
        <v>60</v>
      </c>
      <c r="N869" t="s">
        <v>12</v>
      </c>
      <c r="O869">
        <v>2</v>
      </c>
      <c r="P869">
        <v>3</v>
      </c>
      <c r="Q869" s="13">
        <v>0.81955417079640691</v>
      </c>
      <c r="R869" t="s">
        <v>249</v>
      </c>
      <c r="S869">
        <v>-2.457342474536123</v>
      </c>
      <c r="T869" t="s">
        <v>60</v>
      </c>
      <c r="U869" t="s">
        <v>60</v>
      </c>
      <c r="X869" t="s">
        <v>60</v>
      </c>
      <c r="Y869" t="s">
        <v>412</v>
      </c>
      <c r="Z869" t="s">
        <v>60</v>
      </c>
      <c r="AA869" t="s">
        <v>491</v>
      </c>
    </row>
    <row r="870" spans="1:27" x14ac:dyDescent="0.2">
      <c r="A870" s="1">
        <v>46053</v>
      </c>
      <c r="B870" t="s">
        <v>369</v>
      </c>
      <c r="C870" t="s">
        <v>33</v>
      </c>
      <c r="D870" t="s">
        <v>16</v>
      </c>
      <c r="E870" t="s">
        <v>866</v>
      </c>
      <c r="F870" t="s">
        <v>33</v>
      </c>
      <c r="G870">
        <v>2</v>
      </c>
      <c r="H870">
        <v>3</v>
      </c>
      <c r="I870" s="13">
        <v>0.6</v>
      </c>
      <c r="J870" t="s">
        <v>249</v>
      </c>
      <c r="L870" t="s">
        <v>60</v>
      </c>
      <c r="M870" t="s">
        <v>60</v>
      </c>
      <c r="N870" t="s">
        <v>33</v>
      </c>
      <c r="O870">
        <v>2</v>
      </c>
      <c r="P870">
        <v>3</v>
      </c>
      <c r="Q870" s="13">
        <v>0.52591949068755661</v>
      </c>
      <c r="R870" t="s">
        <v>249</v>
      </c>
      <c r="S870">
        <v>-0.56454953773921501</v>
      </c>
      <c r="T870" t="s">
        <v>60</v>
      </c>
      <c r="U870" t="s">
        <v>60</v>
      </c>
      <c r="X870" t="s">
        <v>60</v>
      </c>
      <c r="Y870" t="s">
        <v>412</v>
      </c>
      <c r="Z870" t="s">
        <v>60</v>
      </c>
      <c r="AA870" t="s">
        <v>491</v>
      </c>
    </row>
    <row r="871" spans="1:27" x14ac:dyDescent="0.2">
      <c r="A871" s="1">
        <v>46053</v>
      </c>
      <c r="B871" t="s">
        <v>328</v>
      </c>
      <c r="C871" t="s">
        <v>18</v>
      </c>
      <c r="D871" t="s">
        <v>23</v>
      </c>
      <c r="E871" t="s">
        <v>1195</v>
      </c>
      <c r="F871" t="s">
        <v>23</v>
      </c>
      <c r="G871">
        <v>2</v>
      </c>
      <c r="H871">
        <v>3</v>
      </c>
      <c r="I871" s="13">
        <v>0.6</v>
      </c>
      <c r="J871" t="s">
        <v>249</v>
      </c>
      <c r="L871" t="s">
        <v>60</v>
      </c>
      <c r="M871" t="s">
        <v>60</v>
      </c>
      <c r="N871" t="s">
        <v>23</v>
      </c>
      <c r="O871">
        <v>2</v>
      </c>
      <c r="P871">
        <v>3</v>
      </c>
      <c r="Q871" s="13">
        <v>0.51037143409448726</v>
      </c>
      <c r="R871" t="s">
        <v>249</v>
      </c>
      <c r="S871">
        <v>0.166679941456398</v>
      </c>
      <c r="T871" t="s">
        <v>60</v>
      </c>
      <c r="U871" t="s">
        <v>60</v>
      </c>
      <c r="X871" t="s">
        <v>60</v>
      </c>
      <c r="Y871" t="s">
        <v>412</v>
      </c>
      <c r="Z871" t="s">
        <v>60</v>
      </c>
      <c r="AA871" t="s">
        <v>491</v>
      </c>
    </row>
    <row r="872" spans="1:27" x14ac:dyDescent="0.2">
      <c r="A872" s="1">
        <v>46053</v>
      </c>
      <c r="B872" t="s">
        <v>328</v>
      </c>
      <c r="C872" t="s">
        <v>24</v>
      </c>
      <c r="D872" t="s">
        <v>36</v>
      </c>
      <c r="E872" t="s">
        <v>966</v>
      </c>
      <c r="F872" t="s">
        <v>24</v>
      </c>
      <c r="G872">
        <v>2</v>
      </c>
      <c r="H872">
        <v>3</v>
      </c>
      <c r="I872" s="13">
        <v>0.6</v>
      </c>
      <c r="J872" t="s">
        <v>249</v>
      </c>
      <c r="L872" t="s">
        <v>60</v>
      </c>
      <c r="M872" t="s">
        <v>60</v>
      </c>
      <c r="N872" t="s">
        <v>24</v>
      </c>
      <c r="O872">
        <v>2</v>
      </c>
      <c r="P872">
        <v>3</v>
      </c>
      <c r="Q872" s="13">
        <v>0.53465889649685494</v>
      </c>
      <c r="R872" t="s">
        <v>249</v>
      </c>
      <c r="S872">
        <v>-0.48300555270628043</v>
      </c>
      <c r="T872" t="s">
        <v>60</v>
      </c>
      <c r="U872" t="s">
        <v>60</v>
      </c>
      <c r="X872" t="s">
        <v>60</v>
      </c>
      <c r="Y872" t="s">
        <v>412</v>
      </c>
      <c r="Z872" t="s">
        <v>60</v>
      </c>
      <c r="AA872" t="s">
        <v>491</v>
      </c>
    </row>
    <row r="873" spans="1:27" x14ac:dyDescent="0.2">
      <c r="A873" s="1">
        <v>46053</v>
      </c>
      <c r="B873" t="s">
        <v>322</v>
      </c>
      <c r="C873" t="s">
        <v>34</v>
      </c>
      <c r="D873" t="s">
        <v>17</v>
      </c>
      <c r="E873" t="s">
        <v>480</v>
      </c>
      <c r="F873" t="s">
        <v>34</v>
      </c>
      <c r="G873">
        <v>2</v>
      </c>
      <c r="H873">
        <v>3</v>
      </c>
      <c r="I873" s="13">
        <v>0.6</v>
      </c>
      <c r="J873" t="s">
        <v>249</v>
      </c>
      <c r="L873" t="s">
        <v>60</v>
      </c>
      <c r="M873" t="s">
        <v>60</v>
      </c>
      <c r="N873" t="s">
        <v>34</v>
      </c>
      <c r="O873">
        <v>2</v>
      </c>
      <c r="P873">
        <v>3</v>
      </c>
      <c r="Q873" s="13">
        <v>0.57863355472801747</v>
      </c>
      <c r="R873" t="s">
        <v>249</v>
      </c>
      <c r="S873">
        <v>-0.71272112786488051</v>
      </c>
      <c r="T873" t="s">
        <v>60</v>
      </c>
      <c r="U873" t="s">
        <v>60</v>
      </c>
      <c r="X873" t="s">
        <v>60</v>
      </c>
      <c r="Y873" t="s">
        <v>412</v>
      </c>
      <c r="Z873" t="s">
        <v>60</v>
      </c>
      <c r="AA873" t="s">
        <v>491</v>
      </c>
    </row>
    <row r="874" spans="1:27" x14ac:dyDescent="0.2">
      <c r="A874" s="1">
        <v>46054</v>
      </c>
      <c r="B874" t="s">
        <v>347</v>
      </c>
      <c r="C874" t="s">
        <v>21</v>
      </c>
      <c r="D874" t="s">
        <v>37</v>
      </c>
      <c r="E874" t="s">
        <v>1289</v>
      </c>
      <c r="F874" t="s">
        <v>37</v>
      </c>
      <c r="G874">
        <v>2</v>
      </c>
      <c r="H874">
        <v>3</v>
      </c>
      <c r="I874" s="13">
        <v>0.6</v>
      </c>
      <c r="J874" t="s">
        <v>249</v>
      </c>
      <c r="L874" t="s">
        <v>60</v>
      </c>
      <c r="M874" t="s">
        <v>60</v>
      </c>
      <c r="N874" t="s">
        <v>37</v>
      </c>
      <c r="O874">
        <v>2</v>
      </c>
      <c r="P874">
        <v>3</v>
      </c>
      <c r="Q874" s="13">
        <v>0.66252557049821614</v>
      </c>
      <c r="R874" t="s">
        <v>249</v>
      </c>
      <c r="S874">
        <v>0.78017545611749828</v>
      </c>
      <c r="T874" t="s">
        <v>60</v>
      </c>
      <c r="U874" t="s">
        <v>60</v>
      </c>
      <c r="X874" t="s">
        <v>60</v>
      </c>
      <c r="Y874" t="s">
        <v>412</v>
      </c>
      <c r="Z874" t="s">
        <v>60</v>
      </c>
      <c r="AA874" t="s">
        <v>491</v>
      </c>
    </row>
    <row r="875" spans="1:27" x14ac:dyDescent="0.2">
      <c r="A875" s="1">
        <v>46054</v>
      </c>
      <c r="B875" t="s">
        <v>453</v>
      </c>
      <c r="C875" t="s">
        <v>13</v>
      </c>
      <c r="D875" t="s">
        <v>25</v>
      </c>
      <c r="E875" t="s">
        <v>1290</v>
      </c>
      <c r="F875" t="s">
        <v>25</v>
      </c>
      <c r="G875">
        <v>2</v>
      </c>
      <c r="H875">
        <v>3</v>
      </c>
      <c r="I875" s="13">
        <v>0.6</v>
      </c>
      <c r="J875" t="s">
        <v>249</v>
      </c>
      <c r="L875" t="s">
        <v>60</v>
      </c>
      <c r="M875" t="s">
        <v>60</v>
      </c>
      <c r="N875" t="s">
        <v>25</v>
      </c>
      <c r="O875">
        <v>2</v>
      </c>
      <c r="P875">
        <v>3</v>
      </c>
      <c r="Q875" s="13">
        <v>0.62134589604784729</v>
      </c>
      <c r="R875" t="s">
        <v>249</v>
      </c>
      <c r="S875">
        <v>0.8138594849289289</v>
      </c>
      <c r="T875" t="s">
        <v>60</v>
      </c>
      <c r="U875" t="s">
        <v>60</v>
      </c>
      <c r="X875" t="s">
        <v>60</v>
      </c>
      <c r="Y875" t="s">
        <v>412</v>
      </c>
      <c r="Z875" t="s">
        <v>60</v>
      </c>
      <c r="AA875" t="s">
        <v>491</v>
      </c>
    </row>
    <row r="876" spans="1:27" x14ac:dyDescent="0.2">
      <c r="A876" s="1">
        <v>46054</v>
      </c>
      <c r="B876" t="s">
        <v>426</v>
      </c>
      <c r="C876" t="s">
        <v>20</v>
      </c>
      <c r="D876" t="s">
        <v>31</v>
      </c>
      <c r="E876" t="s">
        <v>345</v>
      </c>
      <c r="F876" t="s">
        <v>31</v>
      </c>
      <c r="G876">
        <v>2</v>
      </c>
      <c r="H876">
        <v>3</v>
      </c>
      <c r="I876" s="13">
        <v>0.6</v>
      </c>
      <c r="J876" t="s">
        <v>249</v>
      </c>
      <c r="L876" t="s">
        <v>60</v>
      </c>
      <c r="M876" t="s">
        <v>60</v>
      </c>
      <c r="N876" t="s">
        <v>31</v>
      </c>
      <c r="O876">
        <v>2</v>
      </c>
      <c r="P876">
        <v>3</v>
      </c>
      <c r="Q876" s="13">
        <v>0.67506964956027538</v>
      </c>
      <c r="R876" t="s">
        <v>249</v>
      </c>
      <c r="S876">
        <v>0.47304460108306517</v>
      </c>
      <c r="T876" t="s">
        <v>60</v>
      </c>
      <c r="U876" t="s">
        <v>60</v>
      </c>
      <c r="X876" t="s">
        <v>60</v>
      </c>
      <c r="Y876" t="s">
        <v>412</v>
      </c>
      <c r="Z876" t="s">
        <v>60</v>
      </c>
      <c r="AA876" t="s">
        <v>491</v>
      </c>
    </row>
    <row r="877" spans="1:27" x14ac:dyDescent="0.2">
      <c r="A877" s="1">
        <v>46055</v>
      </c>
      <c r="B877" t="s">
        <v>426</v>
      </c>
      <c r="C877" t="s">
        <v>38</v>
      </c>
      <c r="D877" t="s">
        <v>55</v>
      </c>
      <c r="E877" t="s">
        <v>1291</v>
      </c>
      <c r="F877" t="s">
        <v>55</v>
      </c>
      <c r="G877">
        <v>2</v>
      </c>
      <c r="H877">
        <v>3</v>
      </c>
      <c r="I877" s="13">
        <v>0.6</v>
      </c>
      <c r="J877" t="s">
        <v>249</v>
      </c>
      <c r="L877" t="s">
        <v>60</v>
      </c>
      <c r="M877" t="s">
        <v>60</v>
      </c>
      <c r="N877" t="s">
        <v>55</v>
      </c>
      <c r="O877">
        <v>2</v>
      </c>
      <c r="P877">
        <v>3</v>
      </c>
      <c r="Q877" s="13">
        <v>0.64633449680861776</v>
      </c>
      <c r="R877" t="s">
        <v>249</v>
      </c>
      <c r="S877">
        <v>0.59445521501278409</v>
      </c>
      <c r="T877" t="s">
        <v>60</v>
      </c>
      <c r="U877" t="s">
        <v>60</v>
      </c>
      <c r="X877" t="s">
        <v>60</v>
      </c>
      <c r="Y877" t="s">
        <v>412</v>
      </c>
      <c r="Z877" t="s">
        <v>60</v>
      </c>
      <c r="AA877" t="s">
        <v>491</v>
      </c>
    </row>
    <row r="878" spans="1:27" x14ac:dyDescent="0.2">
      <c r="A878" s="1">
        <v>46055</v>
      </c>
      <c r="B878" t="s">
        <v>322</v>
      </c>
      <c r="C878" t="s">
        <v>19</v>
      </c>
      <c r="D878" t="s">
        <v>16</v>
      </c>
      <c r="E878" t="s">
        <v>1292</v>
      </c>
      <c r="F878" t="s">
        <v>19</v>
      </c>
      <c r="G878">
        <v>2</v>
      </c>
      <c r="H878">
        <v>3</v>
      </c>
      <c r="I878" s="13">
        <v>0.6</v>
      </c>
      <c r="J878" t="s">
        <v>249</v>
      </c>
      <c r="L878" t="s">
        <v>60</v>
      </c>
      <c r="M878" t="s">
        <v>60</v>
      </c>
      <c r="N878" t="s">
        <v>19</v>
      </c>
      <c r="O878">
        <v>2</v>
      </c>
      <c r="P878">
        <v>3</v>
      </c>
      <c r="Q878" s="13">
        <v>0.5045343054460526</v>
      </c>
      <c r="R878" t="s">
        <v>249</v>
      </c>
      <c r="S878">
        <v>-0.38140193880247791</v>
      </c>
      <c r="T878" t="s">
        <v>60</v>
      </c>
      <c r="U878" t="s">
        <v>60</v>
      </c>
      <c r="X878" t="s">
        <v>60</v>
      </c>
      <c r="Y878" t="s">
        <v>412</v>
      </c>
      <c r="Z878" t="s">
        <v>60</v>
      </c>
      <c r="AA878" t="s">
        <v>491</v>
      </c>
    </row>
    <row r="879" spans="1:27" x14ac:dyDescent="0.2">
      <c r="A879" s="1">
        <v>46055</v>
      </c>
      <c r="B879" t="s">
        <v>416</v>
      </c>
      <c r="C879" t="s">
        <v>33</v>
      </c>
      <c r="D879" t="s">
        <v>10</v>
      </c>
      <c r="E879" t="s">
        <v>1293</v>
      </c>
      <c r="F879" t="s">
        <v>10</v>
      </c>
      <c r="G879">
        <v>2</v>
      </c>
      <c r="H879">
        <v>3</v>
      </c>
      <c r="I879" s="13">
        <v>0.6</v>
      </c>
      <c r="J879" t="s">
        <v>249</v>
      </c>
      <c r="L879" t="s">
        <v>60</v>
      </c>
      <c r="M879" t="s">
        <v>60</v>
      </c>
      <c r="N879" t="s">
        <v>10</v>
      </c>
      <c r="O879">
        <v>2</v>
      </c>
      <c r="P879">
        <v>3</v>
      </c>
      <c r="Q879" s="13">
        <v>0.57795269018603335</v>
      </c>
      <c r="R879" t="s">
        <v>249</v>
      </c>
      <c r="S879">
        <v>0.32503548612109218</v>
      </c>
      <c r="T879" t="s">
        <v>60</v>
      </c>
      <c r="U879" t="s">
        <v>60</v>
      </c>
      <c r="X879" t="s">
        <v>60</v>
      </c>
      <c r="Y879" t="s">
        <v>412</v>
      </c>
      <c r="Z879" t="s">
        <v>60</v>
      </c>
      <c r="AA879" t="s">
        <v>491</v>
      </c>
    </row>
    <row r="880" spans="1:27" x14ac:dyDescent="0.2">
      <c r="A880" s="1">
        <v>46055</v>
      </c>
      <c r="B880" t="s">
        <v>326</v>
      </c>
      <c r="C880" t="s">
        <v>26</v>
      </c>
      <c r="D880" t="s">
        <v>12</v>
      </c>
      <c r="E880" t="s">
        <v>1294</v>
      </c>
      <c r="F880" t="s">
        <v>12</v>
      </c>
      <c r="G880">
        <v>2</v>
      </c>
      <c r="H880">
        <v>3</v>
      </c>
      <c r="I880" s="13">
        <v>0.6</v>
      </c>
      <c r="J880" t="s">
        <v>249</v>
      </c>
      <c r="L880" t="s">
        <v>60</v>
      </c>
      <c r="M880" t="s">
        <v>60</v>
      </c>
      <c r="N880" t="s">
        <v>12</v>
      </c>
      <c r="O880">
        <v>2</v>
      </c>
      <c r="P880">
        <v>3</v>
      </c>
      <c r="Q880" s="13">
        <v>0.94291419643430685</v>
      </c>
      <c r="R880" t="s">
        <v>249</v>
      </c>
      <c r="S880">
        <v>2.5571439723824478</v>
      </c>
      <c r="T880" t="s">
        <v>60</v>
      </c>
      <c r="U880" t="s">
        <v>60</v>
      </c>
      <c r="X880" t="s">
        <v>60</v>
      </c>
      <c r="Y880" t="s">
        <v>412</v>
      </c>
      <c r="Z880" t="s">
        <v>60</v>
      </c>
      <c r="AA880" t="s">
        <v>491</v>
      </c>
    </row>
    <row r="881" spans="1:27" x14ac:dyDescent="0.2">
      <c r="A881" s="1">
        <v>46055</v>
      </c>
      <c r="B881" t="s">
        <v>416</v>
      </c>
      <c r="C881" t="s">
        <v>40</v>
      </c>
      <c r="D881" t="s">
        <v>39</v>
      </c>
      <c r="E881" t="s">
        <v>1295</v>
      </c>
      <c r="F881" t="s">
        <v>39</v>
      </c>
      <c r="G881">
        <v>2</v>
      </c>
      <c r="H881">
        <v>3</v>
      </c>
      <c r="I881" s="13">
        <v>0.6</v>
      </c>
      <c r="J881" t="s">
        <v>249</v>
      </c>
      <c r="L881" t="s">
        <v>60</v>
      </c>
      <c r="M881" t="s">
        <v>60</v>
      </c>
      <c r="N881" t="s">
        <v>39</v>
      </c>
      <c r="O881">
        <v>2</v>
      </c>
      <c r="P881">
        <v>3</v>
      </c>
      <c r="Q881" s="13">
        <v>0.6424019069637168</v>
      </c>
      <c r="R881" t="s">
        <v>249</v>
      </c>
      <c r="S881">
        <v>0.77658507456107384</v>
      </c>
      <c r="T881" t="s">
        <v>60</v>
      </c>
      <c r="U881" t="s">
        <v>60</v>
      </c>
      <c r="X881" t="s">
        <v>60</v>
      </c>
      <c r="Y881" t="s">
        <v>412</v>
      </c>
      <c r="Z881" t="s">
        <v>60</v>
      </c>
      <c r="AA881" t="s">
        <v>491</v>
      </c>
    </row>
    <row r="882" spans="1:27" x14ac:dyDescent="0.2">
      <c r="A882" s="1">
        <v>46055</v>
      </c>
      <c r="B882" t="s">
        <v>328</v>
      </c>
      <c r="C882" t="s">
        <v>23</v>
      </c>
      <c r="D882" t="s">
        <v>11</v>
      </c>
      <c r="E882" t="s">
        <v>1296</v>
      </c>
      <c r="F882" t="s">
        <v>11</v>
      </c>
      <c r="G882">
        <v>2</v>
      </c>
      <c r="H882">
        <v>3</v>
      </c>
      <c r="I882" s="13">
        <v>0.6</v>
      </c>
      <c r="J882" t="s">
        <v>249</v>
      </c>
      <c r="L882" t="s">
        <v>60</v>
      </c>
      <c r="M882" t="s">
        <v>60</v>
      </c>
      <c r="N882" t="s">
        <v>11</v>
      </c>
      <c r="O882">
        <v>2</v>
      </c>
      <c r="P882">
        <v>3</v>
      </c>
      <c r="Q882" s="13">
        <v>0.56906676814971258</v>
      </c>
      <c r="R882" t="s">
        <v>249</v>
      </c>
      <c r="S882">
        <v>0.12889289359964559</v>
      </c>
      <c r="T882" t="s">
        <v>60</v>
      </c>
      <c r="U882" t="s">
        <v>60</v>
      </c>
      <c r="X882" t="s">
        <v>60</v>
      </c>
      <c r="Y882" t="s">
        <v>412</v>
      </c>
      <c r="Z882" t="s">
        <v>60</v>
      </c>
      <c r="AA882" t="s">
        <v>491</v>
      </c>
    </row>
    <row r="883" spans="1:27" x14ac:dyDescent="0.2">
      <c r="A883" s="1">
        <v>46055</v>
      </c>
      <c r="B883" t="s">
        <v>334</v>
      </c>
      <c r="C883" t="s">
        <v>18</v>
      </c>
      <c r="D883" t="s">
        <v>34</v>
      </c>
      <c r="E883" t="s">
        <v>1297</v>
      </c>
      <c r="F883" t="s">
        <v>34</v>
      </c>
      <c r="G883">
        <v>2</v>
      </c>
      <c r="H883">
        <v>3</v>
      </c>
      <c r="I883" s="13">
        <v>0.6</v>
      </c>
      <c r="J883" t="s">
        <v>249</v>
      </c>
      <c r="L883" t="s">
        <v>60</v>
      </c>
      <c r="M883" t="s">
        <v>60</v>
      </c>
      <c r="N883" t="s">
        <v>34</v>
      </c>
      <c r="O883">
        <v>2</v>
      </c>
      <c r="P883">
        <v>3</v>
      </c>
      <c r="Q883" s="13">
        <v>0.54933079710020971</v>
      </c>
      <c r="R883" t="s">
        <v>249</v>
      </c>
      <c r="S883">
        <v>0.58766558974750882</v>
      </c>
      <c r="T883" t="s">
        <v>60</v>
      </c>
      <c r="U883" t="s">
        <v>60</v>
      </c>
      <c r="X883" t="s">
        <v>60</v>
      </c>
      <c r="Y883" t="s">
        <v>412</v>
      </c>
      <c r="Z883" t="s">
        <v>60</v>
      </c>
      <c r="AA883" t="s">
        <v>491</v>
      </c>
    </row>
    <row r="884" spans="1:27" x14ac:dyDescent="0.2">
      <c r="A884" s="1">
        <v>46055</v>
      </c>
      <c r="B884" t="s">
        <v>324</v>
      </c>
      <c r="C884" t="s">
        <v>35</v>
      </c>
      <c r="D884" t="s">
        <v>29</v>
      </c>
      <c r="E884" t="s">
        <v>987</v>
      </c>
      <c r="F884" t="s">
        <v>29</v>
      </c>
      <c r="G884">
        <v>2</v>
      </c>
      <c r="H884">
        <v>3</v>
      </c>
      <c r="I884" s="13">
        <v>0.6</v>
      </c>
      <c r="J884" t="s">
        <v>249</v>
      </c>
      <c r="L884" t="s">
        <v>60</v>
      </c>
      <c r="M884" t="s">
        <v>60</v>
      </c>
      <c r="N884" t="s">
        <v>29</v>
      </c>
      <c r="O884">
        <v>2</v>
      </c>
      <c r="P884">
        <v>3</v>
      </c>
      <c r="Q884" s="13">
        <v>0.54694304707093155</v>
      </c>
      <c r="R884" t="s">
        <v>249</v>
      </c>
      <c r="S884">
        <v>5.9461837060823898E-2</v>
      </c>
      <c r="T884" t="s">
        <v>60</v>
      </c>
      <c r="U884" t="s">
        <v>60</v>
      </c>
      <c r="X884" t="s">
        <v>60</v>
      </c>
      <c r="Y884" t="s">
        <v>412</v>
      </c>
      <c r="Z884" t="s">
        <v>60</v>
      </c>
      <c r="AA884" t="s">
        <v>491</v>
      </c>
    </row>
    <row r="885" spans="1:27" x14ac:dyDescent="0.2">
      <c r="A885" s="1">
        <v>46055</v>
      </c>
      <c r="B885" t="s">
        <v>328</v>
      </c>
      <c r="C885" t="s">
        <v>36</v>
      </c>
      <c r="D885" t="s">
        <v>14</v>
      </c>
      <c r="E885" t="s">
        <v>1298</v>
      </c>
      <c r="F885" t="s">
        <v>14</v>
      </c>
      <c r="G885">
        <v>2</v>
      </c>
      <c r="H885">
        <v>3</v>
      </c>
      <c r="I885" s="13">
        <v>0.6</v>
      </c>
      <c r="J885" t="s">
        <v>249</v>
      </c>
      <c r="L885" t="s">
        <v>60</v>
      </c>
      <c r="M885" t="s">
        <v>60</v>
      </c>
      <c r="N885" t="s">
        <v>14</v>
      </c>
      <c r="O885">
        <v>2</v>
      </c>
      <c r="P885">
        <v>3</v>
      </c>
      <c r="Q885" s="13">
        <v>0.59126119787069453</v>
      </c>
      <c r="R885" t="s">
        <v>249</v>
      </c>
      <c r="S885">
        <v>0.43901257822251111</v>
      </c>
      <c r="T885" t="s">
        <v>60</v>
      </c>
      <c r="U885" t="s">
        <v>60</v>
      </c>
      <c r="X885" t="s">
        <v>60</v>
      </c>
      <c r="Y885" t="s">
        <v>412</v>
      </c>
      <c r="Z885" t="s">
        <v>60</v>
      </c>
      <c r="AA885" t="s">
        <v>491</v>
      </c>
    </row>
    <row r="886" spans="1:27" x14ac:dyDescent="0.2">
      <c r="A886" s="1">
        <v>46055</v>
      </c>
      <c r="B886" t="s">
        <v>328</v>
      </c>
      <c r="C886" t="s">
        <v>30</v>
      </c>
      <c r="D886" t="s">
        <v>22</v>
      </c>
      <c r="E886" t="s">
        <v>747</v>
      </c>
      <c r="F886" t="s">
        <v>22</v>
      </c>
      <c r="G886">
        <v>2</v>
      </c>
      <c r="H886">
        <v>3</v>
      </c>
      <c r="I886" s="13">
        <v>0.6</v>
      </c>
      <c r="J886" t="s">
        <v>249</v>
      </c>
      <c r="L886" t="s">
        <v>60</v>
      </c>
      <c r="M886" t="s">
        <v>60</v>
      </c>
      <c r="N886" t="s">
        <v>22</v>
      </c>
      <c r="O886">
        <v>2</v>
      </c>
      <c r="P886">
        <v>3</v>
      </c>
      <c r="Q886" s="13">
        <v>0.57908897540919857</v>
      </c>
      <c r="R886" t="s">
        <v>249</v>
      </c>
      <c r="S886">
        <v>0.73153997921825198</v>
      </c>
      <c r="T886" t="s">
        <v>60</v>
      </c>
      <c r="U886" t="s">
        <v>60</v>
      </c>
      <c r="X886" t="s">
        <v>60</v>
      </c>
      <c r="Y886" t="s">
        <v>412</v>
      </c>
      <c r="Z886" t="s">
        <v>60</v>
      </c>
      <c r="AA886" t="s">
        <v>491</v>
      </c>
    </row>
    <row r="887" spans="1:27" x14ac:dyDescent="0.2">
      <c r="A887" s="1">
        <v>46056</v>
      </c>
      <c r="B887" t="s">
        <v>328</v>
      </c>
      <c r="C887" t="s">
        <v>22</v>
      </c>
      <c r="D887" t="s">
        <v>27</v>
      </c>
      <c r="E887" t="s">
        <v>1299</v>
      </c>
      <c r="F887" t="s">
        <v>22</v>
      </c>
      <c r="G887">
        <v>2</v>
      </c>
      <c r="H887">
        <v>3</v>
      </c>
      <c r="I887" s="13">
        <v>0.6</v>
      </c>
      <c r="J887" t="s">
        <v>249</v>
      </c>
      <c r="L887" t="s">
        <v>60</v>
      </c>
      <c r="M887" t="s">
        <v>60</v>
      </c>
      <c r="N887" t="s">
        <v>22</v>
      </c>
      <c r="O887">
        <v>2</v>
      </c>
      <c r="P887">
        <v>3</v>
      </c>
      <c r="Q887" s="13">
        <v>0.57840310122428151</v>
      </c>
      <c r="R887" t="s">
        <v>249</v>
      </c>
      <c r="S887">
        <v>-0.7710460674369104</v>
      </c>
      <c r="T887" t="s">
        <v>60</v>
      </c>
      <c r="U887" t="s">
        <v>60</v>
      </c>
      <c r="X887" t="s">
        <v>60</v>
      </c>
      <c r="Y887" t="s">
        <v>412</v>
      </c>
      <c r="Z887" t="s">
        <v>60</v>
      </c>
      <c r="AA887" t="s">
        <v>491</v>
      </c>
    </row>
    <row r="888" spans="1:27" x14ac:dyDescent="0.2">
      <c r="A888" s="1">
        <v>46056</v>
      </c>
      <c r="B888" t="s">
        <v>334</v>
      </c>
      <c r="C888" t="s">
        <v>14</v>
      </c>
      <c r="D888" t="s">
        <v>30</v>
      </c>
      <c r="E888" t="s">
        <v>1300</v>
      </c>
      <c r="F888" t="s">
        <v>14</v>
      </c>
      <c r="G888">
        <v>2</v>
      </c>
      <c r="H888">
        <v>3</v>
      </c>
      <c r="I888" s="13">
        <v>0.6</v>
      </c>
      <c r="J888" t="s">
        <v>249</v>
      </c>
      <c r="L888" t="s">
        <v>60</v>
      </c>
      <c r="M888" t="s">
        <v>60</v>
      </c>
      <c r="N888" t="s">
        <v>14</v>
      </c>
      <c r="O888">
        <v>2</v>
      </c>
      <c r="P888">
        <v>3</v>
      </c>
      <c r="Q888" s="13">
        <v>0.50498100338490515</v>
      </c>
      <c r="R888" t="s">
        <v>249</v>
      </c>
      <c r="S888">
        <v>-4.87670269526801E-2</v>
      </c>
      <c r="T888" t="s">
        <v>60</v>
      </c>
      <c r="U888" t="s">
        <v>60</v>
      </c>
      <c r="X888" t="s">
        <v>60</v>
      </c>
      <c r="Y888" t="s">
        <v>412</v>
      </c>
      <c r="Z888" t="s">
        <v>60</v>
      </c>
      <c r="AA888" t="s">
        <v>491</v>
      </c>
    </row>
    <row r="889" spans="1:27" x14ac:dyDescent="0.2">
      <c r="A889" s="1">
        <v>46056</v>
      </c>
      <c r="B889" t="s">
        <v>328</v>
      </c>
      <c r="C889" t="s">
        <v>28</v>
      </c>
      <c r="D889" t="s">
        <v>24</v>
      </c>
      <c r="E889" t="s">
        <v>474</v>
      </c>
      <c r="F889" t="s">
        <v>24</v>
      </c>
      <c r="G889">
        <v>2</v>
      </c>
      <c r="H889">
        <v>3</v>
      </c>
      <c r="I889" s="13">
        <v>0.6</v>
      </c>
      <c r="J889" t="s">
        <v>249</v>
      </c>
      <c r="L889" t="s">
        <v>60</v>
      </c>
      <c r="M889" t="s">
        <v>60</v>
      </c>
      <c r="N889" t="s">
        <v>24</v>
      </c>
      <c r="O889">
        <v>2</v>
      </c>
      <c r="P889">
        <v>3</v>
      </c>
      <c r="Q889" s="13">
        <v>0.69191747882010612</v>
      </c>
      <c r="R889" t="s">
        <v>249</v>
      </c>
      <c r="S889">
        <v>0.64642040403830703</v>
      </c>
      <c r="T889" t="s">
        <v>60</v>
      </c>
      <c r="U889" t="s">
        <v>60</v>
      </c>
      <c r="X889" t="s">
        <v>60</v>
      </c>
      <c r="Y889" t="s">
        <v>412</v>
      </c>
      <c r="Z889" t="s">
        <v>60</v>
      </c>
      <c r="AA889" t="s">
        <v>491</v>
      </c>
    </row>
    <row r="890" spans="1:27" x14ac:dyDescent="0.2">
      <c r="A890" s="1">
        <v>46056</v>
      </c>
      <c r="B890" t="s">
        <v>322</v>
      </c>
      <c r="C890" t="s">
        <v>32</v>
      </c>
      <c r="D890" t="s">
        <v>31</v>
      </c>
      <c r="E890" t="s">
        <v>1058</v>
      </c>
      <c r="F890" t="s">
        <v>31</v>
      </c>
      <c r="G890">
        <v>2</v>
      </c>
      <c r="H890">
        <v>3</v>
      </c>
      <c r="I890" s="13">
        <v>0.6</v>
      </c>
      <c r="J890" t="s">
        <v>249</v>
      </c>
      <c r="L890" t="s">
        <v>60</v>
      </c>
      <c r="M890" t="s">
        <v>60</v>
      </c>
      <c r="N890" t="s">
        <v>31</v>
      </c>
      <c r="O890">
        <v>2</v>
      </c>
      <c r="P890">
        <v>3</v>
      </c>
      <c r="Q890" s="13">
        <v>0.72235195127385143</v>
      </c>
      <c r="R890" t="s">
        <v>249</v>
      </c>
      <c r="S890">
        <v>0.87798100604051876</v>
      </c>
      <c r="T890" t="s">
        <v>60</v>
      </c>
      <c r="U890" t="s">
        <v>60</v>
      </c>
      <c r="X890" t="s">
        <v>60</v>
      </c>
      <c r="Y890" t="s">
        <v>412</v>
      </c>
      <c r="Z890" t="s">
        <v>60</v>
      </c>
      <c r="AA890" t="s">
        <v>491</v>
      </c>
    </row>
    <row r="891" spans="1:27" x14ac:dyDescent="0.2">
      <c r="A891" s="1">
        <v>46056</v>
      </c>
      <c r="B891" t="s">
        <v>328</v>
      </c>
      <c r="C891" t="s">
        <v>36</v>
      </c>
      <c r="D891" t="s">
        <v>25</v>
      </c>
      <c r="E891" t="s">
        <v>1301</v>
      </c>
      <c r="F891" t="s">
        <v>25</v>
      </c>
      <c r="G891">
        <v>2</v>
      </c>
      <c r="H891">
        <v>3</v>
      </c>
      <c r="I891" s="13">
        <v>0.6</v>
      </c>
      <c r="J891" t="s">
        <v>249</v>
      </c>
      <c r="L891" t="s">
        <v>60</v>
      </c>
      <c r="M891" t="s">
        <v>60</v>
      </c>
      <c r="N891" t="s">
        <v>25</v>
      </c>
      <c r="O891">
        <v>2</v>
      </c>
      <c r="P891">
        <v>3</v>
      </c>
      <c r="Q891" s="13">
        <v>0.70929247653962768</v>
      </c>
      <c r="R891" t="s">
        <v>249</v>
      </c>
      <c r="S891">
        <v>1.0069519371165541</v>
      </c>
      <c r="T891" t="s">
        <v>60</v>
      </c>
      <c r="U891" t="s">
        <v>60</v>
      </c>
      <c r="X891" t="s">
        <v>60</v>
      </c>
      <c r="Y891" t="s">
        <v>412</v>
      </c>
      <c r="Z891" t="s">
        <v>60</v>
      </c>
      <c r="AA891" t="s">
        <v>491</v>
      </c>
    </row>
    <row r="892" spans="1:27" x14ac:dyDescent="0.2">
      <c r="A892" s="1">
        <v>46056</v>
      </c>
      <c r="B892" t="s">
        <v>334</v>
      </c>
      <c r="C892" t="s">
        <v>23</v>
      </c>
      <c r="D892" t="s">
        <v>37</v>
      </c>
      <c r="E892" t="s">
        <v>1302</v>
      </c>
      <c r="F892" t="s">
        <v>37</v>
      </c>
      <c r="G892">
        <v>2</v>
      </c>
      <c r="H892">
        <v>3</v>
      </c>
      <c r="I892" s="13">
        <v>0.6</v>
      </c>
      <c r="J892" t="s">
        <v>249</v>
      </c>
      <c r="L892" t="s">
        <v>60</v>
      </c>
      <c r="M892" t="s">
        <v>60</v>
      </c>
      <c r="N892" t="s">
        <v>37</v>
      </c>
      <c r="O892">
        <v>2</v>
      </c>
      <c r="P892">
        <v>3</v>
      </c>
      <c r="Q892" s="13">
        <v>0.69327462203673185</v>
      </c>
      <c r="R892" t="s">
        <v>249</v>
      </c>
      <c r="S892">
        <v>1.0365161314103559</v>
      </c>
      <c r="T892" t="s">
        <v>60</v>
      </c>
      <c r="U892" t="s">
        <v>60</v>
      </c>
      <c r="X892" t="s">
        <v>60</v>
      </c>
      <c r="Y892" t="s">
        <v>412</v>
      </c>
      <c r="Z892" t="s">
        <v>60</v>
      </c>
      <c r="AA892" t="s">
        <v>491</v>
      </c>
    </row>
    <row r="893" spans="1:27" x14ac:dyDescent="0.2">
      <c r="A893" s="1">
        <v>46056</v>
      </c>
      <c r="B893" t="s">
        <v>416</v>
      </c>
      <c r="C893" t="s">
        <v>19</v>
      </c>
      <c r="D893" t="s">
        <v>17</v>
      </c>
      <c r="E893" t="s">
        <v>1303</v>
      </c>
      <c r="F893" t="s">
        <v>19</v>
      </c>
      <c r="G893">
        <v>2</v>
      </c>
      <c r="H893">
        <v>3</v>
      </c>
      <c r="I893" s="13">
        <v>0.6</v>
      </c>
      <c r="J893" t="s">
        <v>249</v>
      </c>
      <c r="L893" t="s">
        <v>60</v>
      </c>
      <c r="M893" t="s">
        <v>60</v>
      </c>
      <c r="N893" t="s">
        <v>19</v>
      </c>
      <c r="O893">
        <v>2</v>
      </c>
      <c r="P893">
        <v>3</v>
      </c>
      <c r="Q893" s="13">
        <v>0.46852665157772272</v>
      </c>
      <c r="R893" t="s">
        <v>249</v>
      </c>
      <c r="S893">
        <v>-0.13336732399537879</v>
      </c>
      <c r="T893" t="s">
        <v>60</v>
      </c>
      <c r="U893" t="s">
        <v>60</v>
      </c>
      <c r="X893" t="s">
        <v>60</v>
      </c>
      <c r="Y893" t="s">
        <v>412</v>
      </c>
      <c r="Z893" t="s">
        <v>60</v>
      </c>
      <c r="AA893" t="s">
        <v>491</v>
      </c>
    </row>
    <row r="894" spans="1:27" x14ac:dyDescent="0.2">
      <c r="A894" s="1">
        <v>46057</v>
      </c>
      <c r="B894" t="s">
        <v>326</v>
      </c>
      <c r="C894" t="s">
        <v>26</v>
      </c>
      <c r="D894" t="s">
        <v>55</v>
      </c>
      <c r="E894" t="s">
        <v>1304</v>
      </c>
      <c r="F894" t="s">
        <v>55</v>
      </c>
      <c r="G894">
        <v>2</v>
      </c>
      <c r="H894">
        <v>3</v>
      </c>
      <c r="I894" s="13">
        <v>0.6</v>
      </c>
      <c r="J894" t="s">
        <v>249</v>
      </c>
      <c r="L894" t="s">
        <v>60</v>
      </c>
      <c r="M894" t="s">
        <v>60</v>
      </c>
      <c r="N894" t="s">
        <v>55</v>
      </c>
      <c r="O894">
        <v>2</v>
      </c>
      <c r="P894">
        <v>3</v>
      </c>
      <c r="Q894" s="13">
        <v>0.64139604600449196</v>
      </c>
      <c r="R894" t="s">
        <v>249</v>
      </c>
      <c r="S894">
        <v>0.52211702493428946</v>
      </c>
      <c r="T894" t="s">
        <v>60</v>
      </c>
      <c r="U894" t="s">
        <v>60</v>
      </c>
      <c r="X894" t="s">
        <v>60</v>
      </c>
      <c r="Y894" t="s">
        <v>412</v>
      </c>
      <c r="Z894" t="s">
        <v>60</v>
      </c>
      <c r="AA894" t="s">
        <v>491</v>
      </c>
    </row>
    <row r="895" spans="1:27" x14ac:dyDescent="0.2">
      <c r="A895" s="1">
        <v>46057</v>
      </c>
      <c r="B895" t="s">
        <v>324</v>
      </c>
      <c r="C895" t="s">
        <v>34</v>
      </c>
      <c r="D895" t="s">
        <v>29</v>
      </c>
      <c r="E895" t="s">
        <v>1305</v>
      </c>
      <c r="F895" t="s">
        <v>34</v>
      </c>
      <c r="G895">
        <v>2</v>
      </c>
      <c r="H895">
        <v>3</v>
      </c>
      <c r="I895" s="13">
        <v>0.6</v>
      </c>
      <c r="J895" t="s">
        <v>249</v>
      </c>
      <c r="L895" t="s">
        <v>60</v>
      </c>
      <c r="M895" t="s">
        <v>60</v>
      </c>
      <c r="N895" t="s">
        <v>34</v>
      </c>
      <c r="O895">
        <v>2</v>
      </c>
      <c r="P895">
        <v>3</v>
      </c>
      <c r="Q895" s="13">
        <v>0.65195881418139467</v>
      </c>
      <c r="R895" t="s">
        <v>249</v>
      </c>
      <c r="S895">
        <v>-1.2798917474374201</v>
      </c>
      <c r="T895" t="s">
        <v>60</v>
      </c>
      <c r="U895" t="s">
        <v>60</v>
      </c>
      <c r="X895" t="s">
        <v>60</v>
      </c>
      <c r="Y895" t="s">
        <v>412</v>
      </c>
      <c r="Z895" t="s">
        <v>60</v>
      </c>
      <c r="AA895" t="s">
        <v>491</v>
      </c>
    </row>
    <row r="896" spans="1:27" x14ac:dyDescent="0.2">
      <c r="A896" s="1">
        <v>46057</v>
      </c>
      <c r="B896" t="s">
        <v>328</v>
      </c>
      <c r="C896" t="s">
        <v>18</v>
      </c>
      <c r="D896" t="s">
        <v>40</v>
      </c>
      <c r="E896" t="s">
        <v>1306</v>
      </c>
      <c r="F896" t="s">
        <v>40</v>
      </c>
      <c r="G896">
        <v>2</v>
      </c>
      <c r="H896">
        <v>3</v>
      </c>
      <c r="I896" s="13">
        <v>0.6</v>
      </c>
      <c r="J896" t="s">
        <v>249</v>
      </c>
      <c r="L896" t="s">
        <v>60</v>
      </c>
      <c r="M896" t="s">
        <v>60</v>
      </c>
      <c r="N896" t="s">
        <v>40</v>
      </c>
      <c r="O896">
        <v>2</v>
      </c>
      <c r="P896">
        <v>3</v>
      </c>
      <c r="Q896" s="13">
        <v>0.52170113391068962</v>
      </c>
      <c r="R896" t="s">
        <v>249</v>
      </c>
      <c r="S896">
        <v>0.32954855341419609</v>
      </c>
      <c r="T896" t="s">
        <v>60</v>
      </c>
      <c r="U896" t="s">
        <v>60</v>
      </c>
      <c r="X896" t="s">
        <v>60</v>
      </c>
      <c r="Y896" t="s">
        <v>412</v>
      </c>
      <c r="Z896" t="s">
        <v>60</v>
      </c>
      <c r="AA896" t="s">
        <v>491</v>
      </c>
    </row>
    <row r="897" spans="1:27" x14ac:dyDescent="0.2">
      <c r="A897" s="1">
        <v>46057</v>
      </c>
      <c r="B897" t="s">
        <v>322</v>
      </c>
      <c r="C897" t="s">
        <v>38</v>
      </c>
      <c r="D897" t="s">
        <v>20</v>
      </c>
      <c r="E897" t="s">
        <v>1307</v>
      </c>
      <c r="F897" t="s">
        <v>20</v>
      </c>
      <c r="G897">
        <v>2</v>
      </c>
      <c r="H897">
        <v>3</v>
      </c>
      <c r="I897" s="13">
        <v>0.6</v>
      </c>
      <c r="J897" t="s">
        <v>249</v>
      </c>
      <c r="L897" t="s">
        <v>60</v>
      </c>
      <c r="M897" t="s">
        <v>60</v>
      </c>
      <c r="N897" t="s">
        <v>20</v>
      </c>
      <c r="O897">
        <v>2</v>
      </c>
      <c r="P897">
        <v>3</v>
      </c>
      <c r="Q897" s="13">
        <v>0.62436377998437298</v>
      </c>
      <c r="R897" t="s">
        <v>249</v>
      </c>
      <c r="S897">
        <v>0.75313767371333018</v>
      </c>
      <c r="T897" t="s">
        <v>60</v>
      </c>
      <c r="U897" t="s">
        <v>60</v>
      </c>
      <c r="X897" t="s">
        <v>60</v>
      </c>
      <c r="Y897" t="s">
        <v>412</v>
      </c>
      <c r="Z897" t="s">
        <v>60</v>
      </c>
      <c r="AA897" t="s">
        <v>491</v>
      </c>
    </row>
    <row r="898" spans="1:27" x14ac:dyDescent="0.2">
      <c r="A898" s="1">
        <v>46057</v>
      </c>
      <c r="B898" t="s">
        <v>322</v>
      </c>
      <c r="C898" t="s">
        <v>32</v>
      </c>
      <c r="D898" t="s">
        <v>13</v>
      </c>
      <c r="E898" t="s">
        <v>1062</v>
      </c>
      <c r="F898" t="s">
        <v>13</v>
      </c>
      <c r="G898">
        <v>2</v>
      </c>
      <c r="H898">
        <v>3</v>
      </c>
      <c r="I898" s="13">
        <v>0.6</v>
      </c>
      <c r="J898" t="s">
        <v>249</v>
      </c>
      <c r="L898" t="s">
        <v>60</v>
      </c>
      <c r="M898" t="s">
        <v>60</v>
      </c>
      <c r="N898" t="s">
        <v>13</v>
      </c>
      <c r="O898">
        <v>2</v>
      </c>
      <c r="P898">
        <v>3</v>
      </c>
      <c r="Q898" s="13">
        <v>0.58215142240680495</v>
      </c>
      <c r="R898" t="s">
        <v>249</v>
      </c>
      <c r="S898">
        <v>0.36099438552403879</v>
      </c>
      <c r="T898" t="s">
        <v>60</v>
      </c>
      <c r="U898" t="s">
        <v>60</v>
      </c>
      <c r="X898" t="s">
        <v>60</v>
      </c>
      <c r="Y898" t="s">
        <v>412</v>
      </c>
      <c r="Z898" t="s">
        <v>60</v>
      </c>
      <c r="AA898" t="s">
        <v>491</v>
      </c>
    </row>
    <row r="899" spans="1:27" x14ac:dyDescent="0.2">
      <c r="A899" s="1">
        <v>46057</v>
      </c>
      <c r="B899" t="s">
        <v>426</v>
      </c>
      <c r="C899" t="s">
        <v>35</v>
      </c>
      <c r="D899" t="s">
        <v>39</v>
      </c>
      <c r="E899" t="s">
        <v>1241</v>
      </c>
      <c r="F899" t="s">
        <v>39</v>
      </c>
      <c r="G899">
        <v>2</v>
      </c>
      <c r="H899">
        <v>3</v>
      </c>
      <c r="I899" s="13">
        <v>0.6</v>
      </c>
      <c r="J899" t="s">
        <v>249</v>
      </c>
      <c r="L899" t="s">
        <v>60</v>
      </c>
      <c r="M899" t="s">
        <v>60</v>
      </c>
      <c r="N899" t="s">
        <v>39</v>
      </c>
      <c r="O899">
        <v>2</v>
      </c>
      <c r="P899">
        <v>3</v>
      </c>
      <c r="Q899" s="13">
        <v>0.78917415975175542</v>
      </c>
      <c r="R899" t="s">
        <v>249</v>
      </c>
      <c r="S899">
        <v>1.8578216227260049</v>
      </c>
      <c r="T899" t="s">
        <v>60</v>
      </c>
      <c r="U899" t="s">
        <v>60</v>
      </c>
      <c r="X899" t="s">
        <v>60</v>
      </c>
      <c r="Y899" t="s">
        <v>412</v>
      </c>
      <c r="Z899" t="s">
        <v>60</v>
      </c>
      <c r="AA899" t="s">
        <v>491</v>
      </c>
    </row>
    <row r="900" spans="1:27" x14ac:dyDescent="0.2">
      <c r="A900" s="1">
        <v>46057</v>
      </c>
      <c r="B900" t="s">
        <v>326</v>
      </c>
      <c r="C900" t="s">
        <v>33</v>
      </c>
      <c r="D900" t="s">
        <v>12</v>
      </c>
      <c r="E900" t="s">
        <v>418</v>
      </c>
      <c r="F900" t="s">
        <v>12</v>
      </c>
      <c r="G900">
        <v>2</v>
      </c>
      <c r="H900">
        <v>3</v>
      </c>
      <c r="I900" s="13">
        <v>0.6</v>
      </c>
      <c r="J900" t="s">
        <v>249</v>
      </c>
      <c r="L900" t="s">
        <v>60</v>
      </c>
      <c r="M900" t="s">
        <v>60</v>
      </c>
      <c r="N900" t="s">
        <v>12</v>
      </c>
      <c r="O900">
        <v>2</v>
      </c>
      <c r="P900">
        <v>3</v>
      </c>
      <c r="Q900" s="13">
        <v>0.89340493765751294</v>
      </c>
      <c r="R900" t="s">
        <v>249</v>
      </c>
      <c r="S900">
        <v>2.1331353997323821</v>
      </c>
      <c r="T900" t="s">
        <v>60</v>
      </c>
      <c r="U900" t="s">
        <v>60</v>
      </c>
      <c r="X900" t="s">
        <v>60</v>
      </c>
      <c r="Y900" t="s">
        <v>412</v>
      </c>
      <c r="Z900" t="s">
        <v>60</v>
      </c>
      <c r="AA900" t="s">
        <v>491</v>
      </c>
    </row>
    <row r="901" spans="1:27" x14ac:dyDescent="0.2">
      <c r="A901" s="1">
        <v>46057</v>
      </c>
      <c r="B901" t="s">
        <v>322</v>
      </c>
      <c r="C901" t="s">
        <v>17</v>
      </c>
      <c r="D901" t="s">
        <v>16</v>
      </c>
      <c r="E901" t="s">
        <v>1072</v>
      </c>
      <c r="F901" t="s">
        <v>17</v>
      </c>
      <c r="G901">
        <v>2</v>
      </c>
      <c r="H901">
        <v>3</v>
      </c>
      <c r="I901" s="13">
        <v>0.6</v>
      </c>
      <c r="J901" t="s">
        <v>249</v>
      </c>
      <c r="L901" t="s">
        <v>60</v>
      </c>
      <c r="M901" t="s">
        <v>60</v>
      </c>
      <c r="N901" t="s">
        <v>17</v>
      </c>
      <c r="O901">
        <v>2</v>
      </c>
      <c r="P901">
        <v>3</v>
      </c>
      <c r="Q901" s="13">
        <v>0.48313505308910382</v>
      </c>
      <c r="R901" t="s">
        <v>249</v>
      </c>
      <c r="S901">
        <v>-0.19813386588393669</v>
      </c>
      <c r="T901" t="s">
        <v>60</v>
      </c>
      <c r="U901" t="s">
        <v>60</v>
      </c>
      <c r="X901" t="s">
        <v>60</v>
      </c>
      <c r="Y901" t="s">
        <v>412</v>
      </c>
      <c r="Z901" t="s">
        <v>60</v>
      </c>
      <c r="AA901" t="s">
        <v>491</v>
      </c>
    </row>
    <row r="902" spans="1:27" x14ac:dyDescent="0.2">
      <c r="A902" s="1">
        <v>46057</v>
      </c>
      <c r="B902" t="s">
        <v>328</v>
      </c>
      <c r="C902" t="s">
        <v>10</v>
      </c>
      <c r="D902" t="s">
        <v>28</v>
      </c>
      <c r="E902" t="s">
        <v>1308</v>
      </c>
      <c r="F902" t="s">
        <v>10</v>
      </c>
      <c r="G902">
        <v>2</v>
      </c>
      <c r="H902">
        <v>3</v>
      </c>
      <c r="I902" s="13">
        <v>0.6</v>
      </c>
      <c r="J902" t="s">
        <v>249</v>
      </c>
      <c r="L902" t="s">
        <v>60</v>
      </c>
      <c r="M902" t="s">
        <v>60</v>
      </c>
      <c r="N902" t="s">
        <v>10</v>
      </c>
      <c r="O902">
        <v>2</v>
      </c>
      <c r="P902">
        <v>3</v>
      </c>
      <c r="Q902" s="13">
        <v>0.50307363219162893</v>
      </c>
      <c r="R902" t="s">
        <v>249</v>
      </c>
      <c r="S902">
        <v>-0.36889240024306419</v>
      </c>
      <c r="T902" t="s">
        <v>60</v>
      </c>
      <c r="U902" t="s">
        <v>60</v>
      </c>
      <c r="X902" t="s">
        <v>60</v>
      </c>
      <c r="Y902" t="s">
        <v>412</v>
      </c>
      <c r="Z902" t="s">
        <v>60</v>
      </c>
      <c r="AA902" t="s">
        <v>491</v>
      </c>
    </row>
    <row r="903" spans="1:27" x14ac:dyDescent="0.2">
      <c r="A903" s="1">
        <v>46057</v>
      </c>
      <c r="B903" t="s">
        <v>328</v>
      </c>
      <c r="C903" t="s">
        <v>21</v>
      </c>
      <c r="D903" t="s">
        <v>11</v>
      </c>
      <c r="E903" t="s">
        <v>1309</v>
      </c>
      <c r="F903" t="s">
        <v>21</v>
      </c>
      <c r="G903">
        <v>2</v>
      </c>
      <c r="H903">
        <v>3</v>
      </c>
      <c r="I903" s="13">
        <v>0.6</v>
      </c>
      <c r="J903" t="s">
        <v>249</v>
      </c>
      <c r="L903" t="s">
        <v>60</v>
      </c>
      <c r="M903" t="s">
        <v>60</v>
      </c>
      <c r="N903" t="s">
        <v>21</v>
      </c>
      <c r="O903">
        <v>2</v>
      </c>
      <c r="P903">
        <v>3</v>
      </c>
      <c r="Q903" s="13">
        <v>0.46168992014598992</v>
      </c>
      <c r="R903" t="s">
        <v>249</v>
      </c>
      <c r="S903">
        <v>-0.1274477816932125</v>
      </c>
      <c r="T903" t="s">
        <v>60</v>
      </c>
      <c r="U903" t="s">
        <v>60</v>
      </c>
      <c r="X903" t="s">
        <v>60</v>
      </c>
      <c r="Y903" t="s">
        <v>412</v>
      </c>
      <c r="Z903" t="s">
        <v>60</v>
      </c>
      <c r="AA903" t="s">
        <v>491</v>
      </c>
    </row>
    <row r="904" spans="1:27" x14ac:dyDescent="0.2">
      <c r="A904" s="1">
        <v>46058</v>
      </c>
      <c r="B904" t="s">
        <v>328</v>
      </c>
      <c r="C904" t="s">
        <v>14</v>
      </c>
      <c r="D904" t="s">
        <v>23</v>
      </c>
      <c r="E904" t="s">
        <v>1310</v>
      </c>
      <c r="F904" t="s">
        <v>14</v>
      </c>
      <c r="G904">
        <v>2</v>
      </c>
      <c r="H904">
        <v>3</v>
      </c>
      <c r="I904" s="13">
        <v>0.6</v>
      </c>
      <c r="J904" t="s">
        <v>249</v>
      </c>
      <c r="L904" t="s">
        <v>60</v>
      </c>
      <c r="M904" t="s">
        <v>60</v>
      </c>
      <c r="N904" t="s">
        <v>14</v>
      </c>
      <c r="O904">
        <v>2</v>
      </c>
      <c r="P904">
        <v>3</v>
      </c>
      <c r="Q904" s="13">
        <v>0.52223779323644848</v>
      </c>
      <c r="R904" t="s">
        <v>249</v>
      </c>
      <c r="S904">
        <v>-0.2839454652519372</v>
      </c>
      <c r="T904" t="s">
        <v>60</v>
      </c>
      <c r="U904" t="s">
        <v>60</v>
      </c>
      <c r="X904" t="s">
        <v>60</v>
      </c>
      <c r="Y904" t="s">
        <v>412</v>
      </c>
      <c r="Z904" t="s">
        <v>60</v>
      </c>
      <c r="AA904" t="s">
        <v>491</v>
      </c>
    </row>
    <row r="905" spans="1:27" x14ac:dyDescent="0.2">
      <c r="A905" s="1">
        <v>46058</v>
      </c>
      <c r="B905" t="s">
        <v>328</v>
      </c>
      <c r="C905" t="s">
        <v>30</v>
      </c>
      <c r="D905" t="s">
        <v>24</v>
      </c>
      <c r="E905" t="s">
        <v>843</v>
      </c>
      <c r="F905" t="s">
        <v>24</v>
      </c>
      <c r="G905">
        <v>2</v>
      </c>
      <c r="H905">
        <v>3</v>
      </c>
      <c r="I905" s="13">
        <v>0.6</v>
      </c>
      <c r="J905" t="s">
        <v>249</v>
      </c>
      <c r="L905" t="s">
        <v>60</v>
      </c>
      <c r="M905" t="s">
        <v>60</v>
      </c>
      <c r="N905" t="s">
        <v>24</v>
      </c>
      <c r="O905">
        <v>2</v>
      </c>
      <c r="P905">
        <v>3</v>
      </c>
      <c r="Q905" s="13">
        <v>0.58343346953258379</v>
      </c>
      <c r="R905" t="s">
        <v>249</v>
      </c>
      <c r="S905">
        <v>0.29236299712909941</v>
      </c>
      <c r="T905" t="s">
        <v>60</v>
      </c>
      <c r="U905" t="s">
        <v>60</v>
      </c>
      <c r="X905" t="s">
        <v>60</v>
      </c>
      <c r="Y905" t="s">
        <v>412</v>
      </c>
      <c r="Z905" t="s">
        <v>60</v>
      </c>
      <c r="AA905" t="s">
        <v>491</v>
      </c>
    </row>
    <row r="906" spans="1:27" x14ac:dyDescent="0.2">
      <c r="A906" s="1">
        <v>46058</v>
      </c>
      <c r="B906" t="s">
        <v>328</v>
      </c>
      <c r="C906" t="s">
        <v>25</v>
      </c>
      <c r="D906" t="s">
        <v>15</v>
      </c>
      <c r="E906" t="s">
        <v>782</v>
      </c>
      <c r="F906" t="s">
        <v>25</v>
      </c>
      <c r="G906">
        <v>2</v>
      </c>
      <c r="H906">
        <v>3</v>
      </c>
      <c r="I906" s="13">
        <v>0.6</v>
      </c>
      <c r="J906" t="s">
        <v>249</v>
      </c>
      <c r="L906" t="s">
        <v>60</v>
      </c>
      <c r="M906" t="s">
        <v>60</v>
      </c>
      <c r="N906" t="s">
        <v>25</v>
      </c>
      <c r="O906">
        <v>2</v>
      </c>
      <c r="P906">
        <v>3</v>
      </c>
      <c r="Q906" s="13">
        <v>0.61036612327293382</v>
      </c>
      <c r="R906" t="s">
        <v>249</v>
      </c>
      <c r="S906">
        <v>-0.66580837288933281</v>
      </c>
      <c r="T906" t="s">
        <v>60</v>
      </c>
      <c r="U906" t="s">
        <v>60</v>
      </c>
      <c r="X906" t="s">
        <v>60</v>
      </c>
      <c r="Y906" t="s">
        <v>412</v>
      </c>
      <c r="Z906" t="s">
        <v>60</v>
      </c>
      <c r="AA906" t="s">
        <v>491</v>
      </c>
    </row>
    <row r="907" spans="1:27" x14ac:dyDescent="0.2">
      <c r="A907" s="1">
        <v>46058</v>
      </c>
      <c r="B907" t="s">
        <v>328</v>
      </c>
      <c r="C907" t="s">
        <v>36</v>
      </c>
      <c r="D907" t="s">
        <v>27</v>
      </c>
      <c r="E907" t="s">
        <v>829</v>
      </c>
      <c r="F907" t="s">
        <v>27</v>
      </c>
      <c r="G907">
        <v>2</v>
      </c>
      <c r="H907">
        <v>3</v>
      </c>
      <c r="I907" s="13">
        <v>0.6</v>
      </c>
      <c r="J907" t="s">
        <v>249</v>
      </c>
      <c r="L907" t="s">
        <v>60</v>
      </c>
      <c r="M907" t="s">
        <v>60</v>
      </c>
      <c r="N907" t="s">
        <v>27</v>
      </c>
      <c r="O907">
        <v>2</v>
      </c>
      <c r="P907">
        <v>3</v>
      </c>
      <c r="Q907" s="13">
        <v>0.5774906825970495</v>
      </c>
      <c r="R907" t="s">
        <v>249</v>
      </c>
      <c r="S907">
        <v>0.20103721628168511</v>
      </c>
      <c r="T907" t="s">
        <v>60</v>
      </c>
      <c r="U907" t="s">
        <v>60</v>
      </c>
      <c r="X907" t="s">
        <v>60</v>
      </c>
      <c r="Y907" t="s">
        <v>412</v>
      </c>
      <c r="Z907" t="s">
        <v>60</v>
      </c>
      <c r="AA907" t="s">
        <v>491</v>
      </c>
    </row>
    <row r="908" spans="1:27" x14ac:dyDescent="0.2">
      <c r="A908" s="1">
        <v>46058</v>
      </c>
      <c r="B908" t="s">
        <v>334</v>
      </c>
      <c r="C908" t="s">
        <v>11</v>
      </c>
      <c r="D908" t="s">
        <v>37</v>
      </c>
      <c r="E908" t="s">
        <v>1008</v>
      </c>
      <c r="F908" t="s">
        <v>37</v>
      </c>
      <c r="G908">
        <v>2</v>
      </c>
      <c r="H908">
        <v>3</v>
      </c>
      <c r="I908" s="13">
        <v>0.6</v>
      </c>
      <c r="J908" t="s">
        <v>249</v>
      </c>
      <c r="L908" t="s">
        <v>60</v>
      </c>
      <c r="M908" t="s">
        <v>60</v>
      </c>
      <c r="N908" t="s">
        <v>37</v>
      </c>
      <c r="O908">
        <v>2</v>
      </c>
      <c r="P908">
        <v>3</v>
      </c>
      <c r="Q908" s="13">
        <v>0.68405112330490425</v>
      </c>
      <c r="R908" t="s">
        <v>249</v>
      </c>
      <c r="S908">
        <v>0.95752398673387318</v>
      </c>
      <c r="T908" t="s">
        <v>60</v>
      </c>
      <c r="U908" t="s">
        <v>60</v>
      </c>
      <c r="X908" t="s">
        <v>60</v>
      </c>
      <c r="Y908" t="s">
        <v>412</v>
      </c>
      <c r="Z908" t="s">
        <v>60</v>
      </c>
      <c r="AA908" t="s">
        <v>491</v>
      </c>
    </row>
    <row r="909" spans="1:27" x14ac:dyDescent="0.2">
      <c r="A909" s="1">
        <v>46058</v>
      </c>
      <c r="B909" t="s">
        <v>322</v>
      </c>
      <c r="C909" t="s">
        <v>13</v>
      </c>
      <c r="D909" t="s">
        <v>20</v>
      </c>
      <c r="E909" t="s">
        <v>498</v>
      </c>
      <c r="F909" t="s">
        <v>20</v>
      </c>
      <c r="G909">
        <v>2</v>
      </c>
      <c r="H909">
        <v>3</v>
      </c>
      <c r="I909" s="13">
        <v>0.6</v>
      </c>
      <c r="J909" t="s">
        <v>249</v>
      </c>
      <c r="L909" t="s">
        <v>60</v>
      </c>
      <c r="M909" t="s">
        <v>60</v>
      </c>
      <c r="N909" t="s">
        <v>20</v>
      </c>
      <c r="O909">
        <v>2</v>
      </c>
      <c r="P909">
        <v>3</v>
      </c>
      <c r="Q909" s="13">
        <v>0.49046838767162682</v>
      </c>
      <c r="R909" t="s">
        <v>249</v>
      </c>
      <c r="S909">
        <v>0.14374351727973969</v>
      </c>
      <c r="T909" t="s">
        <v>60</v>
      </c>
      <c r="U909" t="s">
        <v>60</v>
      </c>
      <c r="X909" t="s">
        <v>60</v>
      </c>
      <c r="Y909" t="s">
        <v>412</v>
      </c>
      <c r="Z909" t="s">
        <v>60</v>
      </c>
      <c r="AA909" t="s">
        <v>491</v>
      </c>
    </row>
    <row r="910" spans="1:27" x14ac:dyDescent="0.2">
      <c r="A910" s="1">
        <v>46058</v>
      </c>
      <c r="B910" t="s">
        <v>328</v>
      </c>
      <c r="C910" t="s">
        <v>29</v>
      </c>
      <c r="D910" t="s">
        <v>22</v>
      </c>
      <c r="E910" t="s">
        <v>1311</v>
      </c>
      <c r="F910" t="s">
        <v>22</v>
      </c>
      <c r="G910">
        <v>2</v>
      </c>
      <c r="H910">
        <v>3</v>
      </c>
      <c r="I910" s="13">
        <v>0.6</v>
      </c>
      <c r="J910" t="s">
        <v>249</v>
      </c>
      <c r="L910" t="s">
        <v>60</v>
      </c>
      <c r="M910" t="s">
        <v>60</v>
      </c>
      <c r="N910" t="s">
        <v>22</v>
      </c>
      <c r="O910">
        <v>2</v>
      </c>
      <c r="P910">
        <v>3</v>
      </c>
      <c r="Q910" s="13">
        <v>0.78503299138365357</v>
      </c>
      <c r="R910" t="s">
        <v>249</v>
      </c>
      <c r="S910">
        <v>1.8755252655869801</v>
      </c>
      <c r="T910" t="s">
        <v>60</v>
      </c>
      <c r="U910" t="s">
        <v>60</v>
      </c>
      <c r="X910" t="s">
        <v>60</v>
      </c>
      <c r="Y910" t="s">
        <v>412</v>
      </c>
      <c r="Z910" t="s">
        <v>60</v>
      </c>
      <c r="AA910" t="s">
        <v>491</v>
      </c>
    </row>
    <row r="911" spans="1:27" x14ac:dyDescent="0.2">
      <c r="A911" s="1">
        <v>46078</v>
      </c>
      <c r="B911" t="s">
        <v>328</v>
      </c>
      <c r="C911" t="s">
        <v>27</v>
      </c>
      <c r="D911" t="s">
        <v>22</v>
      </c>
      <c r="E911" t="s">
        <v>1312</v>
      </c>
      <c r="F911" t="s">
        <v>22</v>
      </c>
      <c r="G911">
        <v>2</v>
      </c>
      <c r="H911">
        <v>3</v>
      </c>
      <c r="I911" s="13">
        <v>0.6</v>
      </c>
      <c r="J911" t="s">
        <v>249</v>
      </c>
      <c r="L911" t="s">
        <v>60</v>
      </c>
      <c r="M911" t="s">
        <v>60</v>
      </c>
      <c r="N911" t="s">
        <v>22</v>
      </c>
      <c r="O911">
        <v>2</v>
      </c>
      <c r="P911">
        <v>3</v>
      </c>
      <c r="Q911" s="13">
        <v>0.62549382984908919</v>
      </c>
      <c r="R911" t="s">
        <v>249</v>
      </c>
      <c r="S911">
        <v>0.87084756528323548</v>
      </c>
      <c r="T911" t="s">
        <v>60</v>
      </c>
      <c r="U911" t="s">
        <v>60</v>
      </c>
      <c r="X911" t="s">
        <v>60</v>
      </c>
      <c r="Y911" t="s">
        <v>412</v>
      </c>
      <c r="Z911" t="s">
        <v>60</v>
      </c>
      <c r="AA911" t="s">
        <v>491</v>
      </c>
    </row>
    <row r="912" spans="1:27" x14ac:dyDescent="0.2">
      <c r="A912" s="1">
        <v>46078</v>
      </c>
      <c r="B912" t="s">
        <v>322</v>
      </c>
      <c r="C912" t="s">
        <v>40</v>
      </c>
      <c r="D912" t="s">
        <v>38</v>
      </c>
      <c r="E912" t="s">
        <v>848</v>
      </c>
      <c r="F912" t="s">
        <v>40</v>
      </c>
      <c r="G912">
        <v>2</v>
      </c>
      <c r="H912">
        <v>3</v>
      </c>
      <c r="I912" s="13">
        <v>0.6</v>
      </c>
      <c r="J912" t="s">
        <v>249</v>
      </c>
      <c r="L912" t="s">
        <v>60</v>
      </c>
      <c r="M912" t="s">
        <v>60</v>
      </c>
      <c r="N912" t="s">
        <v>40</v>
      </c>
      <c r="O912">
        <v>2</v>
      </c>
      <c r="P912">
        <v>3</v>
      </c>
      <c r="Q912" s="13">
        <v>0.54902234043856335</v>
      </c>
      <c r="R912" t="s">
        <v>249</v>
      </c>
      <c r="S912">
        <v>-0.58453518240485014</v>
      </c>
      <c r="T912" t="s">
        <v>60</v>
      </c>
      <c r="U912" t="s">
        <v>60</v>
      </c>
      <c r="X912" t="s">
        <v>60</v>
      </c>
      <c r="Y912" t="s">
        <v>412</v>
      </c>
      <c r="Z912" t="s">
        <v>60</v>
      </c>
      <c r="AA912" t="s">
        <v>491</v>
      </c>
    </row>
    <row r="913" spans="1:27" x14ac:dyDescent="0.2">
      <c r="A913" s="1">
        <v>46078</v>
      </c>
      <c r="B913" t="s">
        <v>326</v>
      </c>
      <c r="C913" t="s">
        <v>12</v>
      </c>
      <c r="D913" t="s">
        <v>55</v>
      </c>
      <c r="E913" t="s">
        <v>625</v>
      </c>
      <c r="F913" t="s">
        <v>12</v>
      </c>
      <c r="G913">
        <v>2</v>
      </c>
      <c r="H913">
        <v>3</v>
      </c>
      <c r="I913" s="13">
        <v>0.6</v>
      </c>
      <c r="J913" t="s">
        <v>249</v>
      </c>
      <c r="L913" t="s">
        <v>60</v>
      </c>
      <c r="M913" t="s">
        <v>60</v>
      </c>
      <c r="N913" t="s">
        <v>12</v>
      </c>
      <c r="O913">
        <v>2</v>
      </c>
      <c r="P913">
        <v>3</v>
      </c>
      <c r="Q913" s="13">
        <v>0.72341289378127493</v>
      </c>
      <c r="R913" t="s">
        <v>249</v>
      </c>
      <c r="S913">
        <v>-1.9851261985249959</v>
      </c>
      <c r="T913" t="s">
        <v>60</v>
      </c>
      <c r="U913" t="s">
        <v>60</v>
      </c>
      <c r="X913" t="s">
        <v>60</v>
      </c>
      <c r="Y913" t="s">
        <v>412</v>
      </c>
      <c r="Z913" t="s">
        <v>60</v>
      </c>
      <c r="AA913" t="s">
        <v>491</v>
      </c>
    </row>
    <row r="914" spans="1:27" x14ac:dyDescent="0.2">
      <c r="A914" s="1">
        <v>46078</v>
      </c>
      <c r="B914" t="s">
        <v>334</v>
      </c>
      <c r="C914" t="s">
        <v>19</v>
      </c>
      <c r="D914" t="s">
        <v>37</v>
      </c>
      <c r="E914" t="s">
        <v>1313</v>
      </c>
      <c r="F914" t="s">
        <v>37</v>
      </c>
      <c r="G914">
        <v>2</v>
      </c>
      <c r="H914">
        <v>3</v>
      </c>
      <c r="I914" s="13">
        <v>0.6</v>
      </c>
      <c r="J914" t="s">
        <v>249</v>
      </c>
      <c r="L914" t="s">
        <v>60</v>
      </c>
      <c r="M914" t="s">
        <v>60</v>
      </c>
      <c r="N914" t="s">
        <v>37</v>
      </c>
      <c r="O914">
        <v>2</v>
      </c>
      <c r="P914">
        <v>3</v>
      </c>
      <c r="Q914" s="13">
        <v>0.71176644154766677</v>
      </c>
      <c r="R914" t="s">
        <v>249</v>
      </c>
      <c r="S914">
        <v>1.194884286988747</v>
      </c>
      <c r="T914" t="s">
        <v>60</v>
      </c>
      <c r="U914" t="s">
        <v>60</v>
      </c>
      <c r="X914" t="s">
        <v>60</v>
      </c>
      <c r="Y914" t="s">
        <v>412</v>
      </c>
      <c r="Z914" t="s">
        <v>60</v>
      </c>
      <c r="AA914" t="s">
        <v>491</v>
      </c>
    </row>
    <row r="915" spans="1:27" x14ac:dyDescent="0.2">
      <c r="A915" s="1">
        <v>46078</v>
      </c>
      <c r="B915" t="s">
        <v>324</v>
      </c>
      <c r="C915" t="s">
        <v>32</v>
      </c>
      <c r="D915" t="s">
        <v>39</v>
      </c>
      <c r="E915" t="s">
        <v>837</v>
      </c>
      <c r="F915" t="s">
        <v>39</v>
      </c>
      <c r="G915">
        <v>2</v>
      </c>
      <c r="H915">
        <v>3</v>
      </c>
      <c r="I915" s="13">
        <v>0.6</v>
      </c>
      <c r="J915" t="s">
        <v>249</v>
      </c>
      <c r="L915" t="s">
        <v>60</v>
      </c>
      <c r="M915" t="s">
        <v>60</v>
      </c>
      <c r="N915" t="s">
        <v>39</v>
      </c>
      <c r="O915">
        <v>2</v>
      </c>
      <c r="P915">
        <v>3</v>
      </c>
      <c r="Q915" s="13">
        <v>0.70217260513765822</v>
      </c>
      <c r="R915" t="s">
        <v>249</v>
      </c>
      <c r="S915">
        <v>1.112720486056372</v>
      </c>
      <c r="T915" t="s">
        <v>60</v>
      </c>
      <c r="U915" t="s">
        <v>60</v>
      </c>
      <c r="X915" t="s">
        <v>60</v>
      </c>
      <c r="Y915" t="s">
        <v>412</v>
      </c>
      <c r="Z915" t="s">
        <v>60</v>
      </c>
      <c r="AA915" t="s">
        <v>491</v>
      </c>
    </row>
    <row r="916" spans="1:27" x14ac:dyDescent="0.2">
      <c r="A916" s="1">
        <v>46078</v>
      </c>
      <c r="B916" t="s">
        <v>322</v>
      </c>
      <c r="C916" t="s">
        <v>20</v>
      </c>
      <c r="D916" t="s">
        <v>13</v>
      </c>
      <c r="E916" t="s">
        <v>1188</v>
      </c>
      <c r="F916" t="s">
        <v>20</v>
      </c>
      <c r="G916">
        <v>2</v>
      </c>
      <c r="H916">
        <v>3</v>
      </c>
      <c r="I916" s="13">
        <v>0.6</v>
      </c>
      <c r="J916" t="s">
        <v>249</v>
      </c>
      <c r="L916" t="s">
        <v>60</v>
      </c>
      <c r="M916" t="s">
        <v>60</v>
      </c>
      <c r="N916" t="s">
        <v>20</v>
      </c>
      <c r="O916">
        <v>2</v>
      </c>
      <c r="P916">
        <v>3</v>
      </c>
      <c r="Q916" s="13">
        <v>0.46513087930677133</v>
      </c>
      <c r="R916" t="s">
        <v>249</v>
      </c>
      <c r="S916">
        <v>-4.3942019433414699E-2</v>
      </c>
      <c r="T916" t="s">
        <v>60</v>
      </c>
      <c r="U916" t="s">
        <v>60</v>
      </c>
      <c r="X916" t="s">
        <v>60</v>
      </c>
      <c r="Y916" t="s">
        <v>412</v>
      </c>
      <c r="Z916" t="s">
        <v>60</v>
      </c>
      <c r="AA916" t="s">
        <v>491</v>
      </c>
    </row>
    <row r="917" spans="1:27" x14ac:dyDescent="0.2">
      <c r="A917" s="1">
        <v>46078</v>
      </c>
      <c r="B917" t="s">
        <v>340</v>
      </c>
      <c r="C917" t="s">
        <v>17</v>
      </c>
      <c r="D917" t="s">
        <v>31</v>
      </c>
      <c r="E917" t="s">
        <v>1314</v>
      </c>
      <c r="F917" t="s">
        <v>31</v>
      </c>
      <c r="G917">
        <v>2</v>
      </c>
      <c r="H917">
        <v>3</v>
      </c>
      <c r="I917" s="13">
        <v>0.6</v>
      </c>
      <c r="J917" t="s">
        <v>249</v>
      </c>
      <c r="L917" t="s">
        <v>60</v>
      </c>
      <c r="M917" t="s">
        <v>60</v>
      </c>
      <c r="N917" t="s">
        <v>31</v>
      </c>
      <c r="O917">
        <v>2</v>
      </c>
      <c r="P917">
        <v>3</v>
      </c>
      <c r="Q917" s="13">
        <v>0.74201156706028293</v>
      </c>
      <c r="R917" t="s">
        <v>249</v>
      </c>
      <c r="S917">
        <v>1.04635043499995</v>
      </c>
      <c r="T917" t="s">
        <v>60</v>
      </c>
      <c r="U917" t="s">
        <v>60</v>
      </c>
      <c r="X917" t="s">
        <v>60</v>
      </c>
      <c r="Y917" t="s">
        <v>412</v>
      </c>
      <c r="Z917" t="s">
        <v>60</v>
      </c>
      <c r="AA917" t="s">
        <v>491</v>
      </c>
    </row>
    <row r="918" spans="1:27" x14ac:dyDescent="0.2">
      <c r="A918" s="1">
        <v>46078</v>
      </c>
      <c r="B918" t="s">
        <v>328</v>
      </c>
      <c r="C918" t="s">
        <v>23</v>
      </c>
      <c r="D918" t="s">
        <v>24</v>
      </c>
      <c r="E918" t="s">
        <v>1050</v>
      </c>
      <c r="F918" t="s">
        <v>24</v>
      </c>
      <c r="G918">
        <v>2</v>
      </c>
      <c r="H918">
        <v>3</v>
      </c>
      <c r="I918" s="13">
        <v>0.6</v>
      </c>
      <c r="J918" t="s">
        <v>249</v>
      </c>
      <c r="L918" t="s">
        <v>60</v>
      </c>
      <c r="M918" t="s">
        <v>60</v>
      </c>
      <c r="N918" t="s">
        <v>24</v>
      </c>
      <c r="O918">
        <v>2</v>
      </c>
      <c r="P918">
        <v>3</v>
      </c>
      <c r="Q918" s="13">
        <v>0.68143295928595826</v>
      </c>
      <c r="R918" t="s">
        <v>249</v>
      </c>
      <c r="S918">
        <v>0.52754143542835641</v>
      </c>
      <c r="T918" t="s">
        <v>60</v>
      </c>
      <c r="U918" t="s">
        <v>60</v>
      </c>
      <c r="X918" t="s">
        <v>60</v>
      </c>
      <c r="Y918" t="s">
        <v>412</v>
      </c>
      <c r="Z918" t="s">
        <v>60</v>
      </c>
      <c r="AA918" t="s">
        <v>491</v>
      </c>
    </row>
    <row r="919" spans="1:27" x14ac:dyDescent="0.2">
      <c r="A919" s="1">
        <v>46079</v>
      </c>
      <c r="B919" t="s">
        <v>324</v>
      </c>
      <c r="C919" t="s">
        <v>27</v>
      </c>
      <c r="D919" t="s">
        <v>15</v>
      </c>
      <c r="E919" t="s">
        <v>1041</v>
      </c>
      <c r="F919" t="s">
        <v>15</v>
      </c>
      <c r="G919">
        <v>2</v>
      </c>
      <c r="H919">
        <v>3</v>
      </c>
      <c r="I919" s="13">
        <v>0.6</v>
      </c>
      <c r="J919" t="s">
        <v>249</v>
      </c>
      <c r="L919" t="s">
        <v>60</v>
      </c>
      <c r="M919" t="s">
        <v>60</v>
      </c>
      <c r="N919" t="s">
        <v>15</v>
      </c>
      <c r="O919">
        <v>2</v>
      </c>
      <c r="P919">
        <v>3</v>
      </c>
      <c r="Q919" s="13">
        <v>0.51384692113068431</v>
      </c>
      <c r="R919" t="s">
        <v>249</v>
      </c>
      <c r="S919">
        <v>0.14010634794553589</v>
      </c>
      <c r="T919" t="s">
        <v>60</v>
      </c>
      <c r="U919" t="s">
        <v>60</v>
      </c>
      <c r="X919" t="s">
        <v>60</v>
      </c>
      <c r="Y919" t="s">
        <v>412</v>
      </c>
      <c r="Z919" t="s">
        <v>60</v>
      </c>
      <c r="AA919" t="s">
        <v>491</v>
      </c>
    </row>
    <row r="920" spans="1:27" x14ac:dyDescent="0.2">
      <c r="A920" s="1">
        <v>46079</v>
      </c>
      <c r="B920" t="s">
        <v>324</v>
      </c>
      <c r="C920" t="s">
        <v>32</v>
      </c>
      <c r="D920" t="s">
        <v>35</v>
      </c>
      <c r="E920" t="s">
        <v>819</v>
      </c>
      <c r="F920" t="s">
        <v>32</v>
      </c>
      <c r="G920">
        <v>2</v>
      </c>
      <c r="H920">
        <v>3</v>
      </c>
      <c r="I920" s="13">
        <v>0.6</v>
      </c>
      <c r="J920" t="s">
        <v>249</v>
      </c>
      <c r="L920" t="s">
        <v>60</v>
      </c>
      <c r="M920" t="s">
        <v>60</v>
      </c>
      <c r="N920" t="s">
        <v>32</v>
      </c>
      <c r="O920">
        <v>2</v>
      </c>
      <c r="P920">
        <v>3</v>
      </c>
      <c r="Q920" s="13">
        <v>0.5411749056948274</v>
      </c>
      <c r="R920" t="s">
        <v>249</v>
      </c>
      <c r="S920">
        <v>-0.69520038774647008</v>
      </c>
      <c r="T920" t="s">
        <v>60</v>
      </c>
      <c r="U920" t="s">
        <v>60</v>
      </c>
      <c r="X920" t="s">
        <v>60</v>
      </c>
      <c r="Y920" t="s">
        <v>412</v>
      </c>
      <c r="Z920" t="s">
        <v>60</v>
      </c>
      <c r="AA920" t="s">
        <v>491</v>
      </c>
    </row>
    <row r="921" spans="1:27" x14ac:dyDescent="0.2">
      <c r="A921" s="1">
        <v>46079</v>
      </c>
      <c r="B921" t="s">
        <v>322</v>
      </c>
      <c r="C921" t="s">
        <v>16</v>
      </c>
      <c r="D921" t="s">
        <v>33</v>
      </c>
      <c r="E921" t="s">
        <v>1011</v>
      </c>
      <c r="F921" t="s">
        <v>33</v>
      </c>
      <c r="G921">
        <v>2</v>
      </c>
      <c r="H921">
        <v>3</v>
      </c>
      <c r="I921" s="13">
        <v>0.6</v>
      </c>
      <c r="J921" t="s">
        <v>249</v>
      </c>
      <c r="L921" t="s">
        <v>60</v>
      </c>
      <c r="M921" t="s">
        <v>60</v>
      </c>
      <c r="N921" t="s">
        <v>33</v>
      </c>
      <c r="O921">
        <v>2</v>
      </c>
      <c r="P921">
        <v>3</v>
      </c>
      <c r="Q921" s="13">
        <v>0.62769503791484937</v>
      </c>
      <c r="R921" t="s">
        <v>249</v>
      </c>
      <c r="S921">
        <v>0.66435103558553998</v>
      </c>
      <c r="T921" t="s">
        <v>60</v>
      </c>
      <c r="U921" t="s">
        <v>60</v>
      </c>
      <c r="X921" t="s">
        <v>60</v>
      </c>
      <c r="Y921" t="s">
        <v>412</v>
      </c>
      <c r="Z921" t="s">
        <v>60</v>
      </c>
      <c r="AA921" t="s">
        <v>491</v>
      </c>
    </row>
    <row r="922" spans="1:27" x14ac:dyDescent="0.2">
      <c r="A922" s="1">
        <v>46079</v>
      </c>
      <c r="B922" t="s">
        <v>328</v>
      </c>
      <c r="C922" t="s">
        <v>24</v>
      </c>
      <c r="D922" t="s">
        <v>14</v>
      </c>
      <c r="E922" t="s">
        <v>1146</v>
      </c>
      <c r="F922" t="s">
        <v>24</v>
      </c>
      <c r="G922">
        <v>2</v>
      </c>
      <c r="H922">
        <v>3</v>
      </c>
      <c r="I922" s="13">
        <v>0.6</v>
      </c>
      <c r="J922" t="s">
        <v>249</v>
      </c>
      <c r="L922" t="s">
        <v>60</v>
      </c>
      <c r="M922" t="s">
        <v>60</v>
      </c>
      <c r="N922" t="s">
        <v>24</v>
      </c>
      <c r="O922">
        <v>2</v>
      </c>
      <c r="P922">
        <v>3</v>
      </c>
      <c r="Q922" s="13">
        <v>0.49173270874944358</v>
      </c>
      <c r="R922" t="s">
        <v>249</v>
      </c>
      <c r="S922">
        <v>-9.3893723406931806E-2</v>
      </c>
      <c r="T922" t="s">
        <v>60</v>
      </c>
      <c r="U922" t="s">
        <v>60</v>
      </c>
      <c r="X922" t="s">
        <v>60</v>
      </c>
      <c r="Y922" t="s">
        <v>412</v>
      </c>
      <c r="Z922" t="s">
        <v>60</v>
      </c>
      <c r="AA922" t="s">
        <v>491</v>
      </c>
    </row>
    <row r="923" spans="1:27" x14ac:dyDescent="0.2">
      <c r="A923" s="1">
        <v>46079</v>
      </c>
      <c r="B923" t="s">
        <v>328</v>
      </c>
      <c r="C923" t="s">
        <v>26</v>
      </c>
      <c r="D923" t="s">
        <v>36</v>
      </c>
      <c r="E923" t="s">
        <v>1130</v>
      </c>
      <c r="F923" t="s">
        <v>36</v>
      </c>
      <c r="G923">
        <v>2</v>
      </c>
      <c r="H923">
        <v>3</v>
      </c>
      <c r="I923" s="13">
        <v>0.6</v>
      </c>
      <c r="J923" t="s">
        <v>249</v>
      </c>
      <c r="L923" t="s">
        <v>60</v>
      </c>
      <c r="M923" t="s">
        <v>60</v>
      </c>
      <c r="N923" t="s">
        <v>36</v>
      </c>
      <c r="O923">
        <v>2</v>
      </c>
      <c r="P923">
        <v>3</v>
      </c>
      <c r="Q923" s="13">
        <v>0.5884849449418138</v>
      </c>
      <c r="R923" t="s">
        <v>249</v>
      </c>
      <c r="S923">
        <v>0.39386426309063333</v>
      </c>
      <c r="T923" t="s">
        <v>60</v>
      </c>
      <c r="U923" t="s">
        <v>60</v>
      </c>
      <c r="X923" t="s">
        <v>60</v>
      </c>
      <c r="Y923" t="s">
        <v>412</v>
      </c>
      <c r="Z923" t="s">
        <v>60</v>
      </c>
      <c r="AA923" t="s">
        <v>491</v>
      </c>
    </row>
    <row r="924" spans="1:27" x14ac:dyDescent="0.2">
      <c r="A924" s="1">
        <v>46079</v>
      </c>
      <c r="B924" t="s">
        <v>324</v>
      </c>
      <c r="C924" t="s">
        <v>10</v>
      </c>
      <c r="D924" t="s">
        <v>29</v>
      </c>
      <c r="E924" t="s">
        <v>1162</v>
      </c>
      <c r="F924" t="s">
        <v>10</v>
      </c>
      <c r="G924">
        <v>2</v>
      </c>
      <c r="H924">
        <v>3</v>
      </c>
      <c r="I924" s="13">
        <v>0.6</v>
      </c>
      <c r="J924" t="s">
        <v>249</v>
      </c>
      <c r="L924" t="s">
        <v>60</v>
      </c>
      <c r="M924" t="s">
        <v>60</v>
      </c>
      <c r="N924" t="s">
        <v>10</v>
      </c>
      <c r="O924">
        <v>2</v>
      </c>
      <c r="P924">
        <v>3</v>
      </c>
      <c r="Q924" s="13">
        <v>0.59530937062195044</v>
      </c>
      <c r="R924" t="s">
        <v>249</v>
      </c>
      <c r="S924">
        <v>-1.1588202797025851</v>
      </c>
      <c r="T924" t="s">
        <v>60</v>
      </c>
      <c r="U924" t="s">
        <v>60</v>
      </c>
      <c r="X924" t="s">
        <v>60</v>
      </c>
      <c r="Y924" t="s">
        <v>412</v>
      </c>
      <c r="Z924" t="s">
        <v>60</v>
      </c>
      <c r="AA924" t="s">
        <v>491</v>
      </c>
    </row>
    <row r="925" spans="1:27" x14ac:dyDescent="0.2">
      <c r="A925" s="1">
        <v>46079</v>
      </c>
      <c r="B925" t="s">
        <v>328</v>
      </c>
      <c r="C925" t="s">
        <v>37</v>
      </c>
      <c r="D925" t="s">
        <v>25</v>
      </c>
      <c r="E925" t="s">
        <v>1315</v>
      </c>
      <c r="F925" t="s">
        <v>37</v>
      </c>
      <c r="G925">
        <v>2</v>
      </c>
      <c r="H925">
        <v>3</v>
      </c>
      <c r="I925" s="13">
        <v>0.6</v>
      </c>
      <c r="J925" t="s">
        <v>249</v>
      </c>
      <c r="L925" t="s">
        <v>60</v>
      </c>
      <c r="M925" t="s">
        <v>60</v>
      </c>
      <c r="N925" t="s">
        <v>37</v>
      </c>
      <c r="O925">
        <v>2</v>
      </c>
      <c r="P925">
        <v>3</v>
      </c>
      <c r="Q925" s="13">
        <v>0.50407848332891836</v>
      </c>
      <c r="R925" t="s">
        <v>249</v>
      </c>
      <c r="S925">
        <v>-3.49290604948891E-2</v>
      </c>
      <c r="T925" t="s">
        <v>60</v>
      </c>
      <c r="U925" t="s">
        <v>60</v>
      </c>
      <c r="X925" t="s">
        <v>60</v>
      </c>
      <c r="Y925" t="s">
        <v>412</v>
      </c>
      <c r="Z925" t="s">
        <v>60</v>
      </c>
      <c r="AA925" t="s">
        <v>491</v>
      </c>
    </row>
    <row r="926" spans="1:27" x14ac:dyDescent="0.2">
      <c r="A926" s="1">
        <v>46079</v>
      </c>
      <c r="B926" t="s">
        <v>340</v>
      </c>
      <c r="C926" t="s">
        <v>17</v>
      </c>
      <c r="D926" t="s">
        <v>13</v>
      </c>
      <c r="E926" t="s">
        <v>1316</v>
      </c>
      <c r="F926" t="s">
        <v>13</v>
      </c>
      <c r="G926">
        <v>2</v>
      </c>
      <c r="H926">
        <v>3</v>
      </c>
      <c r="I926" s="13">
        <v>0.6</v>
      </c>
      <c r="J926" t="s">
        <v>249</v>
      </c>
      <c r="L926" t="s">
        <v>60</v>
      </c>
      <c r="M926" t="s">
        <v>60</v>
      </c>
      <c r="N926" t="s">
        <v>13</v>
      </c>
      <c r="O926">
        <v>2</v>
      </c>
      <c r="P926">
        <v>3</v>
      </c>
      <c r="Q926" s="13">
        <v>0.60181103819323645</v>
      </c>
      <c r="R926" t="s">
        <v>249</v>
      </c>
      <c r="S926">
        <v>0.52936381448347047</v>
      </c>
      <c r="T926" t="s">
        <v>60</v>
      </c>
      <c r="U926" t="s">
        <v>60</v>
      </c>
      <c r="X926" t="s">
        <v>60</v>
      </c>
      <c r="Y926" t="s">
        <v>412</v>
      </c>
      <c r="Z926" t="s">
        <v>60</v>
      </c>
      <c r="AA926" t="s">
        <v>491</v>
      </c>
    </row>
    <row r="927" spans="1:27" x14ac:dyDescent="0.2">
      <c r="A927" s="1">
        <v>46079</v>
      </c>
      <c r="B927" t="s">
        <v>328</v>
      </c>
      <c r="C927" t="s">
        <v>19</v>
      </c>
      <c r="D927" t="s">
        <v>11</v>
      </c>
      <c r="E927" t="s">
        <v>481</v>
      </c>
      <c r="F927" t="s">
        <v>11</v>
      </c>
      <c r="G927">
        <v>2</v>
      </c>
      <c r="H927">
        <v>3</v>
      </c>
      <c r="I927" s="13">
        <v>0.6</v>
      </c>
      <c r="J927" t="s">
        <v>249</v>
      </c>
      <c r="L927" t="s">
        <v>60</v>
      </c>
      <c r="M927" t="s">
        <v>60</v>
      </c>
      <c r="N927" t="s">
        <v>11</v>
      </c>
      <c r="O927">
        <v>2</v>
      </c>
      <c r="P927">
        <v>3</v>
      </c>
      <c r="Q927" s="13">
        <v>0.58755858766064739</v>
      </c>
      <c r="R927" t="s">
        <v>249</v>
      </c>
      <c r="S927">
        <v>0.28726104917803652</v>
      </c>
      <c r="T927" t="s">
        <v>60</v>
      </c>
      <c r="U927" t="s">
        <v>60</v>
      </c>
      <c r="X927" t="s">
        <v>60</v>
      </c>
      <c r="Y927" t="s">
        <v>412</v>
      </c>
      <c r="Z927" t="s">
        <v>60</v>
      </c>
      <c r="AA927" t="s">
        <v>491</v>
      </c>
    </row>
    <row r="928" spans="1:27" x14ac:dyDescent="0.2">
      <c r="A928" s="1">
        <v>46079</v>
      </c>
      <c r="B928" t="s">
        <v>326</v>
      </c>
      <c r="C928" t="s">
        <v>34</v>
      </c>
      <c r="D928" t="s">
        <v>12</v>
      </c>
      <c r="E928" t="s">
        <v>1317</v>
      </c>
      <c r="F928" t="s">
        <v>12</v>
      </c>
      <c r="G928">
        <v>2</v>
      </c>
      <c r="H928">
        <v>3</v>
      </c>
      <c r="I928" s="13">
        <v>0.6</v>
      </c>
      <c r="J928" t="s">
        <v>249</v>
      </c>
      <c r="L928" t="s">
        <v>60</v>
      </c>
      <c r="M928" t="s">
        <v>60</v>
      </c>
      <c r="N928" t="s">
        <v>12</v>
      </c>
      <c r="O928">
        <v>2</v>
      </c>
      <c r="P928">
        <v>3</v>
      </c>
      <c r="Q928" s="13">
        <v>0.80720772313376354</v>
      </c>
      <c r="R928" t="s">
        <v>249</v>
      </c>
      <c r="S928">
        <v>1.736929194799617</v>
      </c>
      <c r="T928" t="s">
        <v>60</v>
      </c>
      <c r="U928" t="s">
        <v>60</v>
      </c>
      <c r="X928" t="s">
        <v>60</v>
      </c>
      <c r="Y928" t="s">
        <v>412</v>
      </c>
      <c r="Z928" t="s">
        <v>60</v>
      </c>
      <c r="AA928" t="s">
        <v>491</v>
      </c>
    </row>
    <row r="929" spans="1:27" x14ac:dyDescent="0.2">
      <c r="A929" s="1">
        <v>46079</v>
      </c>
      <c r="B929" t="s">
        <v>328</v>
      </c>
      <c r="C929" t="s">
        <v>28</v>
      </c>
      <c r="D929" t="s">
        <v>21</v>
      </c>
      <c r="E929" t="s">
        <v>1318</v>
      </c>
      <c r="F929" t="s">
        <v>21</v>
      </c>
      <c r="G929">
        <v>2</v>
      </c>
      <c r="H929">
        <v>3</v>
      </c>
      <c r="I929" s="13">
        <v>0.6</v>
      </c>
      <c r="J929" t="s">
        <v>249</v>
      </c>
      <c r="L929" t="s">
        <v>60</v>
      </c>
      <c r="M929" t="s">
        <v>60</v>
      </c>
      <c r="N929" t="s">
        <v>21</v>
      </c>
      <c r="O929">
        <v>2</v>
      </c>
      <c r="P929">
        <v>3</v>
      </c>
      <c r="Q929" s="13">
        <v>0.62903822182252678</v>
      </c>
      <c r="R929" t="s">
        <v>249</v>
      </c>
      <c r="S929">
        <v>0.42512039282597108</v>
      </c>
      <c r="T929" t="s">
        <v>60</v>
      </c>
      <c r="U929" t="s">
        <v>60</v>
      </c>
      <c r="X929" t="s">
        <v>60</v>
      </c>
      <c r="Y929" t="s">
        <v>412</v>
      </c>
      <c r="Z929" t="s">
        <v>60</v>
      </c>
      <c r="AA929" t="s">
        <v>491</v>
      </c>
    </row>
    <row r="930" spans="1:27" x14ac:dyDescent="0.2">
      <c r="A930" s="1">
        <v>46079</v>
      </c>
      <c r="B930" t="s">
        <v>328</v>
      </c>
      <c r="C930" t="s">
        <v>30</v>
      </c>
      <c r="D930" t="s">
        <v>18</v>
      </c>
      <c r="E930" t="s">
        <v>1319</v>
      </c>
      <c r="F930" t="s">
        <v>30</v>
      </c>
      <c r="G930">
        <v>2</v>
      </c>
      <c r="H930">
        <v>3</v>
      </c>
      <c r="I930" s="13">
        <v>0.6</v>
      </c>
      <c r="J930" t="s">
        <v>249</v>
      </c>
      <c r="L930" t="s">
        <v>60</v>
      </c>
      <c r="M930" t="s">
        <v>60</v>
      </c>
      <c r="N930" t="s">
        <v>30</v>
      </c>
      <c r="O930">
        <v>2</v>
      </c>
      <c r="P930">
        <v>3</v>
      </c>
      <c r="Q930" s="13">
        <v>0.56789276811217293</v>
      </c>
      <c r="R930" t="s">
        <v>249</v>
      </c>
      <c r="S930">
        <v>-0.30205688190933011</v>
      </c>
      <c r="T930" t="s">
        <v>60</v>
      </c>
      <c r="U930" t="s">
        <v>60</v>
      </c>
      <c r="X930" t="s">
        <v>60</v>
      </c>
      <c r="Y930" t="s">
        <v>412</v>
      </c>
      <c r="Z930" t="s">
        <v>60</v>
      </c>
      <c r="AA930" t="s">
        <v>491</v>
      </c>
    </row>
    <row r="931" spans="1:27" x14ac:dyDescent="0.2">
      <c r="A931" s="1">
        <v>46080</v>
      </c>
      <c r="B931" t="s">
        <v>322</v>
      </c>
      <c r="C931" t="s">
        <v>40</v>
      </c>
      <c r="D931" t="s">
        <v>31</v>
      </c>
      <c r="E931" t="s">
        <v>838</v>
      </c>
      <c r="F931" t="s">
        <v>31</v>
      </c>
      <c r="G931">
        <v>2</v>
      </c>
      <c r="H931">
        <v>3</v>
      </c>
      <c r="I931" s="13">
        <v>0.6</v>
      </c>
      <c r="J931" t="s">
        <v>249</v>
      </c>
      <c r="L931" t="s">
        <v>60</v>
      </c>
      <c r="M931" t="s">
        <v>60</v>
      </c>
      <c r="N931" t="s">
        <v>31</v>
      </c>
      <c r="O931">
        <v>2</v>
      </c>
      <c r="P931">
        <v>3</v>
      </c>
      <c r="Q931" s="13">
        <v>0.66326847023337154</v>
      </c>
      <c r="R931" t="s">
        <v>249</v>
      </c>
      <c r="S931">
        <v>0.5418455945452203</v>
      </c>
      <c r="T931" t="s">
        <v>60</v>
      </c>
      <c r="U931" t="s">
        <v>60</v>
      </c>
      <c r="X931" t="s">
        <v>60</v>
      </c>
      <c r="Y931" t="s">
        <v>412</v>
      </c>
      <c r="Z931" t="s">
        <v>60</v>
      </c>
      <c r="AA931" t="s">
        <v>491</v>
      </c>
    </row>
    <row r="932" spans="1:27" x14ac:dyDescent="0.2">
      <c r="A932" s="1">
        <v>46080</v>
      </c>
      <c r="B932" t="s">
        <v>328</v>
      </c>
      <c r="C932" t="s">
        <v>23</v>
      </c>
      <c r="D932" t="s">
        <v>11</v>
      </c>
      <c r="E932" t="s">
        <v>1296</v>
      </c>
      <c r="F932" t="s">
        <v>11</v>
      </c>
      <c r="G932">
        <v>2</v>
      </c>
      <c r="H932">
        <v>3</v>
      </c>
      <c r="I932" s="13">
        <v>0.6</v>
      </c>
      <c r="J932" t="s">
        <v>249</v>
      </c>
      <c r="L932" t="s">
        <v>60</v>
      </c>
      <c r="M932" t="s">
        <v>60</v>
      </c>
      <c r="N932" t="s">
        <v>11</v>
      </c>
      <c r="O932">
        <v>2</v>
      </c>
      <c r="P932">
        <v>3</v>
      </c>
      <c r="Q932" s="13">
        <v>0.56906676814971258</v>
      </c>
      <c r="R932" t="s">
        <v>249</v>
      </c>
      <c r="S932">
        <v>0.12889289359964559</v>
      </c>
      <c r="T932" t="s">
        <v>60</v>
      </c>
      <c r="U932" t="s">
        <v>60</v>
      </c>
      <c r="X932" t="s">
        <v>60</v>
      </c>
      <c r="Y932" t="s">
        <v>412</v>
      </c>
      <c r="Z932" t="s">
        <v>60</v>
      </c>
      <c r="AA932" t="s">
        <v>491</v>
      </c>
    </row>
    <row r="933" spans="1:27" x14ac:dyDescent="0.2">
      <c r="A933" s="1">
        <v>46080</v>
      </c>
      <c r="B933" t="s">
        <v>326</v>
      </c>
      <c r="C933" t="s">
        <v>34</v>
      </c>
      <c r="D933" t="s">
        <v>55</v>
      </c>
      <c r="E933" t="s">
        <v>1320</v>
      </c>
      <c r="F933" t="s">
        <v>34</v>
      </c>
      <c r="G933">
        <v>2</v>
      </c>
      <c r="H933">
        <v>3</v>
      </c>
      <c r="I933" s="13">
        <v>0.6</v>
      </c>
      <c r="J933" t="s">
        <v>249</v>
      </c>
      <c r="L933" t="s">
        <v>60</v>
      </c>
      <c r="M933" t="s">
        <v>60</v>
      </c>
      <c r="N933" t="s">
        <v>34</v>
      </c>
      <c r="O933">
        <v>2</v>
      </c>
      <c r="P933">
        <v>3</v>
      </c>
      <c r="Q933" s="13">
        <v>0.49634577376900357</v>
      </c>
      <c r="R933" t="s">
        <v>249</v>
      </c>
      <c r="S933">
        <v>-0.29809775264854121</v>
      </c>
      <c r="T933" t="s">
        <v>60</v>
      </c>
      <c r="U933" t="s">
        <v>60</v>
      </c>
      <c r="X933" t="s">
        <v>60</v>
      </c>
      <c r="Y933" t="s">
        <v>412</v>
      </c>
      <c r="Z933" t="s">
        <v>60</v>
      </c>
      <c r="AA933" t="s">
        <v>491</v>
      </c>
    </row>
    <row r="934" spans="1:27" x14ac:dyDescent="0.2">
      <c r="A934" s="1">
        <v>46080</v>
      </c>
      <c r="B934" t="s">
        <v>328</v>
      </c>
      <c r="C934" t="s">
        <v>20</v>
      </c>
      <c r="D934" t="s">
        <v>22</v>
      </c>
      <c r="E934" t="s">
        <v>1321</v>
      </c>
      <c r="F934" t="s">
        <v>22</v>
      </c>
      <c r="G934">
        <v>2</v>
      </c>
      <c r="H934">
        <v>3</v>
      </c>
      <c r="I934" s="13">
        <v>0.6</v>
      </c>
      <c r="J934" t="s">
        <v>249</v>
      </c>
      <c r="L934" t="s">
        <v>60</v>
      </c>
      <c r="M934" t="s">
        <v>60</v>
      </c>
      <c r="N934" t="s">
        <v>22</v>
      </c>
      <c r="O934">
        <v>2</v>
      </c>
      <c r="P934">
        <v>3</v>
      </c>
      <c r="Q934" s="13">
        <v>0.65186553320764185</v>
      </c>
      <c r="R934" t="s">
        <v>249</v>
      </c>
      <c r="S934">
        <v>0.73504881209755579</v>
      </c>
      <c r="T934" t="s">
        <v>60</v>
      </c>
      <c r="U934" t="s">
        <v>60</v>
      </c>
      <c r="X934" t="s">
        <v>60</v>
      </c>
      <c r="Y934" t="s">
        <v>412</v>
      </c>
      <c r="Z934" t="s">
        <v>60</v>
      </c>
      <c r="AA934" t="s">
        <v>491</v>
      </c>
    </row>
    <row r="935" spans="1:27" x14ac:dyDescent="0.2">
      <c r="A935" s="1">
        <v>46081</v>
      </c>
      <c r="B935" t="s">
        <v>369</v>
      </c>
      <c r="C935" t="s">
        <v>17</v>
      </c>
      <c r="D935" t="s">
        <v>33</v>
      </c>
      <c r="E935" t="s">
        <v>1322</v>
      </c>
      <c r="F935" t="s">
        <v>33</v>
      </c>
      <c r="G935">
        <v>2</v>
      </c>
      <c r="H935">
        <v>3</v>
      </c>
      <c r="I935" s="13">
        <v>0.6</v>
      </c>
      <c r="J935" t="s">
        <v>249</v>
      </c>
      <c r="L935" t="s">
        <v>60</v>
      </c>
      <c r="M935" t="s">
        <v>60</v>
      </c>
      <c r="N935" t="s">
        <v>33</v>
      </c>
      <c r="O935">
        <v>2</v>
      </c>
      <c r="P935">
        <v>3</v>
      </c>
      <c r="Q935" s="13">
        <v>0.59873333590647571</v>
      </c>
      <c r="R935" t="s">
        <v>249</v>
      </c>
      <c r="S935">
        <v>0.41631642077844078</v>
      </c>
      <c r="T935" t="s">
        <v>60</v>
      </c>
      <c r="U935" t="s">
        <v>60</v>
      </c>
      <c r="X935" t="s">
        <v>60</v>
      </c>
      <c r="Y935" t="s">
        <v>412</v>
      </c>
      <c r="Z935" t="s">
        <v>60</v>
      </c>
      <c r="AA935" t="s">
        <v>491</v>
      </c>
    </row>
    <row r="936" spans="1:27" x14ac:dyDescent="0.2">
      <c r="A936" s="1">
        <v>46081</v>
      </c>
      <c r="B936" t="s">
        <v>365</v>
      </c>
      <c r="C936" t="s">
        <v>24</v>
      </c>
      <c r="D936" t="s">
        <v>35</v>
      </c>
      <c r="E936" t="s">
        <v>1323</v>
      </c>
      <c r="F936" t="s">
        <v>24</v>
      </c>
      <c r="G936">
        <v>2</v>
      </c>
      <c r="H936">
        <v>3</v>
      </c>
      <c r="I936" s="13">
        <v>0.6</v>
      </c>
      <c r="J936" t="s">
        <v>249</v>
      </c>
      <c r="L936" t="s">
        <v>60</v>
      </c>
      <c r="M936" t="s">
        <v>60</v>
      </c>
      <c r="N936" t="s">
        <v>24</v>
      </c>
      <c r="O936">
        <v>2</v>
      </c>
      <c r="P936">
        <v>3</v>
      </c>
      <c r="Q936" s="13">
        <v>0.63794719216839679</v>
      </c>
      <c r="R936" t="s">
        <v>249</v>
      </c>
      <c r="S936">
        <v>-1.3461078737891641</v>
      </c>
      <c r="T936" t="s">
        <v>60</v>
      </c>
      <c r="U936" t="s">
        <v>60</v>
      </c>
      <c r="X936" t="s">
        <v>60</v>
      </c>
      <c r="Y936" t="s">
        <v>412</v>
      </c>
      <c r="Z936" t="s">
        <v>60</v>
      </c>
      <c r="AA936" t="s">
        <v>491</v>
      </c>
    </row>
    <row r="937" spans="1:27" x14ac:dyDescent="0.2">
      <c r="A937" s="1">
        <v>46081</v>
      </c>
      <c r="B937" t="s">
        <v>328</v>
      </c>
      <c r="C937" t="s">
        <v>16</v>
      </c>
      <c r="D937" t="s">
        <v>13</v>
      </c>
      <c r="E937" t="s">
        <v>996</v>
      </c>
      <c r="F937" t="s">
        <v>13</v>
      </c>
      <c r="G937">
        <v>2</v>
      </c>
      <c r="H937">
        <v>3</v>
      </c>
      <c r="I937" s="13">
        <v>0.6</v>
      </c>
      <c r="J937" t="s">
        <v>249</v>
      </c>
      <c r="L937" t="s">
        <v>60</v>
      </c>
      <c r="M937" t="s">
        <v>60</v>
      </c>
      <c r="N937" t="s">
        <v>13</v>
      </c>
      <c r="O937">
        <v>2</v>
      </c>
      <c r="P937">
        <v>3</v>
      </c>
      <c r="Q937" s="13">
        <v>0.63077274020161012</v>
      </c>
      <c r="R937" t="s">
        <v>249</v>
      </c>
      <c r="S937">
        <v>0.77739842929056957</v>
      </c>
      <c r="T937" t="s">
        <v>60</v>
      </c>
      <c r="U937" t="s">
        <v>60</v>
      </c>
      <c r="X937" t="s">
        <v>60</v>
      </c>
      <c r="Y937" t="s">
        <v>412</v>
      </c>
      <c r="Z937" t="s">
        <v>60</v>
      </c>
      <c r="AA937" t="s">
        <v>491</v>
      </c>
    </row>
    <row r="938" spans="1:27" x14ac:dyDescent="0.2">
      <c r="A938" s="1">
        <v>46081</v>
      </c>
      <c r="B938" t="s">
        <v>328</v>
      </c>
      <c r="C938" t="s">
        <v>36</v>
      </c>
      <c r="D938" t="s">
        <v>19</v>
      </c>
      <c r="E938" t="s">
        <v>1068</v>
      </c>
      <c r="F938" t="s">
        <v>36</v>
      </c>
      <c r="G938">
        <v>2</v>
      </c>
      <c r="H938">
        <v>3</v>
      </c>
      <c r="I938" s="13">
        <v>0.6</v>
      </c>
      <c r="J938" t="s">
        <v>249</v>
      </c>
      <c r="L938" t="s">
        <v>60</v>
      </c>
      <c r="M938" t="s">
        <v>60</v>
      </c>
      <c r="N938" t="s">
        <v>36</v>
      </c>
      <c r="O938">
        <v>2</v>
      </c>
      <c r="P938">
        <v>3</v>
      </c>
      <c r="Q938" s="13">
        <v>0.46621209436364419</v>
      </c>
      <c r="R938" t="s">
        <v>249</v>
      </c>
      <c r="S938">
        <v>-5.3201791530979398E-2</v>
      </c>
      <c r="T938" t="s">
        <v>60</v>
      </c>
      <c r="U938" t="s">
        <v>60</v>
      </c>
      <c r="X938" t="s">
        <v>60</v>
      </c>
      <c r="Y938" t="s">
        <v>412</v>
      </c>
      <c r="Z938" t="s">
        <v>60</v>
      </c>
      <c r="AA938" t="s">
        <v>491</v>
      </c>
    </row>
    <row r="939" spans="1:27" x14ac:dyDescent="0.2">
      <c r="A939" s="1">
        <v>46081</v>
      </c>
      <c r="B939" t="s">
        <v>322</v>
      </c>
      <c r="C939" t="s">
        <v>38</v>
      </c>
      <c r="D939" t="s">
        <v>32</v>
      </c>
      <c r="E939" t="s">
        <v>1083</v>
      </c>
      <c r="F939" t="s">
        <v>32</v>
      </c>
      <c r="G939">
        <v>2</v>
      </c>
      <c r="H939">
        <v>3</v>
      </c>
      <c r="I939" s="13">
        <v>0.6</v>
      </c>
      <c r="J939" t="s">
        <v>249</v>
      </c>
      <c r="L939" t="s">
        <v>60</v>
      </c>
      <c r="M939" t="s">
        <v>60</v>
      </c>
      <c r="N939" t="s">
        <v>32</v>
      </c>
      <c r="O939">
        <v>2</v>
      </c>
      <c r="P939">
        <v>3</v>
      </c>
      <c r="Q939" s="13">
        <v>0.57708147827079681</v>
      </c>
      <c r="R939" t="s">
        <v>249</v>
      </c>
      <c r="S939">
        <v>0.34820126875587648</v>
      </c>
      <c r="T939" t="s">
        <v>60</v>
      </c>
      <c r="U939" t="s">
        <v>60</v>
      </c>
      <c r="X939" t="s">
        <v>60</v>
      </c>
      <c r="Y939" t="s">
        <v>412</v>
      </c>
      <c r="Z939" t="s">
        <v>60</v>
      </c>
      <c r="AA939" t="s">
        <v>491</v>
      </c>
    </row>
    <row r="940" spans="1:27" x14ac:dyDescent="0.2">
      <c r="A940" s="1">
        <v>46081</v>
      </c>
      <c r="B940" t="s">
        <v>328</v>
      </c>
      <c r="C940" t="s">
        <v>23</v>
      </c>
      <c r="D940" t="s">
        <v>37</v>
      </c>
      <c r="E940" t="s">
        <v>1302</v>
      </c>
      <c r="F940" t="s">
        <v>37</v>
      </c>
      <c r="G940">
        <v>2</v>
      </c>
      <c r="H940">
        <v>3</v>
      </c>
      <c r="I940" s="13">
        <v>0.6</v>
      </c>
      <c r="J940" t="s">
        <v>249</v>
      </c>
      <c r="L940" t="s">
        <v>60</v>
      </c>
      <c r="M940" t="s">
        <v>60</v>
      </c>
      <c r="N940" t="s">
        <v>37</v>
      </c>
      <c r="O940">
        <v>2</v>
      </c>
      <c r="P940">
        <v>3</v>
      </c>
      <c r="Q940" s="13">
        <v>0.69327462203673185</v>
      </c>
      <c r="R940" t="s">
        <v>249</v>
      </c>
      <c r="S940">
        <v>1.0365161314103559</v>
      </c>
      <c r="T940" t="s">
        <v>60</v>
      </c>
      <c r="U940" t="s">
        <v>60</v>
      </c>
      <c r="X940" t="s">
        <v>60</v>
      </c>
      <c r="Y940" t="s">
        <v>412</v>
      </c>
      <c r="Z940" t="s">
        <v>60</v>
      </c>
      <c r="AA940" t="s">
        <v>491</v>
      </c>
    </row>
    <row r="941" spans="1:27" x14ac:dyDescent="0.2">
      <c r="A941" s="1">
        <v>46081</v>
      </c>
      <c r="B941" t="s">
        <v>453</v>
      </c>
      <c r="C941" t="s">
        <v>21</v>
      </c>
      <c r="D941" t="s">
        <v>27</v>
      </c>
      <c r="E941" t="s">
        <v>1324</v>
      </c>
      <c r="F941" t="s">
        <v>21</v>
      </c>
      <c r="G941">
        <v>2</v>
      </c>
      <c r="H941">
        <v>3</v>
      </c>
      <c r="I941" s="13">
        <v>0.6</v>
      </c>
      <c r="J941" t="s">
        <v>249</v>
      </c>
      <c r="L941" t="s">
        <v>60</v>
      </c>
      <c r="M941" t="s">
        <v>60</v>
      </c>
      <c r="N941" t="s">
        <v>21</v>
      </c>
      <c r="O941">
        <v>2</v>
      </c>
      <c r="P941">
        <v>3</v>
      </c>
      <c r="Q941" s="13">
        <v>0.45971908192667371</v>
      </c>
      <c r="R941" t="s">
        <v>249</v>
      </c>
      <c r="S941">
        <v>-0.1105690741354219</v>
      </c>
      <c r="T941" t="s">
        <v>60</v>
      </c>
      <c r="U941" t="s">
        <v>60</v>
      </c>
      <c r="X941" t="s">
        <v>60</v>
      </c>
      <c r="Y941" t="s">
        <v>412</v>
      </c>
      <c r="Z941" t="s">
        <v>60</v>
      </c>
      <c r="AA941" t="s">
        <v>491</v>
      </c>
    </row>
    <row r="942" spans="1:27" x14ac:dyDescent="0.2">
      <c r="A942" s="1">
        <v>46081</v>
      </c>
      <c r="B942" t="s">
        <v>469</v>
      </c>
      <c r="C942" t="s">
        <v>10</v>
      </c>
      <c r="D942" t="s">
        <v>12</v>
      </c>
      <c r="E942" t="s">
        <v>1325</v>
      </c>
      <c r="F942" t="s">
        <v>12</v>
      </c>
      <c r="G942">
        <v>2</v>
      </c>
      <c r="H942">
        <v>3</v>
      </c>
      <c r="I942" s="13">
        <v>0.6</v>
      </c>
      <c r="J942" t="s">
        <v>249</v>
      </c>
      <c r="L942" t="s">
        <v>60</v>
      </c>
      <c r="M942" t="s">
        <v>60</v>
      </c>
      <c r="N942" t="s">
        <v>12</v>
      </c>
      <c r="O942">
        <v>2</v>
      </c>
      <c r="P942">
        <v>3</v>
      </c>
      <c r="Q942" s="13">
        <v>0.8612788963907495</v>
      </c>
      <c r="R942" t="s">
        <v>249</v>
      </c>
      <c r="S942">
        <v>1.8580006625344521</v>
      </c>
      <c r="T942" t="s">
        <v>60</v>
      </c>
      <c r="U942" t="s">
        <v>60</v>
      </c>
      <c r="X942" t="s">
        <v>60</v>
      </c>
      <c r="Y942" t="s">
        <v>412</v>
      </c>
      <c r="Z942" t="s">
        <v>60</v>
      </c>
      <c r="AA942" t="s">
        <v>491</v>
      </c>
    </row>
    <row r="943" spans="1:27" x14ac:dyDescent="0.2">
      <c r="A943" s="1">
        <v>46081</v>
      </c>
      <c r="B943" t="s">
        <v>328</v>
      </c>
      <c r="C943" t="s">
        <v>22</v>
      </c>
      <c r="D943" t="s">
        <v>18</v>
      </c>
      <c r="E943" t="s">
        <v>331</v>
      </c>
      <c r="F943" t="s">
        <v>22</v>
      </c>
      <c r="G943">
        <v>2</v>
      </c>
      <c r="H943">
        <v>3</v>
      </c>
      <c r="I943" s="13">
        <v>0.6</v>
      </c>
      <c r="J943" t="s">
        <v>249</v>
      </c>
      <c r="L943" t="s">
        <v>60</v>
      </c>
      <c r="M943" t="s">
        <v>60</v>
      </c>
      <c r="N943" t="s">
        <v>22</v>
      </c>
      <c r="O943">
        <v>2</v>
      </c>
      <c r="P943">
        <v>3</v>
      </c>
      <c r="Q943" s="13">
        <v>0.61737360223236648</v>
      </c>
      <c r="R943" t="s">
        <v>249</v>
      </c>
      <c r="S943">
        <v>-0.98369611220441955</v>
      </c>
      <c r="T943" t="s">
        <v>60</v>
      </c>
      <c r="U943" t="s">
        <v>60</v>
      </c>
      <c r="X943" t="s">
        <v>60</v>
      </c>
      <c r="Y943" t="s">
        <v>412</v>
      </c>
      <c r="Z943" t="s">
        <v>60</v>
      </c>
      <c r="AA943" t="s">
        <v>491</v>
      </c>
    </row>
    <row r="944" spans="1:27" x14ac:dyDescent="0.2">
      <c r="A944" s="1">
        <v>46081</v>
      </c>
      <c r="B944" t="s">
        <v>324</v>
      </c>
      <c r="C944" t="s">
        <v>29</v>
      </c>
      <c r="D944" t="s">
        <v>39</v>
      </c>
      <c r="E944" t="s">
        <v>1326</v>
      </c>
      <c r="F944" t="s">
        <v>39</v>
      </c>
      <c r="G944">
        <v>2</v>
      </c>
      <c r="H944">
        <v>3</v>
      </c>
      <c r="I944" s="13">
        <v>0.6</v>
      </c>
      <c r="J944" t="s">
        <v>249</v>
      </c>
      <c r="L944" t="s">
        <v>60</v>
      </c>
      <c r="M944" t="s">
        <v>60</v>
      </c>
      <c r="N944" t="s">
        <v>39</v>
      </c>
      <c r="O944">
        <v>2</v>
      </c>
      <c r="P944">
        <v>3</v>
      </c>
      <c r="Q944" s="13">
        <v>0.78805776160009378</v>
      </c>
      <c r="R944" t="s">
        <v>249</v>
      </c>
      <c r="S944">
        <v>1.8482605345883429</v>
      </c>
      <c r="T944" t="s">
        <v>60</v>
      </c>
      <c r="U944" t="s">
        <v>60</v>
      </c>
      <c r="X944" t="s">
        <v>60</v>
      </c>
      <c r="Y944" t="s">
        <v>412</v>
      </c>
      <c r="Z944" t="s">
        <v>60</v>
      </c>
      <c r="AA944" t="s">
        <v>491</v>
      </c>
    </row>
    <row r="945" spans="1:27" x14ac:dyDescent="0.2">
      <c r="A945" s="1">
        <v>46081</v>
      </c>
      <c r="B945" t="s">
        <v>555</v>
      </c>
      <c r="C945" t="s">
        <v>14</v>
      </c>
      <c r="D945" t="s">
        <v>15</v>
      </c>
      <c r="E945" t="s">
        <v>493</v>
      </c>
      <c r="F945" t="s">
        <v>14</v>
      </c>
      <c r="G945">
        <v>2</v>
      </c>
      <c r="H945">
        <v>3</v>
      </c>
      <c r="I945" s="13">
        <v>0.6</v>
      </c>
      <c r="J945" t="s">
        <v>249</v>
      </c>
      <c r="L945" t="s">
        <v>60</v>
      </c>
      <c r="M945" t="s">
        <v>60</v>
      </c>
      <c r="N945" t="s">
        <v>14</v>
      </c>
      <c r="O945">
        <v>2</v>
      </c>
      <c r="P945">
        <v>3</v>
      </c>
      <c r="Q945" s="13">
        <v>0.51071438506573652</v>
      </c>
      <c r="R945" t="s">
        <v>249</v>
      </c>
      <c r="S945">
        <v>-9.7869013995290105E-2</v>
      </c>
      <c r="T945" t="s">
        <v>60</v>
      </c>
      <c r="U945" t="s">
        <v>60</v>
      </c>
      <c r="X945" t="s">
        <v>60</v>
      </c>
      <c r="Y945" t="s">
        <v>412</v>
      </c>
      <c r="Z945" t="s">
        <v>60</v>
      </c>
      <c r="AA945" t="s">
        <v>491</v>
      </c>
    </row>
    <row r="946" spans="1:27" x14ac:dyDescent="0.2">
      <c r="A946" s="1">
        <v>46081</v>
      </c>
      <c r="B946" t="s">
        <v>469</v>
      </c>
      <c r="C946" t="s">
        <v>30</v>
      </c>
      <c r="D946" t="s">
        <v>28</v>
      </c>
      <c r="E946" t="s">
        <v>1079</v>
      </c>
      <c r="F946" t="s">
        <v>30</v>
      </c>
      <c r="G946">
        <v>2</v>
      </c>
      <c r="H946">
        <v>3</v>
      </c>
      <c r="I946" s="13">
        <v>0.6</v>
      </c>
      <c r="J946" t="s">
        <v>249</v>
      </c>
      <c r="L946" t="s">
        <v>60</v>
      </c>
      <c r="M946" t="s">
        <v>60</v>
      </c>
      <c r="N946" t="s">
        <v>30</v>
      </c>
      <c r="O946">
        <v>2</v>
      </c>
      <c r="P946">
        <v>3</v>
      </c>
      <c r="Q946" s="13">
        <v>0.56813794795961248</v>
      </c>
      <c r="R946" t="s">
        <v>249</v>
      </c>
      <c r="S946">
        <v>-0.30415665798604519</v>
      </c>
      <c r="T946" t="s">
        <v>60</v>
      </c>
      <c r="U946" t="s">
        <v>60</v>
      </c>
      <c r="X946" t="s">
        <v>60</v>
      </c>
      <c r="Y946" t="s">
        <v>412</v>
      </c>
      <c r="Z946" t="s">
        <v>60</v>
      </c>
      <c r="AA946" t="s">
        <v>491</v>
      </c>
    </row>
    <row r="947" spans="1:27" x14ac:dyDescent="0.2">
      <c r="A947" s="1">
        <v>46081</v>
      </c>
      <c r="B947" t="s">
        <v>328</v>
      </c>
      <c r="C947" t="s">
        <v>26</v>
      </c>
      <c r="D947" t="s">
        <v>25</v>
      </c>
      <c r="E947" t="s">
        <v>1073</v>
      </c>
      <c r="F947" t="s">
        <v>25</v>
      </c>
      <c r="G947">
        <v>2</v>
      </c>
      <c r="H947">
        <v>3</v>
      </c>
      <c r="I947" s="13">
        <v>0.6</v>
      </c>
      <c r="J947" t="s">
        <v>249</v>
      </c>
      <c r="L947" t="s">
        <v>60</v>
      </c>
      <c r="M947" t="s">
        <v>60</v>
      </c>
      <c r="N947" t="s">
        <v>25</v>
      </c>
      <c r="O947">
        <v>2</v>
      </c>
      <c r="P947">
        <v>3</v>
      </c>
      <c r="Q947" s="13">
        <v>0.74945529335783156</v>
      </c>
      <c r="R947" t="s">
        <v>249</v>
      </c>
      <c r="S947">
        <v>1.3509154512840249</v>
      </c>
      <c r="T947" t="s">
        <v>60</v>
      </c>
      <c r="U947" t="s">
        <v>60</v>
      </c>
      <c r="X947" t="s">
        <v>60</v>
      </c>
      <c r="Y947" t="s">
        <v>412</v>
      </c>
      <c r="Z947" t="s">
        <v>60</v>
      </c>
      <c r="AA947" t="s">
        <v>491</v>
      </c>
    </row>
    <row r="948" spans="1:27" x14ac:dyDescent="0.2">
      <c r="A948" s="1">
        <v>46082</v>
      </c>
      <c r="B948" t="s">
        <v>324</v>
      </c>
      <c r="C948" t="s">
        <v>16</v>
      </c>
      <c r="D948" t="s">
        <v>31</v>
      </c>
      <c r="E948" t="s">
        <v>1327</v>
      </c>
      <c r="F948" t="s">
        <v>31</v>
      </c>
      <c r="G948">
        <v>2</v>
      </c>
      <c r="H948">
        <v>3</v>
      </c>
      <c r="I948" s="13">
        <v>0.6</v>
      </c>
      <c r="J948" t="s">
        <v>249</v>
      </c>
      <c r="L948" t="s">
        <v>60</v>
      </c>
      <c r="M948" t="s">
        <v>60</v>
      </c>
      <c r="N948" t="s">
        <v>31</v>
      </c>
      <c r="O948">
        <v>2</v>
      </c>
      <c r="P948">
        <v>3</v>
      </c>
      <c r="Q948" s="13">
        <v>0.7709732690686566</v>
      </c>
      <c r="R948" t="s">
        <v>249</v>
      </c>
      <c r="S948">
        <v>1.294385049807049</v>
      </c>
      <c r="T948" t="s">
        <v>60</v>
      </c>
      <c r="U948" t="s">
        <v>60</v>
      </c>
      <c r="X948" t="s">
        <v>60</v>
      </c>
      <c r="Y948" t="s">
        <v>412</v>
      </c>
      <c r="Z948" t="s">
        <v>60</v>
      </c>
      <c r="AA948" t="s">
        <v>491</v>
      </c>
    </row>
    <row r="949" spans="1:27" x14ac:dyDescent="0.2">
      <c r="A949" s="1">
        <v>46082</v>
      </c>
      <c r="B949" t="s">
        <v>365</v>
      </c>
      <c r="C949" t="s">
        <v>35</v>
      </c>
      <c r="D949" t="s">
        <v>34</v>
      </c>
      <c r="E949" t="s">
        <v>1328</v>
      </c>
      <c r="F949" t="s">
        <v>34</v>
      </c>
      <c r="G949">
        <v>2</v>
      </c>
      <c r="H949">
        <v>3</v>
      </c>
      <c r="I949" s="13">
        <v>0.6</v>
      </c>
      <c r="J949" t="s">
        <v>249</v>
      </c>
      <c r="L949" t="s">
        <v>60</v>
      </c>
      <c r="M949" t="s">
        <v>60</v>
      </c>
      <c r="N949" t="s">
        <v>34</v>
      </c>
      <c r="O949">
        <v>2</v>
      </c>
      <c r="P949">
        <v>3</v>
      </c>
      <c r="Q949" s="13">
        <v>0.70221594735752579</v>
      </c>
      <c r="R949" t="s">
        <v>249</v>
      </c>
      <c r="S949">
        <v>1.389254333421406</v>
      </c>
      <c r="T949" t="s">
        <v>60</v>
      </c>
      <c r="U949" t="s">
        <v>60</v>
      </c>
      <c r="X949" t="s">
        <v>60</v>
      </c>
      <c r="Y949" t="s">
        <v>412</v>
      </c>
      <c r="Z949" t="s">
        <v>60</v>
      </c>
      <c r="AA949" t="s">
        <v>491</v>
      </c>
    </row>
    <row r="950" spans="1:27" x14ac:dyDescent="0.2">
      <c r="A950" s="1">
        <v>46082</v>
      </c>
      <c r="B950" t="s">
        <v>725</v>
      </c>
      <c r="C950" t="s">
        <v>11</v>
      </c>
      <c r="D950" t="s">
        <v>30</v>
      </c>
      <c r="E950" t="s">
        <v>1329</v>
      </c>
      <c r="F950" t="s">
        <v>30</v>
      </c>
      <c r="G950">
        <v>2</v>
      </c>
      <c r="H950">
        <v>3</v>
      </c>
      <c r="I950" s="13">
        <v>0.6</v>
      </c>
      <c r="J950" t="s">
        <v>249</v>
      </c>
      <c r="L950" t="s">
        <v>60</v>
      </c>
      <c r="M950" t="s">
        <v>60</v>
      </c>
      <c r="N950" t="s">
        <v>30</v>
      </c>
      <c r="O950">
        <v>2</v>
      </c>
      <c r="P950">
        <v>3</v>
      </c>
      <c r="Q950" s="13">
        <v>0.56406370384490223</v>
      </c>
      <c r="R950" t="s">
        <v>249</v>
      </c>
      <c r="S950">
        <v>0.20608704254593641</v>
      </c>
      <c r="T950" t="s">
        <v>60</v>
      </c>
      <c r="U950" t="s">
        <v>60</v>
      </c>
      <c r="X950" t="s">
        <v>60</v>
      </c>
      <c r="Y950" t="s">
        <v>412</v>
      </c>
      <c r="Z950" t="s">
        <v>60</v>
      </c>
      <c r="AA950" t="s">
        <v>491</v>
      </c>
    </row>
    <row r="951" spans="1:27" x14ac:dyDescent="0.2">
      <c r="A951" s="1">
        <v>46082</v>
      </c>
      <c r="B951" t="s">
        <v>347</v>
      </c>
      <c r="C951" t="s">
        <v>20</v>
      </c>
      <c r="D951" t="s">
        <v>14</v>
      </c>
      <c r="E951" t="s">
        <v>1330</v>
      </c>
      <c r="F951" t="s">
        <v>14</v>
      </c>
      <c r="G951">
        <v>2</v>
      </c>
      <c r="H951">
        <v>3</v>
      </c>
      <c r="I951" s="13">
        <v>0.6</v>
      </c>
      <c r="J951" t="s">
        <v>249</v>
      </c>
      <c r="L951" t="s">
        <v>60</v>
      </c>
      <c r="M951" t="s">
        <v>60</v>
      </c>
      <c r="N951" t="s">
        <v>14</v>
      </c>
      <c r="O951">
        <v>2</v>
      </c>
      <c r="P951">
        <v>3</v>
      </c>
      <c r="Q951" s="13">
        <v>0.5577572760105497</v>
      </c>
      <c r="R951" t="s">
        <v>249</v>
      </c>
      <c r="S951">
        <v>0.15207735767830879</v>
      </c>
      <c r="T951" t="s">
        <v>60</v>
      </c>
      <c r="U951" t="s">
        <v>60</v>
      </c>
      <c r="X951" t="s">
        <v>60</v>
      </c>
      <c r="Y951" t="s">
        <v>412</v>
      </c>
      <c r="Z951" t="s">
        <v>60</v>
      </c>
      <c r="AA951" t="s">
        <v>491</v>
      </c>
    </row>
    <row r="952" spans="1:27" x14ac:dyDescent="0.2">
      <c r="A952" s="1">
        <v>46082</v>
      </c>
      <c r="B952" t="s">
        <v>369</v>
      </c>
      <c r="C952" t="s">
        <v>40</v>
      </c>
      <c r="D952" t="s">
        <v>33</v>
      </c>
      <c r="E952" t="s">
        <v>813</v>
      </c>
      <c r="F952" t="s">
        <v>40</v>
      </c>
      <c r="G952">
        <v>2</v>
      </c>
      <c r="H952">
        <v>3</v>
      </c>
      <c r="I952" s="13">
        <v>0.6</v>
      </c>
      <c r="J952" t="s">
        <v>249</v>
      </c>
      <c r="L952" t="s">
        <v>60</v>
      </c>
      <c r="M952" t="s">
        <v>60</v>
      </c>
      <c r="N952" t="s">
        <v>40</v>
      </c>
      <c r="O952">
        <v>2</v>
      </c>
      <c r="P952">
        <v>3</v>
      </c>
      <c r="Q952" s="13">
        <v>0.48088553485950469</v>
      </c>
      <c r="R952" t="s">
        <v>249</v>
      </c>
      <c r="S952">
        <v>-8.8188419676289306E-2</v>
      </c>
      <c r="T952" t="s">
        <v>60</v>
      </c>
      <c r="U952" t="s">
        <v>60</v>
      </c>
      <c r="X952" t="s">
        <v>60</v>
      </c>
      <c r="Y952" t="s">
        <v>412</v>
      </c>
      <c r="Z952" t="s">
        <v>60</v>
      </c>
      <c r="AA952" t="s">
        <v>491</v>
      </c>
    </row>
    <row r="953" spans="1:27" x14ac:dyDescent="0.2">
      <c r="A953" s="1">
        <v>46082</v>
      </c>
      <c r="B953" t="s">
        <v>369</v>
      </c>
      <c r="C953" t="s">
        <v>10</v>
      </c>
      <c r="D953" t="s">
        <v>55</v>
      </c>
      <c r="E953" t="s">
        <v>1331</v>
      </c>
      <c r="F953" t="s">
        <v>10</v>
      </c>
      <c r="G953">
        <v>2</v>
      </c>
      <c r="H953">
        <v>3</v>
      </c>
      <c r="I953" s="13">
        <v>0.6</v>
      </c>
      <c r="J953" t="s">
        <v>249</v>
      </c>
      <c r="L953" t="s">
        <v>60</v>
      </c>
      <c r="M953" t="s">
        <v>60</v>
      </c>
      <c r="N953" t="s">
        <v>10</v>
      </c>
      <c r="O953">
        <v>2</v>
      </c>
      <c r="P953">
        <v>3</v>
      </c>
      <c r="Q953" s="13">
        <v>0.44023925403906528</v>
      </c>
      <c r="R953" t="s">
        <v>249</v>
      </c>
      <c r="S953">
        <v>-0.17702628491370639</v>
      </c>
      <c r="T953" t="s">
        <v>60</v>
      </c>
      <c r="U953" t="s">
        <v>60</v>
      </c>
      <c r="X953" t="s">
        <v>60</v>
      </c>
      <c r="Y953" t="s">
        <v>412</v>
      </c>
      <c r="Z953" t="s">
        <v>60</v>
      </c>
      <c r="AA953" t="s">
        <v>491</v>
      </c>
    </row>
    <row r="954" spans="1:27" x14ac:dyDescent="0.2">
      <c r="A954" s="1">
        <v>46083</v>
      </c>
      <c r="B954" t="s">
        <v>334</v>
      </c>
      <c r="C954" t="s">
        <v>27</v>
      </c>
      <c r="D954" t="s">
        <v>19</v>
      </c>
      <c r="E954" t="s">
        <v>1332</v>
      </c>
      <c r="F954" t="s">
        <v>27</v>
      </c>
      <c r="G954">
        <v>2</v>
      </c>
      <c r="H954">
        <v>3</v>
      </c>
      <c r="I954" s="13">
        <v>0.6</v>
      </c>
      <c r="J954" t="s">
        <v>249</v>
      </c>
      <c r="L954" t="s">
        <v>60</v>
      </c>
      <c r="M954" t="s">
        <v>60</v>
      </c>
      <c r="N954" t="s">
        <v>27</v>
      </c>
      <c r="O954">
        <v>2</v>
      </c>
      <c r="P954">
        <v>3</v>
      </c>
      <c r="Q954" s="13">
        <v>0.52637207035687916</v>
      </c>
      <c r="R954" t="s">
        <v>249</v>
      </c>
      <c r="S954">
        <v>-0.20433825888950211</v>
      </c>
      <c r="T954" t="s">
        <v>60</v>
      </c>
      <c r="U954" t="s">
        <v>60</v>
      </c>
      <c r="X954" t="s">
        <v>60</v>
      </c>
      <c r="Y954" t="s">
        <v>412</v>
      </c>
      <c r="Z954" t="s">
        <v>60</v>
      </c>
      <c r="AA954" t="s">
        <v>491</v>
      </c>
    </row>
    <row r="955" spans="1:27" x14ac:dyDescent="0.2">
      <c r="A955" s="1">
        <v>46083</v>
      </c>
      <c r="B955" t="s">
        <v>322</v>
      </c>
      <c r="C955" t="s">
        <v>25</v>
      </c>
      <c r="D955" t="s">
        <v>32</v>
      </c>
      <c r="E955" t="s">
        <v>1333</v>
      </c>
      <c r="F955" t="s">
        <v>25</v>
      </c>
      <c r="G955">
        <v>2</v>
      </c>
      <c r="H955">
        <v>3</v>
      </c>
      <c r="I955" s="13">
        <v>0.6</v>
      </c>
      <c r="J955" t="s">
        <v>249</v>
      </c>
      <c r="L955" t="s">
        <v>60</v>
      </c>
      <c r="M955" t="s">
        <v>60</v>
      </c>
      <c r="N955" t="s">
        <v>25</v>
      </c>
      <c r="O955">
        <v>2</v>
      </c>
      <c r="P955">
        <v>3</v>
      </c>
      <c r="Q955" s="13">
        <v>0.65232475133101453</v>
      </c>
      <c r="R955" t="s">
        <v>249</v>
      </c>
      <c r="S955">
        <v>-1.0251516236834799</v>
      </c>
      <c r="T955" t="s">
        <v>60</v>
      </c>
      <c r="U955" t="s">
        <v>60</v>
      </c>
      <c r="X955" t="s">
        <v>60</v>
      </c>
      <c r="Y955" t="s">
        <v>412</v>
      </c>
      <c r="Z955" t="s">
        <v>60</v>
      </c>
      <c r="AA955" t="s">
        <v>491</v>
      </c>
    </row>
    <row r="956" spans="1:27" x14ac:dyDescent="0.2">
      <c r="A956" s="1">
        <v>46083</v>
      </c>
      <c r="B956" t="s">
        <v>322</v>
      </c>
      <c r="C956" t="s">
        <v>39</v>
      </c>
      <c r="D956" t="s">
        <v>38</v>
      </c>
      <c r="E956" t="s">
        <v>338</v>
      </c>
      <c r="F956" t="s">
        <v>39</v>
      </c>
      <c r="G956">
        <v>2</v>
      </c>
      <c r="H956">
        <v>3</v>
      </c>
      <c r="I956" s="13">
        <v>0.6</v>
      </c>
      <c r="J956" t="s">
        <v>249</v>
      </c>
      <c r="L956" t="s">
        <v>60</v>
      </c>
      <c r="M956" t="s">
        <v>60</v>
      </c>
      <c r="N956" t="s">
        <v>39</v>
      </c>
      <c r="O956">
        <v>2</v>
      </c>
      <c r="P956">
        <v>3</v>
      </c>
      <c r="Q956" s="13">
        <v>0.71490198259173388</v>
      </c>
      <c r="R956" t="s">
        <v>249</v>
      </c>
      <c r="S956">
        <v>-1.311219508042762</v>
      </c>
      <c r="T956" t="s">
        <v>60</v>
      </c>
      <c r="U956" t="s">
        <v>60</v>
      </c>
      <c r="X956" t="s">
        <v>60</v>
      </c>
      <c r="Y956" t="s">
        <v>412</v>
      </c>
      <c r="Z956" t="s">
        <v>60</v>
      </c>
      <c r="AA956" t="s">
        <v>491</v>
      </c>
    </row>
    <row r="957" spans="1:27" x14ac:dyDescent="0.2">
      <c r="A957" s="1">
        <v>46083</v>
      </c>
      <c r="B957" t="s">
        <v>324</v>
      </c>
      <c r="C957" t="s">
        <v>26</v>
      </c>
      <c r="D957" t="s">
        <v>29</v>
      </c>
      <c r="E957" t="s">
        <v>1334</v>
      </c>
      <c r="F957" t="s">
        <v>26</v>
      </c>
      <c r="G957">
        <v>2</v>
      </c>
      <c r="H957">
        <v>3</v>
      </c>
      <c r="I957" s="13">
        <v>0.6</v>
      </c>
      <c r="J957" t="s">
        <v>249</v>
      </c>
      <c r="L957" t="s">
        <v>60</v>
      </c>
      <c r="M957" t="s">
        <v>60</v>
      </c>
      <c r="N957" t="s">
        <v>26</v>
      </c>
      <c r="O957">
        <v>2</v>
      </c>
      <c r="P957">
        <v>3</v>
      </c>
      <c r="Q957" s="13">
        <v>0.51367407057839309</v>
      </c>
      <c r="R957" t="s">
        <v>249</v>
      </c>
      <c r="S957">
        <v>-0.45967696985458911</v>
      </c>
      <c r="T957" t="s">
        <v>60</v>
      </c>
      <c r="U957" t="s">
        <v>60</v>
      </c>
      <c r="X957" t="s">
        <v>60</v>
      </c>
      <c r="Y957" t="s">
        <v>412</v>
      </c>
      <c r="Z957" t="s">
        <v>60</v>
      </c>
      <c r="AA957" t="s">
        <v>491</v>
      </c>
    </row>
    <row r="958" spans="1:27" x14ac:dyDescent="0.2">
      <c r="A958" s="1">
        <v>46083</v>
      </c>
      <c r="B958" t="s">
        <v>340</v>
      </c>
      <c r="C958" t="s">
        <v>12</v>
      </c>
      <c r="D958" t="s">
        <v>13</v>
      </c>
      <c r="E958" t="s">
        <v>492</v>
      </c>
      <c r="F958" t="s">
        <v>12</v>
      </c>
      <c r="G958">
        <v>2</v>
      </c>
      <c r="H958">
        <v>3</v>
      </c>
      <c r="I958" s="13">
        <v>0.6</v>
      </c>
      <c r="J958" t="s">
        <v>249</v>
      </c>
      <c r="L958" t="s">
        <v>60</v>
      </c>
      <c r="M958" t="s">
        <v>60</v>
      </c>
      <c r="N958" t="s">
        <v>12</v>
      </c>
      <c r="O958">
        <v>2</v>
      </c>
      <c r="P958">
        <v>3</v>
      </c>
      <c r="Q958" s="13">
        <v>0.7568449603440992</v>
      </c>
      <c r="R958" t="s">
        <v>249</v>
      </c>
      <c r="S958">
        <v>-1.920286508181027</v>
      </c>
      <c r="T958" t="s">
        <v>60</v>
      </c>
      <c r="U958" t="s">
        <v>60</v>
      </c>
      <c r="X958" t="s">
        <v>60</v>
      </c>
      <c r="Y958" t="s">
        <v>412</v>
      </c>
      <c r="Z958" t="s">
        <v>60</v>
      </c>
      <c r="AA958" t="s">
        <v>491</v>
      </c>
    </row>
    <row r="959" spans="1:27" x14ac:dyDescent="0.2">
      <c r="A959" s="1">
        <v>46083</v>
      </c>
      <c r="B959" t="s">
        <v>328</v>
      </c>
      <c r="C959" t="s">
        <v>28</v>
      </c>
      <c r="D959" t="s">
        <v>15</v>
      </c>
      <c r="E959" t="s">
        <v>1335</v>
      </c>
      <c r="F959" t="s">
        <v>15</v>
      </c>
      <c r="G959">
        <v>2</v>
      </c>
      <c r="H959">
        <v>3</v>
      </c>
      <c r="I959" s="13">
        <v>0.6</v>
      </c>
      <c r="J959" t="s">
        <v>249</v>
      </c>
      <c r="L959" t="s">
        <v>60</v>
      </c>
      <c r="M959" t="s">
        <v>60</v>
      </c>
      <c r="N959" t="s">
        <v>15</v>
      </c>
      <c r="O959">
        <v>2</v>
      </c>
      <c r="P959">
        <v>3</v>
      </c>
      <c r="Q959" s="13">
        <v>0.57785853606906723</v>
      </c>
      <c r="R959" t="s">
        <v>249</v>
      </c>
      <c r="S959">
        <v>0.35485616878976012</v>
      </c>
      <c r="T959" t="s">
        <v>60</v>
      </c>
      <c r="U959" t="s">
        <v>60</v>
      </c>
      <c r="X959" t="s">
        <v>60</v>
      </c>
      <c r="Y959" t="s">
        <v>412</v>
      </c>
      <c r="Z959" t="s">
        <v>60</v>
      </c>
      <c r="AA959" t="s">
        <v>491</v>
      </c>
    </row>
    <row r="960" spans="1:27" x14ac:dyDescent="0.2">
      <c r="A960" s="1">
        <v>46084</v>
      </c>
      <c r="B960" t="s">
        <v>328</v>
      </c>
      <c r="C960" t="s">
        <v>55</v>
      </c>
      <c r="D960" t="s">
        <v>22</v>
      </c>
      <c r="E960" t="s">
        <v>1336</v>
      </c>
      <c r="F960" t="s">
        <v>22</v>
      </c>
      <c r="G960">
        <v>2</v>
      </c>
      <c r="H960">
        <v>3</v>
      </c>
      <c r="I960" s="13">
        <v>0.6</v>
      </c>
      <c r="J960" t="s">
        <v>249</v>
      </c>
      <c r="L960" t="s">
        <v>60</v>
      </c>
      <c r="M960" t="s">
        <v>60</v>
      </c>
      <c r="N960" t="s">
        <v>22</v>
      </c>
      <c r="O960">
        <v>2</v>
      </c>
      <c r="P960">
        <v>3</v>
      </c>
      <c r="Q960" s="13">
        <v>0.67039405224687132</v>
      </c>
      <c r="R960" t="s">
        <v>249</v>
      </c>
      <c r="S960">
        <v>0.89373127079810188</v>
      </c>
      <c r="T960" t="s">
        <v>60</v>
      </c>
      <c r="U960" t="s">
        <v>60</v>
      </c>
      <c r="X960" t="s">
        <v>60</v>
      </c>
      <c r="Y960" t="s">
        <v>412</v>
      </c>
      <c r="Z960" t="s">
        <v>60</v>
      </c>
      <c r="AA960" t="s">
        <v>491</v>
      </c>
    </row>
    <row r="961" spans="1:27" x14ac:dyDescent="0.2">
      <c r="A961" s="1">
        <v>46084</v>
      </c>
      <c r="B961" t="s">
        <v>324</v>
      </c>
      <c r="C961" t="s">
        <v>10</v>
      </c>
      <c r="D961" t="s">
        <v>40</v>
      </c>
      <c r="E961" t="s">
        <v>731</v>
      </c>
      <c r="F961" t="s">
        <v>10</v>
      </c>
      <c r="G961">
        <v>2</v>
      </c>
      <c r="H961">
        <v>3</v>
      </c>
      <c r="I961" s="13">
        <v>0.6</v>
      </c>
      <c r="J961" t="s">
        <v>249</v>
      </c>
      <c r="L961" t="s">
        <v>60</v>
      </c>
      <c r="M961" t="s">
        <v>60</v>
      </c>
      <c r="N961" t="s">
        <v>10</v>
      </c>
      <c r="O961">
        <v>2</v>
      </c>
      <c r="P961">
        <v>3</v>
      </c>
      <c r="Q961" s="13">
        <v>0.46767996465849671</v>
      </c>
      <c r="R961" t="s">
        <v>249</v>
      </c>
      <c r="S961">
        <v>-8.7144819675315399E-2</v>
      </c>
      <c r="T961" t="s">
        <v>60</v>
      </c>
      <c r="U961" t="s">
        <v>60</v>
      </c>
      <c r="X961" t="s">
        <v>60</v>
      </c>
      <c r="Y961" t="s">
        <v>412</v>
      </c>
      <c r="Z961" t="s">
        <v>60</v>
      </c>
      <c r="AA961" t="s">
        <v>491</v>
      </c>
    </row>
    <row r="962" spans="1:27" x14ac:dyDescent="0.2">
      <c r="A962" s="1">
        <v>46084</v>
      </c>
      <c r="B962" t="s">
        <v>322</v>
      </c>
      <c r="C962" t="s">
        <v>18</v>
      </c>
      <c r="D962" t="s">
        <v>33</v>
      </c>
      <c r="E962" t="s">
        <v>1337</v>
      </c>
      <c r="F962" t="s">
        <v>33</v>
      </c>
      <c r="G962">
        <v>2</v>
      </c>
      <c r="H962">
        <v>3</v>
      </c>
      <c r="I962" s="13">
        <v>0.6</v>
      </c>
      <c r="J962" t="s">
        <v>249</v>
      </c>
      <c r="L962" t="s">
        <v>60</v>
      </c>
      <c r="M962" t="s">
        <v>60</v>
      </c>
      <c r="N962" t="s">
        <v>33</v>
      </c>
      <c r="O962">
        <v>2</v>
      </c>
      <c r="P962">
        <v>3</v>
      </c>
      <c r="Q962" s="13">
        <v>0.51326479982505646</v>
      </c>
      <c r="R962" t="s">
        <v>249</v>
      </c>
      <c r="S962">
        <v>0.19145938481474431</v>
      </c>
      <c r="T962" t="s">
        <v>60</v>
      </c>
      <c r="U962" t="s">
        <v>60</v>
      </c>
      <c r="X962" t="s">
        <v>60</v>
      </c>
      <c r="Y962" t="s">
        <v>412</v>
      </c>
      <c r="Z962" t="s">
        <v>60</v>
      </c>
      <c r="AA962" t="s">
        <v>491</v>
      </c>
    </row>
    <row r="963" spans="1:27" x14ac:dyDescent="0.2">
      <c r="A963" s="1">
        <v>46084</v>
      </c>
      <c r="B963" t="s">
        <v>328</v>
      </c>
      <c r="C963" t="s">
        <v>11</v>
      </c>
      <c r="D963" t="s">
        <v>24</v>
      </c>
      <c r="E963" t="s">
        <v>578</v>
      </c>
      <c r="F963" t="s">
        <v>24</v>
      </c>
      <c r="G963">
        <v>2</v>
      </c>
      <c r="H963">
        <v>3</v>
      </c>
      <c r="I963" s="13">
        <v>0.6</v>
      </c>
      <c r="J963" t="s">
        <v>249</v>
      </c>
      <c r="L963" t="s">
        <v>60</v>
      </c>
      <c r="M963" t="s">
        <v>60</v>
      </c>
      <c r="N963" t="s">
        <v>24</v>
      </c>
      <c r="O963">
        <v>2</v>
      </c>
      <c r="P963">
        <v>3</v>
      </c>
      <c r="Q963" s="13">
        <v>0.67220946055413056</v>
      </c>
      <c r="R963" t="s">
        <v>249</v>
      </c>
      <c r="S963">
        <v>0.44854929075187328</v>
      </c>
      <c r="T963" t="s">
        <v>60</v>
      </c>
      <c r="U963" t="s">
        <v>60</v>
      </c>
      <c r="X963" t="s">
        <v>60</v>
      </c>
      <c r="Y963" t="s">
        <v>412</v>
      </c>
      <c r="Z963" t="s">
        <v>60</v>
      </c>
      <c r="AA963" t="s">
        <v>491</v>
      </c>
    </row>
    <row r="964" spans="1:27" x14ac:dyDescent="0.2">
      <c r="A964" s="1">
        <v>46084</v>
      </c>
      <c r="B964" t="s">
        <v>326</v>
      </c>
      <c r="C964" t="s">
        <v>36</v>
      </c>
      <c r="D964" t="s">
        <v>17</v>
      </c>
      <c r="E964" t="s">
        <v>1338</v>
      </c>
      <c r="F964" t="s">
        <v>36</v>
      </c>
      <c r="G964">
        <v>2</v>
      </c>
      <c r="H964">
        <v>3</v>
      </c>
      <c r="I964" s="13">
        <v>0.6</v>
      </c>
      <c r="J964" t="s">
        <v>249</v>
      </c>
      <c r="L964" t="s">
        <v>60</v>
      </c>
      <c r="M964" t="s">
        <v>60</v>
      </c>
      <c r="N964" t="s">
        <v>36</v>
      </c>
      <c r="O964">
        <v>2</v>
      </c>
      <c r="P964">
        <v>3</v>
      </c>
      <c r="Q964" s="13">
        <v>0.48056539486063682</v>
      </c>
      <c r="R964" t="s">
        <v>249</v>
      </c>
      <c r="S964">
        <v>-0.2364698644495207</v>
      </c>
      <c r="T964" t="s">
        <v>60</v>
      </c>
      <c r="U964" t="s">
        <v>60</v>
      </c>
      <c r="X964" t="s">
        <v>60</v>
      </c>
      <c r="Y964" t="s">
        <v>412</v>
      </c>
      <c r="Z964" t="s">
        <v>60</v>
      </c>
      <c r="AA964" t="s">
        <v>491</v>
      </c>
    </row>
    <row r="965" spans="1:27" x14ac:dyDescent="0.2">
      <c r="A965" s="1">
        <v>46084</v>
      </c>
      <c r="B965" t="s">
        <v>426</v>
      </c>
      <c r="C965" t="s">
        <v>37</v>
      </c>
      <c r="D965" t="s">
        <v>34</v>
      </c>
      <c r="E965" t="s">
        <v>1339</v>
      </c>
      <c r="F965" t="s">
        <v>37</v>
      </c>
      <c r="G965">
        <v>2</v>
      </c>
      <c r="H965">
        <v>3</v>
      </c>
      <c r="I965" s="13">
        <v>0.6</v>
      </c>
      <c r="J965" t="s">
        <v>249</v>
      </c>
      <c r="L965" t="s">
        <v>60</v>
      </c>
      <c r="M965" t="s">
        <v>60</v>
      </c>
      <c r="N965" t="s">
        <v>37</v>
      </c>
      <c r="O965">
        <v>2</v>
      </c>
      <c r="P965">
        <v>3</v>
      </c>
      <c r="Q965" s="13">
        <v>0.61270515849249185</v>
      </c>
      <c r="R965" t="s">
        <v>249</v>
      </c>
      <c r="S965">
        <v>-0.51572898527292066</v>
      </c>
      <c r="T965" t="s">
        <v>60</v>
      </c>
      <c r="U965" t="s">
        <v>60</v>
      </c>
      <c r="X965" t="s">
        <v>60</v>
      </c>
      <c r="Y965" t="s">
        <v>412</v>
      </c>
      <c r="Z965" t="s">
        <v>60</v>
      </c>
      <c r="AA965" t="s">
        <v>491</v>
      </c>
    </row>
    <row r="966" spans="1:27" x14ac:dyDescent="0.2">
      <c r="A966" s="1">
        <v>46084</v>
      </c>
      <c r="B966" t="s">
        <v>328</v>
      </c>
      <c r="C966" t="s">
        <v>29</v>
      </c>
      <c r="D966" t="s">
        <v>28</v>
      </c>
      <c r="E966" t="s">
        <v>1340</v>
      </c>
      <c r="F966" t="s">
        <v>28</v>
      </c>
      <c r="G966">
        <v>2</v>
      </c>
      <c r="H966">
        <v>3</v>
      </c>
      <c r="I966" s="13">
        <v>0.6</v>
      </c>
      <c r="J966" t="s">
        <v>249</v>
      </c>
      <c r="L966" t="s">
        <v>60</v>
      </c>
      <c r="M966" t="s">
        <v>60</v>
      </c>
      <c r="N966" t="s">
        <v>28</v>
      </c>
      <c r="O966">
        <v>2</v>
      </c>
      <c r="P966">
        <v>3</v>
      </c>
      <c r="Q966" s="13">
        <v>0.63806238734959142</v>
      </c>
      <c r="R966" t="s">
        <v>249</v>
      </c>
      <c r="S966">
        <v>0.83982862838268313</v>
      </c>
      <c r="T966" t="s">
        <v>60</v>
      </c>
      <c r="U966" t="s">
        <v>60</v>
      </c>
      <c r="X966" t="s">
        <v>60</v>
      </c>
      <c r="Y966" t="s">
        <v>412</v>
      </c>
      <c r="Z966" t="s">
        <v>60</v>
      </c>
      <c r="AA966" t="s">
        <v>491</v>
      </c>
    </row>
    <row r="967" spans="1:27" x14ac:dyDescent="0.2">
      <c r="A967" s="1">
        <v>46084</v>
      </c>
      <c r="B967" t="s">
        <v>328</v>
      </c>
      <c r="C967" t="s">
        <v>20</v>
      </c>
      <c r="D967" t="s">
        <v>23</v>
      </c>
      <c r="E967" t="s">
        <v>1341</v>
      </c>
      <c r="F967" t="s">
        <v>20</v>
      </c>
      <c r="G967">
        <v>2</v>
      </c>
      <c r="H967">
        <v>3</v>
      </c>
      <c r="I967" s="13">
        <v>0.6</v>
      </c>
      <c r="J967" t="s">
        <v>249</v>
      </c>
      <c r="L967" t="s">
        <v>60</v>
      </c>
      <c r="M967" t="s">
        <v>60</v>
      </c>
      <c r="N967" t="s">
        <v>20</v>
      </c>
      <c r="O967">
        <v>2</v>
      </c>
      <c r="P967">
        <v>3</v>
      </c>
      <c r="Q967" s="13">
        <v>0.47110194732410121</v>
      </c>
      <c r="R967" t="s">
        <v>249</v>
      </c>
      <c r="S967">
        <v>-0.18176885649679081</v>
      </c>
      <c r="T967" t="s">
        <v>60</v>
      </c>
      <c r="U967" t="s">
        <v>60</v>
      </c>
      <c r="X967" t="s">
        <v>60</v>
      </c>
      <c r="Y967" t="s">
        <v>412</v>
      </c>
      <c r="Z967" t="s">
        <v>60</v>
      </c>
      <c r="AA967" t="s">
        <v>491</v>
      </c>
    </row>
    <row r="968" spans="1:27" x14ac:dyDescent="0.2">
      <c r="A968" s="1">
        <v>46084</v>
      </c>
      <c r="B968" t="s">
        <v>328</v>
      </c>
      <c r="C968" t="s">
        <v>14</v>
      </c>
      <c r="D968" t="s">
        <v>21</v>
      </c>
      <c r="E968" t="s">
        <v>1169</v>
      </c>
      <c r="F968" t="s">
        <v>14</v>
      </c>
      <c r="G968">
        <v>2</v>
      </c>
      <c r="H968">
        <v>3</v>
      </c>
      <c r="I968" s="13">
        <v>0.6</v>
      </c>
      <c r="J968" t="s">
        <v>249</v>
      </c>
      <c r="L968" t="s">
        <v>60</v>
      </c>
      <c r="M968" t="s">
        <v>60</v>
      </c>
      <c r="N968" t="s">
        <v>14</v>
      </c>
      <c r="O968">
        <v>2</v>
      </c>
      <c r="P968">
        <v>3</v>
      </c>
      <c r="Q968" s="13">
        <v>0.45903722013371662</v>
      </c>
      <c r="R968" t="s">
        <v>249</v>
      </c>
      <c r="S968">
        <v>-2.7604789959079098E-2</v>
      </c>
      <c r="T968" t="s">
        <v>60</v>
      </c>
      <c r="U968" t="s">
        <v>60</v>
      </c>
      <c r="X968" t="s">
        <v>60</v>
      </c>
      <c r="Y968" t="s">
        <v>412</v>
      </c>
      <c r="Z968" t="s">
        <v>60</v>
      </c>
      <c r="AA968" t="s">
        <v>491</v>
      </c>
    </row>
    <row r="969" spans="1:27" x14ac:dyDescent="0.2">
      <c r="A969" s="1">
        <v>46084</v>
      </c>
      <c r="B969" t="s">
        <v>322</v>
      </c>
      <c r="C969" t="s">
        <v>12</v>
      </c>
      <c r="D969" t="s">
        <v>31</v>
      </c>
      <c r="E969" t="s">
        <v>1342</v>
      </c>
      <c r="F969" t="s">
        <v>12</v>
      </c>
      <c r="G969">
        <v>2</v>
      </c>
      <c r="H969">
        <v>3</v>
      </c>
      <c r="I969" s="13">
        <v>0.6</v>
      </c>
      <c r="J969" t="s">
        <v>249</v>
      </c>
      <c r="L969" t="s">
        <v>60</v>
      </c>
      <c r="M969" t="s">
        <v>60</v>
      </c>
      <c r="N969" t="s">
        <v>12</v>
      </c>
      <c r="O969">
        <v>2</v>
      </c>
      <c r="P969">
        <v>3</v>
      </c>
      <c r="Q969" s="13">
        <v>0.61456019846511079</v>
      </c>
      <c r="R969" t="s">
        <v>249</v>
      </c>
      <c r="S969">
        <v>-1.4032998876645471</v>
      </c>
      <c r="T969" t="s">
        <v>60</v>
      </c>
      <c r="U969" t="s">
        <v>60</v>
      </c>
      <c r="X969" t="s">
        <v>60</v>
      </c>
      <c r="Y969" t="s">
        <v>412</v>
      </c>
      <c r="Z969" t="s">
        <v>60</v>
      </c>
      <c r="AA969" t="s">
        <v>491</v>
      </c>
    </row>
    <row r="970" spans="1:27" x14ac:dyDescent="0.2">
      <c r="A970" s="1">
        <v>46084</v>
      </c>
      <c r="B970" t="s">
        <v>326</v>
      </c>
      <c r="C970" t="s">
        <v>39</v>
      </c>
      <c r="D970" t="s">
        <v>16</v>
      </c>
      <c r="E970" t="s">
        <v>346</v>
      </c>
      <c r="F970" t="s">
        <v>39</v>
      </c>
      <c r="G970">
        <v>2</v>
      </c>
      <c r="H970">
        <v>3</v>
      </c>
      <c r="I970" s="13">
        <v>0.6</v>
      </c>
      <c r="J970" t="s">
        <v>249</v>
      </c>
      <c r="L970" t="s">
        <v>60</v>
      </c>
      <c r="M970" t="s">
        <v>60</v>
      </c>
      <c r="N970" t="s">
        <v>39</v>
      </c>
      <c r="O970">
        <v>2</v>
      </c>
      <c r="P970">
        <v>3</v>
      </c>
      <c r="Q970" s="13">
        <v>0.72869231209461471</v>
      </c>
      <c r="R970" t="s">
        <v>249</v>
      </c>
      <c r="S970">
        <v>-1.429323031976578</v>
      </c>
      <c r="T970" t="s">
        <v>60</v>
      </c>
      <c r="U970" t="s">
        <v>60</v>
      </c>
      <c r="X970" t="s">
        <v>60</v>
      </c>
      <c r="Y970" t="s">
        <v>412</v>
      </c>
      <c r="Z970" t="s">
        <v>60</v>
      </c>
      <c r="AA970" t="s">
        <v>491</v>
      </c>
    </row>
    <row r="971" spans="1:27" x14ac:dyDescent="0.2">
      <c r="A971" s="1">
        <v>46085</v>
      </c>
      <c r="B971" t="s">
        <v>322</v>
      </c>
      <c r="C971" t="s">
        <v>35</v>
      </c>
      <c r="D971" t="s">
        <v>32</v>
      </c>
      <c r="E971" t="s">
        <v>1343</v>
      </c>
      <c r="F971" t="s">
        <v>32</v>
      </c>
      <c r="G971">
        <v>2</v>
      </c>
      <c r="H971">
        <v>3</v>
      </c>
      <c r="I971" s="13">
        <v>0.6</v>
      </c>
      <c r="J971" t="s">
        <v>249</v>
      </c>
      <c r="L971" t="s">
        <v>60</v>
      </c>
      <c r="M971" t="s">
        <v>60</v>
      </c>
      <c r="N971" t="s">
        <v>32</v>
      </c>
      <c r="O971">
        <v>2</v>
      </c>
      <c r="P971">
        <v>3</v>
      </c>
      <c r="Q971" s="13">
        <v>0.63282820353336711</v>
      </c>
      <c r="R971" t="s">
        <v>249</v>
      </c>
      <c r="S971">
        <v>0.79500188559279494</v>
      </c>
      <c r="T971" t="s">
        <v>60</v>
      </c>
      <c r="U971" t="s">
        <v>60</v>
      </c>
      <c r="X971" t="s">
        <v>60</v>
      </c>
      <c r="Y971" t="s">
        <v>412</v>
      </c>
      <c r="Z971" t="s">
        <v>60</v>
      </c>
      <c r="AA971" t="s">
        <v>491</v>
      </c>
    </row>
    <row r="972" spans="1:27" x14ac:dyDescent="0.2">
      <c r="A972" s="1">
        <v>46085</v>
      </c>
      <c r="B972" t="s">
        <v>322</v>
      </c>
      <c r="C972" t="s">
        <v>30</v>
      </c>
      <c r="D972" t="s">
        <v>31</v>
      </c>
      <c r="E972" t="s">
        <v>1344</v>
      </c>
      <c r="F972" t="s">
        <v>31</v>
      </c>
      <c r="G972">
        <v>2</v>
      </c>
      <c r="H972">
        <v>3</v>
      </c>
      <c r="I972" s="13">
        <v>0.6</v>
      </c>
      <c r="J972" t="s">
        <v>249</v>
      </c>
      <c r="L972" t="s">
        <v>60</v>
      </c>
      <c r="M972" t="s">
        <v>60</v>
      </c>
      <c r="N972" t="s">
        <v>31</v>
      </c>
      <c r="O972">
        <v>2</v>
      </c>
      <c r="P972">
        <v>3</v>
      </c>
      <c r="Q972" s="13">
        <v>0.60412100543902492</v>
      </c>
      <c r="R972" t="s">
        <v>249</v>
      </c>
      <c r="S972">
        <v>0.46953576820376142</v>
      </c>
      <c r="T972" t="s">
        <v>60</v>
      </c>
      <c r="U972" t="s">
        <v>60</v>
      </c>
      <c r="X972" t="s">
        <v>60</v>
      </c>
      <c r="Y972" t="s">
        <v>412</v>
      </c>
      <c r="Z972" t="s">
        <v>60</v>
      </c>
      <c r="AA972" t="s">
        <v>491</v>
      </c>
    </row>
    <row r="973" spans="1:27" x14ac:dyDescent="0.2">
      <c r="A973" s="1">
        <v>46085</v>
      </c>
      <c r="B973" t="s">
        <v>328</v>
      </c>
      <c r="C973" t="s">
        <v>20</v>
      </c>
      <c r="D973" t="s">
        <v>26</v>
      </c>
      <c r="E973" t="s">
        <v>1345</v>
      </c>
      <c r="F973" t="s">
        <v>20</v>
      </c>
      <c r="G973">
        <v>2</v>
      </c>
      <c r="H973">
        <v>3</v>
      </c>
      <c r="I973" s="13">
        <v>0.6</v>
      </c>
      <c r="J973" t="s">
        <v>249</v>
      </c>
      <c r="L973" t="s">
        <v>60</v>
      </c>
      <c r="M973" t="s">
        <v>60</v>
      </c>
      <c r="N973" t="s">
        <v>20</v>
      </c>
      <c r="O973">
        <v>2</v>
      </c>
      <c r="P973">
        <v>3</v>
      </c>
      <c r="Q973" s="13">
        <v>0.52784008975907892</v>
      </c>
      <c r="R973" t="s">
        <v>249</v>
      </c>
      <c r="S973">
        <v>-0.58099798578851058</v>
      </c>
      <c r="T973" t="s">
        <v>60</v>
      </c>
      <c r="U973" t="s">
        <v>60</v>
      </c>
      <c r="X973" t="s">
        <v>60</v>
      </c>
      <c r="Y973" t="s">
        <v>412</v>
      </c>
      <c r="Z973" t="s">
        <v>60</v>
      </c>
      <c r="AA973" t="s">
        <v>491</v>
      </c>
    </row>
    <row r="974" spans="1:27" x14ac:dyDescent="0.2">
      <c r="A974" s="1">
        <v>46085</v>
      </c>
      <c r="B974" t="s">
        <v>328</v>
      </c>
      <c r="C974" t="s">
        <v>19</v>
      </c>
      <c r="D974" t="s">
        <v>24</v>
      </c>
      <c r="E974" t="s">
        <v>1346</v>
      </c>
      <c r="F974" t="s">
        <v>24</v>
      </c>
      <c r="G974">
        <v>2</v>
      </c>
      <c r="H974">
        <v>3</v>
      </c>
      <c r="I974" s="13">
        <v>0.6</v>
      </c>
      <c r="J974" t="s">
        <v>249</v>
      </c>
      <c r="L974" t="s">
        <v>60</v>
      </c>
      <c r="M974" t="s">
        <v>60</v>
      </c>
      <c r="N974" t="s">
        <v>24</v>
      </c>
      <c r="O974">
        <v>2</v>
      </c>
      <c r="P974">
        <v>3</v>
      </c>
      <c r="Q974" s="13">
        <v>0.69992477879689308</v>
      </c>
      <c r="R974" t="s">
        <v>249</v>
      </c>
      <c r="S974">
        <v>0.68590959100674731</v>
      </c>
      <c r="T974" t="s">
        <v>60</v>
      </c>
      <c r="U974" t="s">
        <v>60</v>
      </c>
      <c r="X974" t="s">
        <v>60</v>
      </c>
      <c r="Y974" t="s">
        <v>412</v>
      </c>
      <c r="Z974" t="s">
        <v>60</v>
      </c>
      <c r="AA974" t="s">
        <v>491</v>
      </c>
    </row>
    <row r="975" spans="1:27" x14ac:dyDescent="0.2">
      <c r="A975" s="1">
        <v>46085</v>
      </c>
      <c r="B975" t="s">
        <v>322</v>
      </c>
      <c r="C975" t="s">
        <v>25</v>
      </c>
      <c r="D975" t="s">
        <v>38</v>
      </c>
      <c r="E975" t="s">
        <v>1347</v>
      </c>
      <c r="F975" t="s">
        <v>25</v>
      </c>
      <c r="G975">
        <v>2</v>
      </c>
      <c r="H975">
        <v>3</v>
      </c>
      <c r="I975" s="13">
        <v>0.6</v>
      </c>
      <c r="J975" t="s">
        <v>249</v>
      </c>
      <c r="L975" t="s">
        <v>60</v>
      </c>
      <c r="M975" t="s">
        <v>60</v>
      </c>
      <c r="N975" t="s">
        <v>25</v>
      </c>
      <c r="O975">
        <v>2</v>
      </c>
      <c r="P975">
        <v>3</v>
      </c>
      <c r="Q975" s="13">
        <v>0.68715573962293885</v>
      </c>
      <c r="R975" t="s">
        <v>249</v>
      </c>
      <c r="S975">
        <v>-1.3234521435161939</v>
      </c>
      <c r="T975" t="s">
        <v>60</v>
      </c>
      <c r="U975" t="s">
        <v>60</v>
      </c>
      <c r="X975" t="s">
        <v>60</v>
      </c>
      <c r="Y975" t="s">
        <v>412</v>
      </c>
      <c r="Z975" t="s">
        <v>60</v>
      </c>
      <c r="AA975" t="s">
        <v>491</v>
      </c>
    </row>
    <row r="976" spans="1:27" x14ac:dyDescent="0.2">
      <c r="A976" s="1">
        <v>46086</v>
      </c>
      <c r="B976" t="s">
        <v>328</v>
      </c>
      <c r="C976" t="s">
        <v>55</v>
      </c>
      <c r="D976" t="s">
        <v>27</v>
      </c>
      <c r="E976" t="s">
        <v>1348</v>
      </c>
      <c r="F976" t="s">
        <v>27</v>
      </c>
      <c r="G976">
        <v>2</v>
      </c>
      <c r="H976">
        <v>3</v>
      </c>
      <c r="I976" s="13">
        <v>0.6</v>
      </c>
      <c r="J976" t="s">
        <v>249</v>
      </c>
      <c r="L976" t="s">
        <v>60</v>
      </c>
      <c r="M976" t="s">
        <v>60</v>
      </c>
      <c r="N976" t="s">
        <v>27</v>
      </c>
      <c r="O976">
        <v>2</v>
      </c>
      <c r="P976">
        <v>3</v>
      </c>
      <c r="Q976" s="13">
        <v>0.56251527977613414</v>
      </c>
      <c r="R976" t="s">
        <v>249</v>
      </c>
      <c r="S976">
        <v>7.2784454438028903E-2</v>
      </c>
      <c r="T976" t="s">
        <v>60</v>
      </c>
      <c r="U976" t="s">
        <v>60</v>
      </c>
      <c r="X976" t="s">
        <v>60</v>
      </c>
      <c r="Y976" t="s">
        <v>412</v>
      </c>
      <c r="Z976" t="s">
        <v>60</v>
      </c>
      <c r="AA976" t="s">
        <v>491</v>
      </c>
    </row>
    <row r="977" spans="1:27" x14ac:dyDescent="0.2">
      <c r="A977" s="1">
        <v>46086</v>
      </c>
      <c r="B977" t="s">
        <v>324</v>
      </c>
      <c r="C977" t="s">
        <v>37</v>
      </c>
      <c r="D977" t="s">
        <v>40</v>
      </c>
      <c r="E977" t="s">
        <v>1349</v>
      </c>
      <c r="F977" t="s">
        <v>37</v>
      </c>
      <c r="G977">
        <v>2</v>
      </c>
      <c r="H977">
        <v>3</v>
      </c>
      <c r="I977" s="13">
        <v>0.6</v>
      </c>
      <c r="J977" t="s">
        <v>249</v>
      </c>
      <c r="L977" t="s">
        <v>60</v>
      </c>
      <c r="M977" t="s">
        <v>60</v>
      </c>
      <c r="N977" t="s">
        <v>37</v>
      </c>
      <c r="O977">
        <v>2</v>
      </c>
      <c r="P977">
        <v>3</v>
      </c>
      <c r="Q977" s="13">
        <v>0.6403579441746684</v>
      </c>
      <c r="R977" t="s">
        <v>249</v>
      </c>
      <c r="S977">
        <v>-0.77384602160623339</v>
      </c>
      <c r="T977" t="s">
        <v>60</v>
      </c>
      <c r="U977" t="s">
        <v>60</v>
      </c>
      <c r="X977" t="s">
        <v>60</v>
      </c>
      <c r="Y977" t="s">
        <v>412</v>
      </c>
      <c r="Z977" t="s">
        <v>60</v>
      </c>
      <c r="AA977" t="s">
        <v>491</v>
      </c>
    </row>
    <row r="978" spans="1:27" x14ac:dyDescent="0.2">
      <c r="A978" s="1">
        <v>46086</v>
      </c>
      <c r="B978" t="s">
        <v>328</v>
      </c>
      <c r="C978" t="s">
        <v>19</v>
      </c>
      <c r="D978" t="s">
        <v>15</v>
      </c>
      <c r="E978" t="s">
        <v>1350</v>
      </c>
      <c r="F978" t="s">
        <v>15</v>
      </c>
      <c r="G978">
        <v>2</v>
      </c>
      <c r="H978">
        <v>3</v>
      </c>
      <c r="I978" s="13">
        <v>0.6</v>
      </c>
      <c r="J978" t="s">
        <v>249</v>
      </c>
      <c r="L978" t="s">
        <v>60</v>
      </c>
      <c r="M978" t="s">
        <v>60</v>
      </c>
      <c r="N978" t="s">
        <v>15</v>
      </c>
      <c r="O978">
        <v>2</v>
      </c>
      <c r="P978">
        <v>3</v>
      </c>
      <c r="Q978" s="13">
        <v>0.58604564040683338</v>
      </c>
      <c r="R978" t="s">
        <v>249</v>
      </c>
      <c r="S978">
        <v>0.3943453557582004</v>
      </c>
      <c r="T978" t="s">
        <v>60</v>
      </c>
      <c r="U978" t="s">
        <v>60</v>
      </c>
      <c r="X978" t="s">
        <v>60</v>
      </c>
      <c r="Y978" t="s">
        <v>412</v>
      </c>
      <c r="Z978" t="s">
        <v>60</v>
      </c>
      <c r="AA978" t="s">
        <v>491</v>
      </c>
    </row>
    <row r="979" spans="1:27" x14ac:dyDescent="0.2">
      <c r="A979" s="1">
        <v>46086</v>
      </c>
      <c r="B979" t="s">
        <v>328</v>
      </c>
      <c r="C979" t="s">
        <v>23</v>
      </c>
      <c r="D979" t="s">
        <v>14</v>
      </c>
      <c r="E979" t="s">
        <v>423</v>
      </c>
      <c r="F979" t="s">
        <v>14</v>
      </c>
      <c r="G979">
        <v>2</v>
      </c>
      <c r="H979">
        <v>3</v>
      </c>
      <c r="I979" s="13">
        <v>0.6</v>
      </c>
      <c r="J979" t="s">
        <v>249</v>
      </c>
      <c r="L979" t="s">
        <v>60</v>
      </c>
      <c r="M979" t="s">
        <v>60</v>
      </c>
      <c r="N979" t="s">
        <v>14</v>
      </c>
      <c r="O979">
        <v>2</v>
      </c>
      <c r="P979">
        <v>3</v>
      </c>
      <c r="Q979" s="13">
        <v>0.58480812164267382</v>
      </c>
      <c r="R979" t="s">
        <v>249</v>
      </c>
      <c r="S979">
        <v>0.38374696309826212</v>
      </c>
      <c r="T979" t="s">
        <v>60</v>
      </c>
      <c r="U979" t="s">
        <v>60</v>
      </c>
      <c r="X979" t="s">
        <v>60</v>
      </c>
      <c r="Y979" t="s">
        <v>412</v>
      </c>
      <c r="Z979" t="s">
        <v>60</v>
      </c>
      <c r="AA979" t="s">
        <v>491</v>
      </c>
    </row>
    <row r="980" spans="1:27" x14ac:dyDescent="0.2">
      <c r="A980" s="1">
        <v>46086</v>
      </c>
      <c r="B980" t="s">
        <v>426</v>
      </c>
      <c r="C980" t="s">
        <v>30</v>
      </c>
      <c r="D980" t="s">
        <v>13</v>
      </c>
      <c r="E980" t="s">
        <v>1351</v>
      </c>
      <c r="F980" t="s">
        <v>30</v>
      </c>
      <c r="G980">
        <v>2</v>
      </c>
      <c r="H980">
        <v>3</v>
      </c>
      <c r="I980" s="13">
        <v>0.6</v>
      </c>
      <c r="J980" t="s">
        <v>249</v>
      </c>
      <c r="L980" t="s">
        <v>60</v>
      </c>
      <c r="M980" t="s">
        <v>60</v>
      </c>
      <c r="N980" t="s">
        <v>30</v>
      </c>
      <c r="O980">
        <v>2</v>
      </c>
      <c r="P980">
        <v>3</v>
      </c>
      <c r="Q980" s="13">
        <v>0.53816375643996339</v>
      </c>
      <c r="R980" t="s">
        <v>249</v>
      </c>
      <c r="S980">
        <v>-4.7450852312718499E-2</v>
      </c>
      <c r="T980" t="s">
        <v>60</v>
      </c>
      <c r="U980" t="s">
        <v>60</v>
      </c>
      <c r="X980" t="s">
        <v>60</v>
      </c>
      <c r="Y980" t="s">
        <v>412</v>
      </c>
      <c r="Z980" t="s">
        <v>60</v>
      </c>
      <c r="AA980" t="s">
        <v>491</v>
      </c>
    </row>
    <row r="981" spans="1:27" x14ac:dyDescent="0.2">
      <c r="A981" s="1">
        <v>46086</v>
      </c>
      <c r="B981" t="s">
        <v>326</v>
      </c>
      <c r="C981" t="s">
        <v>36</v>
      </c>
      <c r="D981" t="s">
        <v>16</v>
      </c>
      <c r="E981" t="s">
        <v>1352</v>
      </c>
      <c r="F981" t="s">
        <v>36</v>
      </c>
      <c r="G981">
        <v>2</v>
      </c>
      <c r="H981">
        <v>3</v>
      </c>
      <c r="I981" s="13">
        <v>0.6</v>
      </c>
      <c r="J981" t="s">
        <v>249</v>
      </c>
      <c r="L981" t="s">
        <v>60</v>
      </c>
      <c r="M981" t="s">
        <v>60</v>
      </c>
      <c r="N981" t="s">
        <v>36</v>
      </c>
      <c r="O981">
        <v>2</v>
      </c>
      <c r="P981">
        <v>3</v>
      </c>
      <c r="Q981" s="13">
        <v>0.5165730487289667</v>
      </c>
      <c r="R981" t="s">
        <v>249</v>
      </c>
      <c r="S981">
        <v>-0.48450447925661982</v>
      </c>
      <c r="T981" t="s">
        <v>60</v>
      </c>
      <c r="U981" t="s">
        <v>60</v>
      </c>
      <c r="X981" t="s">
        <v>60</v>
      </c>
      <c r="Y981" t="s">
        <v>412</v>
      </c>
      <c r="Z981" t="s">
        <v>60</v>
      </c>
      <c r="AA981" t="s">
        <v>491</v>
      </c>
    </row>
    <row r="982" spans="1:27" x14ac:dyDescent="0.2">
      <c r="A982" s="1">
        <v>46086</v>
      </c>
      <c r="B982" t="s">
        <v>328</v>
      </c>
      <c r="C982" t="s">
        <v>11</v>
      </c>
      <c r="D982" t="s">
        <v>28</v>
      </c>
      <c r="E982" t="s">
        <v>1353</v>
      </c>
      <c r="F982" t="s">
        <v>11</v>
      </c>
      <c r="G982">
        <v>2</v>
      </c>
      <c r="H982">
        <v>3</v>
      </c>
      <c r="I982" s="13">
        <v>0.6</v>
      </c>
      <c r="J982" t="s">
        <v>249</v>
      </c>
      <c r="L982" t="s">
        <v>60</v>
      </c>
      <c r="M982" t="s">
        <v>60</v>
      </c>
      <c r="N982" t="s">
        <v>11</v>
      </c>
      <c r="O982">
        <v>2</v>
      </c>
      <c r="P982">
        <v>3</v>
      </c>
      <c r="Q982" s="13">
        <v>0.47727772392612389</v>
      </c>
      <c r="R982" t="s">
        <v>249</v>
      </c>
      <c r="S982">
        <v>-0.1479703643632713</v>
      </c>
      <c r="T982" t="s">
        <v>60</v>
      </c>
      <c r="U982" t="s">
        <v>60</v>
      </c>
      <c r="X982" t="s">
        <v>60</v>
      </c>
      <c r="Y982" t="s">
        <v>412</v>
      </c>
      <c r="Z982" t="s">
        <v>60</v>
      </c>
      <c r="AA982" t="s">
        <v>491</v>
      </c>
    </row>
    <row r="983" spans="1:27" x14ac:dyDescent="0.2">
      <c r="A983" s="1">
        <v>46086</v>
      </c>
      <c r="B983" t="s">
        <v>324</v>
      </c>
      <c r="C983" t="s">
        <v>21</v>
      </c>
      <c r="D983" t="s">
        <v>29</v>
      </c>
      <c r="E983" t="s">
        <v>1354</v>
      </c>
      <c r="F983" t="s">
        <v>21</v>
      </c>
      <c r="G983">
        <v>2</v>
      </c>
      <c r="H983">
        <v>3</v>
      </c>
      <c r="I983" s="13">
        <v>0.6</v>
      </c>
      <c r="J983" t="s">
        <v>249</v>
      </c>
      <c r="L983" t="s">
        <v>60</v>
      </c>
      <c r="M983" t="s">
        <v>60</v>
      </c>
      <c r="N983" t="s">
        <v>21</v>
      </c>
      <c r="O983">
        <v>2</v>
      </c>
      <c r="P983">
        <v>3</v>
      </c>
      <c r="Q983" s="13">
        <v>0.59105101387096481</v>
      </c>
      <c r="R983" t="s">
        <v>249</v>
      </c>
      <c r="S983">
        <v>-1.115246774439167</v>
      </c>
      <c r="T983" t="s">
        <v>60</v>
      </c>
      <c r="U983" t="s">
        <v>60</v>
      </c>
      <c r="X983" t="s">
        <v>60</v>
      </c>
      <c r="Y983" t="s">
        <v>412</v>
      </c>
      <c r="Z983" t="s">
        <v>60</v>
      </c>
      <c r="AA983" t="s">
        <v>491</v>
      </c>
    </row>
    <row r="984" spans="1:27" x14ac:dyDescent="0.2">
      <c r="A984" s="1">
        <v>46087</v>
      </c>
      <c r="B984" t="s">
        <v>326</v>
      </c>
      <c r="C984" t="s">
        <v>18</v>
      </c>
      <c r="D984" t="s">
        <v>31</v>
      </c>
      <c r="E984" t="s">
        <v>1355</v>
      </c>
      <c r="F984" t="s">
        <v>31</v>
      </c>
      <c r="G984">
        <v>2</v>
      </c>
      <c r="H984">
        <v>3</v>
      </c>
      <c r="I984" s="13">
        <v>0.6</v>
      </c>
      <c r="J984" t="s">
        <v>249</v>
      </c>
      <c r="L984" t="s">
        <v>60</v>
      </c>
      <c r="M984" t="s">
        <v>60</v>
      </c>
      <c r="N984" t="s">
        <v>31</v>
      </c>
      <c r="O984">
        <v>2</v>
      </c>
      <c r="P984">
        <v>3</v>
      </c>
      <c r="Q984" s="13">
        <v>0.65842147871472412</v>
      </c>
      <c r="R984" t="s">
        <v>249</v>
      </c>
      <c r="S984">
        <v>0.82149339903625396</v>
      </c>
      <c r="T984" t="s">
        <v>60</v>
      </c>
      <c r="U984" t="s">
        <v>60</v>
      </c>
      <c r="X984" t="s">
        <v>60</v>
      </c>
      <c r="Y984" t="s">
        <v>412</v>
      </c>
      <c r="Z984" t="s">
        <v>60</v>
      </c>
      <c r="AA984" t="s">
        <v>491</v>
      </c>
    </row>
    <row r="985" spans="1:27" x14ac:dyDescent="0.2">
      <c r="A985" s="1">
        <v>46087</v>
      </c>
      <c r="B985" t="s">
        <v>416</v>
      </c>
      <c r="C985" t="s">
        <v>38</v>
      </c>
      <c r="D985" t="s">
        <v>10</v>
      </c>
      <c r="E985" t="s">
        <v>588</v>
      </c>
      <c r="F985" t="s">
        <v>10</v>
      </c>
      <c r="G985">
        <v>2</v>
      </c>
      <c r="H985">
        <v>3</v>
      </c>
      <c r="I985" s="13">
        <v>0.6</v>
      </c>
      <c r="J985" t="s">
        <v>249</v>
      </c>
      <c r="L985" t="s">
        <v>60</v>
      </c>
      <c r="M985" t="s">
        <v>60</v>
      </c>
      <c r="N985" t="s">
        <v>10</v>
      </c>
      <c r="O985">
        <v>2</v>
      </c>
      <c r="P985">
        <v>3</v>
      </c>
      <c r="Q985" s="13">
        <v>0.63233234134958161</v>
      </c>
      <c r="R985" t="s">
        <v>249</v>
      </c>
      <c r="S985">
        <v>0.82138224884965294</v>
      </c>
      <c r="T985" t="s">
        <v>60</v>
      </c>
      <c r="U985" t="s">
        <v>60</v>
      </c>
      <c r="X985" t="s">
        <v>60</v>
      </c>
      <c r="Y985" t="s">
        <v>412</v>
      </c>
      <c r="Z985" t="s">
        <v>60</v>
      </c>
      <c r="AA985" t="s">
        <v>491</v>
      </c>
    </row>
    <row r="986" spans="1:27" x14ac:dyDescent="0.2">
      <c r="A986" s="1">
        <v>46087</v>
      </c>
      <c r="B986" t="s">
        <v>324</v>
      </c>
      <c r="C986" t="s">
        <v>12</v>
      </c>
      <c r="D986" t="s">
        <v>39</v>
      </c>
      <c r="E986" t="s">
        <v>1356</v>
      </c>
      <c r="F986" t="s">
        <v>12</v>
      </c>
      <c r="G986">
        <v>2</v>
      </c>
      <c r="H986">
        <v>3</v>
      </c>
      <c r="I986" s="13">
        <v>0.6</v>
      </c>
      <c r="J986" t="s">
        <v>249</v>
      </c>
      <c r="L986" t="s">
        <v>60</v>
      </c>
      <c r="M986" t="s">
        <v>60</v>
      </c>
      <c r="N986" t="s">
        <v>12</v>
      </c>
      <c r="O986">
        <v>2</v>
      </c>
      <c r="P986">
        <v>3</v>
      </c>
      <c r="Q986" s="13">
        <v>0.63644667431368729</v>
      </c>
      <c r="R986" t="s">
        <v>249</v>
      </c>
      <c r="S986">
        <v>-1.168560407648694</v>
      </c>
      <c r="T986" t="s">
        <v>60</v>
      </c>
      <c r="U986" t="s">
        <v>60</v>
      </c>
      <c r="X986" t="s">
        <v>60</v>
      </c>
      <c r="Y986" t="s">
        <v>412</v>
      </c>
      <c r="Z986" t="s">
        <v>60</v>
      </c>
      <c r="AA986" t="s">
        <v>491</v>
      </c>
    </row>
    <row r="987" spans="1:27" x14ac:dyDescent="0.2">
      <c r="A987" s="1">
        <v>46087</v>
      </c>
      <c r="B987" t="s">
        <v>328</v>
      </c>
      <c r="C987" t="s">
        <v>11</v>
      </c>
      <c r="D987" t="s">
        <v>26</v>
      </c>
      <c r="E987" t="s">
        <v>571</v>
      </c>
      <c r="F987" t="s">
        <v>11</v>
      </c>
      <c r="G987">
        <v>2</v>
      </c>
      <c r="H987">
        <v>3</v>
      </c>
      <c r="I987" s="13">
        <v>0.6</v>
      </c>
      <c r="J987" t="s">
        <v>249</v>
      </c>
      <c r="L987" t="s">
        <v>60</v>
      </c>
      <c r="M987" t="s">
        <v>60</v>
      </c>
      <c r="N987" t="s">
        <v>11</v>
      </c>
      <c r="O987">
        <v>2</v>
      </c>
      <c r="P987">
        <v>3</v>
      </c>
      <c r="Q987" s="13">
        <v>0.51001274285878251</v>
      </c>
      <c r="R987" t="s">
        <v>249</v>
      </c>
      <c r="S987">
        <v>-0.42832052504504048</v>
      </c>
      <c r="T987" t="s">
        <v>60</v>
      </c>
      <c r="U987" t="s">
        <v>60</v>
      </c>
      <c r="X987" t="s">
        <v>60</v>
      </c>
      <c r="Y987" t="s">
        <v>412</v>
      </c>
      <c r="Z987" t="s">
        <v>60</v>
      </c>
      <c r="AA987" t="s">
        <v>491</v>
      </c>
    </row>
    <row r="988" spans="1:27" x14ac:dyDescent="0.2">
      <c r="A988" s="1">
        <v>46087</v>
      </c>
      <c r="B988" t="s">
        <v>326</v>
      </c>
      <c r="C988" t="s">
        <v>25</v>
      </c>
      <c r="D988" t="s">
        <v>17</v>
      </c>
      <c r="E988" t="s">
        <v>1357</v>
      </c>
      <c r="F988" t="s">
        <v>25</v>
      </c>
      <c r="G988">
        <v>2</v>
      </c>
      <c r="H988">
        <v>3</v>
      </c>
      <c r="I988" s="13">
        <v>0.6</v>
      </c>
      <c r="J988" t="s">
        <v>249</v>
      </c>
      <c r="L988" t="s">
        <v>60</v>
      </c>
      <c r="M988" t="s">
        <v>60</v>
      </c>
      <c r="N988" t="s">
        <v>25</v>
      </c>
      <c r="O988">
        <v>2</v>
      </c>
      <c r="P988">
        <v>3</v>
      </c>
      <c r="Q988" s="13">
        <v>0.66490864326506427</v>
      </c>
      <c r="R988" t="s">
        <v>249</v>
      </c>
      <c r="S988">
        <v>-1.1935210526429121</v>
      </c>
      <c r="T988" t="s">
        <v>60</v>
      </c>
      <c r="U988" t="s">
        <v>60</v>
      </c>
      <c r="X988" t="s">
        <v>60</v>
      </c>
      <c r="Y988" t="s">
        <v>412</v>
      </c>
      <c r="Z988" t="s">
        <v>60</v>
      </c>
      <c r="AA988" t="s">
        <v>491</v>
      </c>
    </row>
    <row r="989" spans="1:27" x14ac:dyDescent="0.2">
      <c r="A989" s="1">
        <v>46087</v>
      </c>
      <c r="B989" t="s">
        <v>322</v>
      </c>
      <c r="C989" t="s">
        <v>35</v>
      </c>
      <c r="D989" t="s">
        <v>33</v>
      </c>
      <c r="E989" t="s">
        <v>1358</v>
      </c>
      <c r="F989" t="s">
        <v>33</v>
      </c>
      <c r="G989">
        <v>2</v>
      </c>
      <c r="H989">
        <v>3</v>
      </c>
      <c r="I989" s="13">
        <v>0.6</v>
      </c>
      <c r="J989" t="s">
        <v>249</v>
      </c>
      <c r="L989" t="s">
        <v>60</v>
      </c>
      <c r="M989" t="s">
        <v>60</v>
      </c>
      <c r="N989" t="s">
        <v>33</v>
      </c>
      <c r="O989">
        <v>2</v>
      </c>
      <c r="P989">
        <v>3</v>
      </c>
      <c r="Q989" s="13">
        <v>0.66607527473414152</v>
      </c>
      <c r="R989" t="s">
        <v>249</v>
      </c>
      <c r="S989">
        <v>0.99304812848864155</v>
      </c>
      <c r="T989" t="s">
        <v>60</v>
      </c>
      <c r="U989" t="s">
        <v>60</v>
      </c>
      <c r="X989" t="s">
        <v>60</v>
      </c>
      <c r="Y989" t="s">
        <v>412</v>
      </c>
      <c r="Z989" t="s">
        <v>60</v>
      </c>
      <c r="AA989" t="s">
        <v>491</v>
      </c>
    </row>
    <row r="990" spans="1:27" x14ac:dyDescent="0.2">
      <c r="A990" s="1">
        <v>46087</v>
      </c>
      <c r="B990" t="s">
        <v>322</v>
      </c>
      <c r="C990" t="s">
        <v>34</v>
      </c>
      <c r="D990" t="s">
        <v>20</v>
      </c>
      <c r="E990" t="s">
        <v>1088</v>
      </c>
      <c r="F990" t="s">
        <v>34</v>
      </c>
      <c r="G990">
        <v>2</v>
      </c>
      <c r="H990">
        <v>3</v>
      </c>
      <c r="I990" s="13">
        <v>0.6</v>
      </c>
      <c r="J990" t="s">
        <v>249</v>
      </c>
      <c r="L990" t="s">
        <v>60</v>
      </c>
      <c r="M990" t="s">
        <v>60</v>
      </c>
      <c r="N990" t="s">
        <v>34</v>
      </c>
      <c r="O990">
        <v>2</v>
      </c>
      <c r="P990">
        <v>3</v>
      </c>
      <c r="Q990" s="13">
        <v>0.51879135600538295</v>
      </c>
      <c r="R990" t="s">
        <v>249</v>
      </c>
      <c r="S990">
        <v>-0.13941529394799509</v>
      </c>
      <c r="T990" t="s">
        <v>60</v>
      </c>
      <c r="U990" t="s">
        <v>60</v>
      </c>
      <c r="X990" t="s">
        <v>60</v>
      </c>
      <c r="Y990" t="s">
        <v>412</v>
      </c>
      <c r="Z990" t="s">
        <v>60</v>
      </c>
      <c r="AA990" t="s">
        <v>491</v>
      </c>
    </row>
    <row r="991" spans="1:27" x14ac:dyDescent="0.2">
      <c r="A991" s="1">
        <v>46088</v>
      </c>
      <c r="B991" t="s">
        <v>328</v>
      </c>
      <c r="C991" t="s">
        <v>38</v>
      </c>
      <c r="D991" t="s">
        <v>40</v>
      </c>
      <c r="E991" t="s">
        <v>1359</v>
      </c>
      <c r="F991" t="s">
        <v>40</v>
      </c>
      <c r="G991">
        <v>2</v>
      </c>
      <c r="H991">
        <v>3</v>
      </c>
      <c r="I991" s="13">
        <v>0.6</v>
      </c>
      <c r="J991" t="s">
        <v>249</v>
      </c>
      <c r="L991" t="s">
        <v>60</v>
      </c>
      <c r="M991" t="s">
        <v>60</v>
      </c>
      <c r="N991" t="s">
        <v>40</v>
      </c>
      <c r="O991">
        <v>2</v>
      </c>
      <c r="P991">
        <v>3</v>
      </c>
      <c r="Q991" s="13">
        <v>0.61882856319649504</v>
      </c>
      <c r="R991" t="s">
        <v>249</v>
      </c>
      <c r="S991">
        <v>0.684336680251175</v>
      </c>
      <c r="T991" t="s">
        <v>60</v>
      </c>
      <c r="U991" t="s">
        <v>60</v>
      </c>
      <c r="X991" t="s">
        <v>60</v>
      </c>
      <c r="Y991" t="s">
        <v>412</v>
      </c>
      <c r="Z991" t="s">
        <v>60</v>
      </c>
      <c r="AA991" t="s">
        <v>491</v>
      </c>
    </row>
    <row r="992" spans="1:27" x14ac:dyDescent="0.2">
      <c r="A992" s="1">
        <v>46088</v>
      </c>
      <c r="B992" t="s">
        <v>328</v>
      </c>
      <c r="C992" t="s">
        <v>37</v>
      </c>
      <c r="D992" t="s">
        <v>19</v>
      </c>
      <c r="E992" t="s">
        <v>960</v>
      </c>
      <c r="F992" t="s">
        <v>37</v>
      </c>
      <c r="G992">
        <v>2</v>
      </c>
      <c r="H992">
        <v>3</v>
      </c>
      <c r="I992" s="13">
        <v>0.6</v>
      </c>
      <c r="J992" t="s">
        <v>249</v>
      </c>
      <c r="L992" t="s">
        <v>60</v>
      </c>
      <c r="M992" t="s">
        <v>60</v>
      </c>
      <c r="N992" t="s">
        <v>37</v>
      </c>
      <c r="O992">
        <v>2</v>
      </c>
      <c r="P992">
        <v>3</v>
      </c>
      <c r="Q992" s="13">
        <v>0.6803532657461332</v>
      </c>
      <c r="R992" t="s">
        <v>249</v>
      </c>
      <c r="S992">
        <v>-1.095082789142422</v>
      </c>
      <c r="T992" t="s">
        <v>60</v>
      </c>
      <c r="U992" t="s">
        <v>60</v>
      </c>
      <c r="X992" t="s">
        <v>60</v>
      </c>
      <c r="Y992" t="s">
        <v>412</v>
      </c>
      <c r="Z992" t="s">
        <v>60</v>
      </c>
      <c r="AA992" t="s">
        <v>491</v>
      </c>
    </row>
    <row r="993" spans="1:27" x14ac:dyDescent="0.2">
      <c r="A993" s="1">
        <v>46088</v>
      </c>
      <c r="B993" t="s">
        <v>322</v>
      </c>
      <c r="C993" t="s">
        <v>36</v>
      </c>
      <c r="D993" t="s">
        <v>32</v>
      </c>
      <c r="E993" t="s">
        <v>1360</v>
      </c>
      <c r="F993" t="s">
        <v>36</v>
      </c>
      <c r="G993">
        <v>2</v>
      </c>
      <c r="H993">
        <v>3</v>
      </c>
      <c r="I993" s="13">
        <v>0.6</v>
      </c>
      <c r="J993" t="s">
        <v>249</v>
      </c>
      <c r="L993" t="s">
        <v>60</v>
      </c>
      <c r="M993" t="s">
        <v>60</v>
      </c>
      <c r="N993" t="s">
        <v>36</v>
      </c>
      <c r="O993">
        <v>2</v>
      </c>
      <c r="P993">
        <v>3</v>
      </c>
      <c r="Q993" s="13">
        <v>0.46795173093416148</v>
      </c>
      <c r="R993" t="s">
        <v>249</v>
      </c>
      <c r="S993">
        <v>-6.8100435490088901E-2</v>
      </c>
      <c r="T993" t="s">
        <v>60</v>
      </c>
      <c r="U993" t="s">
        <v>60</v>
      </c>
      <c r="X993" t="s">
        <v>60</v>
      </c>
      <c r="Y993" t="s">
        <v>412</v>
      </c>
      <c r="Z993" t="s">
        <v>60</v>
      </c>
      <c r="AA993" t="s">
        <v>491</v>
      </c>
    </row>
    <row r="994" spans="1:27" x14ac:dyDescent="0.2">
      <c r="A994" s="1">
        <v>46088</v>
      </c>
      <c r="B994" t="s">
        <v>1361</v>
      </c>
      <c r="C994" t="s">
        <v>27</v>
      </c>
      <c r="D994" t="s">
        <v>14</v>
      </c>
      <c r="E994" t="s">
        <v>1194</v>
      </c>
      <c r="F994" t="s">
        <v>14</v>
      </c>
      <c r="G994">
        <v>2</v>
      </c>
      <c r="H994">
        <v>3</v>
      </c>
      <c r="I994" s="13">
        <v>0.6</v>
      </c>
      <c r="J994" t="s">
        <v>249</v>
      </c>
      <c r="L994" t="s">
        <v>60</v>
      </c>
      <c r="M994" t="s">
        <v>60</v>
      </c>
      <c r="N994" t="s">
        <v>14</v>
      </c>
      <c r="O994">
        <v>2</v>
      </c>
      <c r="P994">
        <v>3</v>
      </c>
      <c r="Q994" s="13">
        <v>0.53110122187745956</v>
      </c>
      <c r="R994" t="s">
        <v>249</v>
      </c>
      <c r="S994">
        <v>0.28787611086398851</v>
      </c>
      <c r="T994" t="s">
        <v>60</v>
      </c>
      <c r="U994" t="s">
        <v>60</v>
      </c>
      <c r="X994" t="s">
        <v>60</v>
      </c>
      <c r="Y994" t="s">
        <v>412</v>
      </c>
      <c r="Z994" t="s">
        <v>60</v>
      </c>
      <c r="AA994" t="s">
        <v>491</v>
      </c>
    </row>
    <row r="995" spans="1:27" x14ac:dyDescent="0.2">
      <c r="A995" s="1">
        <v>46088</v>
      </c>
      <c r="B995" t="s">
        <v>453</v>
      </c>
      <c r="C995" t="s">
        <v>15</v>
      </c>
      <c r="D995" t="s">
        <v>24</v>
      </c>
      <c r="E995" t="s">
        <v>1362</v>
      </c>
      <c r="F995" t="s">
        <v>24</v>
      </c>
      <c r="G995">
        <v>2</v>
      </c>
      <c r="H995">
        <v>3</v>
      </c>
      <c r="I995" s="13">
        <v>0.6</v>
      </c>
      <c r="J995" t="s">
        <v>249</v>
      </c>
      <c r="L995" t="s">
        <v>60</v>
      </c>
      <c r="M995" t="s">
        <v>60</v>
      </c>
      <c r="N995" t="s">
        <v>24</v>
      </c>
      <c r="O995">
        <v>2</v>
      </c>
      <c r="P995">
        <v>3</v>
      </c>
      <c r="Q995" s="13">
        <v>0.5616102070003105</v>
      </c>
      <c r="R995" t="s">
        <v>249</v>
      </c>
      <c r="S995">
        <v>0.34146498417170928</v>
      </c>
      <c r="T995" t="s">
        <v>60</v>
      </c>
      <c r="U995" t="s">
        <v>60</v>
      </c>
      <c r="X995" t="s">
        <v>60</v>
      </c>
      <c r="Y995" t="s">
        <v>412</v>
      </c>
      <c r="Z995" t="s">
        <v>60</v>
      </c>
      <c r="AA995" t="s">
        <v>491</v>
      </c>
    </row>
    <row r="996" spans="1:27" x14ac:dyDescent="0.2">
      <c r="A996" s="1">
        <v>46088</v>
      </c>
      <c r="B996" t="s">
        <v>322</v>
      </c>
      <c r="C996" t="s">
        <v>30</v>
      </c>
      <c r="D996" t="s">
        <v>33</v>
      </c>
      <c r="E996" t="s">
        <v>1363</v>
      </c>
      <c r="F996" t="s">
        <v>30</v>
      </c>
      <c r="G996">
        <v>2</v>
      </c>
      <c r="H996">
        <v>3</v>
      </c>
      <c r="I996" s="13">
        <v>0.6</v>
      </c>
      <c r="J996" t="s">
        <v>249</v>
      </c>
      <c r="L996" t="s">
        <v>60</v>
      </c>
      <c r="M996" t="s">
        <v>60</v>
      </c>
      <c r="N996" t="s">
        <v>30</v>
      </c>
      <c r="O996">
        <v>2</v>
      </c>
      <c r="P996">
        <v>3</v>
      </c>
      <c r="Q996" s="13">
        <v>0.54118951859945774</v>
      </c>
      <c r="R996" t="s">
        <v>249</v>
      </c>
      <c r="S996">
        <v>-0.16049824601774829</v>
      </c>
      <c r="T996" t="s">
        <v>60</v>
      </c>
      <c r="U996" t="s">
        <v>60</v>
      </c>
      <c r="X996" t="s">
        <v>60</v>
      </c>
      <c r="Y996" t="s">
        <v>412</v>
      </c>
      <c r="Z996" t="s">
        <v>60</v>
      </c>
      <c r="AA996" t="s">
        <v>491</v>
      </c>
    </row>
    <row r="997" spans="1:27" x14ac:dyDescent="0.2">
      <c r="A997" s="1">
        <v>46088</v>
      </c>
      <c r="B997" t="s">
        <v>322</v>
      </c>
      <c r="C997" t="s">
        <v>25</v>
      </c>
      <c r="D997" t="s">
        <v>16</v>
      </c>
      <c r="E997" t="s">
        <v>1364</v>
      </c>
      <c r="F997" t="s">
        <v>25</v>
      </c>
      <c r="G997">
        <v>2</v>
      </c>
      <c r="H997">
        <v>3</v>
      </c>
      <c r="I997" s="13">
        <v>0.6</v>
      </c>
      <c r="J997" t="s">
        <v>249</v>
      </c>
      <c r="L997" t="s">
        <v>60</v>
      </c>
      <c r="M997" t="s">
        <v>60</v>
      </c>
      <c r="N997" t="s">
        <v>25</v>
      </c>
      <c r="O997">
        <v>2</v>
      </c>
      <c r="P997">
        <v>3</v>
      </c>
      <c r="Q997" s="13">
        <v>0.70094606912581969</v>
      </c>
      <c r="R997" t="s">
        <v>249</v>
      </c>
      <c r="S997">
        <v>-1.441555667450011</v>
      </c>
      <c r="T997" t="s">
        <v>60</v>
      </c>
      <c r="U997" t="s">
        <v>60</v>
      </c>
      <c r="X997" t="s">
        <v>60</v>
      </c>
      <c r="Y997" t="s">
        <v>412</v>
      </c>
      <c r="Z997" t="s">
        <v>60</v>
      </c>
      <c r="AA997" t="s">
        <v>491</v>
      </c>
    </row>
    <row r="998" spans="1:27" x14ac:dyDescent="0.2">
      <c r="A998" s="1">
        <v>46088</v>
      </c>
      <c r="B998" t="s">
        <v>328</v>
      </c>
      <c r="C998" t="s">
        <v>55</v>
      </c>
      <c r="D998" t="s">
        <v>28</v>
      </c>
      <c r="E998" t="s">
        <v>1365</v>
      </c>
      <c r="F998" t="s">
        <v>55</v>
      </c>
      <c r="G998">
        <v>2</v>
      </c>
      <c r="H998">
        <v>3</v>
      </c>
      <c r="I998" s="13">
        <v>0.6</v>
      </c>
      <c r="J998" t="s">
        <v>249</v>
      </c>
      <c r="L998" t="s">
        <v>60</v>
      </c>
      <c r="M998" t="s">
        <v>60</v>
      </c>
      <c r="N998" t="s">
        <v>55</v>
      </c>
      <c r="O998">
        <v>2</v>
      </c>
      <c r="P998">
        <v>3</v>
      </c>
      <c r="Q998" s="13">
        <v>0.47657655178719088</v>
      </c>
      <c r="R998" t="s">
        <v>249</v>
      </c>
      <c r="S998">
        <v>-0.14196536640619531</v>
      </c>
      <c r="T998" t="s">
        <v>60</v>
      </c>
      <c r="U998" t="s">
        <v>60</v>
      </c>
      <c r="X998" t="s">
        <v>60</v>
      </c>
      <c r="Y998" t="s">
        <v>412</v>
      </c>
      <c r="Z998" t="s">
        <v>60</v>
      </c>
      <c r="AA998" t="s">
        <v>491</v>
      </c>
    </row>
    <row r="999" spans="1:27" x14ac:dyDescent="0.2">
      <c r="A999" s="1">
        <v>46088</v>
      </c>
      <c r="B999" t="s">
        <v>1361</v>
      </c>
      <c r="C999" t="s">
        <v>29</v>
      </c>
      <c r="D999" t="s">
        <v>23</v>
      </c>
      <c r="E999" t="s">
        <v>1366</v>
      </c>
      <c r="F999" t="s">
        <v>23</v>
      </c>
      <c r="G999">
        <v>2</v>
      </c>
      <c r="H999">
        <v>3</v>
      </c>
      <c r="I999" s="13">
        <v>0.6</v>
      </c>
      <c r="J999" t="s">
        <v>249</v>
      </c>
      <c r="L999" t="s">
        <v>60</v>
      </c>
      <c r="M999" t="s">
        <v>60</v>
      </c>
      <c r="N999" t="s">
        <v>23</v>
      </c>
      <c r="O999">
        <v>2</v>
      </c>
      <c r="P999">
        <v>3</v>
      </c>
      <c r="Q999" s="13">
        <v>0.66206551085191068</v>
      </c>
      <c r="R999" t="s">
        <v>249</v>
      </c>
      <c r="S999">
        <v>0.95870759699263364</v>
      </c>
      <c r="T999" t="s">
        <v>60</v>
      </c>
      <c r="U999" t="s">
        <v>60</v>
      </c>
      <c r="X999" t="s">
        <v>60</v>
      </c>
      <c r="Y999" t="s">
        <v>412</v>
      </c>
      <c r="Z999" t="s">
        <v>60</v>
      </c>
      <c r="AA999" t="s">
        <v>491</v>
      </c>
    </row>
    <row r="1000" spans="1:27" x14ac:dyDescent="0.2">
      <c r="A1000" s="1">
        <v>46088</v>
      </c>
      <c r="B1000" t="s">
        <v>555</v>
      </c>
      <c r="C1000" t="s">
        <v>22</v>
      </c>
      <c r="D1000" t="s">
        <v>21</v>
      </c>
      <c r="E1000" t="s">
        <v>1367</v>
      </c>
      <c r="F1000" t="s">
        <v>22</v>
      </c>
      <c r="G1000">
        <v>2</v>
      </c>
      <c r="H1000">
        <v>3</v>
      </c>
      <c r="I1000" s="13">
        <v>0.6</v>
      </c>
      <c r="J1000" t="s">
        <v>249</v>
      </c>
      <c r="L1000" t="s">
        <v>60</v>
      </c>
      <c r="M1000" t="s">
        <v>60</v>
      </c>
      <c r="N1000" t="s">
        <v>22</v>
      </c>
      <c r="O1000">
        <v>2</v>
      </c>
      <c r="P1000">
        <v>3</v>
      </c>
      <c r="Q1000" s="13">
        <v>0.53031018143600306</v>
      </c>
      <c r="R1000" t="s">
        <v>249</v>
      </c>
      <c r="S1000">
        <v>-0.61057624437832603</v>
      </c>
      <c r="T1000" t="s">
        <v>60</v>
      </c>
      <c r="U1000" t="s">
        <v>60</v>
      </c>
      <c r="X1000" t="s">
        <v>60</v>
      </c>
      <c r="Y1000" t="s">
        <v>412</v>
      </c>
      <c r="Z1000" t="s">
        <v>60</v>
      </c>
      <c r="AA1000" t="s">
        <v>491</v>
      </c>
    </row>
    <row r="1001" spans="1:27" x14ac:dyDescent="0.2">
      <c r="A1001" s="1">
        <v>46088</v>
      </c>
      <c r="B1001" t="s">
        <v>328</v>
      </c>
      <c r="C1001" t="s">
        <v>18</v>
      </c>
      <c r="D1001" t="s">
        <v>13</v>
      </c>
      <c r="E1001" t="s">
        <v>1368</v>
      </c>
      <c r="F1001" t="s">
        <v>13</v>
      </c>
      <c r="G1001">
        <v>2</v>
      </c>
      <c r="H1001">
        <v>3</v>
      </c>
      <c r="I1001" s="13">
        <v>0.6</v>
      </c>
      <c r="J1001" t="s">
        <v>249</v>
      </c>
      <c r="L1001" t="s">
        <v>60</v>
      </c>
      <c r="M1001" t="s">
        <v>60</v>
      </c>
      <c r="N1001" t="s">
        <v>13</v>
      </c>
      <c r="O1001">
        <v>2</v>
      </c>
      <c r="P1001">
        <v>3</v>
      </c>
      <c r="Q1001" s="13">
        <v>0.51626782676358607</v>
      </c>
      <c r="R1001" t="s">
        <v>249</v>
      </c>
      <c r="S1001">
        <v>0.30450677851977398</v>
      </c>
      <c r="T1001" t="s">
        <v>60</v>
      </c>
      <c r="U1001" t="s">
        <v>60</v>
      </c>
      <c r="X1001" t="s">
        <v>60</v>
      </c>
      <c r="Y1001" t="s">
        <v>412</v>
      </c>
      <c r="Z1001" t="s">
        <v>60</v>
      </c>
      <c r="AA1001" t="s">
        <v>491</v>
      </c>
    </row>
    <row r="1002" spans="1:27" x14ac:dyDescent="0.2">
      <c r="A1002" s="1">
        <v>46089</v>
      </c>
      <c r="B1002" t="s">
        <v>426</v>
      </c>
      <c r="C1002" t="s">
        <v>17</v>
      </c>
      <c r="D1002" t="s">
        <v>20</v>
      </c>
      <c r="E1002" t="s">
        <v>1369</v>
      </c>
      <c r="F1002" t="s">
        <v>20</v>
      </c>
      <c r="G1002">
        <v>2</v>
      </c>
      <c r="H1002">
        <v>3</v>
      </c>
      <c r="I1002" s="13">
        <v>0.6</v>
      </c>
      <c r="J1002" t="s">
        <v>249</v>
      </c>
      <c r="L1002" t="s">
        <v>60</v>
      </c>
      <c r="M1002" t="s">
        <v>60</v>
      </c>
      <c r="N1002" t="s">
        <v>20</v>
      </c>
      <c r="O1002">
        <v>2</v>
      </c>
      <c r="P1002">
        <v>3</v>
      </c>
      <c r="Q1002" s="13">
        <v>0.61276856641927757</v>
      </c>
      <c r="R1002" t="s">
        <v>249</v>
      </c>
      <c r="S1002">
        <v>0.62320658284004771</v>
      </c>
      <c r="T1002" t="s">
        <v>60</v>
      </c>
      <c r="U1002" t="s">
        <v>60</v>
      </c>
      <c r="X1002" t="s">
        <v>60</v>
      </c>
      <c r="Y1002" t="s">
        <v>412</v>
      </c>
      <c r="Z1002" t="s">
        <v>60</v>
      </c>
      <c r="AA1002" t="s">
        <v>491</v>
      </c>
    </row>
    <row r="1003" spans="1:27" x14ac:dyDescent="0.2">
      <c r="A1003" s="1">
        <v>46089</v>
      </c>
      <c r="B1003" t="s">
        <v>328</v>
      </c>
      <c r="C1003" t="s">
        <v>26</v>
      </c>
      <c r="D1003" t="s">
        <v>24</v>
      </c>
      <c r="E1003" t="s">
        <v>374</v>
      </c>
      <c r="F1003" t="s">
        <v>24</v>
      </c>
      <c r="G1003">
        <v>2</v>
      </c>
      <c r="H1003">
        <v>3</v>
      </c>
      <c r="I1003" s="13">
        <v>0.6</v>
      </c>
      <c r="J1003" t="s">
        <v>249</v>
      </c>
      <c r="L1003" t="s">
        <v>60</v>
      </c>
      <c r="M1003" t="s">
        <v>60</v>
      </c>
      <c r="N1003" t="s">
        <v>24</v>
      </c>
      <c r="O1003">
        <v>2</v>
      </c>
      <c r="P1003">
        <v>3</v>
      </c>
      <c r="Q1003" s="13">
        <v>0.72804885233218297</v>
      </c>
      <c r="R1003" t="s">
        <v>249</v>
      </c>
      <c r="S1003">
        <v>0.92677056472007624</v>
      </c>
      <c r="T1003" t="s">
        <v>60</v>
      </c>
      <c r="U1003" t="s">
        <v>60</v>
      </c>
      <c r="X1003" t="s">
        <v>60</v>
      </c>
      <c r="Y1003" t="s">
        <v>412</v>
      </c>
      <c r="Z1003" t="s">
        <v>60</v>
      </c>
      <c r="AA1003" t="s">
        <v>491</v>
      </c>
    </row>
    <row r="1004" spans="1:27" x14ac:dyDescent="0.2">
      <c r="A1004" s="1">
        <v>46089</v>
      </c>
      <c r="B1004" t="s">
        <v>469</v>
      </c>
      <c r="C1004" t="s">
        <v>10</v>
      </c>
      <c r="D1004" t="s">
        <v>39</v>
      </c>
      <c r="E1004" t="s">
        <v>1071</v>
      </c>
      <c r="F1004" t="s">
        <v>39</v>
      </c>
      <c r="G1004">
        <v>2</v>
      </c>
      <c r="H1004">
        <v>3</v>
      </c>
      <c r="I1004" s="13">
        <v>0.6</v>
      </c>
      <c r="J1004" t="s">
        <v>249</v>
      </c>
      <c r="L1004" t="s">
        <v>60</v>
      </c>
      <c r="M1004" t="s">
        <v>60</v>
      </c>
      <c r="N1004" t="s">
        <v>39</v>
      </c>
      <c r="O1004">
        <v>2</v>
      </c>
      <c r="P1004">
        <v>3</v>
      </c>
      <c r="Q1004" s="13">
        <v>0.64692174205887343</v>
      </c>
      <c r="R1004" t="s">
        <v>249</v>
      </c>
      <c r="S1004">
        <v>0.6395395059625959</v>
      </c>
      <c r="T1004" t="s">
        <v>60</v>
      </c>
      <c r="U1004" t="s">
        <v>60</v>
      </c>
      <c r="X1004" t="s">
        <v>60</v>
      </c>
      <c r="Y1004" t="s">
        <v>412</v>
      </c>
      <c r="Z1004" t="s">
        <v>60</v>
      </c>
      <c r="AA1004" t="s">
        <v>491</v>
      </c>
    </row>
    <row r="1005" spans="1:27" x14ac:dyDescent="0.2">
      <c r="A1005" s="1">
        <v>46089</v>
      </c>
      <c r="B1005" t="s">
        <v>1370</v>
      </c>
      <c r="C1005" t="s">
        <v>21</v>
      </c>
      <c r="D1005" t="s">
        <v>14</v>
      </c>
      <c r="E1005" t="s">
        <v>1371</v>
      </c>
      <c r="F1005" t="s">
        <v>14</v>
      </c>
      <c r="G1005">
        <v>2</v>
      </c>
      <c r="H1005">
        <v>3</v>
      </c>
      <c r="I1005" s="13">
        <v>0.6</v>
      </c>
      <c r="J1005" t="s">
        <v>249</v>
      </c>
      <c r="L1005" t="s">
        <v>60</v>
      </c>
      <c r="M1005" t="s">
        <v>60</v>
      </c>
      <c r="N1005" t="s">
        <v>14</v>
      </c>
      <c r="O1005">
        <v>2</v>
      </c>
      <c r="P1005">
        <v>3</v>
      </c>
      <c r="Q1005" s="13">
        <v>0.5540470713963267</v>
      </c>
      <c r="R1005" t="s">
        <v>249</v>
      </c>
      <c r="S1005">
        <v>0.127406287805404</v>
      </c>
      <c r="T1005" t="s">
        <v>60</v>
      </c>
      <c r="U1005" t="s">
        <v>60</v>
      </c>
      <c r="X1005" t="s">
        <v>60</v>
      </c>
      <c r="Y1005" t="s">
        <v>412</v>
      </c>
      <c r="Z1005" t="s">
        <v>60</v>
      </c>
      <c r="AA1005" t="s">
        <v>491</v>
      </c>
    </row>
    <row r="1006" spans="1:27" x14ac:dyDescent="0.2">
      <c r="A1006" s="1">
        <v>46089</v>
      </c>
      <c r="B1006" t="s">
        <v>469</v>
      </c>
      <c r="C1006" t="s">
        <v>37</v>
      </c>
      <c r="D1006" t="s">
        <v>23</v>
      </c>
      <c r="E1006" t="s">
        <v>1372</v>
      </c>
      <c r="F1006" t="s">
        <v>37</v>
      </c>
      <c r="G1006">
        <v>2</v>
      </c>
      <c r="H1006">
        <v>3</v>
      </c>
      <c r="I1006" s="13">
        <v>0.6</v>
      </c>
      <c r="J1006" t="s">
        <v>249</v>
      </c>
      <c r="L1006" t="s">
        <v>60</v>
      </c>
      <c r="M1006" t="s">
        <v>60</v>
      </c>
      <c r="N1006" t="s">
        <v>37</v>
      </c>
      <c r="O1006">
        <v>2</v>
      </c>
      <c r="P1006">
        <v>3</v>
      </c>
      <c r="Q1006" s="13">
        <v>0.65174813974582668</v>
      </c>
      <c r="R1006" t="s">
        <v>249</v>
      </c>
      <c r="S1006">
        <v>-0.93671463356403162</v>
      </c>
      <c r="T1006" t="s">
        <v>60</v>
      </c>
      <c r="U1006" t="s">
        <v>60</v>
      </c>
      <c r="X1006" t="s">
        <v>60</v>
      </c>
      <c r="Y1006" t="s">
        <v>412</v>
      </c>
      <c r="Z1006" t="s">
        <v>60</v>
      </c>
      <c r="AA1006" t="s">
        <v>491</v>
      </c>
    </row>
    <row r="1007" spans="1:27" x14ac:dyDescent="0.2">
      <c r="A1007" s="1">
        <v>46089</v>
      </c>
      <c r="B1007" t="s">
        <v>326</v>
      </c>
      <c r="C1007" t="s">
        <v>35</v>
      </c>
      <c r="D1007" t="s">
        <v>31</v>
      </c>
      <c r="E1007" t="s">
        <v>1373</v>
      </c>
      <c r="F1007" t="s">
        <v>31</v>
      </c>
      <c r="G1007">
        <v>2</v>
      </c>
      <c r="H1007">
        <v>3</v>
      </c>
      <c r="I1007" s="13">
        <v>0.6</v>
      </c>
      <c r="J1007" t="s">
        <v>249</v>
      </c>
      <c r="L1007" t="s">
        <v>60</v>
      </c>
      <c r="M1007" t="s">
        <v>60</v>
      </c>
      <c r="N1007" t="s">
        <v>31</v>
      </c>
      <c r="O1007">
        <v>2</v>
      </c>
      <c r="P1007">
        <v>3</v>
      </c>
      <c r="Q1007" s="13">
        <v>0.80935350588794874</v>
      </c>
      <c r="R1007" t="s">
        <v>249</v>
      </c>
      <c r="S1007">
        <v>1.6230821427101509</v>
      </c>
      <c r="T1007" t="s">
        <v>60</v>
      </c>
      <c r="U1007" t="s">
        <v>60</v>
      </c>
      <c r="X1007" t="s">
        <v>60</v>
      </c>
      <c r="Y1007" t="s">
        <v>412</v>
      </c>
      <c r="Z1007" t="s">
        <v>60</v>
      </c>
      <c r="AA1007" t="s">
        <v>491</v>
      </c>
    </row>
    <row r="1008" spans="1:27" x14ac:dyDescent="0.2">
      <c r="A1008" s="1">
        <v>46089</v>
      </c>
      <c r="B1008" t="s">
        <v>459</v>
      </c>
      <c r="C1008" t="s">
        <v>34</v>
      </c>
      <c r="D1008" t="s">
        <v>12</v>
      </c>
      <c r="E1008" t="s">
        <v>1317</v>
      </c>
      <c r="F1008" t="s">
        <v>12</v>
      </c>
      <c r="G1008">
        <v>2</v>
      </c>
      <c r="H1008">
        <v>3</v>
      </c>
      <c r="I1008" s="13">
        <v>0.6</v>
      </c>
      <c r="J1008" t="s">
        <v>249</v>
      </c>
      <c r="L1008" t="s">
        <v>60</v>
      </c>
      <c r="M1008" t="s">
        <v>60</v>
      </c>
      <c r="N1008" t="s">
        <v>12</v>
      </c>
      <c r="O1008">
        <v>2</v>
      </c>
      <c r="P1008">
        <v>3</v>
      </c>
      <c r="Q1008" s="13">
        <v>0.80720772313376354</v>
      </c>
      <c r="R1008" t="s">
        <v>249</v>
      </c>
      <c r="S1008">
        <v>1.736929194799617</v>
      </c>
      <c r="T1008" t="s">
        <v>60</v>
      </c>
      <c r="U1008" t="s">
        <v>60</v>
      </c>
      <c r="X1008" t="s">
        <v>60</v>
      </c>
      <c r="Y1008" t="s">
        <v>412</v>
      </c>
      <c r="Z1008" t="s">
        <v>60</v>
      </c>
      <c r="AA1008" t="s">
        <v>491</v>
      </c>
    </row>
    <row r="1009" spans="1:27" x14ac:dyDescent="0.2">
      <c r="A1009" s="1">
        <v>46090</v>
      </c>
      <c r="B1009" t="s">
        <v>416</v>
      </c>
      <c r="C1009" t="s">
        <v>55</v>
      </c>
      <c r="D1009" t="s">
        <v>10</v>
      </c>
      <c r="E1009" t="s">
        <v>554</v>
      </c>
      <c r="F1009" t="s">
        <v>10</v>
      </c>
      <c r="G1009">
        <v>2</v>
      </c>
      <c r="H1009">
        <v>3</v>
      </c>
      <c r="I1009" s="13">
        <v>0.6</v>
      </c>
      <c r="J1009" t="s">
        <v>249</v>
      </c>
      <c r="L1009" t="s">
        <v>60</v>
      </c>
      <c r="M1009" t="s">
        <v>60</v>
      </c>
      <c r="N1009" t="s">
        <v>10</v>
      </c>
      <c r="O1009">
        <v>2</v>
      </c>
      <c r="P1009">
        <v>3</v>
      </c>
      <c r="Q1009" s="13">
        <v>0.57232372932370801</v>
      </c>
      <c r="R1009" t="s">
        <v>249</v>
      </c>
      <c r="S1009">
        <v>0.27682778276003128</v>
      </c>
      <c r="T1009" t="s">
        <v>60</v>
      </c>
      <c r="U1009" t="s">
        <v>60</v>
      </c>
      <c r="X1009" t="s">
        <v>60</v>
      </c>
      <c r="Y1009" t="s">
        <v>412</v>
      </c>
      <c r="Z1009" t="s">
        <v>60</v>
      </c>
      <c r="AA1009" t="s">
        <v>491</v>
      </c>
    </row>
    <row r="1010" spans="1:27" x14ac:dyDescent="0.2">
      <c r="A1010" s="1">
        <v>46090</v>
      </c>
      <c r="B1010" t="s">
        <v>328</v>
      </c>
      <c r="C1010" t="s">
        <v>15</v>
      </c>
      <c r="D1010" t="s">
        <v>27</v>
      </c>
      <c r="E1010" t="s">
        <v>1203</v>
      </c>
      <c r="F1010" t="s">
        <v>15</v>
      </c>
      <c r="G1010">
        <v>2</v>
      </c>
      <c r="H1010">
        <v>3</v>
      </c>
      <c r="I1010" s="13">
        <v>0.6</v>
      </c>
      <c r="J1010" t="s">
        <v>249</v>
      </c>
      <c r="L1010" t="s">
        <v>60</v>
      </c>
      <c r="M1010" t="s">
        <v>60</v>
      </c>
      <c r="N1010" t="s">
        <v>15</v>
      </c>
      <c r="O1010">
        <v>2</v>
      </c>
      <c r="P1010">
        <v>3</v>
      </c>
      <c r="Q1010" s="13">
        <v>0.55080547688635673</v>
      </c>
      <c r="R1010" t="s">
        <v>249</v>
      </c>
      <c r="S1010">
        <v>-4.03048500992109E-2</v>
      </c>
      <c r="T1010" t="s">
        <v>60</v>
      </c>
      <c r="U1010" t="s">
        <v>60</v>
      </c>
      <c r="X1010" t="s">
        <v>60</v>
      </c>
      <c r="Y1010" t="s">
        <v>412</v>
      </c>
      <c r="Z1010" t="s">
        <v>60</v>
      </c>
      <c r="AA1010" t="s">
        <v>491</v>
      </c>
    </row>
    <row r="1011" spans="1:27" x14ac:dyDescent="0.2">
      <c r="A1011" s="1">
        <v>46090</v>
      </c>
      <c r="B1011" t="s">
        <v>326</v>
      </c>
      <c r="C1011" t="s">
        <v>36</v>
      </c>
      <c r="D1011" t="s">
        <v>38</v>
      </c>
      <c r="E1011" t="s">
        <v>1374</v>
      </c>
      <c r="F1011" t="s">
        <v>36</v>
      </c>
      <c r="G1011">
        <v>2</v>
      </c>
      <c r="H1011">
        <v>3</v>
      </c>
      <c r="I1011" s="13">
        <v>0.6</v>
      </c>
      <c r="J1011" t="s">
        <v>249</v>
      </c>
      <c r="L1011" t="s">
        <v>60</v>
      </c>
      <c r="M1011" t="s">
        <v>60</v>
      </c>
      <c r="N1011" t="s">
        <v>36</v>
      </c>
      <c r="O1011">
        <v>2</v>
      </c>
      <c r="P1011">
        <v>3</v>
      </c>
      <c r="Q1011" s="13">
        <v>0.50278271922608575</v>
      </c>
      <c r="R1011" t="s">
        <v>249</v>
      </c>
      <c r="S1011">
        <v>-0.36640095532280298</v>
      </c>
      <c r="T1011" t="s">
        <v>60</v>
      </c>
      <c r="U1011" t="s">
        <v>60</v>
      </c>
      <c r="X1011" t="s">
        <v>60</v>
      </c>
      <c r="Y1011" t="s">
        <v>412</v>
      </c>
      <c r="Z1011" t="s">
        <v>60</v>
      </c>
      <c r="AA1011" t="s">
        <v>491</v>
      </c>
    </row>
    <row r="1012" spans="1:27" x14ac:dyDescent="0.2">
      <c r="A1012" s="1">
        <v>46090</v>
      </c>
      <c r="B1012" t="s">
        <v>328</v>
      </c>
      <c r="C1012" t="s">
        <v>16</v>
      </c>
      <c r="D1012" t="s">
        <v>22</v>
      </c>
      <c r="E1012" t="s">
        <v>1375</v>
      </c>
      <c r="F1012" t="s">
        <v>22</v>
      </c>
      <c r="G1012">
        <v>2</v>
      </c>
      <c r="H1012">
        <v>3</v>
      </c>
      <c r="I1012" s="13">
        <v>0.6</v>
      </c>
      <c r="J1012" t="s">
        <v>249</v>
      </c>
      <c r="L1012" t="s">
        <v>60</v>
      </c>
      <c r="M1012" t="s">
        <v>60</v>
      </c>
      <c r="N1012" t="s">
        <v>22</v>
      </c>
      <c r="O1012">
        <v>2</v>
      </c>
      <c r="P1012">
        <v>3</v>
      </c>
      <c r="Q1012" s="13">
        <v>0.74776915271602318</v>
      </c>
      <c r="R1012" t="s">
        <v>249</v>
      </c>
      <c r="S1012">
        <v>1.5563892608215399</v>
      </c>
      <c r="T1012" t="s">
        <v>60</v>
      </c>
      <c r="U1012" t="s">
        <v>60</v>
      </c>
      <c r="X1012" t="s">
        <v>60</v>
      </c>
      <c r="Y1012" t="s">
        <v>412</v>
      </c>
      <c r="Z1012" t="s">
        <v>60</v>
      </c>
      <c r="AA1012" t="s">
        <v>491</v>
      </c>
    </row>
    <row r="1013" spans="1:27" x14ac:dyDescent="0.2">
      <c r="A1013" s="1">
        <v>46091</v>
      </c>
      <c r="B1013" t="s">
        <v>328</v>
      </c>
      <c r="C1013" t="s">
        <v>16</v>
      </c>
      <c r="D1013" t="s">
        <v>15</v>
      </c>
      <c r="E1013" t="s">
        <v>1376</v>
      </c>
      <c r="F1013" t="s">
        <v>15</v>
      </c>
      <c r="G1013">
        <v>2</v>
      </c>
      <c r="H1013">
        <v>3</v>
      </c>
      <c r="I1013" s="13">
        <v>0.6</v>
      </c>
      <c r="J1013" t="s">
        <v>249</v>
      </c>
      <c r="L1013" t="s">
        <v>60</v>
      </c>
      <c r="M1013" t="s">
        <v>60</v>
      </c>
      <c r="N1013" t="s">
        <v>15</v>
      </c>
      <c r="O1013">
        <v>2</v>
      </c>
      <c r="P1013">
        <v>3</v>
      </c>
      <c r="Q1013" s="13">
        <v>0.63640659477215578</v>
      </c>
      <c r="R1013" t="s">
        <v>249</v>
      </c>
      <c r="S1013">
        <v>0.82564804348384069</v>
      </c>
      <c r="T1013" t="s">
        <v>60</v>
      </c>
      <c r="U1013" t="s">
        <v>60</v>
      </c>
      <c r="X1013" t="s">
        <v>60</v>
      </c>
      <c r="Y1013" t="s">
        <v>412</v>
      </c>
      <c r="Z1013" t="s">
        <v>60</v>
      </c>
      <c r="AA1013" t="s">
        <v>491</v>
      </c>
    </row>
    <row r="1014" spans="1:27" x14ac:dyDescent="0.2">
      <c r="A1014" s="1">
        <v>46091</v>
      </c>
      <c r="B1014" t="s">
        <v>416</v>
      </c>
      <c r="C1014" t="s">
        <v>31</v>
      </c>
      <c r="D1014" t="s">
        <v>40</v>
      </c>
      <c r="E1014" t="s">
        <v>1377</v>
      </c>
      <c r="F1014" t="s">
        <v>31</v>
      </c>
      <c r="G1014">
        <v>2</v>
      </c>
      <c r="H1014">
        <v>3</v>
      </c>
      <c r="I1014" s="13">
        <v>0.6</v>
      </c>
      <c r="J1014" t="s">
        <v>249</v>
      </c>
      <c r="L1014" t="s">
        <v>60</v>
      </c>
      <c r="M1014" t="s">
        <v>60</v>
      </c>
      <c r="N1014" t="s">
        <v>31</v>
      </c>
      <c r="O1014">
        <v>2</v>
      </c>
      <c r="P1014">
        <v>3</v>
      </c>
      <c r="Q1014" s="13">
        <v>0.52987604196004923</v>
      </c>
      <c r="R1014" t="s">
        <v>249</v>
      </c>
      <c r="S1014">
        <v>-0.44204409669889538</v>
      </c>
      <c r="T1014" t="s">
        <v>60</v>
      </c>
      <c r="U1014" t="s">
        <v>60</v>
      </c>
      <c r="X1014" t="s">
        <v>60</v>
      </c>
      <c r="Y1014" t="s">
        <v>412</v>
      </c>
      <c r="Z1014" t="s">
        <v>60</v>
      </c>
      <c r="AA1014" t="s">
        <v>491</v>
      </c>
    </row>
    <row r="1015" spans="1:27" x14ac:dyDescent="0.2">
      <c r="A1015" s="1">
        <v>46091</v>
      </c>
      <c r="B1015" t="s">
        <v>328</v>
      </c>
      <c r="C1015" t="s">
        <v>28</v>
      </c>
      <c r="D1015" t="s">
        <v>37</v>
      </c>
      <c r="E1015" t="s">
        <v>1378</v>
      </c>
      <c r="F1015" t="s">
        <v>37</v>
      </c>
      <c r="G1015">
        <v>2</v>
      </c>
      <c r="H1015">
        <v>3</v>
      </c>
      <c r="I1015" s="13">
        <v>0.6</v>
      </c>
      <c r="J1015" t="s">
        <v>249</v>
      </c>
      <c r="L1015" t="s">
        <v>60</v>
      </c>
      <c r="M1015" t="s">
        <v>60</v>
      </c>
      <c r="N1015" t="s">
        <v>37</v>
      </c>
      <c r="O1015">
        <v>2</v>
      </c>
      <c r="P1015">
        <v>3</v>
      </c>
      <c r="Q1015" s="13">
        <v>0.70362980948891973</v>
      </c>
      <c r="R1015" t="s">
        <v>249</v>
      </c>
      <c r="S1015">
        <v>1.1553951000203071</v>
      </c>
      <c r="T1015" t="s">
        <v>60</v>
      </c>
      <c r="U1015" t="s">
        <v>60</v>
      </c>
      <c r="X1015" t="s">
        <v>60</v>
      </c>
      <c r="Y1015" t="s">
        <v>412</v>
      </c>
      <c r="Z1015" t="s">
        <v>60</v>
      </c>
      <c r="AA1015" t="s">
        <v>491</v>
      </c>
    </row>
    <row r="1016" spans="1:27" x14ac:dyDescent="0.2">
      <c r="A1016" s="1">
        <v>46091</v>
      </c>
      <c r="B1016" t="s">
        <v>334</v>
      </c>
      <c r="C1016" t="s">
        <v>30</v>
      </c>
      <c r="D1016" t="s">
        <v>35</v>
      </c>
      <c r="E1016" t="s">
        <v>1379</v>
      </c>
      <c r="F1016" t="s">
        <v>30</v>
      </c>
      <c r="G1016">
        <v>2</v>
      </c>
      <c r="H1016">
        <v>3</v>
      </c>
      <c r="I1016" s="13">
        <v>0.6</v>
      </c>
      <c r="J1016" t="s">
        <v>249</v>
      </c>
      <c r="L1016" t="s">
        <v>60</v>
      </c>
      <c r="M1016" t="s">
        <v>60</v>
      </c>
      <c r="N1016" t="s">
        <v>30</v>
      </c>
      <c r="O1016">
        <v>2</v>
      </c>
      <c r="P1016">
        <v>3</v>
      </c>
      <c r="Q1016" s="13">
        <v>0.66149008454159564</v>
      </c>
      <c r="R1016" t="s">
        <v>249</v>
      </c>
      <c r="S1016">
        <v>-1.103645625583227</v>
      </c>
      <c r="T1016" t="s">
        <v>60</v>
      </c>
      <c r="U1016" t="s">
        <v>60</v>
      </c>
      <c r="X1016" t="s">
        <v>60</v>
      </c>
      <c r="Y1016" t="s">
        <v>412</v>
      </c>
      <c r="Z1016" t="s">
        <v>60</v>
      </c>
      <c r="AA1016" t="s">
        <v>491</v>
      </c>
    </row>
    <row r="1017" spans="1:27" x14ac:dyDescent="0.2">
      <c r="A1017" s="1">
        <v>46091</v>
      </c>
      <c r="B1017" t="s">
        <v>322</v>
      </c>
      <c r="C1017" t="s">
        <v>29</v>
      </c>
      <c r="D1017" t="s">
        <v>32</v>
      </c>
      <c r="E1017" t="s">
        <v>1104</v>
      </c>
      <c r="F1017" t="s">
        <v>32</v>
      </c>
      <c r="G1017">
        <v>2</v>
      </c>
      <c r="H1017">
        <v>3</v>
      </c>
      <c r="I1017" s="13">
        <v>0.6</v>
      </c>
      <c r="J1017" t="s">
        <v>249</v>
      </c>
      <c r="L1017" t="s">
        <v>60</v>
      </c>
      <c r="M1017" t="s">
        <v>60</v>
      </c>
      <c r="N1017" t="s">
        <v>32</v>
      </c>
      <c r="O1017">
        <v>2</v>
      </c>
      <c r="P1017">
        <v>3</v>
      </c>
      <c r="Q1017" s="13">
        <v>0.63171180538170546</v>
      </c>
      <c r="R1017" t="s">
        <v>249</v>
      </c>
      <c r="S1017">
        <v>0.7854407974551334</v>
      </c>
      <c r="T1017" t="s">
        <v>60</v>
      </c>
      <c r="U1017" t="s">
        <v>60</v>
      </c>
      <c r="X1017" t="s">
        <v>60</v>
      </c>
      <c r="Y1017" t="s">
        <v>412</v>
      </c>
      <c r="Z1017" t="s">
        <v>60</v>
      </c>
      <c r="AA1017" t="s">
        <v>491</v>
      </c>
    </row>
    <row r="1018" spans="1:27" x14ac:dyDescent="0.2">
      <c r="A1018" s="1">
        <v>46091</v>
      </c>
      <c r="B1018" t="s">
        <v>328</v>
      </c>
      <c r="C1018" t="s">
        <v>19</v>
      </c>
      <c r="D1018" t="s">
        <v>18</v>
      </c>
      <c r="E1018" t="s">
        <v>350</v>
      </c>
      <c r="F1018" t="s">
        <v>18</v>
      </c>
      <c r="G1018">
        <v>2</v>
      </c>
      <c r="H1018">
        <v>3</v>
      </c>
      <c r="I1018" s="13">
        <v>0.6</v>
      </c>
      <c r="J1018" t="s">
        <v>249</v>
      </c>
      <c r="L1018" t="s">
        <v>60</v>
      </c>
      <c r="M1018" t="s">
        <v>60</v>
      </c>
      <c r="N1018" t="s">
        <v>18</v>
      </c>
      <c r="O1018">
        <v>2</v>
      </c>
      <c r="P1018">
        <v>3</v>
      </c>
      <c r="Q1018" s="13">
        <v>0.55068277416407818</v>
      </c>
      <c r="R1018" t="s">
        <v>249</v>
      </c>
      <c r="S1018">
        <v>9.1489711968317705E-2</v>
      </c>
      <c r="T1018" t="s">
        <v>60</v>
      </c>
      <c r="U1018" t="s">
        <v>60</v>
      </c>
      <c r="X1018" t="s">
        <v>60</v>
      </c>
      <c r="Y1018" t="s">
        <v>412</v>
      </c>
      <c r="Z1018" t="s">
        <v>60</v>
      </c>
      <c r="AA1018" t="s">
        <v>491</v>
      </c>
    </row>
    <row r="1019" spans="1:27" x14ac:dyDescent="0.2">
      <c r="A1019" s="1">
        <v>46091</v>
      </c>
      <c r="B1019" t="s">
        <v>324</v>
      </c>
      <c r="C1019" t="s">
        <v>55</v>
      </c>
      <c r="D1019" t="s">
        <v>34</v>
      </c>
      <c r="E1019" t="s">
        <v>679</v>
      </c>
      <c r="F1019" t="s">
        <v>34</v>
      </c>
      <c r="G1019">
        <v>2</v>
      </c>
      <c r="H1019">
        <v>3</v>
      </c>
      <c r="I1019" s="13">
        <v>0.6</v>
      </c>
      <c r="J1019" t="s">
        <v>249</v>
      </c>
      <c r="L1019" t="s">
        <v>60</v>
      </c>
      <c r="M1019" t="s">
        <v>60</v>
      </c>
      <c r="N1019" t="s">
        <v>34</v>
      </c>
      <c r="O1019">
        <v>2</v>
      </c>
      <c r="P1019">
        <v>3</v>
      </c>
      <c r="Q1019" s="13">
        <v>0.5864606100690819</v>
      </c>
      <c r="R1019" t="s">
        <v>249</v>
      </c>
      <c r="S1019">
        <v>0.39789925049486607</v>
      </c>
      <c r="T1019" t="s">
        <v>60</v>
      </c>
      <c r="U1019" t="s">
        <v>60</v>
      </c>
      <c r="X1019" t="s">
        <v>60</v>
      </c>
      <c r="Y1019" t="s">
        <v>412</v>
      </c>
      <c r="Z1019" t="s">
        <v>60</v>
      </c>
      <c r="AA1019" t="s">
        <v>491</v>
      </c>
    </row>
    <row r="1020" spans="1:27" x14ac:dyDescent="0.2">
      <c r="A1020" s="1">
        <v>46091</v>
      </c>
      <c r="B1020" t="s">
        <v>328</v>
      </c>
      <c r="C1020" t="s">
        <v>26</v>
      </c>
      <c r="D1020" t="s">
        <v>11</v>
      </c>
      <c r="E1020" t="s">
        <v>1380</v>
      </c>
      <c r="F1020" t="s">
        <v>11</v>
      </c>
      <c r="G1020">
        <v>2</v>
      </c>
      <c r="H1020">
        <v>3</v>
      </c>
      <c r="I1020" s="13">
        <v>0.6</v>
      </c>
      <c r="J1020" t="s">
        <v>249</v>
      </c>
      <c r="L1020" t="s">
        <v>60</v>
      </c>
      <c r="M1020" t="s">
        <v>60</v>
      </c>
      <c r="N1020" t="s">
        <v>11</v>
      </c>
      <c r="O1020">
        <v>2</v>
      </c>
      <c r="P1020">
        <v>3</v>
      </c>
      <c r="Q1020" s="13">
        <v>0.61568266119593729</v>
      </c>
      <c r="R1020" t="s">
        <v>249</v>
      </c>
      <c r="S1020">
        <v>0.52812202289136545</v>
      </c>
      <c r="T1020" t="s">
        <v>60</v>
      </c>
      <c r="U1020" t="s">
        <v>60</v>
      </c>
      <c r="X1020" t="s">
        <v>60</v>
      </c>
      <c r="Y1020" t="s">
        <v>412</v>
      </c>
      <c r="Z1020" t="s">
        <v>60</v>
      </c>
      <c r="AA1020" t="s">
        <v>491</v>
      </c>
    </row>
    <row r="1021" spans="1:27" x14ac:dyDescent="0.2">
      <c r="A1021" s="1">
        <v>46091</v>
      </c>
      <c r="B1021" t="s">
        <v>324</v>
      </c>
      <c r="C1021" t="s">
        <v>20</v>
      </c>
      <c r="D1021" t="s">
        <v>39</v>
      </c>
      <c r="E1021" t="s">
        <v>1381</v>
      </c>
      <c r="F1021" t="s">
        <v>39</v>
      </c>
      <c r="G1021">
        <v>2</v>
      </c>
      <c r="H1021">
        <v>3</v>
      </c>
      <c r="I1021" s="13">
        <v>0.6</v>
      </c>
      <c r="J1021" t="s">
        <v>249</v>
      </c>
      <c r="L1021" t="s">
        <v>60</v>
      </c>
      <c r="M1021" t="s">
        <v>60</v>
      </c>
      <c r="N1021" t="s">
        <v>39</v>
      </c>
      <c r="O1021">
        <v>2</v>
      </c>
      <c r="P1021">
        <v>3</v>
      </c>
      <c r="Q1021" s="13">
        <v>0.65489030342408205</v>
      </c>
      <c r="R1021" t="s">
        <v>249</v>
      </c>
      <c r="S1021">
        <v>0.70778408109891866</v>
      </c>
      <c r="T1021" t="s">
        <v>60</v>
      </c>
      <c r="U1021" t="s">
        <v>60</v>
      </c>
      <c r="X1021" t="s">
        <v>60</v>
      </c>
      <c r="Y1021" t="s">
        <v>412</v>
      </c>
      <c r="Z1021" t="s">
        <v>60</v>
      </c>
      <c r="AA1021" t="s">
        <v>491</v>
      </c>
    </row>
    <row r="1022" spans="1:27" x14ac:dyDescent="0.2">
      <c r="A1022" s="1">
        <v>46091</v>
      </c>
      <c r="B1022" t="s">
        <v>322</v>
      </c>
      <c r="C1022" t="s">
        <v>17</v>
      </c>
      <c r="D1022" t="s">
        <v>12</v>
      </c>
      <c r="E1022" t="s">
        <v>1382</v>
      </c>
      <c r="F1022" t="s">
        <v>12</v>
      </c>
      <c r="G1022">
        <v>2</v>
      </c>
      <c r="H1022">
        <v>3</v>
      </c>
      <c r="I1022" s="13">
        <v>0.6</v>
      </c>
      <c r="J1022" t="s">
        <v>249</v>
      </c>
      <c r="L1022" t="s">
        <v>60</v>
      </c>
      <c r="M1022" t="s">
        <v>60</v>
      </c>
      <c r="N1022" t="s">
        <v>12</v>
      </c>
      <c r="O1022">
        <v>2</v>
      </c>
      <c r="P1022">
        <v>3</v>
      </c>
      <c r="Q1022" s="13">
        <v>0.93618937525596579</v>
      </c>
      <c r="R1022" t="s">
        <v>249</v>
      </c>
      <c r="S1022">
        <v>2.499551071587661</v>
      </c>
      <c r="T1022" t="s">
        <v>60</v>
      </c>
      <c r="U1022" t="s">
        <v>60</v>
      </c>
      <c r="X1022" t="s">
        <v>60</v>
      </c>
      <c r="Y1022" t="s">
        <v>412</v>
      </c>
      <c r="Z1022" t="s">
        <v>60</v>
      </c>
      <c r="AA1022" t="s">
        <v>491</v>
      </c>
    </row>
    <row r="1023" spans="1:27" x14ac:dyDescent="0.2">
      <c r="A1023" s="1">
        <v>46091</v>
      </c>
      <c r="B1023" t="s">
        <v>328</v>
      </c>
      <c r="C1023" t="s">
        <v>14</v>
      </c>
      <c r="D1023" t="s">
        <v>25</v>
      </c>
      <c r="E1023" t="s">
        <v>1383</v>
      </c>
      <c r="F1023" t="s">
        <v>25</v>
      </c>
      <c r="G1023">
        <v>2</v>
      </c>
      <c r="H1023">
        <v>3</v>
      </c>
      <c r="I1023" s="13">
        <v>0.6</v>
      </c>
      <c r="J1023" t="s">
        <v>249</v>
      </c>
      <c r="L1023" t="s">
        <v>60</v>
      </c>
      <c r="M1023" t="s">
        <v>60</v>
      </c>
      <c r="N1023" t="s">
        <v>25</v>
      </c>
      <c r="O1023">
        <v>2</v>
      </c>
      <c r="P1023">
        <v>3</v>
      </c>
      <c r="Q1023" s="13">
        <v>0.62533344061854423</v>
      </c>
      <c r="R1023" t="s">
        <v>249</v>
      </c>
      <c r="S1023">
        <v>0.61784010781720522</v>
      </c>
      <c r="T1023" t="s">
        <v>60</v>
      </c>
      <c r="U1023" t="s">
        <v>60</v>
      </c>
      <c r="X1023" t="s">
        <v>60</v>
      </c>
      <c r="Y1023" t="s">
        <v>412</v>
      </c>
      <c r="Z1023" t="s">
        <v>60</v>
      </c>
      <c r="AA1023" t="s">
        <v>491</v>
      </c>
    </row>
    <row r="1024" spans="1:27" x14ac:dyDescent="0.2">
      <c r="A1024" s="1">
        <v>46091</v>
      </c>
      <c r="B1024" t="s">
        <v>328</v>
      </c>
      <c r="C1024" t="s">
        <v>33</v>
      </c>
      <c r="D1024" t="s">
        <v>23</v>
      </c>
      <c r="E1024" t="s">
        <v>1384</v>
      </c>
      <c r="F1024" t="s">
        <v>23</v>
      </c>
      <c r="G1024">
        <v>2</v>
      </c>
      <c r="H1024">
        <v>3</v>
      </c>
      <c r="I1024" s="13">
        <v>0.6</v>
      </c>
      <c r="J1024" t="s">
        <v>249</v>
      </c>
      <c r="L1024" t="s">
        <v>60</v>
      </c>
      <c r="M1024" t="s">
        <v>60</v>
      </c>
      <c r="N1024" t="s">
        <v>23</v>
      </c>
      <c r="O1024">
        <v>2</v>
      </c>
      <c r="P1024">
        <v>3</v>
      </c>
      <c r="Q1024" s="13">
        <v>0.55305553257745377</v>
      </c>
      <c r="R1024" t="s">
        <v>249</v>
      </c>
      <c r="S1024">
        <v>2.51213055648161E-2</v>
      </c>
      <c r="T1024" t="s">
        <v>60</v>
      </c>
      <c r="U1024" t="s">
        <v>60</v>
      </c>
      <c r="X1024" t="s">
        <v>60</v>
      </c>
      <c r="Y1024" t="s">
        <v>412</v>
      </c>
      <c r="Z1024" t="s">
        <v>60</v>
      </c>
      <c r="AA1024" t="s">
        <v>491</v>
      </c>
    </row>
    <row r="1025" spans="1:27" x14ac:dyDescent="0.2">
      <c r="A1025" s="1">
        <v>46091</v>
      </c>
      <c r="B1025" t="s">
        <v>328</v>
      </c>
      <c r="C1025" t="s">
        <v>13</v>
      </c>
      <c r="D1025" t="s">
        <v>21</v>
      </c>
      <c r="E1025" t="s">
        <v>1385</v>
      </c>
      <c r="F1025" t="s">
        <v>21</v>
      </c>
      <c r="G1025">
        <v>2</v>
      </c>
      <c r="H1025">
        <v>3</v>
      </c>
      <c r="I1025" s="13">
        <v>0.6</v>
      </c>
      <c r="J1025" t="s">
        <v>249</v>
      </c>
      <c r="L1025" t="s">
        <v>60</v>
      </c>
      <c r="M1025" t="s">
        <v>60</v>
      </c>
      <c r="N1025" t="s">
        <v>21</v>
      </c>
      <c r="O1025">
        <v>2</v>
      </c>
      <c r="P1025">
        <v>3</v>
      </c>
      <c r="Q1025" s="13">
        <v>0.53690626798232133</v>
      </c>
      <c r="R1025" t="s">
        <v>249</v>
      </c>
      <c r="S1025">
        <v>0.16841458715264451</v>
      </c>
      <c r="T1025" t="s">
        <v>60</v>
      </c>
      <c r="U1025" t="s">
        <v>60</v>
      </c>
      <c r="X1025" t="s">
        <v>60</v>
      </c>
      <c r="Y1025" t="s">
        <v>412</v>
      </c>
      <c r="Z1025" t="s">
        <v>60</v>
      </c>
      <c r="AA1025" t="s">
        <v>491</v>
      </c>
    </row>
    <row r="1026" spans="1:27" x14ac:dyDescent="0.2">
      <c r="A1026" s="1">
        <v>46092</v>
      </c>
      <c r="B1026" t="s">
        <v>334</v>
      </c>
      <c r="C1026" t="s">
        <v>18</v>
      </c>
      <c r="D1026" t="s">
        <v>36</v>
      </c>
      <c r="E1026" t="s">
        <v>1207</v>
      </c>
      <c r="F1026" t="s">
        <v>36</v>
      </c>
      <c r="G1026">
        <v>2</v>
      </c>
      <c r="H1026">
        <v>3</v>
      </c>
      <c r="I1026" s="13">
        <v>0.6</v>
      </c>
      <c r="J1026" t="s">
        <v>249</v>
      </c>
      <c r="L1026" t="s">
        <v>60</v>
      </c>
      <c r="M1026" t="s">
        <v>60</v>
      </c>
      <c r="N1026" t="s">
        <v>36</v>
      </c>
      <c r="O1026">
        <v>2</v>
      </c>
      <c r="P1026">
        <v>3</v>
      </c>
      <c r="Q1026" s="13">
        <v>0.49623074346744273</v>
      </c>
      <c r="R1026" t="s">
        <v>249</v>
      </c>
      <c r="S1026">
        <v>0.111414326332149</v>
      </c>
      <c r="T1026" t="s">
        <v>60</v>
      </c>
      <c r="U1026" t="s">
        <v>60</v>
      </c>
      <c r="X1026" t="s">
        <v>60</v>
      </c>
      <c r="Y1026" t="s">
        <v>412</v>
      </c>
      <c r="Z1026" t="s">
        <v>60</v>
      </c>
      <c r="AA1026" t="s">
        <v>491</v>
      </c>
    </row>
    <row r="1027" spans="1:27" x14ac:dyDescent="0.2">
      <c r="A1027" s="1">
        <v>46092</v>
      </c>
      <c r="B1027" t="s">
        <v>334</v>
      </c>
      <c r="C1027" t="s">
        <v>22</v>
      </c>
      <c r="D1027" t="s">
        <v>27</v>
      </c>
      <c r="E1027" t="s">
        <v>1299</v>
      </c>
      <c r="F1027" t="s">
        <v>22</v>
      </c>
      <c r="G1027">
        <v>2</v>
      </c>
      <c r="H1027">
        <v>3</v>
      </c>
      <c r="I1027" s="13">
        <v>0.6</v>
      </c>
      <c r="J1027" t="s">
        <v>249</v>
      </c>
      <c r="L1027" t="s">
        <v>60</v>
      </c>
      <c r="M1027" t="s">
        <v>60</v>
      </c>
      <c r="N1027" t="s">
        <v>22</v>
      </c>
      <c r="O1027">
        <v>2</v>
      </c>
      <c r="P1027">
        <v>3</v>
      </c>
      <c r="Q1027" s="13">
        <v>0.57840310122428151</v>
      </c>
      <c r="R1027" t="s">
        <v>249</v>
      </c>
      <c r="S1027">
        <v>-0.7710460674369104</v>
      </c>
      <c r="T1027" t="s">
        <v>60</v>
      </c>
      <c r="U1027" t="s">
        <v>60</v>
      </c>
      <c r="X1027" t="s">
        <v>60</v>
      </c>
      <c r="Y1027" t="s">
        <v>412</v>
      </c>
      <c r="Z1027" t="s">
        <v>60</v>
      </c>
      <c r="AA1027" t="s">
        <v>491</v>
      </c>
    </row>
    <row r="1028" spans="1:27" x14ac:dyDescent="0.2">
      <c r="A1028" s="1">
        <v>46093</v>
      </c>
      <c r="B1028" t="s">
        <v>324</v>
      </c>
      <c r="C1028" t="s">
        <v>15</v>
      </c>
      <c r="D1028" t="s">
        <v>40</v>
      </c>
      <c r="E1028" t="s">
        <v>1386</v>
      </c>
      <c r="F1028" t="s">
        <v>40</v>
      </c>
      <c r="G1028">
        <v>2</v>
      </c>
      <c r="H1028">
        <v>3</v>
      </c>
      <c r="I1028" s="13">
        <v>0.6</v>
      </c>
      <c r="J1028" t="s">
        <v>249</v>
      </c>
      <c r="L1028" t="s">
        <v>60</v>
      </c>
      <c r="M1028" t="s">
        <v>60</v>
      </c>
      <c r="N1028" t="s">
        <v>40</v>
      </c>
      <c r="O1028">
        <v>2</v>
      </c>
      <c r="P1028">
        <v>3</v>
      </c>
      <c r="Q1028" s="13">
        <v>0.44551310452192272</v>
      </c>
      <c r="R1028" t="s">
        <v>249</v>
      </c>
      <c r="S1028">
        <v>2.6692909624313501E-2</v>
      </c>
      <c r="T1028" t="s">
        <v>60</v>
      </c>
      <c r="U1028" t="s">
        <v>60</v>
      </c>
      <c r="X1028" t="s">
        <v>60</v>
      </c>
      <c r="Y1028" t="s">
        <v>412</v>
      </c>
      <c r="Z1028" t="s">
        <v>60</v>
      </c>
      <c r="AA1028" t="s">
        <v>491</v>
      </c>
    </row>
    <row r="1029" spans="1:27" x14ac:dyDescent="0.2">
      <c r="A1029" s="1">
        <v>46093</v>
      </c>
      <c r="B1029" t="s">
        <v>322</v>
      </c>
      <c r="C1029" t="s">
        <v>14</v>
      </c>
      <c r="D1029" t="s">
        <v>20</v>
      </c>
      <c r="E1029" t="s">
        <v>1387</v>
      </c>
      <c r="F1029" t="s">
        <v>14</v>
      </c>
      <c r="G1029">
        <v>2</v>
      </c>
      <c r="H1029">
        <v>3</v>
      </c>
      <c r="I1029" s="13">
        <v>0.6</v>
      </c>
      <c r="J1029" t="s">
        <v>249</v>
      </c>
      <c r="L1029" t="s">
        <v>60</v>
      </c>
      <c r="M1029" t="s">
        <v>60</v>
      </c>
      <c r="N1029" t="s">
        <v>14</v>
      </c>
      <c r="O1029">
        <v>2</v>
      </c>
      <c r="P1029">
        <v>3</v>
      </c>
      <c r="Q1029" s="13">
        <v>0.50539071141024106</v>
      </c>
      <c r="R1029" t="s">
        <v>249</v>
      </c>
      <c r="S1029">
        <v>-5.2275859831983899E-2</v>
      </c>
      <c r="T1029" t="s">
        <v>60</v>
      </c>
      <c r="U1029" t="s">
        <v>60</v>
      </c>
      <c r="X1029" t="s">
        <v>60</v>
      </c>
      <c r="Y1029" t="s">
        <v>412</v>
      </c>
      <c r="Z1029" t="s">
        <v>60</v>
      </c>
      <c r="AA1029" t="s">
        <v>491</v>
      </c>
    </row>
    <row r="1030" spans="1:27" x14ac:dyDescent="0.2">
      <c r="A1030" s="1">
        <v>46093</v>
      </c>
      <c r="B1030" t="s">
        <v>326</v>
      </c>
      <c r="C1030" t="s">
        <v>10</v>
      </c>
      <c r="D1030" t="s">
        <v>55</v>
      </c>
      <c r="E1030" t="s">
        <v>1331</v>
      </c>
      <c r="F1030" t="s">
        <v>10</v>
      </c>
      <c r="G1030">
        <v>2</v>
      </c>
      <c r="H1030">
        <v>3</v>
      </c>
      <c r="I1030" s="13">
        <v>0.6</v>
      </c>
      <c r="J1030" t="s">
        <v>249</v>
      </c>
      <c r="L1030" t="s">
        <v>60</v>
      </c>
      <c r="M1030" t="s">
        <v>60</v>
      </c>
      <c r="N1030" t="s">
        <v>10</v>
      </c>
      <c r="O1030">
        <v>2</v>
      </c>
      <c r="P1030">
        <v>3</v>
      </c>
      <c r="Q1030" s="13">
        <v>0.44023925403906528</v>
      </c>
      <c r="R1030" t="s">
        <v>249</v>
      </c>
      <c r="S1030">
        <v>-0.17702628491370639</v>
      </c>
      <c r="T1030" t="s">
        <v>60</v>
      </c>
      <c r="U1030" t="s">
        <v>60</v>
      </c>
      <c r="X1030" t="s">
        <v>60</v>
      </c>
      <c r="Y1030" t="s">
        <v>412</v>
      </c>
      <c r="Z1030" t="s">
        <v>60</v>
      </c>
      <c r="AA1030" t="s">
        <v>491</v>
      </c>
    </row>
    <row r="1031" spans="1:27" x14ac:dyDescent="0.2">
      <c r="A1031" s="1">
        <v>46093</v>
      </c>
      <c r="B1031" t="s">
        <v>328</v>
      </c>
      <c r="C1031" t="s">
        <v>31</v>
      </c>
      <c r="D1031" t="s">
        <v>19</v>
      </c>
      <c r="E1031" t="s">
        <v>1388</v>
      </c>
      <c r="F1031" t="s">
        <v>31</v>
      </c>
      <c r="G1031">
        <v>2</v>
      </c>
      <c r="H1031">
        <v>3</v>
      </c>
      <c r="I1031" s="13">
        <v>0.6</v>
      </c>
      <c r="J1031" t="s">
        <v>249</v>
      </c>
      <c r="L1031" t="s">
        <v>60</v>
      </c>
      <c r="M1031" t="s">
        <v>60</v>
      </c>
      <c r="N1031" t="s">
        <v>31</v>
      </c>
      <c r="O1031">
        <v>2</v>
      </c>
      <c r="P1031">
        <v>3</v>
      </c>
      <c r="Q1031" s="13">
        <v>0.56989353689022348</v>
      </c>
      <c r="R1031" t="s">
        <v>249</v>
      </c>
      <c r="S1031">
        <v>-0.76328086423508434</v>
      </c>
      <c r="T1031" t="s">
        <v>60</v>
      </c>
      <c r="U1031" t="s">
        <v>60</v>
      </c>
      <c r="X1031" t="s">
        <v>60</v>
      </c>
      <c r="Y1031" t="s">
        <v>412</v>
      </c>
      <c r="Z1031" t="s">
        <v>60</v>
      </c>
      <c r="AA1031" t="s">
        <v>491</v>
      </c>
    </row>
    <row r="1032" spans="1:27" x14ac:dyDescent="0.2">
      <c r="A1032" s="1">
        <v>46093</v>
      </c>
      <c r="B1032" t="s">
        <v>328</v>
      </c>
      <c r="C1032" t="s">
        <v>26</v>
      </c>
      <c r="D1032" t="s">
        <v>37</v>
      </c>
      <c r="E1032" t="s">
        <v>1389</v>
      </c>
      <c r="F1032" t="s">
        <v>37</v>
      </c>
      <c r="G1032">
        <v>2</v>
      </c>
      <c r="H1032">
        <v>3</v>
      </c>
      <c r="I1032" s="13">
        <v>0.6</v>
      </c>
      <c r="J1032" t="s">
        <v>249</v>
      </c>
      <c r="L1032" t="s">
        <v>60</v>
      </c>
      <c r="M1032" t="s">
        <v>60</v>
      </c>
      <c r="N1032" t="s">
        <v>37</v>
      </c>
      <c r="O1032">
        <v>2</v>
      </c>
      <c r="P1032">
        <v>3</v>
      </c>
      <c r="Q1032" s="13">
        <v>0.73989051508295656</v>
      </c>
      <c r="R1032" t="s">
        <v>249</v>
      </c>
      <c r="S1032">
        <v>1.435745260702076</v>
      </c>
      <c r="T1032" t="s">
        <v>60</v>
      </c>
      <c r="U1032" t="s">
        <v>60</v>
      </c>
      <c r="X1032" t="s">
        <v>60</v>
      </c>
      <c r="Y1032" t="s">
        <v>412</v>
      </c>
      <c r="Z1032" t="s">
        <v>60</v>
      </c>
      <c r="AA1032" t="s">
        <v>491</v>
      </c>
    </row>
    <row r="1033" spans="1:27" x14ac:dyDescent="0.2">
      <c r="A1033" s="1">
        <v>46093</v>
      </c>
      <c r="B1033" t="s">
        <v>322</v>
      </c>
      <c r="C1033" t="s">
        <v>12</v>
      </c>
      <c r="D1033" t="s">
        <v>32</v>
      </c>
      <c r="E1033" t="s">
        <v>1012</v>
      </c>
      <c r="F1033" t="s">
        <v>12</v>
      </c>
      <c r="G1033">
        <v>2</v>
      </c>
      <c r="H1033">
        <v>3</v>
      </c>
      <c r="I1033" s="13">
        <v>0.6</v>
      </c>
      <c r="J1033" t="s">
        <v>249</v>
      </c>
      <c r="L1033" t="s">
        <v>60</v>
      </c>
      <c r="M1033" t="s">
        <v>60</v>
      </c>
      <c r="N1033" t="s">
        <v>12</v>
      </c>
      <c r="O1033">
        <v>2</v>
      </c>
      <c r="P1033">
        <v>3</v>
      </c>
      <c r="Q1033" s="13">
        <v>0.79316973383163425</v>
      </c>
      <c r="R1033" t="s">
        <v>249</v>
      </c>
      <c r="S1033">
        <v>-2.2313801447819031</v>
      </c>
      <c r="T1033" t="s">
        <v>60</v>
      </c>
      <c r="U1033" t="s">
        <v>60</v>
      </c>
      <c r="X1033" t="s">
        <v>60</v>
      </c>
      <c r="Y1033" t="s">
        <v>412</v>
      </c>
      <c r="Z1033" t="s">
        <v>60</v>
      </c>
      <c r="AA1033" t="s">
        <v>491</v>
      </c>
    </row>
    <row r="1034" spans="1:27" x14ac:dyDescent="0.2">
      <c r="A1034" s="1">
        <v>46093</v>
      </c>
      <c r="B1034" t="s">
        <v>322</v>
      </c>
      <c r="C1034" t="s">
        <v>29</v>
      </c>
      <c r="D1034" t="s">
        <v>38</v>
      </c>
      <c r="E1034" t="s">
        <v>1390</v>
      </c>
      <c r="F1034" t="s">
        <v>38</v>
      </c>
      <c r="G1034">
        <v>2</v>
      </c>
      <c r="H1034">
        <v>3</v>
      </c>
      <c r="I1034" s="13">
        <v>0.6</v>
      </c>
      <c r="J1034" t="s">
        <v>249</v>
      </c>
      <c r="L1034" t="s">
        <v>60</v>
      </c>
      <c r="M1034" t="s">
        <v>60</v>
      </c>
      <c r="N1034" t="s">
        <v>38</v>
      </c>
      <c r="O1034">
        <v>2</v>
      </c>
      <c r="P1034">
        <v>3</v>
      </c>
      <c r="Q1034" s="13">
        <v>0.59688081708978125</v>
      </c>
      <c r="R1034" t="s">
        <v>249</v>
      </c>
      <c r="S1034">
        <v>0.48714027762241929</v>
      </c>
      <c r="T1034" t="s">
        <v>60</v>
      </c>
      <c r="U1034" t="s">
        <v>60</v>
      </c>
      <c r="X1034" t="s">
        <v>60</v>
      </c>
      <c r="Y1034" t="s">
        <v>412</v>
      </c>
      <c r="Z1034" t="s">
        <v>60</v>
      </c>
      <c r="AA1034" t="s">
        <v>491</v>
      </c>
    </row>
    <row r="1035" spans="1:27" x14ac:dyDescent="0.2">
      <c r="A1035" s="1">
        <v>46093</v>
      </c>
      <c r="B1035" t="s">
        <v>324</v>
      </c>
      <c r="C1035" t="s">
        <v>27</v>
      </c>
      <c r="D1035" t="s">
        <v>34</v>
      </c>
      <c r="E1035" t="s">
        <v>1391</v>
      </c>
      <c r="F1035" t="s">
        <v>34</v>
      </c>
      <c r="G1035">
        <v>2</v>
      </c>
      <c r="H1035">
        <v>3</v>
      </c>
      <c r="I1035" s="13">
        <v>0.6</v>
      </c>
      <c r="J1035" t="s">
        <v>249</v>
      </c>
      <c r="L1035" t="s">
        <v>60</v>
      </c>
      <c r="M1035" t="s">
        <v>60</v>
      </c>
      <c r="N1035" t="s">
        <v>34</v>
      </c>
      <c r="O1035">
        <v>2</v>
      </c>
      <c r="P1035">
        <v>3</v>
      </c>
      <c r="Q1035" s="13">
        <v>0.54127603689676229</v>
      </c>
      <c r="R1035" t="s">
        <v>249</v>
      </c>
      <c r="S1035">
        <v>0.37501554497999973</v>
      </c>
      <c r="T1035" t="s">
        <v>60</v>
      </c>
      <c r="U1035" t="s">
        <v>60</v>
      </c>
      <c r="X1035" t="s">
        <v>60</v>
      </c>
      <c r="Y1035" t="s">
        <v>412</v>
      </c>
      <c r="Z1035" t="s">
        <v>60</v>
      </c>
      <c r="AA1035" t="s">
        <v>491</v>
      </c>
    </row>
    <row r="1036" spans="1:27" x14ac:dyDescent="0.2">
      <c r="A1036" s="1">
        <v>46093</v>
      </c>
      <c r="B1036" t="s">
        <v>328</v>
      </c>
      <c r="C1036" t="s">
        <v>28</v>
      </c>
      <c r="D1036" t="s">
        <v>11</v>
      </c>
      <c r="E1036" t="s">
        <v>946</v>
      </c>
      <c r="F1036" t="s">
        <v>11</v>
      </c>
      <c r="G1036">
        <v>2</v>
      </c>
      <c r="H1036">
        <v>3</v>
      </c>
      <c r="I1036" s="13">
        <v>0.6</v>
      </c>
      <c r="J1036" t="s">
        <v>249</v>
      </c>
      <c r="L1036" t="s">
        <v>60</v>
      </c>
      <c r="M1036" t="s">
        <v>60</v>
      </c>
      <c r="N1036" t="s">
        <v>11</v>
      </c>
      <c r="O1036">
        <v>2</v>
      </c>
      <c r="P1036">
        <v>3</v>
      </c>
      <c r="Q1036" s="13">
        <v>0.57938973736099397</v>
      </c>
      <c r="R1036" t="s">
        <v>249</v>
      </c>
      <c r="S1036">
        <v>0.24777186220959621</v>
      </c>
      <c r="T1036" t="s">
        <v>60</v>
      </c>
      <c r="U1036" t="s">
        <v>60</v>
      </c>
      <c r="X1036" t="s">
        <v>60</v>
      </c>
      <c r="Y1036" t="s">
        <v>412</v>
      </c>
      <c r="Z1036" t="s">
        <v>60</v>
      </c>
      <c r="AA1036" t="s">
        <v>491</v>
      </c>
    </row>
    <row r="1037" spans="1:27" x14ac:dyDescent="0.2">
      <c r="A1037" s="1">
        <v>46093</v>
      </c>
      <c r="B1037" t="s">
        <v>324</v>
      </c>
      <c r="C1037" t="s">
        <v>17</v>
      </c>
      <c r="D1037" t="s">
        <v>39</v>
      </c>
      <c r="E1037" t="s">
        <v>784</v>
      </c>
      <c r="F1037" t="s">
        <v>39</v>
      </c>
      <c r="G1037">
        <v>2</v>
      </c>
      <c r="H1037">
        <v>3</v>
      </c>
      <c r="I1037" s="13">
        <v>0.6</v>
      </c>
      <c r="J1037" t="s">
        <v>249</v>
      </c>
      <c r="L1037" t="s">
        <v>60</v>
      </c>
      <c r="M1037" t="s">
        <v>60</v>
      </c>
      <c r="N1037" t="s">
        <v>39</v>
      </c>
      <c r="O1037">
        <v>2</v>
      </c>
      <c r="P1037">
        <v>3</v>
      </c>
      <c r="Q1037" s="13">
        <v>0.72183222092408972</v>
      </c>
      <c r="R1037" t="s">
        <v>249</v>
      </c>
      <c r="S1037">
        <v>1.2810899150158039</v>
      </c>
      <c r="T1037" t="s">
        <v>60</v>
      </c>
      <c r="U1037" t="s">
        <v>60</v>
      </c>
      <c r="X1037" t="s">
        <v>60</v>
      </c>
      <c r="Y1037" t="s">
        <v>412</v>
      </c>
      <c r="Z1037" t="s">
        <v>60</v>
      </c>
      <c r="AA1037" t="s">
        <v>491</v>
      </c>
    </row>
    <row r="1038" spans="1:27" x14ac:dyDescent="0.2">
      <c r="A1038" s="1">
        <v>46093</v>
      </c>
      <c r="B1038" t="s">
        <v>328</v>
      </c>
      <c r="C1038" t="s">
        <v>35</v>
      </c>
      <c r="D1038" t="s">
        <v>25</v>
      </c>
      <c r="E1038" t="s">
        <v>1392</v>
      </c>
      <c r="F1038" t="s">
        <v>25</v>
      </c>
      <c r="G1038">
        <v>2</v>
      </c>
      <c r="H1038">
        <v>3</v>
      </c>
      <c r="I1038" s="13">
        <v>0.6</v>
      </c>
      <c r="J1038" t="s">
        <v>249</v>
      </c>
      <c r="L1038" t="s">
        <v>60</v>
      </c>
      <c r="M1038" t="s">
        <v>60</v>
      </c>
      <c r="N1038" t="s">
        <v>25</v>
      </c>
      <c r="O1038">
        <v>2</v>
      </c>
      <c r="P1038">
        <v>3</v>
      </c>
      <c r="Q1038" s="13">
        <v>0.81007241100715621</v>
      </c>
      <c r="R1038" t="s">
        <v>249</v>
      </c>
      <c r="S1038">
        <v>1.8700542581994379</v>
      </c>
      <c r="T1038" t="s">
        <v>60</v>
      </c>
      <c r="U1038" t="s">
        <v>60</v>
      </c>
      <c r="X1038" t="s">
        <v>60</v>
      </c>
      <c r="Y1038" t="s">
        <v>412</v>
      </c>
      <c r="Z1038" t="s">
        <v>60</v>
      </c>
      <c r="AA1038" t="s">
        <v>491</v>
      </c>
    </row>
    <row r="1039" spans="1:27" x14ac:dyDescent="0.2">
      <c r="A1039" s="1">
        <v>46093</v>
      </c>
      <c r="B1039" t="s">
        <v>328</v>
      </c>
      <c r="C1039" t="s">
        <v>22</v>
      </c>
      <c r="D1039" t="s">
        <v>23</v>
      </c>
      <c r="E1039" t="s">
        <v>766</v>
      </c>
      <c r="F1039" t="s">
        <v>22</v>
      </c>
      <c r="G1039">
        <v>2</v>
      </c>
      <c r="H1039">
        <v>3</v>
      </c>
      <c r="I1039" s="13">
        <v>0.6</v>
      </c>
      <c r="J1039" t="s">
        <v>249</v>
      </c>
      <c r="L1039" t="s">
        <v>60</v>
      </c>
      <c r="M1039" t="s">
        <v>60</v>
      </c>
      <c r="N1039" t="s">
        <v>22</v>
      </c>
      <c r="O1039">
        <v>2</v>
      </c>
      <c r="P1039">
        <v>3</v>
      </c>
      <c r="Q1039" s="13">
        <v>0.59353303745986197</v>
      </c>
      <c r="R1039" t="s">
        <v>249</v>
      </c>
      <c r="S1039">
        <v>-0.86691691967118412</v>
      </c>
      <c r="T1039" t="s">
        <v>60</v>
      </c>
      <c r="U1039" t="s">
        <v>60</v>
      </c>
      <c r="X1039" t="s">
        <v>60</v>
      </c>
      <c r="Y1039" t="s">
        <v>412</v>
      </c>
      <c r="Z1039" t="s">
        <v>60</v>
      </c>
      <c r="AA1039" t="s">
        <v>491</v>
      </c>
    </row>
    <row r="1040" spans="1:27" x14ac:dyDescent="0.2">
      <c r="A1040" s="1">
        <v>46093</v>
      </c>
      <c r="B1040" t="s">
        <v>328</v>
      </c>
      <c r="C1040" t="s">
        <v>33</v>
      </c>
      <c r="D1040" t="s">
        <v>21</v>
      </c>
      <c r="E1040" t="s">
        <v>1393</v>
      </c>
      <c r="F1040" t="s">
        <v>21</v>
      </c>
      <c r="G1040">
        <v>2</v>
      </c>
      <c r="H1040">
        <v>3</v>
      </c>
      <c r="I1040" s="13">
        <v>0.6</v>
      </c>
      <c r="J1040" t="s">
        <v>249</v>
      </c>
      <c r="L1040" t="s">
        <v>60</v>
      </c>
      <c r="M1040" t="s">
        <v>60</v>
      </c>
      <c r="N1040" t="s">
        <v>21</v>
      </c>
      <c r="O1040">
        <v>2</v>
      </c>
      <c r="P1040">
        <v>3</v>
      </c>
      <c r="Q1040" s="13">
        <v>0.61576639475163519</v>
      </c>
      <c r="R1040" t="s">
        <v>249</v>
      </c>
      <c r="S1040">
        <v>0.28146198085767432</v>
      </c>
      <c r="T1040" t="s">
        <v>60</v>
      </c>
      <c r="U1040" t="s">
        <v>60</v>
      </c>
      <c r="X1040" t="s">
        <v>60</v>
      </c>
      <c r="Y1040" t="s">
        <v>412</v>
      </c>
      <c r="Z1040" t="s">
        <v>60</v>
      </c>
      <c r="AA1040" t="s">
        <v>491</v>
      </c>
    </row>
    <row r="1041" spans="1:27" x14ac:dyDescent="0.2">
      <c r="A1041" s="1">
        <v>46093</v>
      </c>
      <c r="B1041" t="s">
        <v>328</v>
      </c>
      <c r="C1041" t="s">
        <v>16</v>
      </c>
      <c r="D1041" t="s">
        <v>24</v>
      </c>
      <c r="E1041" t="s">
        <v>1394</v>
      </c>
      <c r="F1041" t="s">
        <v>24</v>
      </c>
      <c r="G1041">
        <v>2</v>
      </c>
      <c r="H1041">
        <v>3</v>
      </c>
      <c r="I1041" s="13">
        <v>0.6</v>
      </c>
      <c r="J1041" t="s">
        <v>249</v>
      </c>
      <c r="L1041" t="s">
        <v>60</v>
      </c>
      <c r="M1041" t="s">
        <v>60</v>
      </c>
      <c r="N1041" t="s">
        <v>24</v>
      </c>
      <c r="O1041">
        <v>2</v>
      </c>
      <c r="P1041">
        <v>3</v>
      </c>
      <c r="Q1041" s="13">
        <v>0.75028573316221547</v>
      </c>
      <c r="R1041" t="s">
        <v>249</v>
      </c>
      <c r="S1041">
        <v>1.117212278732387</v>
      </c>
      <c r="T1041" t="s">
        <v>60</v>
      </c>
      <c r="U1041" t="s">
        <v>60</v>
      </c>
      <c r="X1041" t="s">
        <v>60</v>
      </c>
      <c r="Y1041" t="s">
        <v>412</v>
      </c>
      <c r="Z1041" t="s">
        <v>60</v>
      </c>
      <c r="AA1041" t="s">
        <v>491</v>
      </c>
    </row>
    <row r="1042" spans="1:27" x14ac:dyDescent="0.2">
      <c r="A1042" s="1">
        <v>46094</v>
      </c>
      <c r="B1042" t="s">
        <v>328</v>
      </c>
      <c r="C1042" t="s">
        <v>13</v>
      </c>
      <c r="D1042" t="s">
        <v>30</v>
      </c>
      <c r="E1042" t="s">
        <v>1395</v>
      </c>
      <c r="F1042" t="s">
        <v>30</v>
      </c>
      <c r="G1042">
        <v>2</v>
      </c>
      <c r="H1042">
        <v>3</v>
      </c>
      <c r="I1042" s="13">
        <v>0.6</v>
      </c>
      <c r="J1042" t="s">
        <v>249</v>
      </c>
      <c r="L1042" t="s">
        <v>60</v>
      </c>
      <c r="M1042" t="s">
        <v>60</v>
      </c>
      <c r="N1042" t="s">
        <v>30</v>
      </c>
      <c r="O1042">
        <v>2</v>
      </c>
      <c r="P1042">
        <v>3</v>
      </c>
      <c r="Q1042" s="13">
        <v>0.49087809569696272</v>
      </c>
      <c r="R1042" t="s">
        <v>249</v>
      </c>
      <c r="S1042">
        <v>0.1472523501590435</v>
      </c>
      <c r="T1042" t="s">
        <v>60</v>
      </c>
      <c r="U1042" t="s">
        <v>60</v>
      </c>
      <c r="X1042" t="s">
        <v>60</v>
      </c>
      <c r="Y1042" t="s">
        <v>412</v>
      </c>
      <c r="Z1042" t="s">
        <v>60</v>
      </c>
      <c r="AA1042" t="s">
        <v>491</v>
      </c>
    </row>
    <row r="1043" spans="1:27" x14ac:dyDescent="0.2">
      <c r="A1043" s="1">
        <v>46094</v>
      </c>
      <c r="B1043" t="s">
        <v>324</v>
      </c>
      <c r="C1043" t="s">
        <v>17</v>
      </c>
      <c r="D1043" t="s">
        <v>35</v>
      </c>
      <c r="E1043" t="s">
        <v>776</v>
      </c>
      <c r="F1043" t="s">
        <v>17</v>
      </c>
      <c r="G1043">
        <v>2</v>
      </c>
      <c r="H1043">
        <v>3</v>
      </c>
      <c r="I1043" s="13">
        <v>0.6</v>
      </c>
      <c r="J1043" t="s">
        <v>249</v>
      </c>
      <c r="L1043" t="s">
        <v>60</v>
      </c>
      <c r="M1043" t="s">
        <v>60</v>
      </c>
      <c r="N1043" t="s">
        <v>17</v>
      </c>
      <c r="O1043">
        <v>2</v>
      </c>
      <c r="P1043">
        <v>3</v>
      </c>
      <c r="Q1043" s="13">
        <v>0.52151528990839591</v>
      </c>
      <c r="R1043" t="s">
        <v>249</v>
      </c>
      <c r="S1043">
        <v>-0.52683095878703834</v>
      </c>
      <c r="T1043" t="s">
        <v>60</v>
      </c>
      <c r="U1043" t="s">
        <v>60</v>
      </c>
      <c r="X1043" t="s">
        <v>60</v>
      </c>
      <c r="Y1043" t="s">
        <v>412</v>
      </c>
      <c r="Z1043" t="s">
        <v>60</v>
      </c>
      <c r="AA1043" t="s">
        <v>491</v>
      </c>
    </row>
    <row r="1044" spans="1:27" x14ac:dyDescent="0.2">
      <c r="A1044" s="1">
        <v>46095</v>
      </c>
      <c r="B1044" t="s">
        <v>453</v>
      </c>
      <c r="C1044" t="s">
        <v>21</v>
      </c>
      <c r="D1044" t="s">
        <v>22</v>
      </c>
      <c r="E1044" t="s">
        <v>500</v>
      </c>
      <c r="F1044" t="s">
        <v>22</v>
      </c>
      <c r="G1044">
        <v>2</v>
      </c>
      <c r="H1044">
        <v>3</v>
      </c>
      <c r="I1044" s="13">
        <v>0.6</v>
      </c>
      <c r="J1044" t="s">
        <v>249</v>
      </c>
      <c r="L1044" t="s">
        <v>60</v>
      </c>
      <c r="M1044" t="s">
        <v>60</v>
      </c>
      <c r="N1044" t="s">
        <v>22</v>
      </c>
      <c r="O1044">
        <v>2</v>
      </c>
      <c r="P1044">
        <v>3</v>
      </c>
      <c r="Q1044" s="13">
        <v>0.64816447713626768</v>
      </c>
      <c r="R1044" t="s">
        <v>249</v>
      </c>
      <c r="S1044">
        <v>0.710377742224651</v>
      </c>
      <c r="T1044" t="s">
        <v>60</v>
      </c>
      <c r="U1044" t="s">
        <v>60</v>
      </c>
      <c r="X1044" t="s">
        <v>60</v>
      </c>
      <c r="Y1044" t="s">
        <v>412</v>
      </c>
      <c r="Z1044" t="s">
        <v>60</v>
      </c>
      <c r="AA1044" t="s">
        <v>491</v>
      </c>
    </row>
    <row r="1045" spans="1:27" x14ac:dyDescent="0.2">
      <c r="A1045" s="1">
        <v>46095</v>
      </c>
      <c r="B1045" t="s">
        <v>369</v>
      </c>
      <c r="C1045" t="s">
        <v>12</v>
      </c>
      <c r="D1045" t="s">
        <v>40</v>
      </c>
      <c r="E1045" t="s">
        <v>1396</v>
      </c>
      <c r="F1045" t="s">
        <v>12</v>
      </c>
      <c r="G1045">
        <v>2</v>
      </c>
      <c r="H1045">
        <v>3</v>
      </c>
      <c r="I1045" s="13">
        <v>0.6</v>
      </c>
      <c r="J1045" t="s">
        <v>249</v>
      </c>
      <c r="L1045" t="s">
        <v>60</v>
      </c>
      <c r="M1045" t="s">
        <v>60</v>
      </c>
      <c r="N1045" t="s">
        <v>12</v>
      </c>
      <c r="O1045">
        <v>2</v>
      </c>
      <c r="P1045">
        <v>3</v>
      </c>
      <c r="Q1045" s="13">
        <v>0.75141827635481073</v>
      </c>
      <c r="R1045" t="s">
        <v>249</v>
      </c>
      <c r="S1045">
        <v>-1.8952447332866049</v>
      </c>
      <c r="T1045" t="s">
        <v>60</v>
      </c>
      <c r="U1045" t="s">
        <v>60</v>
      </c>
      <c r="X1045" t="s">
        <v>60</v>
      </c>
      <c r="Y1045" t="s">
        <v>412</v>
      </c>
      <c r="Z1045" t="s">
        <v>60</v>
      </c>
      <c r="AA1045" t="s">
        <v>491</v>
      </c>
    </row>
    <row r="1046" spans="1:27" x14ac:dyDescent="0.2">
      <c r="A1046" s="1">
        <v>46095</v>
      </c>
      <c r="B1046" t="s">
        <v>322</v>
      </c>
      <c r="C1046" t="s">
        <v>10</v>
      </c>
      <c r="D1046" t="s">
        <v>20</v>
      </c>
      <c r="E1046" t="s">
        <v>487</v>
      </c>
      <c r="F1046" t="s">
        <v>10</v>
      </c>
      <c r="G1046">
        <v>2</v>
      </c>
      <c r="H1046">
        <v>3</v>
      </c>
      <c r="I1046" s="13">
        <v>0.6</v>
      </c>
      <c r="J1046" t="s">
        <v>249</v>
      </c>
      <c r="L1046" t="s">
        <v>60</v>
      </c>
      <c r="M1046" t="s">
        <v>60</v>
      </c>
      <c r="N1046" t="s">
        <v>10</v>
      </c>
      <c r="O1046">
        <v>2</v>
      </c>
      <c r="P1046">
        <v>3</v>
      </c>
      <c r="Q1046" s="13">
        <v>0.46214191244593872</v>
      </c>
      <c r="R1046" t="s">
        <v>249</v>
      </c>
      <c r="S1046">
        <v>-1.8343826213160299E-2</v>
      </c>
      <c r="T1046" t="s">
        <v>60</v>
      </c>
      <c r="U1046" t="s">
        <v>60</v>
      </c>
      <c r="X1046" t="s">
        <v>60</v>
      </c>
      <c r="Y1046" t="s">
        <v>412</v>
      </c>
      <c r="Z1046" t="s">
        <v>60</v>
      </c>
      <c r="AA1046" t="s">
        <v>491</v>
      </c>
    </row>
    <row r="1047" spans="1:27" x14ac:dyDescent="0.2">
      <c r="A1047" s="1">
        <v>46095</v>
      </c>
      <c r="B1047" t="s">
        <v>322</v>
      </c>
      <c r="C1047" t="s">
        <v>32</v>
      </c>
      <c r="D1047" t="s">
        <v>38</v>
      </c>
      <c r="E1047" t="s">
        <v>1111</v>
      </c>
      <c r="F1047" t="s">
        <v>32</v>
      </c>
      <c r="G1047">
        <v>2</v>
      </c>
      <c r="H1047">
        <v>3</v>
      </c>
      <c r="I1047" s="13">
        <v>0.6</v>
      </c>
      <c r="J1047" t="s">
        <v>249</v>
      </c>
      <c r="L1047" t="s">
        <v>60</v>
      </c>
      <c r="M1047" t="s">
        <v>60</v>
      </c>
      <c r="N1047" t="s">
        <v>32</v>
      </c>
      <c r="O1047">
        <v>2</v>
      </c>
      <c r="P1047">
        <v>3</v>
      </c>
      <c r="Q1047" s="13">
        <v>0.48900433937265447</v>
      </c>
      <c r="R1047" t="s">
        <v>249</v>
      </c>
      <c r="S1047">
        <v>-0.2483997709095517</v>
      </c>
      <c r="T1047" t="s">
        <v>60</v>
      </c>
      <c r="U1047" t="s">
        <v>60</v>
      </c>
      <c r="X1047" t="s">
        <v>60</v>
      </c>
      <c r="Y1047" t="s">
        <v>412</v>
      </c>
      <c r="Z1047" t="s">
        <v>60</v>
      </c>
      <c r="AA1047" t="s">
        <v>491</v>
      </c>
    </row>
    <row r="1048" spans="1:27" x14ac:dyDescent="0.2">
      <c r="A1048" s="1">
        <v>46095</v>
      </c>
      <c r="B1048" t="s">
        <v>326</v>
      </c>
      <c r="C1048" t="s">
        <v>14</v>
      </c>
      <c r="D1048" t="s">
        <v>55</v>
      </c>
      <c r="E1048" t="s">
        <v>1397</v>
      </c>
      <c r="F1048" t="s">
        <v>14</v>
      </c>
      <c r="G1048">
        <v>2</v>
      </c>
      <c r="H1048">
        <v>3</v>
      </c>
      <c r="I1048" s="13">
        <v>0.6</v>
      </c>
      <c r="J1048" t="s">
        <v>249</v>
      </c>
      <c r="L1048" t="s">
        <v>60</v>
      </c>
      <c r="M1048" t="s">
        <v>60</v>
      </c>
      <c r="N1048" t="s">
        <v>14</v>
      </c>
      <c r="O1048">
        <v>2</v>
      </c>
      <c r="P1048">
        <v>3</v>
      </c>
      <c r="Q1048" s="13">
        <v>0.48296583054457271</v>
      </c>
      <c r="R1048" t="s">
        <v>249</v>
      </c>
      <c r="S1048">
        <v>-0.21095831853253</v>
      </c>
      <c r="T1048" t="s">
        <v>60</v>
      </c>
      <c r="U1048" t="s">
        <v>60</v>
      </c>
      <c r="X1048" t="s">
        <v>60</v>
      </c>
      <c r="Y1048" t="s">
        <v>412</v>
      </c>
      <c r="Z1048" t="s">
        <v>60</v>
      </c>
      <c r="AA1048" t="s">
        <v>491</v>
      </c>
    </row>
    <row r="1049" spans="1:27" x14ac:dyDescent="0.2">
      <c r="A1049" s="1">
        <v>46095</v>
      </c>
      <c r="B1049" t="s">
        <v>328</v>
      </c>
      <c r="C1049" t="s">
        <v>25</v>
      </c>
      <c r="D1049" t="s">
        <v>37</v>
      </c>
      <c r="E1049" t="s">
        <v>1043</v>
      </c>
      <c r="F1049" t="s">
        <v>37</v>
      </c>
      <c r="G1049">
        <v>2</v>
      </c>
      <c r="H1049">
        <v>3</v>
      </c>
      <c r="I1049" s="13">
        <v>0.6</v>
      </c>
      <c r="J1049" t="s">
        <v>249</v>
      </c>
      <c r="L1049" t="s">
        <v>60</v>
      </c>
      <c r="M1049" t="s">
        <v>60</v>
      </c>
      <c r="N1049" t="s">
        <v>37</v>
      </c>
      <c r="O1049">
        <v>2</v>
      </c>
      <c r="P1049">
        <v>3</v>
      </c>
      <c r="Q1049" s="13">
        <v>0.5157317811674581</v>
      </c>
      <c r="R1049" t="s">
        <v>249</v>
      </c>
      <c r="S1049">
        <v>0.13473055834121411</v>
      </c>
      <c r="T1049" t="s">
        <v>60</v>
      </c>
      <c r="U1049" t="s">
        <v>60</v>
      </c>
      <c r="X1049" t="s">
        <v>60</v>
      </c>
      <c r="Y1049" t="s">
        <v>412</v>
      </c>
      <c r="Z1049" t="s">
        <v>60</v>
      </c>
      <c r="AA1049" t="s">
        <v>491</v>
      </c>
    </row>
    <row r="1050" spans="1:27" x14ac:dyDescent="0.2">
      <c r="A1050" s="1">
        <v>46095</v>
      </c>
      <c r="B1050" t="s">
        <v>334</v>
      </c>
      <c r="C1050" t="s">
        <v>28</v>
      </c>
      <c r="D1050" t="s">
        <v>27</v>
      </c>
      <c r="E1050" t="s">
        <v>1398</v>
      </c>
      <c r="F1050" t="s">
        <v>27</v>
      </c>
      <c r="G1050">
        <v>2</v>
      </c>
      <c r="H1050">
        <v>3</v>
      </c>
      <c r="I1050" s="13">
        <v>0.6</v>
      </c>
      <c r="J1050" t="s">
        <v>249</v>
      </c>
      <c r="L1050" t="s">
        <v>60</v>
      </c>
      <c r="M1050" t="s">
        <v>60</v>
      </c>
      <c r="N1050" t="s">
        <v>27</v>
      </c>
      <c r="O1050">
        <v>2</v>
      </c>
      <c r="P1050">
        <v>3</v>
      </c>
      <c r="Q1050" s="13">
        <v>0.58136057558031018</v>
      </c>
      <c r="R1050" t="s">
        <v>249</v>
      </c>
      <c r="S1050">
        <v>0.26465056976738671</v>
      </c>
      <c r="T1050" t="s">
        <v>60</v>
      </c>
      <c r="U1050" t="s">
        <v>60</v>
      </c>
      <c r="X1050" t="s">
        <v>60</v>
      </c>
      <c r="Y1050" t="s">
        <v>412</v>
      </c>
      <c r="Z1050" t="s">
        <v>60</v>
      </c>
      <c r="AA1050" t="s">
        <v>491</v>
      </c>
    </row>
    <row r="1051" spans="1:27" x14ac:dyDescent="0.2">
      <c r="A1051" s="1">
        <v>46095</v>
      </c>
      <c r="B1051" t="s">
        <v>328</v>
      </c>
      <c r="C1051" t="s">
        <v>33</v>
      </c>
      <c r="D1051" t="s">
        <v>18</v>
      </c>
      <c r="E1051" t="s">
        <v>1399</v>
      </c>
      <c r="F1051" t="s">
        <v>33</v>
      </c>
      <c r="G1051">
        <v>2</v>
      </c>
      <c r="H1051">
        <v>3</v>
      </c>
      <c r="I1051" s="13">
        <v>0.6</v>
      </c>
      <c r="J1051" t="s">
        <v>249</v>
      </c>
      <c r="L1051" t="s">
        <v>60</v>
      </c>
      <c r="M1051" t="s">
        <v>60</v>
      </c>
      <c r="N1051" t="s">
        <v>33</v>
      </c>
      <c r="O1051">
        <v>2</v>
      </c>
      <c r="P1051">
        <v>3</v>
      </c>
      <c r="Q1051" s="13">
        <v>0.47070241107742589</v>
      </c>
      <c r="R1051" t="s">
        <v>249</v>
      </c>
      <c r="S1051">
        <v>-9.1657886968419297E-2</v>
      </c>
      <c r="T1051" t="s">
        <v>60</v>
      </c>
      <c r="U1051" t="s">
        <v>60</v>
      </c>
      <c r="X1051" t="s">
        <v>60</v>
      </c>
      <c r="Y1051" t="s">
        <v>412</v>
      </c>
      <c r="Z1051" t="s">
        <v>60</v>
      </c>
      <c r="AA1051" t="s">
        <v>491</v>
      </c>
    </row>
    <row r="1052" spans="1:27" x14ac:dyDescent="0.2">
      <c r="A1052" s="1">
        <v>46095</v>
      </c>
      <c r="B1052" t="s">
        <v>328</v>
      </c>
      <c r="C1052" t="s">
        <v>16</v>
      </c>
      <c r="D1052" t="s">
        <v>30</v>
      </c>
      <c r="E1052" t="s">
        <v>1400</v>
      </c>
      <c r="F1052" t="s">
        <v>30</v>
      </c>
      <c r="G1052">
        <v>2</v>
      </c>
      <c r="H1052">
        <v>3</v>
      </c>
      <c r="I1052" s="13">
        <v>0.6</v>
      </c>
      <c r="J1052" t="s">
        <v>249</v>
      </c>
      <c r="L1052" t="s">
        <v>60</v>
      </c>
      <c r="M1052" t="s">
        <v>60</v>
      </c>
      <c r="N1052" t="s">
        <v>30</v>
      </c>
      <c r="O1052">
        <v>2</v>
      </c>
      <c r="P1052">
        <v>3</v>
      </c>
      <c r="Q1052" s="13">
        <v>0.64213997645298715</v>
      </c>
      <c r="R1052" t="s">
        <v>249</v>
      </c>
      <c r="S1052">
        <v>0.87475003052645062</v>
      </c>
      <c r="T1052" t="s">
        <v>60</v>
      </c>
      <c r="U1052" t="s">
        <v>60</v>
      </c>
      <c r="X1052" t="s">
        <v>60</v>
      </c>
      <c r="Y1052" t="s">
        <v>412</v>
      </c>
      <c r="Z1052" t="s">
        <v>60</v>
      </c>
      <c r="AA1052" t="s">
        <v>491</v>
      </c>
    </row>
    <row r="1053" spans="1:27" x14ac:dyDescent="0.2">
      <c r="A1053" s="1">
        <v>46095</v>
      </c>
      <c r="B1053" t="s">
        <v>328</v>
      </c>
      <c r="C1053" t="s">
        <v>13</v>
      </c>
      <c r="D1053" t="s">
        <v>24</v>
      </c>
      <c r="E1053" t="s">
        <v>1401</v>
      </c>
      <c r="F1053" t="s">
        <v>24</v>
      </c>
      <c r="G1053">
        <v>2</v>
      </c>
      <c r="H1053">
        <v>3</v>
      </c>
      <c r="I1053" s="13">
        <v>0.6</v>
      </c>
      <c r="J1053" t="s">
        <v>249</v>
      </c>
      <c r="L1053" t="s">
        <v>60</v>
      </c>
      <c r="M1053" t="s">
        <v>60</v>
      </c>
      <c r="N1053" t="s">
        <v>24</v>
      </c>
      <c r="O1053">
        <v>2</v>
      </c>
      <c r="P1053">
        <v>3</v>
      </c>
      <c r="Q1053" s="13">
        <v>0.60106048669162915</v>
      </c>
      <c r="R1053" t="s">
        <v>249</v>
      </c>
      <c r="S1053">
        <v>0.3897145983649804</v>
      </c>
      <c r="T1053" t="s">
        <v>60</v>
      </c>
      <c r="U1053" t="s">
        <v>60</v>
      </c>
      <c r="X1053" t="s">
        <v>60</v>
      </c>
      <c r="Y1053" t="s">
        <v>412</v>
      </c>
      <c r="Z1053" t="s">
        <v>60</v>
      </c>
      <c r="AA1053" t="s">
        <v>491</v>
      </c>
    </row>
    <row r="1054" spans="1:27" x14ac:dyDescent="0.2">
      <c r="A1054" s="1">
        <v>46095</v>
      </c>
      <c r="B1054" t="s">
        <v>469</v>
      </c>
      <c r="C1054" t="s">
        <v>15</v>
      </c>
      <c r="D1054" t="s">
        <v>34</v>
      </c>
      <c r="E1054" t="s">
        <v>1402</v>
      </c>
      <c r="F1054" t="s">
        <v>34</v>
      </c>
      <c r="G1054">
        <v>2</v>
      </c>
      <c r="H1054">
        <v>3</v>
      </c>
      <c r="I1054" s="13">
        <v>0.6</v>
      </c>
      <c r="J1054" t="s">
        <v>249</v>
      </c>
      <c r="L1054" t="s">
        <v>60</v>
      </c>
      <c r="M1054" t="s">
        <v>60</v>
      </c>
      <c r="N1054" t="s">
        <v>34</v>
      </c>
      <c r="O1054">
        <v>2</v>
      </c>
      <c r="P1054">
        <v>3</v>
      </c>
      <c r="Q1054" s="13">
        <v>0.47317429829023577</v>
      </c>
      <c r="R1054" t="s">
        <v>249</v>
      </c>
      <c r="S1054">
        <v>0.28480994595762632</v>
      </c>
      <c r="T1054" t="s">
        <v>60</v>
      </c>
      <c r="U1054" t="s">
        <v>60</v>
      </c>
      <c r="X1054" t="s">
        <v>60</v>
      </c>
      <c r="Y1054" t="s">
        <v>412</v>
      </c>
      <c r="Z1054" t="s">
        <v>60</v>
      </c>
      <c r="AA1054" t="s">
        <v>491</v>
      </c>
    </row>
    <row r="1055" spans="1:27" x14ac:dyDescent="0.2">
      <c r="A1055" s="1">
        <v>46095</v>
      </c>
      <c r="B1055" t="s">
        <v>324</v>
      </c>
      <c r="C1055" t="s">
        <v>26</v>
      </c>
      <c r="D1055" t="s">
        <v>39</v>
      </c>
      <c r="E1055" t="s">
        <v>1403</v>
      </c>
      <c r="F1055" t="s">
        <v>39</v>
      </c>
      <c r="G1055">
        <v>2</v>
      </c>
      <c r="H1055">
        <v>3</v>
      </c>
      <c r="I1055" s="13">
        <v>0.6</v>
      </c>
      <c r="J1055" t="s">
        <v>249</v>
      </c>
      <c r="L1055" t="s">
        <v>60</v>
      </c>
      <c r="M1055" t="s">
        <v>60</v>
      </c>
      <c r="N1055" t="s">
        <v>39</v>
      </c>
      <c r="O1055">
        <v>2</v>
      </c>
      <c r="P1055">
        <v>3</v>
      </c>
      <c r="Q1055" s="13">
        <v>0.72855704210243089</v>
      </c>
      <c r="R1055" t="s">
        <v>249</v>
      </c>
      <c r="S1055">
        <v>1.3386828158105919</v>
      </c>
      <c r="T1055" t="s">
        <v>60</v>
      </c>
      <c r="U1055" t="s">
        <v>60</v>
      </c>
      <c r="X1055" t="s">
        <v>60</v>
      </c>
      <c r="Y1055" t="s">
        <v>412</v>
      </c>
      <c r="Z1055" t="s">
        <v>60</v>
      </c>
      <c r="AA1055" t="s">
        <v>491</v>
      </c>
    </row>
    <row r="1056" spans="1:27" x14ac:dyDescent="0.2">
      <c r="A1056" s="1">
        <v>46095</v>
      </c>
      <c r="B1056" t="s">
        <v>328</v>
      </c>
      <c r="C1056" t="s">
        <v>19</v>
      </c>
      <c r="D1056" t="s">
        <v>23</v>
      </c>
      <c r="E1056" t="s">
        <v>663</v>
      </c>
      <c r="F1056" t="s">
        <v>23</v>
      </c>
      <c r="G1056">
        <v>2</v>
      </c>
      <c r="H1056">
        <v>3</v>
      </c>
      <c r="I1056" s="13">
        <v>0.6</v>
      </c>
      <c r="J1056" t="s">
        <v>249</v>
      </c>
      <c r="L1056" t="s">
        <v>60</v>
      </c>
      <c r="M1056" t="s">
        <v>60</v>
      </c>
      <c r="N1056" t="s">
        <v>23</v>
      </c>
      <c r="O1056">
        <v>2</v>
      </c>
      <c r="P1056">
        <v>3</v>
      </c>
      <c r="Q1056" s="13">
        <v>0.57444071781895778</v>
      </c>
      <c r="R1056" t="s">
        <v>249</v>
      </c>
      <c r="S1056">
        <v>0.2082689045015533</v>
      </c>
      <c r="T1056" t="s">
        <v>60</v>
      </c>
      <c r="U1056" t="s">
        <v>60</v>
      </c>
      <c r="X1056" t="s">
        <v>60</v>
      </c>
      <c r="Y1056" t="s">
        <v>412</v>
      </c>
      <c r="Z1056" t="s">
        <v>60</v>
      </c>
      <c r="AA1056" t="s">
        <v>491</v>
      </c>
    </row>
    <row r="1057" spans="1:27" x14ac:dyDescent="0.2">
      <c r="A1057" s="1">
        <v>46095</v>
      </c>
      <c r="B1057" t="s">
        <v>347</v>
      </c>
      <c r="C1057" t="s">
        <v>31</v>
      </c>
      <c r="D1057" t="s">
        <v>36</v>
      </c>
      <c r="E1057" t="s">
        <v>1404</v>
      </c>
      <c r="F1057" t="s">
        <v>31</v>
      </c>
      <c r="G1057">
        <v>2</v>
      </c>
      <c r="H1057">
        <v>3</v>
      </c>
      <c r="I1057" s="13">
        <v>0.6</v>
      </c>
      <c r="J1057" t="s">
        <v>249</v>
      </c>
      <c r="L1057" t="s">
        <v>60</v>
      </c>
      <c r="M1057" t="s">
        <v>60</v>
      </c>
      <c r="N1057" t="s">
        <v>31</v>
      </c>
      <c r="O1057">
        <v>2</v>
      </c>
      <c r="P1057">
        <v>3</v>
      </c>
      <c r="Q1057" s="13">
        <v>0.55534643240329606</v>
      </c>
      <c r="R1057" t="s">
        <v>249</v>
      </c>
      <c r="S1057">
        <v>-0.66017832378094243</v>
      </c>
      <c r="T1057" t="s">
        <v>60</v>
      </c>
      <c r="U1057" t="s">
        <v>60</v>
      </c>
      <c r="X1057" t="s">
        <v>60</v>
      </c>
      <c r="Y1057" t="s">
        <v>412</v>
      </c>
      <c r="Z1057" t="s">
        <v>60</v>
      </c>
      <c r="AA1057" t="s">
        <v>491</v>
      </c>
    </row>
    <row r="1058" spans="1:27" x14ac:dyDescent="0.2">
      <c r="A1058" s="1">
        <v>46096</v>
      </c>
      <c r="B1058" t="s">
        <v>453</v>
      </c>
      <c r="C1058" t="s">
        <v>35</v>
      </c>
      <c r="D1058" t="s">
        <v>40</v>
      </c>
      <c r="E1058" t="s">
        <v>1220</v>
      </c>
      <c r="F1058" t="s">
        <v>40</v>
      </c>
      <c r="G1058">
        <v>2</v>
      </c>
      <c r="H1058">
        <v>3</v>
      </c>
      <c r="I1058" s="13">
        <v>0.6</v>
      </c>
      <c r="J1058" t="s">
        <v>249</v>
      </c>
      <c r="L1058" t="s">
        <v>60</v>
      </c>
      <c r="M1058" t="s">
        <v>60</v>
      </c>
      <c r="N1058" t="s">
        <v>40</v>
      </c>
      <c r="O1058">
        <v>2</v>
      </c>
      <c r="P1058">
        <v>3</v>
      </c>
      <c r="Q1058" s="13">
        <v>0.67457245303438529</v>
      </c>
      <c r="R1058" t="s">
        <v>249</v>
      </c>
      <c r="S1058">
        <v>1.131137297088094</v>
      </c>
      <c r="T1058" t="s">
        <v>60</v>
      </c>
      <c r="U1058" t="s">
        <v>60</v>
      </c>
      <c r="X1058" t="s">
        <v>60</v>
      </c>
      <c r="Y1058" t="s">
        <v>412</v>
      </c>
      <c r="Z1058" t="s">
        <v>60</v>
      </c>
      <c r="AA1058" t="s">
        <v>491</v>
      </c>
    </row>
    <row r="1059" spans="1:27" x14ac:dyDescent="0.2">
      <c r="A1059" s="1">
        <v>46096</v>
      </c>
      <c r="B1059" t="s">
        <v>324</v>
      </c>
      <c r="C1059" t="s">
        <v>11</v>
      </c>
      <c r="D1059" t="s">
        <v>32</v>
      </c>
      <c r="E1059" t="s">
        <v>1405</v>
      </c>
      <c r="F1059" t="s">
        <v>11</v>
      </c>
      <c r="G1059">
        <v>2</v>
      </c>
      <c r="H1059">
        <v>3</v>
      </c>
      <c r="I1059" s="13">
        <v>0.6</v>
      </c>
      <c r="J1059" t="s">
        <v>249</v>
      </c>
      <c r="L1059" t="s">
        <v>60</v>
      </c>
      <c r="M1059" t="s">
        <v>60</v>
      </c>
      <c r="N1059" t="s">
        <v>11</v>
      </c>
      <c r="O1059">
        <v>2</v>
      </c>
      <c r="P1059">
        <v>3</v>
      </c>
      <c r="Q1059" s="13">
        <v>0.48362830589400979</v>
      </c>
      <c r="R1059" t="s">
        <v>249</v>
      </c>
      <c r="S1059">
        <v>-0.202358195290821</v>
      </c>
      <c r="T1059" t="s">
        <v>60</v>
      </c>
      <c r="U1059" t="s">
        <v>60</v>
      </c>
      <c r="X1059" t="s">
        <v>60</v>
      </c>
      <c r="Y1059" t="s">
        <v>412</v>
      </c>
      <c r="Z1059" t="s">
        <v>60</v>
      </c>
      <c r="AA1059" t="s">
        <v>491</v>
      </c>
    </row>
    <row r="1060" spans="1:27" x14ac:dyDescent="0.2">
      <c r="A1060" s="1">
        <v>46096</v>
      </c>
      <c r="B1060" t="s">
        <v>365</v>
      </c>
      <c r="C1060" t="s">
        <v>33</v>
      </c>
      <c r="D1060" t="s">
        <v>36</v>
      </c>
      <c r="E1060" t="s">
        <v>1406</v>
      </c>
      <c r="F1060" t="s">
        <v>33</v>
      </c>
      <c r="G1060">
        <v>2</v>
      </c>
      <c r="H1060">
        <v>3</v>
      </c>
      <c r="I1060" s="13">
        <v>0.6</v>
      </c>
      <c r="J1060" t="s">
        <v>249</v>
      </c>
      <c r="L1060" t="s">
        <v>60</v>
      </c>
      <c r="M1060" t="s">
        <v>60</v>
      </c>
      <c r="N1060" t="s">
        <v>33</v>
      </c>
      <c r="O1060">
        <v>2</v>
      </c>
      <c r="P1060">
        <v>3</v>
      </c>
      <c r="Q1060" s="13">
        <v>0.4610243138349801</v>
      </c>
      <c r="R1060" t="s">
        <v>249</v>
      </c>
      <c r="S1060">
        <v>-3.0144309559432699E-2</v>
      </c>
      <c r="T1060" t="s">
        <v>60</v>
      </c>
      <c r="U1060" t="s">
        <v>60</v>
      </c>
      <c r="X1060" t="s">
        <v>60</v>
      </c>
      <c r="Y1060" t="s">
        <v>412</v>
      </c>
      <c r="Z1060" t="s">
        <v>60</v>
      </c>
      <c r="AA1060" t="s">
        <v>491</v>
      </c>
    </row>
    <row r="1061" spans="1:27" x14ac:dyDescent="0.2">
      <c r="A1061" s="1">
        <v>46096</v>
      </c>
      <c r="B1061" t="s">
        <v>328</v>
      </c>
      <c r="C1061" t="s">
        <v>31</v>
      </c>
      <c r="D1061" t="s">
        <v>18</v>
      </c>
      <c r="E1061" t="s">
        <v>1407</v>
      </c>
      <c r="F1061" t="s">
        <v>31</v>
      </c>
      <c r="G1061">
        <v>2</v>
      </c>
      <c r="H1061">
        <v>3</v>
      </c>
      <c r="I1061" s="13">
        <v>0.6</v>
      </c>
      <c r="J1061" t="s">
        <v>249</v>
      </c>
      <c r="L1061" t="s">
        <v>60</v>
      </c>
      <c r="M1061" t="s">
        <v>60</v>
      </c>
      <c r="N1061" t="s">
        <v>31</v>
      </c>
      <c r="O1061">
        <v>2</v>
      </c>
      <c r="P1061">
        <v>3</v>
      </c>
      <c r="Q1061" s="13">
        <v>0.56503741164541521</v>
      </c>
      <c r="R1061" t="s">
        <v>249</v>
      </c>
      <c r="S1061">
        <v>-0.72169190118992899</v>
      </c>
      <c r="T1061" t="s">
        <v>60</v>
      </c>
      <c r="U1061" t="s">
        <v>60</v>
      </c>
      <c r="X1061" t="s">
        <v>60</v>
      </c>
      <c r="Y1061" t="s">
        <v>412</v>
      </c>
      <c r="Z1061" t="s">
        <v>60</v>
      </c>
      <c r="AA1061" t="s">
        <v>491</v>
      </c>
    </row>
    <row r="1062" spans="1:27" x14ac:dyDescent="0.2">
      <c r="A1062" s="1">
        <v>46096</v>
      </c>
      <c r="B1062" t="s">
        <v>334</v>
      </c>
      <c r="C1062" t="s">
        <v>19</v>
      </c>
      <c r="D1062" t="s">
        <v>34</v>
      </c>
      <c r="E1062" t="s">
        <v>1408</v>
      </c>
      <c r="F1062" t="s">
        <v>34</v>
      </c>
      <c r="G1062">
        <v>2</v>
      </c>
      <c r="H1062">
        <v>3</v>
      </c>
      <c r="I1062" s="13">
        <v>0.6</v>
      </c>
      <c r="J1062" t="s">
        <v>249</v>
      </c>
      <c r="L1062" t="s">
        <v>60</v>
      </c>
      <c r="M1062" t="s">
        <v>60</v>
      </c>
      <c r="N1062" t="s">
        <v>34</v>
      </c>
      <c r="O1062">
        <v>2</v>
      </c>
      <c r="P1062">
        <v>3</v>
      </c>
      <c r="Q1062" s="13">
        <v>0.61347475617291136</v>
      </c>
      <c r="R1062" t="s">
        <v>249</v>
      </c>
      <c r="S1062">
        <v>0.62925455279266418</v>
      </c>
      <c r="T1062" t="s">
        <v>60</v>
      </c>
      <c r="U1062" t="s">
        <v>60</v>
      </c>
      <c r="X1062" t="s">
        <v>60</v>
      </c>
      <c r="Y1062" t="s">
        <v>412</v>
      </c>
      <c r="Z1062" t="s">
        <v>60</v>
      </c>
      <c r="AA1062" t="s">
        <v>491</v>
      </c>
    </row>
    <row r="1063" spans="1:27" x14ac:dyDescent="0.2">
      <c r="A1063" s="1">
        <v>46096</v>
      </c>
      <c r="B1063" t="s">
        <v>324</v>
      </c>
      <c r="C1063" t="s">
        <v>29</v>
      </c>
      <c r="D1063" t="s">
        <v>17</v>
      </c>
      <c r="E1063" t="s">
        <v>1138</v>
      </c>
      <c r="F1063" t="s">
        <v>17</v>
      </c>
      <c r="G1063">
        <v>2</v>
      </c>
      <c r="H1063">
        <v>3</v>
      </c>
      <c r="I1063" s="13">
        <v>0.6</v>
      </c>
      <c r="J1063" t="s">
        <v>249</v>
      </c>
      <c r="L1063" t="s">
        <v>60</v>
      </c>
      <c r="M1063" t="s">
        <v>60</v>
      </c>
      <c r="N1063" t="s">
        <v>17</v>
      </c>
      <c r="O1063">
        <v>2</v>
      </c>
      <c r="P1063">
        <v>3</v>
      </c>
      <c r="Q1063" s="13">
        <v>0.61909814145523023</v>
      </c>
      <c r="R1063" t="s">
        <v>249</v>
      </c>
      <c r="S1063">
        <v>0.61707136849570166</v>
      </c>
      <c r="T1063" t="s">
        <v>60</v>
      </c>
      <c r="U1063" t="s">
        <v>60</v>
      </c>
      <c r="X1063" t="s">
        <v>60</v>
      </c>
      <c r="Y1063" t="s">
        <v>412</v>
      </c>
      <c r="Z1063" t="s">
        <v>60</v>
      </c>
      <c r="AA1063" t="s">
        <v>491</v>
      </c>
    </row>
    <row r="1064" spans="1:27" x14ac:dyDescent="0.2">
      <c r="A1064" s="1">
        <v>46097</v>
      </c>
      <c r="B1064" t="s">
        <v>426</v>
      </c>
      <c r="C1064" t="s">
        <v>14</v>
      </c>
      <c r="D1064" t="s">
        <v>12</v>
      </c>
      <c r="E1064" t="s">
        <v>1409</v>
      </c>
      <c r="F1064" t="s">
        <v>12</v>
      </c>
      <c r="G1064">
        <v>2</v>
      </c>
      <c r="H1064">
        <v>3</v>
      </c>
      <c r="I1064" s="13">
        <v>0.6</v>
      </c>
      <c r="J1064" t="s">
        <v>249</v>
      </c>
      <c r="L1064" t="s">
        <v>60</v>
      </c>
      <c r="M1064" t="s">
        <v>60</v>
      </c>
      <c r="N1064" t="s">
        <v>12</v>
      </c>
      <c r="O1064">
        <v>2</v>
      </c>
      <c r="P1064">
        <v>3</v>
      </c>
      <c r="Q1064" s="13">
        <v>0.82046356927148056</v>
      </c>
      <c r="R1064" t="s">
        <v>249</v>
      </c>
      <c r="S1064">
        <v>1.8240686289156289</v>
      </c>
      <c r="T1064" t="s">
        <v>60</v>
      </c>
      <c r="U1064" t="s">
        <v>60</v>
      </c>
      <c r="X1064" t="s">
        <v>60</v>
      </c>
      <c r="Y1064" t="s">
        <v>412</v>
      </c>
      <c r="Z1064" t="s">
        <v>60</v>
      </c>
      <c r="AA1064" t="s">
        <v>491</v>
      </c>
    </row>
    <row r="1065" spans="1:27" x14ac:dyDescent="0.2">
      <c r="A1065" s="1">
        <v>46097</v>
      </c>
      <c r="B1065" t="s">
        <v>324</v>
      </c>
      <c r="C1065" t="s">
        <v>55</v>
      </c>
      <c r="D1065" t="s">
        <v>39</v>
      </c>
      <c r="E1065" t="s">
        <v>438</v>
      </c>
      <c r="F1065" t="s">
        <v>39</v>
      </c>
      <c r="G1065">
        <v>2</v>
      </c>
      <c r="H1065">
        <v>3</v>
      </c>
      <c r="I1065" s="13">
        <v>0.6</v>
      </c>
      <c r="J1065" t="s">
        <v>249</v>
      </c>
      <c r="L1065" t="s">
        <v>60</v>
      </c>
      <c r="M1065" t="s">
        <v>60</v>
      </c>
      <c r="N1065" t="s">
        <v>39</v>
      </c>
      <c r="O1065">
        <v>2</v>
      </c>
      <c r="P1065">
        <v>3</v>
      </c>
      <c r="Q1065" s="13">
        <v>0.67341882246331153</v>
      </c>
      <c r="R1065" t="s">
        <v>249</v>
      </c>
      <c r="S1065">
        <v>0.86646653979946475</v>
      </c>
      <c r="T1065" t="s">
        <v>60</v>
      </c>
      <c r="U1065" t="s">
        <v>60</v>
      </c>
      <c r="X1065" t="s">
        <v>60</v>
      </c>
      <c r="Y1065" t="s">
        <v>412</v>
      </c>
      <c r="Z1065" t="s">
        <v>60</v>
      </c>
      <c r="AA1065" t="s">
        <v>491</v>
      </c>
    </row>
    <row r="1066" spans="1:27" x14ac:dyDescent="0.2">
      <c r="A1066" s="1">
        <v>46097</v>
      </c>
      <c r="B1066" t="s">
        <v>328</v>
      </c>
      <c r="C1066" t="s">
        <v>16</v>
      </c>
      <c r="D1066" t="s">
        <v>26</v>
      </c>
      <c r="E1066" t="s">
        <v>1410</v>
      </c>
      <c r="F1066" t="s">
        <v>26</v>
      </c>
      <c r="G1066">
        <v>2</v>
      </c>
      <c r="H1066">
        <v>3</v>
      </c>
      <c r="I1066" s="13">
        <v>0.6</v>
      </c>
      <c r="J1066" t="s">
        <v>249</v>
      </c>
      <c r="L1066" t="s">
        <v>60</v>
      </c>
      <c r="M1066" t="s">
        <v>60</v>
      </c>
      <c r="N1066" t="s">
        <v>26</v>
      </c>
      <c r="O1066">
        <v>2</v>
      </c>
      <c r="P1066">
        <v>3</v>
      </c>
      <c r="Q1066" s="13">
        <v>0.56806352974930241</v>
      </c>
      <c r="R1066" t="s">
        <v>249</v>
      </c>
      <c r="S1066">
        <v>0.24034246293547379</v>
      </c>
      <c r="T1066" t="s">
        <v>60</v>
      </c>
      <c r="U1066" t="s">
        <v>60</v>
      </c>
      <c r="X1066" t="s">
        <v>60</v>
      </c>
      <c r="Y1066" t="s">
        <v>412</v>
      </c>
      <c r="Z1066" t="s">
        <v>60</v>
      </c>
      <c r="AA1066" t="s">
        <v>491</v>
      </c>
    </row>
    <row r="1067" spans="1:27" x14ac:dyDescent="0.2">
      <c r="A1067" s="1">
        <v>46097</v>
      </c>
      <c r="B1067" t="s">
        <v>328</v>
      </c>
      <c r="C1067" t="s">
        <v>21</v>
      </c>
      <c r="D1067" t="s">
        <v>24</v>
      </c>
      <c r="E1067" t="s">
        <v>1411</v>
      </c>
      <c r="F1067" t="s">
        <v>24</v>
      </c>
      <c r="G1067">
        <v>2</v>
      </c>
      <c r="H1067">
        <v>3</v>
      </c>
      <c r="I1067" s="13">
        <v>0.6</v>
      </c>
      <c r="J1067" t="s">
        <v>249</v>
      </c>
      <c r="L1067" t="s">
        <v>60</v>
      </c>
      <c r="M1067" t="s">
        <v>60</v>
      </c>
      <c r="N1067" t="s">
        <v>24</v>
      </c>
      <c r="O1067">
        <v>2</v>
      </c>
      <c r="P1067">
        <v>3</v>
      </c>
      <c r="Q1067" s="13">
        <v>0.65071431043098604</v>
      </c>
      <c r="R1067" t="s">
        <v>249</v>
      </c>
      <c r="S1067">
        <v>0.27120076013549832</v>
      </c>
      <c r="T1067" t="s">
        <v>60</v>
      </c>
      <c r="U1067" t="s">
        <v>60</v>
      </c>
      <c r="X1067" t="s">
        <v>60</v>
      </c>
      <c r="Y1067" t="s">
        <v>412</v>
      </c>
      <c r="Z1067" t="s">
        <v>60</v>
      </c>
      <c r="AA1067" t="s">
        <v>491</v>
      </c>
    </row>
    <row r="1068" spans="1:27" x14ac:dyDescent="0.2">
      <c r="A1068" s="1">
        <v>46097</v>
      </c>
      <c r="B1068" t="s">
        <v>328</v>
      </c>
      <c r="C1068" t="s">
        <v>13</v>
      </c>
      <c r="D1068" t="s">
        <v>15</v>
      </c>
      <c r="E1068" t="s">
        <v>1412</v>
      </c>
      <c r="F1068" t="s">
        <v>15</v>
      </c>
      <c r="G1068">
        <v>2</v>
      </c>
      <c r="H1068">
        <v>3</v>
      </c>
      <c r="I1068" s="13">
        <v>0.6</v>
      </c>
      <c r="J1068" t="s">
        <v>249</v>
      </c>
      <c r="L1068" t="s">
        <v>60</v>
      </c>
      <c r="M1068" t="s">
        <v>60</v>
      </c>
      <c r="N1068" t="s">
        <v>15</v>
      </c>
      <c r="O1068">
        <v>2</v>
      </c>
      <c r="P1068">
        <v>3</v>
      </c>
      <c r="Q1068" s="13">
        <v>0.48514471401613141</v>
      </c>
      <c r="R1068" t="s">
        <v>249</v>
      </c>
      <c r="S1068">
        <v>9.8150363116433506E-2</v>
      </c>
      <c r="T1068" t="s">
        <v>60</v>
      </c>
      <c r="U1068" t="s">
        <v>60</v>
      </c>
      <c r="X1068" t="s">
        <v>60</v>
      </c>
      <c r="Y1068" t="s">
        <v>412</v>
      </c>
      <c r="Z1068" t="s">
        <v>60</v>
      </c>
      <c r="AA1068" t="s">
        <v>491</v>
      </c>
    </row>
    <row r="1069" spans="1:27" x14ac:dyDescent="0.2">
      <c r="A1069" s="1">
        <v>46098</v>
      </c>
      <c r="B1069" t="s">
        <v>324</v>
      </c>
      <c r="C1069" t="s">
        <v>29</v>
      </c>
      <c r="D1069" t="s">
        <v>40</v>
      </c>
      <c r="E1069" t="s">
        <v>610</v>
      </c>
      <c r="F1069" t="s">
        <v>40</v>
      </c>
      <c r="G1069">
        <v>2</v>
      </c>
      <c r="H1069">
        <v>3</v>
      </c>
      <c r="I1069" s="13">
        <v>0.6</v>
      </c>
      <c r="J1069" t="s">
        <v>249</v>
      </c>
      <c r="L1069" t="s">
        <v>60</v>
      </c>
      <c r="M1069" t="s">
        <v>60</v>
      </c>
      <c r="N1069" t="s">
        <v>40</v>
      </c>
      <c r="O1069">
        <v>2</v>
      </c>
      <c r="P1069">
        <v>3</v>
      </c>
      <c r="Q1069" s="13">
        <v>0.67345605488272364</v>
      </c>
      <c r="R1069" t="s">
        <v>249</v>
      </c>
      <c r="S1069">
        <v>1.121576208950432</v>
      </c>
      <c r="T1069" t="s">
        <v>60</v>
      </c>
      <c r="U1069" t="s">
        <v>60</v>
      </c>
      <c r="X1069" t="s">
        <v>60</v>
      </c>
      <c r="Y1069" t="s">
        <v>412</v>
      </c>
      <c r="Z1069" t="s">
        <v>60</v>
      </c>
      <c r="AA1069" t="s">
        <v>491</v>
      </c>
    </row>
    <row r="1070" spans="1:27" x14ac:dyDescent="0.2">
      <c r="A1070" s="1">
        <v>46098</v>
      </c>
      <c r="B1070" t="s">
        <v>322</v>
      </c>
      <c r="C1070" t="s">
        <v>23</v>
      </c>
      <c r="D1070" t="s">
        <v>20</v>
      </c>
      <c r="E1070" t="s">
        <v>1413</v>
      </c>
      <c r="F1070" t="s">
        <v>20</v>
      </c>
      <c r="G1070">
        <v>2</v>
      </c>
      <c r="H1070">
        <v>3</v>
      </c>
      <c r="I1070" s="13">
        <v>0.6</v>
      </c>
      <c r="J1070" t="s">
        <v>249</v>
      </c>
      <c r="L1070" t="s">
        <v>60</v>
      </c>
      <c r="M1070" t="s">
        <v>60</v>
      </c>
      <c r="N1070" t="s">
        <v>20</v>
      </c>
      <c r="O1070">
        <v>2</v>
      </c>
      <c r="P1070">
        <v>3</v>
      </c>
      <c r="Q1070" s="13">
        <v>0.57287749455139403</v>
      </c>
      <c r="R1070" t="s">
        <v>249</v>
      </c>
      <c r="S1070">
        <v>0.28157035434311573</v>
      </c>
      <c r="T1070" t="s">
        <v>60</v>
      </c>
      <c r="U1070" t="s">
        <v>60</v>
      </c>
      <c r="X1070" t="s">
        <v>60</v>
      </c>
      <c r="Y1070" t="s">
        <v>412</v>
      </c>
      <c r="Z1070" t="s">
        <v>60</v>
      </c>
      <c r="AA1070" t="s">
        <v>491</v>
      </c>
    </row>
    <row r="1071" spans="1:27" x14ac:dyDescent="0.2">
      <c r="A1071" s="1">
        <v>46098</v>
      </c>
      <c r="B1071" t="s">
        <v>322</v>
      </c>
      <c r="C1071" t="s">
        <v>11</v>
      </c>
      <c r="D1071" t="s">
        <v>38</v>
      </c>
      <c r="E1071" t="s">
        <v>1414</v>
      </c>
      <c r="F1071" t="s">
        <v>11</v>
      </c>
      <c r="G1071">
        <v>2</v>
      </c>
      <c r="H1071">
        <v>3</v>
      </c>
      <c r="I1071" s="13">
        <v>0.6</v>
      </c>
      <c r="J1071" t="s">
        <v>249</v>
      </c>
      <c r="L1071" t="s">
        <v>60</v>
      </c>
      <c r="M1071" t="s">
        <v>60</v>
      </c>
      <c r="N1071" t="s">
        <v>11</v>
      </c>
      <c r="O1071">
        <v>2</v>
      </c>
      <c r="P1071">
        <v>3</v>
      </c>
      <c r="Q1071" s="13">
        <v>0.51845929418593417</v>
      </c>
      <c r="R1071" t="s">
        <v>249</v>
      </c>
      <c r="S1071">
        <v>-0.5006587151235351</v>
      </c>
      <c r="T1071" t="s">
        <v>60</v>
      </c>
      <c r="U1071" t="s">
        <v>60</v>
      </c>
      <c r="X1071" t="s">
        <v>60</v>
      </c>
      <c r="Y1071" t="s">
        <v>412</v>
      </c>
      <c r="Z1071" t="s">
        <v>60</v>
      </c>
      <c r="AA1071" t="s">
        <v>491</v>
      </c>
    </row>
    <row r="1072" spans="1:27" x14ac:dyDescent="0.2">
      <c r="A1072" s="1">
        <v>46098</v>
      </c>
      <c r="B1072" t="s">
        <v>328</v>
      </c>
      <c r="C1072" t="s">
        <v>30</v>
      </c>
      <c r="D1072" t="s">
        <v>19</v>
      </c>
      <c r="E1072" t="s">
        <v>1415</v>
      </c>
      <c r="F1072" t="s">
        <v>30</v>
      </c>
      <c r="G1072">
        <v>2</v>
      </c>
      <c r="H1072">
        <v>3</v>
      </c>
      <c r="I1072" s="13">
        <v>0.6</v>
      </c>
      <c r="J1072" t="s">
        <v>249</v>
      </c>
      <c r="L1072" t="s">
        <v>60</v>
      </c>
      <c r="M1072" t="s">
        <v>60</v>
      </c>
      <c r="N1072" t="s">
        <v>30</v>
      </c>
      <c r="O1072">
        <v>2</v>
      </c>
      <c r="P1072">
        <v>3</v>
      </c>
      <c r="Q1072" s="13">
        <v>0.5727488933569812</v>
      </c>
      <c r="R1072" t="s">
        <v>249</v>
      </c>
      <c r="S1072">
        <v>-0.34364584495448552</v>
      </c>
      <c r="T1072" t="s">
        <v>60</v>
      </c>
      <c r="U1072" t="s">
        <v>60</v>
      </c>
      <c r="X1072" t="s">
        <v>60</v>
      </c>
      <c r="Y1072" t="s">
        <v>412</v>
      </c>
      <c r="Z1072" t="s">
        <v>60</v>
      </c>
      <c r="AA1072" t="s">
        <v>491</v>
      </c>
    </row>
    <row r="1073" spans="1:27" x14ac:dyDescent="0.2">
      <c r="A1073" s="1">
        <v>46098</v>
      </c>
      <c r="B1073" t="s">
        <v>334</v>
      </c>
      <c r="C1073" t="s">
        <v>34</v>
      </c>
      <c r="D1073" t="s">
        <v>10</v>
      </c>
      <c r="E1073" t="s">
        <v>417</v>
      </c>
      <c r="F1073" t="s">
        <v>34</v>
      </c>
      <c r="G1073">
        <v>2</v>
      </c>
      <c r="H1073">
        <v>3</v>
      </c>
      <c r="I1073" s="13">
        <v>0.6</v>
      </c>
      <c r="J1073" t="s">
        <v>249</v>
      </c>
      <c r="L1073" t="s">
        <v>60</v>
      </c>
      <c r="M1073" t="s">
        <v>60</v>
      </c>
      <c r="N1073" t="s">
        <v>34</v>
      </c>
      <c r="O1073">
        <v>2</v>
      </c>
      <c r="P1073">
        <v>3</v>
      </c>
      <c r="Q1073" s="13">
        <v>0.51082279464017433</v>
      </c>
      <c r="R1073" t="s">
        <v>249</v>
      </c>
      <c r="S1073">
        <v>-7.1170718811672307E-2</v>
      </c>
      <c r="T1073" t="s">
        <v>60</v>
      </c>
      <c r="U1073" t="s">
        <v>60</v>
      </c>
      <c r="X1073" t="s">
        <v>60</v>
      </c>
      <c r="Y1073" t="s">
        <v>412</v>
      </c>
      <c r="Z1073" t="s">
        <v>60</v>
      </c>
      <c r="AA1073" t="s">
        <v>491</v>
      </c>
    </row>
    <row r="1074" spans="1:27" x14ac:dyDescent="0.2">
      <c r="A1074" s="1">
        <v>46098</v>
      </c>
      <c r="B1074" t="s">
        <v>328</v>
      </c>
      <c r="C1074" t="s">
        <v>21</v>
      </c>
      <c r="D1074" t="s">
        <v>18</v>
      </c>
      <c r="E1074" t="s">
        <v>884</v>
      </c>
      <c r="F1074" t="s">
        <v>21</v>
      </c>
      <c r="G1074">
        <v>2</v>
      </c>
      <c r="H1074">
        <v>3</v>
      </c>
      <c r="I1074" s="13">
        <v>0.6</v>
      </c>
      <c r="J1074" t="s">
        <v>249</v>
      </c>
      <c r="L1074" t="s">
        <v>60</v>
      </c>
      <c r="M1074" t="s">
        <v>60</v>
      </c>
      <c r="N1074" t="s">
        <v>21</v>
      </c>
      <c r="O1074">
        <v>2</v>
      </c>
      <c r="P1074">
        <v>3</v>
      </c>
      <c r="Q1074" s="13">
        <v>0.49857009559320381</v>
      </c>
      <c r="R1074" t="s">
        <v>249</v>
      </c>
      <c r="S1074">
        <v>-0.32321911890293109</v>
      </c>
      <c r="T1074" t="s">
        <v>60</v>
      </c>
      <c r="U1074" t="s">
        <v>60</v>
      </c>
      <c r="X1074" t="s">
        <v>60</v>
      </c>
      <c r="Y1074" t="s">
        <v>412</v>
      </c>
      <c r="Z1074" t="s">
        <v>60</v>
      </c>
      <c r="AA1074" t="s">
        <v>491</v>
      </c>
    </row>
    <row r="1075" spans="1:27" x14ac:dyDescent="0.2">
      <c r="A1075" s="1">
        <v>46098</v>
      </c>
      <c r="B1075" t="s">
        <v>326</v>
      </c>
      <c r="C1075" t="s">
        <v>33</v>
      </c>
      <c r="D1075" t="s">
        <v>17</v>
      </c>
      <c r="E1075" t="s">
        <v>1279</v>
      </c>
      <c r="F1075" t="s">
        <v>33</v>
      </c>
      <c r="G1075">
        <v>2</v>
      </c>
      <c r="H1075">
        <v>3</v>
      </c>
      <c r="I1075" s="13">
        <v>0.6</v>
      </c>
      <c r="J1075" t="s">
        <v>249</v>
      </c>
      <c r="L1075" t="s">
        <v>60</v>
      </c>
      <c r="M1075" t="s">
        <v>60</v>
      </c>
      <c r="N1075" t="s">
        <v>33</v>
      </c>
      <c r="O1075">
        <v>2</v>
      </c>
      <c r="P1075">
        <v>3</v>
      </c>
      <c r="Q1075" s="13">
        <v>0.48991183681922668</v>
      </c>
      <c r="R1075" t="s">
        <v>249</v>
      </c>
      <c r="S1075">
        <v>-0.31651492293211592</v>
      </c>
      <c r="T1075" t="s">
        <v>60</v>
      </c>
      <c r="U1075" t="s">
        <v>60</v>
      </c>
      <c r="X1075" t="s">
        <v>60</v>
      </c>
      <c r="Y1075" t="s">
        <v>412</v>
      </c>
      <c r="Z1075" t="s">
        <v>60</v>
      </c>
      <c r="AA1075" t="s">
        <v>491</v>
      </c>
    </row>
    <row r="1076" spans="1:27" x14ac:dyDescent="0.2">
      <c r="A1076" s="1">
        <v>46098</v>
      </c>
      <c r="B1076" t="s">
        <v>328</v>
      </c>
      <c r="C1076" t="s">
        <v>25</v>
      </c>
      <c r="D1076" t="s">
        <v>28</v>
      </c>
      <c r="E1076" t="s">
        <v>1416</v>
      </c>
      <c r="F1076" t="s">
        <v>25</v>
      </c>
      <c r="G1076">
        <v>2</v>
      </c>
      <c r="H1076">
        <v>3</v>
      </c>
      <c r="I1076" s="13">
        <v>0.6</v>
      </c>
      <c r="J1076" t="s">
        <v>249</v>
      </c>
      <c r="L1076" t="s">
        <v>60</v>
      </c>
      <c r="M1076" t="s">
        <v>60</v>
      </c>
      <c r="N1076" t="s">
        <v>25</v>
      </c>
      <c r="O1076">
        <v>2</v>
      </c>
      <c r="P1076">
        <v>3</v>
      </c>
      <c r="Q1076" s="13">
        <v>0.64597416936312857</v>
      </c>
      <c r="R1076" t="s">
        <v>249</v>
      </c>
      <c r="S1076">
        <v>-0.97076379275593039</v>
      </c>
      <c r="T1076" t="s">
        <v>60</v>
      </c>
      <c r="U1076" t="s">
        <v>60</v>
      </c>
      <c r="X1076" t="s">
        <v>60</v>
      </c>
      <c r="Y1076" t="s">
        <v>412</v>
      </c>
      <c r="Z1076" t="s">
        <v>60</v>
      </c>
      <c r="AA1076" t="s">
        <v>491</v>
      </c>
    </row>
    <row r="1077" spans="1:27" x14ac:dyDescent="0.2">
      <c r="A1077" s="1">
        <v>46098</v>
      </c>
      <c r="B1077" t="s">
        <v>322</v>
      </c>
      <c r="C1077" t="s">
        <v>37</v>
      </c>
      <c r="D1077" t="s">
        <v>32</v>
      </c>
      <c r="E1077" t="s">
        <v>1417</v>
      </c>
      <c r="F1077" t="s">
        <v>37</v>
      </c>
      <c r="G1077">
        <v>2</v>
      </c>
      <c r="H1077">
        <v>3</v>
      </c>
      <c r="I1077" s="13">
        <v>0.6</v>
      </c>
      <c r="J1077" t="s">
        <v>249</v>
      </c>
      <c r="L1077" t="s">
        <v>60</v>
      </c>
      <c r="M1077" t="s">
        <v>60</v>
      </c>
      <c r="N1077" t="s">
        <v>37</v>
      </c>
      <c r="O1077">
        <v>2</v>
      </c>
      <c r="P1077">
        <v>3</v>
      </c>
      <c r="Q1077" s="13">
        <v>0.68209290231665043</v>
      </c>
      <c r="R1077" t="s">
        <v>249</v>
      </c>
      <c r="S1077">
        <v>-1.1099814331015321</v>
      </c>
      <c r="T1077" t="s">
        <v>60</v>
      </c>
      <c r="U1077" t="s">
        <v>60</v>
      </c>
      <c r="X1077" t="s">
        <v>60</v>
      </c>
      <c r="Y1077" t="s">
        <v>412</v>
      </c>
      <c r="Z1077" t="s">
        <v>60</v>
      </c>
      <c r="AA1077" t="s">
        <v>491</v>
      </c>
    </row>
    <row r="1078" spans="1:27" x14ac:dyDescent="0.2">
      <c r="A1078" s="1">
        <v>46099</v>
      </c>
      <c r="B1078" t="s">
        <v>328</v>
      </c>
      <c r="C1078" t="s">
        <v>24</v>
      </c>
      <c r="D1078" t="s">
        <v>15</v>
      </c>
      <c r="E1078" t="s">
        <v>1418</v>
      </c>
      <c r="F1078" t="s">
        <v>24</v>
      </c>
      <c r="G1078">
        <v>2</v>
      </c>
      <c r="H1078">
        <v>3</v>
      </c>
      <c r="I1078" s="13">
        <v>0.6</v>
      </c>
      <c r="J1078" t="s">
        <v>249</v>
      </c>
      <c r="L1078" t="s">
        <v>60</v>
      </c>
      <c r="M1078" t="s">
        <v>60</v>
      </c>
      <c r="N1078" t="s">
        <v>24</v>
      </c>
      <c r="O1078">
        <v>2</v>
      </c>
      <c r="P1078">
        <v>3</v>
      </c>
      <c r="Q1078" s="13">
        <v>0.50898700949621889</v>
      </c>
      <c r="R1078" t="s">
        <v>249</v>
      </c>
      <c r="S1078">
        <v>-0.2416634863253844</v>
      </c>
      <c r="T1078" t="s">
        <v>60</v>
      </c>
      <c r="U1078" t="s">
        <v>60</v>
      </c>
      <c r="X1078" t="s">
        <v>60</v>
      </c>
      <c r="Y1078" t="s">
        <v>412</v>
      </c>
      <c r="Z1078" t="s">
        <v>60</v>
      </c>
      <c r="AA1078" t="s">
        <v>491</v>
      </c>
    </row>
    <row r="1079" spans="1:27" x14ac:dyDescent="0.2">
      <c r="A1079" s="1">
        <v>46099</v>
      </c>
      <c r="B1079" t="s">
        <v>426</v>
      </c>
      <c r="C1079" t="s">
        <v>39</v>
      </c>
      <c r="D1079" t="s">
        <v>12</v>
      </c>
      <c r="E1079" t="s">
        <v>520</v>
      </c>
      <c r="F1079" t="s">
        <v>12</v>
      </c>
      <c r="G1079">
        <v>2</v>
      </c>
      <c r="H1079">
        <v>3</v>
      </c>
      <c r="I1079" s="13">
        <v>0.6</v>
      </c>
      <c r="J1079" t="s">
        <v>249</v>
      </c>
      <c r="L1079" t="s">
        <v>60</v>
      </c>
      <c r="M1079" t="s">
        <v>60</v>
      </c>
      <c r="N1079" t="s">
        <v>12</v>
      </c>
      <c r="O1079">
        <v>2</v>
      </c>
      <c r="P1079">
        <v>3</v>
      </c>
      <c r="Q1079" s="13">
        <v>0.69431845954718507</v>
      </c>
      <c r="R1079" t="s">
        <v>249</v>
      </c>
      <c r="S1079">
        <v>1.268361905495019</v>
      </c>
      <c r="T1079" t="s">
        <v>60</v>
      </c>
      <c r="U1079" t="s">
        <v>60</v>
      </c>
      <c r="X1079" t="s">
        <v>60</v>
      </c>
      <c r="Y1079" t="s">
        <v>412</v>
      </c>
      <c r="Z1079" t="s">
        <v>60</v>
      </c>
      <c r="AA1079" t="s">
        <v>491</v>
      </c>
    </row>
    <row r="1080" spans="1:27" x14ac:dyDescent="0.2">
      <c r="A1080" s="1">
        <v>46099</v>
      </c>
      <c r="B1080" t="s">
        <v>334</v>
      </c>
      <c r="C1080" t="s">
        <v>36</v>
      </c>
      <c r="D1080" t="s">
        <v>22</v>
      </c>
      <c r="E1080" t="s">
        <v>668</v>
      </c>
      <c r="F1080" t="s">
        <v>22</v>
      </c>
      <c r="G1080">
        <v>2</v>
      </c>
      <c r="H1080">
        <v>3</v>
      </c>
      <c r="I1080" s="13">
        <v>0.6</v>
      </c>
      <c r="J1080" t="s">
        <v>249</v>
      </c>
      <c r="L1080" t="s">
        <v>60</v>
      </c>
      <c r="M1080" t="s">
        <v>60</v>
      </c>
      <c r="N1080" t="s">
        <v>22</v>
      </c>
      <c r="O1080">
        <v>2</v>
      </c>
      <c r="P1080">
        <v>3</v>
      </c>
      <c r="Q1080" s="13">
        <v>0.68536945506778668</v>
      </c>
      <c r="R1080" t="s">
        <v>249</v>
      </c>
      <c r="S1080">
        <v>1.021984032641758</v>
      </c>
      <c r="T1080" t="s">
        <v>60</v>
      </c>
      <c r="U1080" t="s">
        <v>60</v>
      </c>
      <c r="X1080" t="s">
        <v>60</v>
      </c>
      <c r="Y1080" t="s">
        <v>412</v>
      </c>
      <c r="Z1080" t="s">
        <v>60</v>
      </c>
      <c r="AA1080" t="s">
        <v>491</v>
      </c>
    </row>
    <row r="1081" spans="1:27" x14ac:dyDescent="0.2">
      <c r="A1081" s="1">
        <v>46099</v>
      </c>
      <c r="B1081" t="s">
        <v>328</v>
      </c>
      <c r="C1081" t="s">
        <v>14</v>
      </c>
      <c r="D1081" t="s">
        <v>25</v>
      </c>
      <c r="E1081" t="s">
        <v>1383</v>
      </c>
      <c r="F1081" t="s">
        <v>25</v>
      </c>
      <c r="G1081">
        <v>2</v>
      </c>
      <c r="H1081">
        <v>3</v>
      </c>
      <c r="I1081" s="13">
        <v>0.6</v>
      </c>
      <c r="J1081" t="s">
        <v>249</v>
      </c>
      <c r="L1081" t="s">
        <v>60</v>
      </c>
      <c r="M1081" t="s">
        <v>60</v>
      </c>
      <c r="N1081" t="s">
        <v>25</v>
      </c>
      <c r="O1081">
        <v>2</v>
      </c>
      <c r="P1081">
        <v>3</v>
      </c>
      <c r="Q1081" s="13">
        <v>0.62533344061854423</v>
      </c>
      <c r="R1081" t="s">
        <v>249</v>
      </c>
      <c r="S1081">
        <v>0.61784010781720522</v>
      </c>
      <c r="T1081" t="s">
        <v>60</v>
      </c>
      <c r="U1081" t="s">
        <v>60</v>
      </c>
      <c r="X1081" t="s">
        <v>60</v>
      </c>
      <c r="Y1081" t="s">
        <v>412</v>
      </c>
      <c r="Z1081" t="s">
        <v>60</v>
      </c>
      <c r="AA1081" t="s">
        <v>491</v>
      </c>
    </row>
    <row r="1082" spans="1:27" x14ac:dyDescent="0.2">
      <c r="A1082" s="1">
        <v>46099</v>
      </c>
      <c r="B1082" t="s">
        <v>426</v>
      </c>
      <c r="C1082" t="s">
        <v>35</v>
      </c>
      <c r="D1082" t="s">
        <v>16</v>
      </c>
      <c r="E1082" t="s">
        <v>524</v>
      </c>
      <c r="F1082" t="s">
        <v>16</v>
      </c>
      <c r="G1082">
        <v>2</v>
      </c>
      <c r="H1082">
        <v>3</v>
      </c>
      <c r="I1082" s="13">
        <v>0.6</v>
      </c>
      <c r="J1082" t="s">
        <v>249</v>
      </c>
      <c r="L1082" t="s">
        <v>60</v>
      </c>
      <c r="M1082" t="s">
        <v>60</v>
      </c>
      <c r="N1082" t="s">
        <v>16</v>
      </c>
      <c r="O1082">
        <v>2</v>
      </c>
      <c r="P1082">
        <v>3</v>
      </c>
      <c r="Q1082" s="13">
        <v>0.58420688573856194</v>
      </c>
      <c r="R1082" t="s">
        <v>249</v>
      </c>
      <c r="S1082">
        <v>0.3785978418262641</v>
      </c>
      <c r="T1082" t="s">
        <v>60</v>
      </c>
      <c r="U1082" t="s">
        <v>60</v>
      </c>
      <c r="X1082" t="s">
        <v>60</v>
      </c>
      <c r="Y1082" t="s">
        <v>412</v>
      </c>
      <c r="Z1082" t="s">
        <v>60</v>
      </c>
      <c r="AA1082" t="s">
        <v>491</v>
      </c>
    </row>
    <row r="1083" spans="1:27" x14ac:dyDescent="0.2">
      <c r="A1083" s="1">
        <v>46099</v>
      </c>
      <c r="B1083" t="s">
        <v>322</v>
      </c>
      <c r="C1083" t="s">
        <v>27</v>
      </c>
      <c r="D1083" t="s">
        <v>31</v>
      </c>
      <c r="E1083" t="s">
        <v>1419</v>
      </c>
      <c r="F1083" t="s">
        <v>31</v>
      </c>
      <c r="G1083">
        <v>2</v>
      </c>
      <c r="H1083">
        <v>3</v>
      </c>
      <c r="I1083" s="13">
        <v>0.6</v>
      </c>
      <c r="J1083" t="s">
        <v>249</v>
      </c>
      <c r="L1083" t="s">
        <v>60</v>
      </c>
      <c r="M1083" t="s">
        <v>60</v>
      </c>
      <c r="N1083" t="s">
        <v>31</v>
      </c>
      <c r="O1083">
        <v>2</v>
      </c>
      <c r="P1083">
        <v>3</v>
      </c>
      <c r="Q1083" s="13">
        <v>0.65003881591850643</v>
      </c>
      <c r="R1083" t="s">
        <v>249</v>
      </c>
      <c r="S1083">
        <v>0.60884335426874481</v>
      </c>
      <c r="T1083" t="s">
        <v>60</v>
      </c>
      <c r="U1083" t="s">
        <v>60</v>
      </c>
      <c r="X1083" t="s">
        <v>60</v>
      </c>
      <c r="Y1083" t="s">
        <v>412</v>
      </c>
      <c r="Z1083" t="s">
        <v>60</v>
      </c>
      <c r="AA1083" t="s">
        <v>491</v>
      </c>
    </row>
    <row r="1084" spans="1:27" x14ac:dyDescent="0.2">
      <c r="A1084" s="1">
        <v>46100</v>
      </c>
      <c r="B1084" t="s">
        <v>328</v>
      </c>
      <c r="C1084" t="s">
        <v>30</v>
      </c>
      <c r="D1084" t="s">
        <v>36</v>
      </c>
      <c r="E1084" t="s">
        <v>601</v>
      </c>
      <c r="F1084" t="s">
        <v>30</v>
      </c>
      <c r="G1084">
        <v>2</v>
      </c>
      <c r="H1084">
        <v>3</v>
      </c>
      <c r="I1084" s="13">
        <v>0.6</v>
      </c>
      <c r="J1084" t="s">
        <v>249</v>
      </c>
      <c r="L1084" t="s">
        <v>60</v>
      </c>
      <c r="M1084" t="s">
        <v>60</v>
      </c>
      <c r="N1084" t="s">
        <v>30</v>
      </c>
      <c r="O1084">
        <v>2</v>
      </c>
      <c r="P1084">
        <v>3</v>
      </c>
      <c r="Q1084" s="13">
        <v>0.55820746289392176</v>
      </c>
      <c r="R1084" t="s">
        <v>249</v>
      </c>
      <c r="S1084">
        <v>-0.2405433045003435</v>
      </c>
      <c r="T1084" t="s">
        <v>60</v>
      </c>
      <c r="U1084" t="s">
        <v>60</v>
      </c>
      <c r="X1084" t="s">
        <v>60</v>
      </c>
      <c r="Y1084" t="s">
        <v>412</v>
      </c>
      <c r="Z1084" t="s">
        <v>60</v>
      </c>
      <c r="AA1084" t="s">
        <v>491</v>
      </c>
    </row>
    <row r="1085" spans="1:27" x14ac:dyDescent="0.2">
      <c r="A1085" s="1">
        <v>46100</v>
      </c>
      <c r="B1085" t="s">
        <v>322</v>
      </c>
      <c r="C1085" t="s">
        <v>55</v>
      </c>
      <c r="D1085" t="s">
        <v>20</v>
      </c>
      <c r="E1085" t="s">
        <v>1420</v>
      </c>
      <c r="F1085" t="s">
        <v>20</v>
      </c>
      <c r="G1085">
        <v>2</v>
      </c>
      <c r="H1085">
        <v>3</v>
      </c>
      <c r="I1085" s="13">
        <v>0.6</v>
      </c>
      <c r="J1085" t="s">
        <v>249</v>
      </c>
      <c r="L1085" t="s">
        <v>60</v>
      </c>
      <c r="M1085" t="s">
        <v>60</v>
      </c>
      <c r="N1085" t="s">
        <v>20</v>
      </c>
      <c r="O1085">
        <v>2</v>
      </c>
      <c r="P1085">
        <v>3</v>
      </c>
      <c r="Q1085" s="13">
        <v>0.56435516795849938</v>
      </c>
      <c r="R1085" t="s">
        <v>249</v>
      </c>
      <c r="S1085">
        <v>0.20858320762370849</v>
      </c>
      <c r="T1085" t="s">
        <v>60</v>
      </c>
      <c r="U1085" t="s">
        <v>60</v>
      </c>
      <c r="X1085" t="s">
        <v>60</v>
      </c>
      <c r="Y1085" t="s">
        <v>412</v>
      </c>
      <c r="Z1085" t="s">
        <v>60</v>
      </c>
      <c r="AA1085" t="s">
        <v>491</v>
      </c>
    </row>
    <row r="1086" spans="1:27" x14ac:dyDescent="0.2">
      <c r="A1086" s="1">
        <v>46100</v>
      </c>
      <c r="B1086" t="s">
        <v>322</v>
      </c>
      <c r="C1086" t="s">
        <v>37</v>
      </c>
      <c r="D1086" t="s">
        <v>38</v>
      </c>
      <c r="E1086" t="s">
        <v>1421</v>
      </c>
      <c r="F1086" t="s">
        <v>37</v>
      </c>
      <c r="G1086">
        <v>2</v>
      </c>
      <c r="H1086">
        <v>3</v>
      </c>
      <c r="I1086" s="13">
        <v>0.6</v>
      </c>
      <c r="J1086" t="s">
        <v>249</v>
      </c>
      <c r="L1086" t="s">
        <v>60</v>
      </c>
      <c r="M1086" t="s">
        <v>60</v>
      </c>
      <c r="N1086" t="s">
        <v>37</v>
      </c>
      <c r="O1086">
        <v>2</v>
      </c>
      <c r="P1086">
        <v>3</v>
      </c>
      <c r="Q1086" s="13">
        <v>0.71692389060857475</v>
      </c>
      <c r="R1086" t="s">
        <v>249</v>
      </c>
      <c r="S1086">
        <v>-1.4082819529342461</v>
      </c>
      <c r="T1086" t="s">
        <v>60</v>
      </c>
      <c r="U1086" t="s">
        <v>60</v>
      </c>
      <c r="X1086" t="s">
        <v>60</v>
      </c>
      <c r="Y1086" t="s">
        <v>412</v>
      </c>
      <c r="Z1086" t="s">
        <v>60</v>
      </c>
      <c r="AA1086" t="s">
        <v>491</v>
      </c>
    </row>
    <row r="1087" spans="1:27" x14ac:dyDescent="0.2">
      <c r="A1087" s="1">
        <v>46100</v>
      </c>
      <c r="B1087" t="s">
        <v>322</v>
      </c>
      <c r="C1087" t="s">
        <v>23</v>
      </c>
      <c r="D1087" t="s">
        <v>33</v>
      </c>
      <c r="E1087" t="s">
        <v>1422</v>
      </c>
      <c r="F1087" t="s">
        <v>33</v>
      </c>
      <c r="G1087">
        <v>2</v>
      </c>
      <c r="H1087">
        <v>3</v>
      </c>
      <c r="I1087" s="13">
        <v>0.6</v>
      </c>
      <c r="J1087" t="s">
        <v>249</v>
      </c>
      <c r="L1087" t="s">
        <v>60</v>
      </c>
      <c r="M1087" t="s">
        <v>60</v>
      </c>
      <c r="N1087" t="s">
        <v>33</v>
      </c>
      <c r="O1087">
        <v>2</v>
      </c>
      <c r="P1087">
        <v>3</v>
      </c>
      <c r="Q1087" s="13">
        <v>0.55884226403859216</v>
      </c>
      <c r="R1087" t="s">
        <v>249</v>
      </c>
      <c r="S1087">
        <v>7.4680192281508795E-2</v>
      </c>
      <c r="T1087" t="s">
        <v>60</v>
      </c>
      <c r="U1087" t="s">
        <v>60</v>
      </c>
      <c r="X1087" t="s">
        <v>60</v>
      </c>
      <c r="Y1087" t="s">
        <v>412</v>
      </c>
      <c r="Z1087" t="s">
        <v>60</v>
      </c>
      <c r="AA1087" t="s">
        <v>491</v>
      </c>
    </row>
    <row r="1088" spans="1:27" x14ac:dyDescent="0.2">
      <c r="A1088" s="1">
        <v>46100</v>
      </c>
      <c r="B1088" t="s">
        <v>334</v>
      </c>
      <c r="C1088" t="s">
        <v>10</v>
      </c>
      <c r="D1088" t="s">
        <v>34</v>
      </c>
      <c r="E1088" t="s">
        <v>1263</v>
      </c>
      <c r="F1088" t="s">
        <v>34</v>
      </c>
      <c r="G1088">
        <v>2</v>
      </c>
      <c r="H1088">
        <v>3</v>
      </c>
      <c r="I1088" s="13">
        <v>0.6</v>
      </c>
      <c r="J1088" t="s">
        <v>249</v>
      </c>
      <c r="L1088" t="s">
        <v>60</v>
      </c>
      <c r="M1088" t="s">
        <v>60</v>
      </c>
      <c r="N1088" t="s">
        <v>34</v>
      </c>
      <c r="O1088">
        <v>2</v>
      </c>
      <c r="P1088">
        <v>3</v>
      </c>
      <c r="Q1088" s="13">
        <v>0.5599635296646438</v>
      </c>
      <c r="R1088" t="s">
        <v>249</v>
      </c>
      <c r="S1088">
        <v>0.17097221665799731</v>
      </c>
      <c r="T1088" t="s">
        <v>60</v>
      </c>
      <c r="U1088" t="s">
        <v>60</v>
      </c>
      <c r="X1088" t="s">
        <v>60</v>
      </c>
      <c r="Y1088" t="s">
        <v>412</v>
      </c>
      <c r="Z1088" t="s">
        <v>60</v>
      </c>
      <c r="AA1088" t="s">
        <v>491</v>
      </c>
    </row>
    <row r="1089" spans="1:27" x14ac:dyDescent="0.2">
      <c r="A1089" s="1">
        <v>46100</v>
      </c>
      <c r="B1089" t="s">
        <v>324</v>
      </c>
      <c r="C1089" t="s">
        <v>32</v>
      </c>
      <c r="D1089" t="s">
        <v>29</v>
      </c>
      <c r="E1089" t="s">
        <v>1423</v>
      </c>
      <c r="F1089" t="s">
        <v>32</v>
      </c>
      <c r="G1089">
        <v>2</v>
      </c>
      <c r="H1089">
        <v>3</v>
      </c>
      <c r="I1089" s="13">
        <v>0.6</v>
      </c>
      <c r="J1089" t="s">
        <v>249</v>
      </c>
      <c r="L1089" t="s">
        <v>60</v>
      </c>
      <c r="M1089" t="s">
        <v>60</v>
      </c>
      <c r="N1089" t="s">
        <v>32</v>
      </c>
      <c r="O1089">
        <v>2</v>
      </c>
      <c r="P1089">
        <v>3</v>
      </c>
      <c r="Q1089" s="13">
        <v>0.54005850754316576</v>
      </c>
      <c r="R1089" t="s">
        <v>249</v>
      </c>
      <c r="S1089">
        <v>-0.68563929960880854</v>
      </c>
      <c r="T1089" t="s">
        <v>60</v>
      </c>
      <c r="U1089" t="s">
        <v>60</v>
      </c>
      <c r="X1089" t="s">
        <v>60</v>
      </c>
      <c r="Y1089" t="s">
        <v>412</v>
      </c>
      <c r="Z1089" t="s">
        <v>60</v>
      </c>
      <c r="AA1089" t="s">
        <v>491</v>
      </c>
    </row>
    <row r="1090" spans="1:27" x14ac:dyDescent="0.2">
      <c r="A1090" s="1">
        <v>46100</v>
      </c>
      <c r="B1090" t="s">
        <v>326</v>
      </c>
      <c r="C1090" t="s">
        <v>11</v>
      </c>
      <c r="D1090" t="s">
        <v>17</v>
      </c>
      <c r="E1090" t="s">
        <v>1424</v>
      </c>
      <c r="F1090" t="s">
        <v>11</v>
      </c>
      <c r="G1090">
        <v>2</v>
      </c>
      <c r="H1090">
        <v>3</v>
      </c>
      <c r="I1090" s="13">
        <v>0.6</v>
      </c>
      <c r="J1090" t="s">
        <v>249</v>
      </c>
      <c r="L1090" t="s">
        <v>60</v>
      </c>
      <c r="M1090" t="s">
        <v>60</v>
      </c>
      <c r="N1090" t="s">
        <v>11</v>
      </c>
      <c r="O1090">
        <v>2</v>
      </c>
      <c r="P1090">
        <v>3</v>
      </c>
      <c r="Q1090" s="13">
        <v>0.49624196982048518</v>
      </c>
      <c r="R1090" t="s">
        <v>249</v>
      </c>
      <c r="S1090">
        <v>-0.37072762425025269</v>
      </c>
      <c r="T1090" t="s">
        <v>60</v>
      </c>
      <c r="U1090" t="s">
        <v>60</v>
      </c>
      <c r="X1090" t="s">
        <v>60</v>
      </c>
      <c r="Y1090" t="s">
        <v>412</v>
      </c>
      <c r="Z1090" t="s">
        <v>60</v>
      </c>
      <c r="AA1090" t="s">
        <v>491</v>
      </c>
    </row>
    <row r="1091" spans="1:27" x14ac:dyDescent="0.2">
      <c r="A1091" s="1">
        <v>46100</v>
      </c>
      <c r="B1091" t="s">
        <v>328</v>
      </c>
      <c r="C1091" t="s">
        <v>18</v>
      </c>
      <c r="D1091" t="s">
        <v>26</v>
      </c>
      <c r="E1091" t="s">
        <v>515</v>
      </c>
      <c r="F1091" t="s">
        <v>18</v>
      </c>
      <c r="G1091">
        <v>2</v>
      </c>
      <c r="H1091">
        <v>3</v>
      </c>
      <c r="I1091" s="13">
        <v>0.6</v>
      </c>
      <c r="J1091" t="s">
        <v>249</v>
      </c>
      <c r="L1091" t="s">
        <v>60</v>
      </c>
      <c r="M1091" t="s">
        <v>60</v>
      </c>
      <c r="N1091" t="s">
        <v>18</v>
      </c>
      <c r="O1091">
        <v>2</v>
      </c>
      <c r="P1091">
        <v>3</v>
      </c>
      <c r="Q1091" s="13">
        <v>0.54644138368872142</v>
      </c>
      <c r="R1091" t="s">
        <v>249</v>
      </c>
      <c r="S1091">
        <v>-0.23254918783532191</v>
      </c>
      <c r="T1091" t="s">
        <v>60</v>
      </c>
      <c r="U1091" t="s">
        <v>60</v>
      </c>
      <c r="X1091" t="s">
        <v>60</v>
      </c>
      <c r="Y1091" t="s">
        <v>412</v>
      </c>
      <c r="Z1091" t="s">
        <v>60</v>
      </c>
      <c r="AA1091" t="s">
        <v>491</v>
      </c>
    </row>
    <row r="1092" spans="1:27" x14ac:dyDescent="0.2">
      <c r="A1092" s="1">
        <v>46100</v>
      </c>
      <c r="B1092" t="s">
        <v>328</v>
      </c>
      <c r="C1092" t="s">
        <v>15</v>
      </c>
      <c r="D1092" t="s">
        <v>28</v>
      </c>
      <c r="E1092" t="s">
        <v>890</v>
      </c>
      <c r="F1092" t="s">
        <v>15</v>
      </c>
      <c r="G1092">
        <v>2</v>
      </c>
      <c r="H1092">
        <v>3</v>
      </c>
      <c r="I1092" s="13">
        <v>0.6</v>
      </c>
      <c r="J1092" t="s">
        <v>249</v>
      </c>
      <c r="L1092" t="s">
        <v>60</v>
      </c>
      <c r="M1092" t="s">
        <v>60</v>
      </c>
      <c r="N1092" t="s">
        <v>15</v>
      </c>
      <c r="O1092">
        <v>2</v>
      </c>
      <c r="P1092">
        <v>3</v>
      </c>
      <c r="Q1092" s="13">
        <v>0.5898628635660369</v>
      </c>
      <c r="R1092" t="s">
        <v>249</v>
      </c>
      <c r="S1092">
        <v>-0.2550546709434352</v>
      </c>
      <c r="T1092" t="s">
        <v>60</v>
      </c>
      <c r="U1092" t="s">
        <v>60</v>
      </c>
      <c r="X1092" t="s">
        <v>60</v>
      </c>
      <c r="Y1092" t="s">
        <v>412</v>
      </c>
      <c r="Z1092" t="s">
        <v>60</v>
      </c>
      <c r="AA1092" t="s">
        <v>491</v>
      </c>
    </row>
    <row r="1093" spans="1:27" x14ac:dyDescent="0.2">
      <c r="A1093" s="1">
        <v>46100</v>
      </c>
      <c r="B1093" t="s">
        <v>328</v>
      </c>
      <c r="C1093" t="s">
        <v>40</v>
      </c>
      <c r="D1093" t="s">
        <v>21</v>
      </c>
      <c r="E1093" t="s">
        <v>1425</v>
      </c>
      <c r="F1093" t="s">
        <v>21</v>
      </c>
      <c r="G1093">
        <v>2</v>
      </c>
      <c r="H1093">
        <v>3</v>
      </c>
      <c r="I1093" s="13">
        <v>0.6</v>
      </c>
      <c r="J1093" t="s">
        <v>249</v>
      </c>
      <c r="L1093" t="s">
        <v>60</v>
      </c>
      <c r="M1093" t="s">
        <v>60</v>
      </c>
      <c r="N1093" t="s">
        <v>21</v>
      </c>
      <c r="O1093">
        <v>2</v>
      </c>
      <c r="P1093">
        <v>3</v>
      </c>
      <c r="Q1093" s="13">
        <v>0.57924089186283334</v>
      </c>
      <c r="R1093" t="s">
        <v>249</v>
      </c>
      <c r="S1093">
        <v>0.1433728122582224</v>
      </c>
      <c r="T1093" t="s">
        <v>60</v>
      </c>
      <c r="U1093" t="s">
        <v>60</v>
      </c>
      <c r="X1093" t="s">
        <v>60</v>
      </c>
      <c r="Y1093" t="s">
        <v>412</v>
      </c>
      <c r="Z1093" t="s">
        <v>60</v>
      </c>
      <c r="AA1093" t="s">
        <v>491</v>
      </c>
    </row>
    <row r="1094" spans="1:27" x14ac:dyDescent="0.2">
      <c r="A1094" s="1">
        <v>46100</v>
      </c>
      <c r="B1094" t="s">
        <v>340</v>
      </c>
      <c r="C1094" t="s">
        <v>27</v>
      </c>
      <c r="D1094" t="s">
        <v>13</v>
      </c>
      <c r="E1094" t="s">
        <v>1426</v>
      </c>
      <c r="F1094" t="s">
        <v>13</v>
      </c>
      <c r="G1094">
        <v>2</v>
      </c>
      <c r="H1094">
        <v>3</v>
      </c>
      <c r="I1094" s="13">
        <v>0.6</v>
      </c>
      <c r="J1094" t="s">
        <v>249</v>
      </c>
      <c r="L1094" t="s">
        <v>60</v>
      </c>
      <c r="M1094" t="s">
        <v>60</v>
      </c>
      <c r="N1094" t="s">
        <v>13</v>
      </c>
      <c r="O1094">
        <v>2</v>
      </c>
      <c r="P1094">
        <v>3</v>
      </c>
      <c r="Q1094" s="13">
        <v>0.50821306656013865</v>
      </c>
      <c r="R1094" t="s">
        <v>249</v>
      </c>
      <c r="S1094">
        <v>9.1856733752264802E-2</v>
      </c>
      <c r="T1094" t="s">
        <v>60</v>
      </c>
      <c r="U1094" t="s">
        <v>60</v>
      </c>
      <c r="X1094" t="s">
        <v>60</v>
      </c>
      <c r="Y1094" t="s">
        <v>412</v>
      </c>
      <c r="Z1094" t="s">
        <v>60</v>
      </c>
      <c r="AA1094" t="s">
        <v>491</v>
      </c>
    </row>
    <row r="1095" spans="1:27" x14ac:dyDescent="0.2">
      <c r="A1095" s="1">
        <v>46101</v>
      </c>
      <c r="B1095" t="s">
        <v>328</v>
      </c>
      <c r="C1095" t="s">
        <v>24</v>
      </c>
      <c r="D1095" t="s">
        <v>22</v>
      </c>
      <c r="E1095" t="s">
        <v>880</v>
      </c>
      <c r="F1095" t="s">
        <v>22</v>
      </c>
      <c r="G1095">
        <v>2</v>
      </c>
      <c r="H1095">
        <v>3</v>
      </c>
      <c r="I1095" s="13">
        <v>0.6</v>
      </c>
      <c r="J1095" t="s">
        <v>249</v>
      </c>
      <c r="L1095" t="s">
        <v>60</v>
      </c>
      <c r="M1095" t="s">
        <v>60</v>
      </c>
      <c r="N1095" t="s">
        <v>22</v>
      </c>
      <c r="O1095">
        <v>2</v>
      </c>
      <c r="P1095">
        <v>3</v>
      </c>
      <c r="Q1095" s="13">
        <v>0.6025615888223681</v>
      </c>
      <c r="R1095" t="s">
        <v>249</v>
      </c>
      <c r="S1095">
        <v>0.48907773101231511</v>
      </c>
      <c r="T1095" t="s">
        <v>60</v>
      </c>
      <c r="U1095" t="s">
        <v>60</v>
      </c>
      <c r="X1095" t="s">
        <v>60</v>
      </c>
      <c r="Y1095" t="s">
        <v>412</v>
      </c>
      <c r="Z1095" t="s">
        <v>60</v>
      </c>
      <c r="AA1095" t="s">
        <v>491</v>
      </c>
    </row>
    <row r="1096" spans="1:27" x14ac:dyDescent="0.2">
      <c r="A1096" s="1">
        <v>46101</v>
      </c>
      <c r="B1096" t="s">
        <v>326</v>
      </c>
      <c r="C1096" t="s">
        <v>11</v>
      </c>
      <c r="D1096" t="s">
        <v>16</v>
      </c>
      <c r="E1096" t="s">
        <v>1427</v>
      </c>
      <c r="F1096" t="s">
        <v>11</v>
      </c>
      <c r="G1096">
        <v>2</v>
      </c>
      <c r="H1096">
        <v>3</v>
      </c>
      <c r="I1096" s="13">
        <v>0.6</v>
      </c>
      <c r="J1096" t="s">
        <v>249</v>
      </c>
      <c r="L1096" t="s">
        <v>60</v>
      </c>
      <c r="M1096" t="s">
        <v>60</v>
      </c>
      <c r="N1096" t="s">
        <v>11</v>
      </c>
      <c r="O1096">
        <v>2</v>
      </c>
      <c r="P1096">
        <v>3</v>
      </c>
      <c r="Q1096" s="13">
        <v>0.53224962368881501</v>
      </c>
      <c r="R1096" t="s">
        <v>249</v>
      </c>
      <c r="S1096">
        <v>-0.61876223905735184</v>
      </c>
      <c r="T1096" t="s">
        <v>60</v>
      </c>
      <c r="U1096" t="s">
        <v>60</v>
      </c>
      <c r="X1096" t="s">
        <v>60</v>
      </c>
      <c r="Y1096" t="s">
        <v>412</v>
      </c>
      <c r="Z1096" t="s">
        <v>60</v>
      </c>
      <c r="AA1096" t="s">
        <v>491</v>
      </c>
    </row>
    <row r="1097" spans="1:27" x14ac:dyDescent="0.2">
      <c r="A1097" s="1">
        <v>46101</v>
      </c>
      <c r="B1097" t="s">
        <v>416</v>
      </c>
      <c r="C1097" t="s">
        <v>12</v>
      </c>
      <c r="D1097" t="s">
        <v>10</v>
      </c>
      <c r="E1097" t="s">
        <v>364</v>
      </c>
      <c r="F1097" t="s">
        <v>12</v>
      </c>
      <c r="G1097">
        <v>2</v>
      </c>
      <c r="H1097">
        <v>3</v>
      </c>
      <c r="I1097" s="13">
        <v>0.6</v>
      </c>
      <c r="J1097" t="s">
        <v>249</v>
      </c>
      <c r="L1097" t="s">
        <v>60</v>
      </c>
      <c r="M1097" t="s">
        <v>60</v>
      </c>
      <c r="N1097" t="s">
        <v>12</v>
      </c>
      <c r="O1097">
        <v>2</v>
      </c>
      <c r="P1097">
        <v>3</v>
      </c>
      <c r="Q1097" s="13">
        <v>0.73791887075284956</v>
      </c>
      <c r="R1097" t="s">
        <v>249</v>
      </c>
      <c r="S1097">
        <v>-1.758199164688127</v>
      </c>
      <c r="T1097" t="s">
        <v>60</v>
      </c>
      <c r="U1097" t="s">
        <v>60</v>
      </c>
      <c r="X1097" t="s">
        <v>60</v>
      </c>
      <c r="Y1097" t="s">
        <v>412</v>
      </c>
      <c r="Z1097" t="s">
        <v>60</v>
      </c>
      <c r="AA1097" t="s">
        <v>491</v>
      </c>
    </row>
    <row r="1098" spans="1:27" x14ac:dyDescent="0.2">
      <c r="A1098" s="1">
        <v>46101</v>
      </c>
      <c r="B1098" t="s">
        <v>328</v>
      </c>
      <c r="C1098" t="s">
        <v>25</v>
      </c>
      <c r="D1098" t="s">
        <v>19</v>
      </c>
      <c r="E1098" t="s">
        <v>832</v>
      </c>
      <c r="F1098" t="s">
        <v>25</v>
      </c>
      <c r="G1098">
        <v>2</v>
      </c>
      <c r="H1098">
        <v>3</v>
      </c>
      <c r="I1098" s="13">
        <v>0.6</v>
      </c>
      <c r="J1098" t="s">
        <v>249</v>
      </c>
      <c r="L1098" t="s">
        <v>60</v>
      </c>
      <c r="M1098" t="s">
        <v>60</v>
      </c>
      <c r="N1098" t="s">
        <v>25</v>
      </c>
      <c r="O1098">
        <v>2</v>
      </c>
      <c r="P1098">
        <v>3</v>
      </c>
      <c r="Q1098" s="13">
        <v>0.6505851147604973</v>
      </c>
      <c r="R1098" t="s">
        <v>249</v>
      </c>
      <c r="S1098">
        <v>-1.0102529797243709</v>
      </c>
      <c r="T1098" t="s">
        <v>60</v>
      </c>
      <c r="U1098" t="s">
        <v>60</v>
      </c>
      <c r="X1098" t="s">
        <v>60</v>
      </c>
      <c r="Y1098" t="s">
        <v>412</v>
      </c>
      <c r="Z1098" t="s">
        <v>60</v>
      </c>
      <c r="AA1098" t="s">
        <v>491</v>
      </c>
    </row>
    <row r="1099" spans="1:27" x14ac:dyDescent="0.2">
      <c r="A1099" s="1">
        <v>46101</v>
      </c>
      <c r="B1099" t="s">
        <v>322</v>
      </c>
      <c r="C1099" t="s">
        <v>31</v>
      </c>
      <c r="D1099" t="s">
        <v>55</v>
      </c>
      <c r="E1099" t="s">
        <v>1428</v>
      </c>
      <c r="F1099" t="s">
        <v>31</v>
      </c>
      <c r="G1099">
        <v>2</v>
      </c>
      <c r="H1099">
        <v>3</v>
      </c>
      <c r="I1099" s="13">
        <v>0.6</v>
      </c>
      <c r="J1099" t="s">
        <v>249</v>
      </c>
      <c r="L1099" t="s">
        <v>60</v>
      </c>
      <c r="M1099" t="s">
        <v>60</v>
      </c>
      <c r="N1099" t="s">
        <v>31</v>
      </c>
      <c r="O1099">
        <v>2</v>
      </c>
      <c r="P1099">
        <v>3</v>
      </c>
      <c r="Q1099" s="13">
        <v>0.50211016001716335</v>
      </c>
      <c r="R1099" t="s">
        <v>249</v>
      </c>
      <c r="S1099">
        <v>-0.53192556193728624</v>
      </c>
      <c r="T1099" t="s">
        <v>60</v>
      </c>
      <c r="U1099" t="s">
        <v>60</v>
      </c>
      <c r="X1099" t="s">
        <v>60</v>
      </c>
      <c r="Y1099" t="s">
        <v>412</v>
      </c>
      <c r="Z1099" t="s">
        <v>60</v>
      </c>
      <c r="AA1099" t="s">
        <v>491</v>
      </c>
    </row>
    <row r="1100" spans="1:27" x14ac:dyDescent="0.2">
      <c r="A1100" s="1">
        <v>46102</v>
      </c>
      <c r="B1100" t="s">
        <v>347</v>
      </c>
      <c r="C1100" t="s">
        <v>40</v>
      </c>
      <c r="D1100" t="s">
        <v>14</v>
      </c>
      <c r="E1100" t="s">
        <v>1429</v>
      </c>
      <c r="F1100" t="s">
        <v>14</v>
      </c>
      <c r="G1100">
        <v>2</v>
      </c>
      <c r="H1100">
        <v>3</v>
      </c>
      <c r="I1100" s="13">
        <v>0.6</v>
      </c>
      <c r="J1100" t="s">
        <v>249</v>
      </c>
      <c r="L1100" t="s">
        <v>60</v>
      </c>
      <c r="M1100" t="s">
        <v>60</v>
      </c>
      <c r="N1100" t="s">
        <v>14</v>
      </c>
      <c r="O1100">
        <v>2</v>
      </c>
      <c r="P1100">
        <v>3</v>
      </c>
      <c r="Q1100" s="13">
        <v>0.54502157665821693</v>
      </c>
      <c r="R1100" t="s">
        <v>249</v>
      </c>
      <c r="S1100">
        <v>0.220878351140464</v>
      </c>
      <c r="T1100" t="s">
        <v>60</v>
      </c>
      <c r="U1100" t="s">
        <v>60</v>
      </c>
      <c r="X1100" t="s">
        <v>60</v>
      </c>
      <c r="Y1100" t="s">
        <v>412</v>
      </c>
      <c r="Z1100" t="s">
        <v>60</v>
      </c>
      <c r="AA1100" t="s">
        <v>491</v>
      </c>
    </row>
    <row r="1101" spans="1:27" x14ac:dyDescent="0.2">
      <c r="A1101" s="1">
        <v>46102</v>
      </c>
      <c r="B1101" t="s">
        <v>322</v>
      </c>
      <c r="C1101" t="s">
        <v>37</v>
      </c>
      <c r="D1101" t="s">
        <v>17</v>
      </c>
      <c r="E1101" t="s">
        <v>1430</v>
      </c>
      <c r="F1101" t="s">
        <v>37</v>
      </c>
      <c r="G1101">
        <v>2</v>
      </c>
      <c r="H1101">
        <v>3</v>
      </c>
      <c r="I1101" s="13">
        <v>0.6</v>
      </c>
      <c r="J1101" t="s">
        <v>249</v>
      </c>
      <c r="L1101" t="s">
        <v>60</v>
      </c>
      <c r="M1101" t="s">
        <v>60</v>
      </c>
      <c r="N1101" t="s">
        <v>37</v>
      </c>
      <c r="O1101">
        <v>2</v>
      </c>
      <c r="P1101">
        <v>3</v>
      </c>
      <c r="Q1101" s="13">
        <v>0.69472087571232355</v>
      </c>
      <c r="R1101" t="s">
        <v>249</v>
      </c>
      <c r="S1101">
        <v>-1.278350862060964</v>
      </c>
      <c r="T1101" t="s">
        <v>60</v>
      </c>
      <c r="U1101" t="s">
        <v>60</v>
      </c>
      <c r="X1101" t="s">
        <v>60</v>
      </c>
      <c r="Y1101" t="s">
        <v>412</v>
      </c>
      <c r="Z1101" t="s">
        <v>60</v>
      </c>
      <c r="AA1101" t="s">
        <v>491</v>
      </c>
    </row>
    <row r="1102" spans="1:27" x14ac:dyDescent="0.2">
      <c r="A1102" s="1">
        <v>46102</v>
      </c>
      <c r="B1102" t="s">
        <v>328</v>
      </c>
      <c r="C1102" t="s">
        <v>35</v>
      </c>
      <c r="D1102" t="s">
        <v>38</v>
      </c>
      <c r="E1102" t="s">
        <v>545</v>
      </c>
      <c r="F1102" t="s">
        <v>38</v>
      </c>
      <c r="G1102">
        <v>2</v>
      </c>
      <c r="H1102">
        <v>3</v>
      </c>
      <c r="I1102" s="13">
        <v>0.6</v>
      </c>
      <c r="J1102" t="s">
        <v>249</v>
      </c>
      <c r="L1102" t="s">
        <v>60</v>
      </c>
      <c r="M1102" t="s">
        <v>60</v>
      </c>
      <c r="N1102" t="s">
        <v>38</v>
      </c>
      <c r="O1102">
        <v>2</v>
      </c>
      <c r="P1102">
        <v>3</v>
      </c>
      <c r="Q1102" s="13">
        <v>0.59799721524144278</v>
      </c>
      <c r="R1102" t="s">
        <v>249</v>
      </c>
      <c r="S1102">
        <v>0.49670136576008078</v>
      </c>
      <c r="T1102" t="s">
        <v>60</v>
      </c>
      <c r="U1102" t="s">
        <v>60</v>
      </c>
      <c r="X1102" t="s">
        <v>60</v>
      </c>
      <c r="Y1102" t="s">
        <v>412</v>
      </c>
      <c r="Z1102" t="s">
        <v>60</v>
      </c>
      <c r="AA1102" t="s">
        <v>491</v>
      </c>
    </row>
    <row r="1103" spans="1:27" x14ac:dyDescent="0.2">
      <c r="A1103" s="1">
        <v>46102</v>
      </c>
      <c r="B1103" t="s">
        <v>328</v>
      </c>
      <c r="C1103" t="s">
        <v>19</v>
      </c>
      <c r="D1103" t="s">
        <v>36</v>
      </c>
      <c r="E1103" t="s">
        <v>1431</v>
      </c>
      <c r="F1103" t="s">
        <v>36</v>
      </c>
      <c r="G1103">
        <v>2</v>
      </c>
      <c r="H1103">
        <v>3</v>
      </c>
      <c r="I1103" s="13">
        <v>0.6</v>
      </c>
      <c r="J1103" t="s">
        <v>249</v>
      </c>
      <c r="L1103" t="s">
        <v>60</v>
      </c>
      <c r="M1103" t="s">
        <v>60</v>
      </c>
      <c r="N1103" t="s">
        <v>36</v>
      </c>
      <c r="O1103">
        <v>2</v>
      </c>
      <c r="P1103">
        <v>3</v>
      </c>
      <c r="Q1103" s="13">
        <v>0.56036087140652391</v>
      </c>
      <c r="R1103" t="s">
        <v>249</v>
      </c>
      <c r="S1103">
        <v>0.1530032893773044</v>
      </c>
      <c r="T1103" t="s">
        <v>60</v>
      </c>
      <c r="U1103" t="s">
        <v>60</v>
      </c>
      <c r="X1103" t="s">
        <v>60</v>
      </c>
      <c r="Y1103" t="s">
        <v>412</v>
      </c>
      <c r="Z1103" t="s">
        <v>60</v>
      </c>
      <c r="AA1103" t="s">
        <v>491</v>
      </c>
    </row>
    <row r="1104" spans="1:27" x14ac:dyDescent="0.2">
      <c r="A1104" s="1">
        <v>46102</v>
      </c>
      <c r="B1104" t="s">
        <v>369</v>
      </c>
      <c r="C1104" t="s">
        <v>27</v>
      </c>
      <c r="D1104" t="s">
        <v>33</v>
      </c>
      <c r="E1104" t="s">
        <v>1432</v>
      </c>
      <c r="F1104" t="s">
        <v>27</v>
      </c>
      <c r="G1104">
        <v>2</v>
      </c>
      <c r="H1104">
        <v>3</v>
      </c>
      <c r="I1104" s="13">
        <v>0.6</v>
      </c>
      <c r="J1104" t="s">
        <v>249</v>
      </c>
      <c r="L1104" t="s">
        <v>60</v>
      </c>
      <c r="M1104" t="s">
        <v>60</v>
      </c>
      <c r="N1104" t="s">
        <v>27</v>
      </c>
      <c r="O1104">
        <v>2</v>
      </c>
      <c r="P1104">
        <v>3</v>
      </c>
      <c r="Q1104" s="13">
        <v>0.49478201460899712</v>
      </c>
      <c r="R1104" t="s">
        <v>249</v>
      </c>
      <c r="S1104">
        <v>-2.1190659952764802E-2</v>
      </c>
      <c r="T1104" t="s">
        <v>60</v>
      </c>
      <c r="U1104" t="s">
        <v>60</v>
      </c>
      <c r="X1104" t="s">
        <v>60</v>
      </c>
      <c r="Y1104" t="s">
        <v>412</v>
      </c>
      <c r="Z1104" t="s">
        <v>60</v>
      </c>
      <c r="AA1104" t="s">
        <v>491</v>
      </c>
    </row>
    <row r="1105" spans="1:27" x14ac:dyDescent="0.2">
      <c r="A1105" s="1">
        <v>46102</v>
      </c>
      <c r="B1105" t="s">
        <v>459</v>
      </c>
      <c r="C1105" t="s">
        <v>20</v>
      </c>
      <c r="D1105" t="s">
        <v>29</v>
      </c>
      <c r="E1105" t="s">
        <v>1433</v>
      </c>
      <c r="F1105" t="s">
        <v>20</v>
      </c>
      <c r="G1105">
        <v>2</v>
      </c>
      <c r="H1105">
        <v>3</v>
      </c>
      <c r="I1105" s="13">
        <v>0.6</v>
      </c>
      <c r="J1105" t="s">
        <v>249</v>
      </c>
      <c r="L1105" t="s">
        <v>60</v>
      </c>
      <c r="M1105" t="s">
        <v>60</v>
      </c>
      <c r="N1105" t="s">
        <v>20</v>
      </c>
      <c r="O1105">
        <v>2</v>
      </c>
      <c r="P1105">
        <v>3</v>
      </c>
      <c r="Q1105" s="13">
        <v>0.58734080925674181</v>
      </c>
      <c r="R1105" t="s">
        <v>249</v>
      </c>
      <c r="S1105">
        <v>-1.0905757045662621</v>
      </c>
      <c r="T1105" t="s">
        <v>60</v>
      </c>
      <c r="U1105" t="s">
        <v>60</v>
      </c>
      <c r="X1105" t="s">
        <v>60</v>
      </c>
      <c r="Y1105" t="s">
        <v>412</v>
      </c>
      <c r="Z1105" t="s">
        <v>60</v>
      </c>
      <c r="AA1105" t="s">
        <v>491</v>
      </c>
    </row>
    <row r="1106" spans="1:27" x14ac:dyDescent="0.2">
      <c r="A1106" s="1">
        <v>46102</v>
      </c>
      <c r="B1106" t="s">
        <v>365</v>
      </c>
      <c r="C1106" t="s">
        <v>32</v>
      </c>
      <c r="D1106" t="s">
        <v>28</v>
      </c>
      <c r="E1106" t="s">
        <v>1434</v>
      </c>
      <c r="F1106" t="s">
        <v>28</v>
      </c>
      <c r="G1106">
        <v>2</v>
      </c>
      <c r="H1106">
        <v>3</v>
      </c>
      <c r="I1106" s="13">
        <v>0.6</v>
      </c>
      <c r="J1106" t="s">
        <v>249</v>
      </c>
      <c r="L1106" t="s">
        <v>60</v>
      </c>
      <c r="M1106" t="s">
        <v>60</v>
      </c>
      <c r="N1106" t="s">
        <v>28</v>
      </c>
      <c r="O1106">
        <v>2</v>
      </c>
      <c r="P1106">
        <v>3</v>
      </c>
      <c r="Q1106" s="13">
        <v>0.55217723088715587</v>
      </c>
      <c r="R1106" t="s">
        <v>249</v>
      </c>
      <c r="S1106">
        <v>0.1042885798507122</v>
      </c>
      <c r="T1106" t="s">
        <v>60</v>
      </c>
      <c r="U1106" t="s">
        <v>60</v>
      </c>
      <c r="X1106" t="s">
        <v>60</v>
      </c>
      <c r="Y1106" t="s">
        <v>412</v>
      </c>
      <c r="Z1106" t="s">
        <v>60</v>
      </c>
      <c r="AA1106" t="s">
        <v>491</v>
      </c>
    </row>
    <row r="1107" spans="1:27" x14ac:dyDescent="0.2">
      <c r="A1107" s="1">
        <v>46102</v>
      </c>
      <c r="B1107" t="s">
        <v>369</v>
      </c>
      <c r="C1107" t="s">
        <v>39</v>
      </c>
      <c r="D1107" t="s">
        <v>34</v>
      </c>
      <c r="E1107" t="s">
        <v>983</v>
      </c>
      <c r="F1107" t="s">
        <v>39</v>
      </c>
      <c r="G1107">
        <v>2</v>
      </c>
      <c r="H1107">
        <v>3</v>
      </c>
      <c r="I1107" s="13">
        <v>0.6</v>
      </c>
      <c r="J1107" t="s">
        <v>249</v>
      </c>
      <c r="L1107" t="s">
        <v>60</v>
      </c>
      <c r="M1107" t="s">
        <v>60</v>
      </c>
      <c r="N1107" t="s">
        <v>39</v>
      </c>
      <c r="O1107">
        <v>2</v>
      </c>
      <c r="P1107">
        <v>3</v>
      </c>
      <c r="Q1107" s="13">
        <v>0.61068325047565086</v>
      </c>
      <c r="R1107" t="s">
        <v>249</v>
      </c>
      <c r="S1107">
        <v>-0.41866654038143608</v>
      </c>
      <c r="T1107" t="s">
        <v>60</v>
      </c>
      <c r="U1107" t="s">
        <v>60</v>
      </c>
      <c r="X1107" t="s">
        <v>60</v>
      </c>
      <c r="Y1107" t="s">
        <v>412</v>
      </c>
      <c r="Z1107" t="s">
        <v>60</v>
      </c>
      <c r="AA1107" t="s">
        <v>491</v>
      </c>
    </row>
    <row r="1108" spans="1:27" x14ac:dyDescent="0.2">
      <c r="A1108" s="1">
        <v>46102</v>
      </c>
      <c r="B1108" t="s">
        <v>369</v>
      </c>
      <c r="C1108" t="s">
        <v>23</v>
      </c>
      <c r="D1108" t="s">
        <v>13</v>
      </c>
      <c r="E1108" t="s">
        <v>1435</v>
      </c>
      <c r="F1108" t="s">
        <v>13</v>
      </c>
      <c r="G1108">
        <v>2</v>
      </c>
      <c r="H1108">
        <v>3</v>
      </c>
      <c r="I1108" s="13">
        <v>0.6</v>
      </c>
      <c r="J1108" t="s">
        <v>249</v>
      </c>
      <c r="L1108" t="s">
        <v>60</v>
      </c>
      <c r="M1108" t="s">
        <v>60</v>
      </c>
      <c r="N1108" t="s">
        <v>13</v>
      </c>
      <c r="O1108">
        <v>2</v>
      </c>
      <c r="P1108">
        <v>3</v>
      </c>
      <c r="Q1108" s="13">
        <v>0.5619199663253529</v>
      </c>
      <c r="R1108" t="s">
        <v>249</v>
      </c>
      <c r="S1108">
        <v>0.18772758598653849</v>
      </c>
      <c r="T1108" t="s">
        <v>60</v>
      </c>
      <c r="U1108" t="s">
        <v>60</v>
      </c>
      <c r="X1108" t="s">
        <v>60</v>
      </c>
      <c r="Y1108" t="s">
        <v>412</v>
      </c>
      <c r="Z1108" t="s">
        <v>60</v>
      </c>
      <c r="AA1108" t="s">
        <v>491</v>
      </c>
    </row>
    <row r="1109" spans="1:27" x14ac:dyDescent="0.2">
      <c r="A1109" s="1">
        <v>46102</v>
      </c>
      <c r="B1109" t="s">
        <v>324</v>
      </c>
      <c r="C1109" t="s">
        <v>21</v>
      </c>
      <c r="D1109" t="s">
        <v>26</v>
      </c>
      <c r="E1109" t="s">
        <v>479</v>
      </c>
      <c r="F1109" t="s">
        <v>21</v>
      </c>
      <c r="G1109">
        <v>2</v>
      </c>
      <c r="H1109">
        <v>3</v>
      </c>
      <c r="I1109" s="13">
        <v>0.6</v>
      </c>
      <c r="J1109" t="s">
        <v>249</v>
      </c>
      <c r="L1109" t="s">
        <v>60</v>
      </c>
      <c r="M1109" t="s">
        <v>60</v>
      </c>
      <c r="N1109" t="s">
        <v>21</v>
      </c>
      <c r="O1109">
        <v>2</v>
      </c>
      <c r="P1109">
        <v>3</v>
      </c>
      <c r="Q1109" s="13">
        <v>0.53155029437330192</v>
      </c>
      <c r="R1109" t="s">
        <v>249</v>
      </c>
      <c r="S1109">
        <v>-0.60566905566141549</v>
      </c>
      <c r="T1109" t="s">
        <v>60</v>
      </c>
      <c r="U1109" t="s">
        <v>60</v>
      </c>
      <c r="X1109" t="s">
        <v>60</v>
      </c>
      <c r="Y1109" t="s">
        <v>412</v>
      </c>
      <c r="Z1109" t="s">
        <v>60</v>
      </c>
      <c r="AA1109" t="s">
        <v>491</v>
      </c>
    </row>
    <row r="1110" spans="1:27" x14ac:dyDescent="0.2">
      <c r="A1110" s="1">
        <v>46102</v>
      </c>
      <c r="B1110" t="s">
        <v>328</v>
      </c>
      <c r="C1110" t="s">
        <v>30</v>
      </c>
      <c r="D1110" t="s">
        <v>18</v>
      </c>
      <c r="E1110" t="s">
        <v>1319</v>
      </c>
      <c r="F1110" t="s">
        <v>30</v>
      </c>
      <c r="G1110">
        <v>2</v>
      </c>
      <c r="H1110">
        <v>3</v>
      </c>
      <c r="I1110" s="13">
        <v>0.6</v>
      </c>
      <c r="J1110" t="s">
        <v>249</v>
      </c>
      <c r="L1110" t="s">
        <v>60</v>
      </c>
      <c r="M1110" t="s">
        <v>60</v>
      </c>
      <c r="N1110" t="s">
        <v>30</v>
      </c>
      <c r="O1110">
        <v>2</v>
      </c>
      <c r="P1110">
        <v>3</v>
      </c>
      <c r="Q1110" s="13">
        <v>0.56789276811217293</v>
      </c>
      <c r="R1110" t="s">
        <v>249</v>
      </c>
      <c r="S1110">
        <v>-0.30205688190933011</v>
      </c>
      <c r="T1110" t="s">
        <v>60</v>
      </c>
      <c r="U1110" t="s">
        <v>60</v>
      </c>
      <c r="X1110" t="s">
        <v>60</v>
      </c>
      <c r="Y1110" t="s">
        <v>412</v>
      </c>
      <c r="Z1110" t="s">
        <v>60</v>
      </c>
      <c r="AA1110" t="s">
        <v>491</v>
      </c>
    </row>
    <row r="1111" spans="1:27" x14ac:dyDescent="0.2">
      <c r="A1111" s="1">
        <v>46103</v>
      </c>
      <c r="B1111" t="s">
        <v>555</v>
      </c>
      <c r="C1111" t="s">
        <v>12</v>
      </c>
      <c r="D1111" t="s">
        <v>22</v>
      </c>
      <c r="E1111" t="s">
        <v>1436</v>
      </c>
      <c r="F1111" t="s">
        <v>12</v>
      </c>
      <c r="G1111">
        <v>2</v>
      </c>
      <c r="H1111">
        <v>3</v>
      </c>
      <c r="I1111" s="13">
        <v>0.6</v>
      </c>
      <c r="J1111" t="s">
        <v>249</v>
      </c>
      <c r="L1111" t="s">
        <v>60</v>
      </c>
      <c r="M1111" t="s">
        <v>60</v>
      </c>
      <c r="N1111" t="s">
        <v>12</v>
      </c>
      <c r="O1111">
        <v>2</v>
      </c>
      <c r="P1111">
        <v>3</v>
      </c>
      <c r="Q1111" s="13">
        <v>0.63959222849493702</v>
      </c>
      <c r="R1111" t="s">
        <v>249</v>
      </c>
      <c r="S1111">
        <v>-1.141295676650057</v>
      </c>
      <c r="T1111" t="s">
        <v>60</v>
      </c>
      <c r="U1111" t="s">
        <v>60</v>
      </c>
      <c r="X1111" t="s">
        <v>60</v>
      </c>
      <c r="Y1111" t="s">
        <v>412</v>
      </c>
      <c r="Z1111" t="s">
        <v>60</v>
      </c>
      <c r="AA1111" t="s">
        <v>491</v>
      </c>
    </row>
    <row r="1112" spans="1:27" x14ac:dyDescent="0.2">
      <c r="A1112" s="1">
        <v>46103</v>
      </c>
      <c r="B1112" t="s">
        <v>326</v>
      </c>
      <c r="C1112" t="s">
        <v>13</v>
      </c>
      <c r="D1112" t="s">
        <v>55</v>
      </c>
      <c r="E1112" t="s">
        <v>961</v>
      </c>
      <c r="F1112" t="s">
        <v>13</v>
      </c>
      <c r="G1112">
        <v>2</v>
      </c>
      <c r="H1112">
        <v>3</v>
      </c>
      <c r="I1112" s="13">
        <v>0.6</v>
      </c>
      <c r="J1112" t="s">
        <v>249</v>
      </c>
      <c r="L1112" t="s">
        <v>60</v>
      </c>
      <c r="M1112" t="s">
        <v>60</v>
      </c>
      <c r="N1112" t="s">
        <v>13</v>
      </c>
      <c r="O1112">
        <v>2</v>
      </c>
      <c r="P1112">
        <v>3</v>
      </c>
      <c r="Q1112" s="13">
        <v>0.48703845954097719</v>
      </c>
      <c r="R1112" t="s">
        <v>249</v>
      </c>
      <c r="S1112">
        <v>-1.49389414208063E-2</v>
      </c>
      <c r="T1112" t="s">
        <v>60</v>
      </c>
      <c r="U1112" t="s">
        <v>60</v>
      </c>
      <c r="X1112" t="s">
        <v>60</v>
      </c>
      <c r="Y1112" t="s">
        <v>412</v>
      </c>
      <c r="Z1112" t="s">
        <v>60</v>
      </c>
      <c r="AA1112" t="s">
        <v>491</v>
      </c>
    </row>
    <row r="1113" spans="1:27" x14ac:dyDescent="0.2">
      <c r="A1113" s="1">
        <v>46103</v>
      </c>
      <c r="B1113" t="s">
        <v>439</v>
      </c>
      <c r="C1113" t="s">
        <v>40</v>
      </c>
      <c r="D1113" t="s">
        <v>15</v>
      </c>
      <c r="E1113" t="s">
        <v>1437</v>
      </c>
      <c r="F1113" t="s">
        <v>15</v>
      </c>
      <c r="G1113">
        <v>2</v>
      </c>
      <c r="H1113">
        <v>3</v>
      </c>
      <c r="I1113" s="13">
        <v>0.6</v>
      </c>
      <c r="J1113" t="s">
        <v>249</v>
      </c>
      <c r="L1113" t="s">
        <v>60</v>
      </c>
      <c r="M1113" t="s">
        <v>60</v>
      </c>
      <c r="N1113" t="s">
        <v>15</v>
      </c>
      <c r="O1113">
        <v>2</v>
      </c>
      <c r="P1113">
        <v>3</v>
      </c>
      <c r="Q1113" s="13">
        <v>0.52776727591144157</v>
      </c>
      <c r="R1113" t="s">
        <v>249</v>
      </c>
      <c r="S1113">
        <v>7.3108588222011398E-2</v>
      </c>
      <c r="T1113" t="s">
        <v>60</v>
      </c>
      <c r="U1113" t="s">
        <v>60</v>
      </c>
      <c r="X1113" t="s">
        <v>60</v>
      </c>
      <c r="Y1113" t="s">
        <v>412</v>
      </c>
      <c r="Z1113" t="s">
        <v>60</v>
      </c>
      <c r="AA1113" t="s">
        <v>491</v>
      </c>
    </row>
    <row r="1114" spans="1:27" x14ac:dyDescent="0.2">
      <c r="A1114" s="1">
        <v>46103</v>
      </c>
      <c r="B1114" t="s">
        <v>328</v>
      </c>
      <c r="C1114" t="s">
        <v>28</v>
      </c>
      <c r="D1114" t="s">
        <v>30</v>
      </c>
      <c r="E1114" t="s">
        <v>771</v>
      </c>
      <c r="F1114" t="s">
        <v>30</v>
      </c>
      <c r="G1114">
        <v>2</v>
      </c>
      <c r="H1114">
        <v>3</v>
      </c>
      <c r="I1114" s="13">
        <v>0.6</v>
      </c>
      <c r="J1114" t="s">
        <v>249</v>
      </c>
      <c r="L1114" t="s">
        <v>60</v>
      </c>
      <c r="M1114" t="s">
        <v>60</v>
      </c>
      <c r="N1114" t="s">
        <v>30</v>
      </c>
      <c r="O1114">
        <v>2</v>
      </c>
      <c r="P1114">
        <v>3</v>
      </c>
      <c r="Q1114" s="13">
        <v>0.5835919177498986</v>
      </c>
      <c r="R1114" t="s">
        <v>249</v>
      </c>
      <c r="S1114">
        <v>0.40395815583236999</v>
      </c>
      <c r="T1114" t="s">
        <v>60</v>
      </c>
      <c r="U1114" t="s">
        <v>60</v>
      </c>
      <c r="X1114" t="s">
        <v>60</v>
      </c>
      <c r="Y1114" t="s">
        <v>412</v>
      </c>
      <c r="Z1114" t="s">
        <v>60</v>
      </c>
      <c r="AA1114" t="s">
        <v>491</v>
      </c>
    </row>
    <row r="1115" spans="1:27" x14ac:dyDescent="0.2">
      <c r="A1115" s="1">
        <v>46103</v>
      </c>
      <c r="B1115" t="s">
        <v>453</v>
      </c>
      <c r="C1115" t="s">
        <v>25</v>
      </c>
      <c r="D1115" t="s">
        <v>14</v>
      </c>
      <c r="E1115" t="s">
        <v>1091</v>
      </c>
      <c r="F1115" t="s">
        <v>25</v>
      </c>
      <c r="G1115">
        <v>2</v>
      </c>
      <c r="H1115">
        <v>3</v>
      </c>
      <c r="I1115" s="13">
        <v>0.6</v>
      </c>
      <c r="J1115" t="s">
        <v>249</v>
      </c>
      <c r="L1115" t="s">
        <v>60</v>
      </c>
      <c r="M1115" t="s">
        <v>60</v>
      </c>
      <c r="N1115" t="s">
        <v>25</v>
      </c>
      <c r="O1115">
        <v>2</v>
      </c>
      <c r="P1115">
        <v>3</v>
      </c>
      <c r="Q1115" s="13">
        <v>0.59311182252615857</v>
      </c>
      <c r="R1115" t="s">
        <v>249</v>
      </c>
      <c r="S1115">
        <v>-0.51803860997088025</v>
      </c>
      <c r="T1115" t="s">
        <v>60</v>
      </c>
      <c r="U1115" t="s">
        <v>60</v>
      </c>
      <c r="X1115" t="s">
        <v>60</v>
      </c>
      <c r="Y1115" t="s">
        <v>412</v>
      </c>
      <c r="Z1115" t="s">
        <v>60</v>
      </c>
      <c r="AA1115" t="s">
        <v>491</v>
      </c>
    </row>
    <row r="1116" spans="1:27" x14ac:dyDescent="0.2">
      <c r="A1116" s="1">
        <v>46103</v>
      </c>
      <c r="B1116" t="s">
        <v>453</v>
      </c>
      <c r="C1116" t="s">
        <v>29</v>
      </c>
      <c r="D1116" t="s">
        <v>10</v>
      </c>
      <c r="E1116" t="s">
        <v>437</v>
      </c>
      <c r="F1116" t="s">
        <v>10</v>
      </c>
      <c r="G1116">
        <v>2</v>
      </c>
      <c r="H1116">
        <v>3</v>
      </c>
      <c r="I1116" s="13">
        <v>0.6</v>
      </c>
      <c r="J1116" t="s">
        <v>249</v>
      </c>
      <c r="L1116" t="s">
        <v>60</v>
      </c>
      <c r="M1116" t="s">
        <v>60</v>
      </c>
      <c r="N1116" t="s">
        <v>10</v>
      </c>
      <c r="O1116">
        <v>2</v>
      </c>
      <c r="P1116">
        <v>3</v>
      </c>
      <c r="Q1116" s="13">
        <v>0.68696266846049026</v>
      </c>
      <c r="R1116" t="s">
        <v>249</v>
      </c>
      <c r="S1116">
        <v>1.2586217775489099</v>
      </c>
      <c r="T1116" t="s">
        <v>60</v>
      </c>
      <c r="U1116" t="s">
        <v>60</v>
      </c>
      <c r="X1116" t="s">
        <v>60</v>
      </c>
      <c r="Y1116" t="s">
        <v>412</v>
      </c>
      <c r="Z1116" t="s">
        <v>60</v>
      </c>
      <c r="AA1116" t="s">
        <v>491</v>
      </c>
    </row>
    <row r="1117" spans="1:27" x14ac:dyDescent="0.2">
      <c r="A1117" s="1">
        <v>46103</v>
      </c>
      <c r="B1117" t="s">
        <v>324</v>
      </c>
      <c r="C1117" t="s">
        <v>37</v>
      </c>
      <c r="D1117" t="s">
        <v>16</v>
      </c>
      <c r="E1117" t="s">
        <v>1438</v>
      </c>
      <c r="F1117" t="s">
        <v>37</v>
      </c>
      <c r="G1117">
        <v>2</v>
      </c>
      <c r="H1117">
        <v>3</v>
      </c>
      <c r="I1117" s="13">
        <v>0.6</v>
      </c>
      <c r="J1117" t="s">
        <v>249</v>
      </c>
      <c r="L1117" t="s">
        <v>60</v>
      </c>
      <c r="M1117" t="s">
        <v>60</v>
      </c>
      <c r="N1117" t="s">
        <v>37</v>
      </c>
      <c r="O1117">
        <v>2</v>
      </c>
      <c r="P1117">
        <v>3</v>
      </c>
      <c r="Q1117" s="13">
        <v>0.73071422011145559</v>
      </c>
      <c r="R1117" t="s">
        <v>249</v>
      </c>
      <c r="S1117">
        <v>-1.5263854768680629</v>
      </c>
      <c r="T1117" t="s">
        <v>60</v>
      </c>
      <c r="U1117" t="s">
        <v>60</v>
      </c>
      <c r="X1117" t="s">
        <v>60</v>
      </c>
      <c r="Y1117" t="s">
        <v>412</v>
      </c>
      <c r="Z1117" t="s">
        <v>60</v>
      </c>
      <c r="AA1117" t="s">
        <v>491</v>
      </c>
    </row>
    <row r="1118" spans="1:27" x14ac:dyDescent="0.2">
      <c r="A1118" s="1">
        <v>46103</v>
      </c>
      <c r="B1118" t="s">
        <v>324</v>
      </c>
      <c r="C1118" t="s">
        <v>23</v>
      </c>
      <c r="D1118" t="s">
        <v>31</v>
      </c>
      <c r="E1118" t="s">
        <v>1439</v>
      </c>
      <c r="F1118" t="s">
        <v>31</v>
      </c>
      <c r="G1118">
        <v>2</v>
      </c>
      <c r="H1118">
        <v>3</v>
      </c>
      <c r="I1118" s="13">
        <v>0.6</v>
      </c>
      <c r="J1118" t="s">
        <v>249</v>
      </c>
      <c r="L1118" t="s">
        <v>60</v>
      </c>
      <c r="M1118" t="s">
        <v>60</v>
      </c>
      <c r="N1118" t="s">
        <v>31</v>
      </c>
      <c r="O1118">
        <v>2</v>
      </c>
      <c r="P1118">
        <v>3</v>
      </c>
      <c r="Q1118" s="13">
        <v>0.70212049519239939</v>
      </c>
      <c r="R1118" t="s">
        <v>249</v>
      </c>
      <c r="S1118">
        <v>0.70471420650301841</v>
      </c>
      <c r="T1118" t="s">
        <v>60</v>
      </c>
      <c r="U1118" t="s">
        <v>60</v>
      </c>
      <c r="X1118" t="s">
        <v>60</v>
      </c>
      <c r="Y1118" t="s">
        <v>412</v>
      </c>
      <c r="Z1118" t="s">
        <v>60</v>
      </c>
      <c r="AA1118" t="s">
        <v>491</v>
      </c>
    </row>
    <row r="1119" spans="1:27" x14ac:dyDescent="0.2">
      <c r="A1119" s="1">
        <v>46103</v>
      </c>
      <c r="B1119" t="s">
        <v>328</v>
      </c>
      <c r="C1119" t="s">
        <v>20</v>
      </c>
      <c r="D1119" t="s">
        <v>39</v>
      </c>
      <c r="E1119" t="s">
        <v>1381</v>
      </c>
      <c r="F1119" t="s">
        <v>39</v>
      </c>
      <c r="G1119">
        <v>2</v>
      </c>
      <c r="H1119">
        <v>3</v>
      </c>
      <c r="I1119" s="13">
        <v>0.6</v>
      </c>
      <c r="J1119" t="s">
        <v>249</v>
      </c>
      <c r="L1119" t="s">
        <v>60</v>
      </c>
      <c r="M1119" t="s">
        <v>60</v>
      </c>
      <c r="N1119" t="s">
        <v>39</v>
      </c>
      <c r="O1119">
        <v>2</v>
      </c>
      <c r="P1119">
        <v>3</v>
      </c>
      <c r="Q1119" s="13">
        <v>0.65489030342408205</v>
      </c>
      <c r="R1119" t="s">
        <v>249</v>
      </c>
      <c r="S1119">
        <v>0.70778408109891866</v>
      </c>
      <c r="T1119" t="s">
        <v>60</v>
      </c>
      <c r="U1119" t="s">
        <v>60</v>
      </c>
      <c r="X1119" t="s">
        <v>60</v>
      </c>
      <c r="Y1119" t="s">
        <v>412</v>
      </c>
      <c r="Z1119" t="s">
        <v>60</v>
      </c>
      <c r="AA1119" t="s">
        <v>491</v>
      </c>
    </row>
    <row r="1120" spans="1:27" x14ac:dyDescent="0.2">
      <c r="A1120" s="1">
        <v>46104</v>
      </c>
      <c r="B1120" t="s">
        <v>334</v>
      </c>
      <c r="C1120" t="s">
        <v>36</v>
      </c>
      <c r="D1120" t="s">
        <v>15</v>
      </c>
      <c r="E1120" t="s">
        <v>1190</v>
      </c>
      <c r="F1120" t="s">
        <v>15</v>
      </c>
      <c r="G1120">
        <v>2</v>
      </c>
      <c r="H1120">
        <v>3</v>
      </c>
      <c r="I1120" s="13">
        <v>0.6</v>
      </c>
      <c r="J1120" t="s">
        <v>249</v>
      </c>
      <c r="L1120" t="s">
        <v>60</v>
      </c>
      <c r="M1120" t="s">
        <v>60</v>
      </c>
      <c r="N1120" t="s">
        <v>15</v>
      </c>
      <c r="O1120">
        <v>2</v>
      </c>
      <c r="P1120">
        <v>3</v>
      </c>
      <c r="Q1120" s="13">
        <v>0.57400689712391928</v>
      </c>
      <c r="R1120" t="s">
        <v>249</v>
      </c>
      <c r="S1120">
        <v>0.29124281530405849</v>
      </c>
      <c r="T1120" t="s">
        <v>60</v>
      </c>
      <c r="U1120" t="s">
        <v>60</v>
      </c>
      <c r="X1120" t="s">
        <v>60</v>
      </c>
      <c r="Y1120" t="s">
        <v>412</v>
      </c>
      <c r="Z1120" t="s">
        <v>60</v>
      </c>
      <c r="AA1120" t="s">
        <v>491</v>
      </c>
    </row>
    <row r="1121" spans="1:27" x14ac:dyDescent="0.2">
      <c r="A1121" s="1">
        <v>46105</v>
      </c>
      <c r="B1121" t="s">
        <v>328</v>
      </c>
      <c r="C1121" t="s">
        <v>12</v>
      </c>
      <c r="D1121" t="s">
        <v>14</v>
      </c>
      <c r="E1121" t="s">
        <v>1440</v>
      </c>
      <c r="F1121" t="s">
        <v>12</v>
      </c>
      <c r="G1121">
        <v>2</v>
      </c>
      <c r="H1121">
        <v>3</v>
      </c>
      <c r="I1121" s="13">
        <v>0.6</v>
      </c>
      <c r="J1121" t="s">
        <v>249</v>
      </c>
      <c r="L1121" t="s">
        <v>60</v>
      </c>
      <c r="M1121" t="s">
        <v>60</v>
      </c>
      <c r="N1121" t="s">
        <v>12</v>
      </c>
      <c r="O1121">
        <v>2</v>
      </c>
      <c r="P1121">
        <v>3</v>
      </c>
      <c r="Q1121" s="13">
        <v>0.73395680502677829</v>
      </c>
      <c r="R1121" t="s">
        <v>249</v>
      </c>
      <c r="S1121">
        <v>-1.7242671310693041</v>
      </c>
      <c r="T1121" t="s">
        <v>60</v>
      </c>
      <c r="U1121" t="s">
        <v>60</v>
      </c>
      <c r="X1121" t="s">
        <v>60</v>
      </c>
      <c r="Y1121" t="s">
        <v>412</v>
      </c>
      <c r="Z1121" t="s">
        <v>60</v>
      </c>
      <c r="AA1121" t="s">
        <v>491</v>
      </c>
    </row>
    <row r="1122" spans="1:27" x14ac:dyDescent="0.2">
      <c r="A1122" s="1">
        <v>46105</v>
      </c>
      <c r="B1122" t="s">
        <v>322</v>
      </c>
      <c r="C1122" t="s">
        <v>31</v>
      </c>
      <c r="D1122" t="s">
        <v>38</v>
      </c>
      <c r="E1122" t="s">
        <v>1275</v>
      </c>
      <c r="F1122" t="s">
        <v>31</v>
      </c>
      <c r="G1122">
        <v>2</v>
      </c>
      <c r="H1122">
        <v>3</v>
      </c>
      <c r="I1122" s="13">
        <v>0.6</v>
      </c>
      <c r="J1122" t="s">
        <v>249</v>
      </c>
      <c r="L1122" t="s">
        <v>60</v>
      </c>
      <c r="M1122" t="s">
        <v>60</v>
      </c>
      <c r="N1122" t="s">
        <v>31</v>
      </c>
      <c r="O1122">
        <v>2</v>
      </c>
      <c r="P1122">
        <v>3</v>
      </c>
      <c r="Q1122" s="13">
        <v>0.60646416175266515</v>
      </c>
      <c r="R1122" t="s">
        <v>249</v>
      </c>
      <c r="S1122">
        <v>-1.076480028026908</v>
      </c>
      <c r="T1122" t="s">
        <v>60</v>
      </c>
      <c r="U1122" t="s">
        <v>60</v>
      </c>
      <c r="X1122" t="s">
        <v>60</v>
      </c>
      <c r="Y1122" t="s">
        <v>412</v>
      </c>
      <c r="Z1122" t="s">
        <v>60</v>
      </c>
      <c r="AA1122" t="s">
        <v>491</v>
      </c>
    </row>
    <row r="1123" spans="1:27" x14ac:dyDescent="0.2">
      <c r="A1123" s="1">
        <v>46105</v>
      </c>
      <c r="B1123" t="s">
        <v>426</v>
      </c>
      <c r="C1123" t="s">
        <v>17</v>
      </c>
      <c r="D1123" t="s">
        <v>55</v>
      </c>
      <c r="E1123" t="s">
        <v>1441</v>
      </c>
      <c r="F1123" t="s">
        <v>55</v>
      </c>
      <c r="G1123">
        <v>2</v>
      </c>
      <c r="H1123">
        <v>3</v>
      </c>
      <c r="I1123" s="13">
        <v>0.6</v>
      </c>
      <c r="J1123" t="s">
        <v>249</v>
      </c>
      <c r="L1123" t="s">
        <v>60</v>
      </c>
      <c r="M1123" t="s">
        <v>60</v>
      </c>
      <c r="N1123" t="s">
        <v>55</v>
      </c>
      <c r="O1123">
        <v>2</v>
      </c>
      <c r="P1123">
        <v>3</v>
      </c>
      <c r="Q1123" s="13">
        <v>0.63467122482615079</v>
      </c>
      <c r="R1123" t="s">
        <v>249</v>
      </c>
      <c r="S1123">
        <v>0.46452412413950173</v>
      </c>
      <c r="T1123" t="s">
        <v>60</v>
      </c>
      <c r="U1123" t="s">
        <v>60</v>
      </c>
      <c r="X1123" t="s">
        <v>60</v>
      </c>
      <c r="Y1123" t="s">
        <v>412</v>
      </c>
      <c r="Z1123" t="s">
        <v>60</v>
      </c>
      <c r="AA1123" t="s">
        <v>491</v>
      </c>
    </row>
    <row r="1124" spans="1:27" x14ac:dyDescent="0.2">
      <c r="A1124" s="1">
        <v>46105</v>
      </c>
      <c r="B1124" t="s">
        <v>324</v>
      </c>
      <c r="C1124" t="s">
        <v>20</v>
      </c>
      <c r="D1124" t="s">
        <v>40</v>
      </c>
      <c r="E1124" t="s">
        <v>1133</v>
      </c>
      <c r="F1124" t="s">
        <v>20</v>
      </c>
      <c r="G1124">
        <v>2</v>
      </c>
      <c r="H1124">
        <v>3</v>
      </c>
      <c r="I1124" s="13">
        <v>0.6</v>
      </c>
      <c r="J1124" t="s">
        <v>249</v>
      </c>
      <c r="L1124" t="s">
        <v>60</v>
      </c>
      <c r="M1124" t="s">
        <v>60</v>
      </c>
      <c r="N1124" t="s">
        <v>20</v>
      </c>
      <c r="O1124">
        <v>2</v>
      </c>
      <c r="P1124">
        <v>3</v>
      </c>
      <c r="Q1124" s="13">
        <v>0.45971140329328808</v>
      </c>
      <c r="R1124" t="s">
        <v>249</v>
      </c>
      <c r="S1124">
        <v>-1.8900244538992601E-2</v>
      </c>
      <c r="T1124" t="s">
        <v>60</v>
      </c>
      <c r="U1124" t="s">
        <v>60</v>
      </c>
      <c r="X1124" t="s">
        <v>60</v>
      </c>
      <c r="Y1124" t="s">
        <v>412</v>
      </c>
      <c r="Z1124" t="s">
        <v>60</v>
      </c>
      <c r="AA1124" t="s">
        <v>491</v>
      </c>
    </row>
    <row r="1125" spans="1:27" x14ac:dyDescent="0.2">
      <c r="A1125" s="1">
        <v>46105</v>
      </c>
      <c r="B1125" t="s">
        <v>334</v>
      </c>
      <c r="C1125" t="s">
        <v>34</v>
      </c>
      <c r="D1125" t="s">
        <v>37</v>
      </c>
      <c r="E1125" t="s">
        <v>1442</v>
      </c>
      <c r="F1125" t="s">
        <v>37</v>
      </c>
      <c r="G1125">
        <v>2</v>
      </c>
      <c r="H1125">
        <v>3</v>
      </c>
      <c r="I1125" s="13">
        <v>0.6</v>
      </c>
      <c r="J1125" t="s">
        <v>249</v>
      </c>
      <c r="L1125" t="s">
        <v>60</v>
      </c>
      <c r="M1125" t="s">
        <v>60</v>
      </c>
      <c r="N1125" t="s">
        <v>37</v>
      </c>
      <c r="O1125">
        <v>2</v>
      </c>
      <c r="P1125">
        <v>3</v>
      </c>
      <c r="Q1125" s="13">
        <v>0.60199275041343858</v>
      </c>
      <c r="R1125" t="s">
        <v>249</v>
      </c>
      <c r="S1125">
        <v>0.61553048311924552</v>
      </c>
      <c r="T1125" t="s">
        <v>60</v>
      </c>
      <c r="U1125" t="s">
        <v>60</v>
      </c>
      <c r="X1125" t="s">
        <v>60</v>
      </c>
      <c r="Y1125" t="s">
        <v>412</v>
      </c>
      <c r="Z1125" t="s">
        <v>60</v>
      </c>
      <c r="AA1125" t="s">
        <v>491</v>
      </c>
    </row>
    <row r="1126" spans="1:27" x14ac:dyDescent="0.2">
      <c r="A1126" s="1">
        <v>46105</v>
      </c>
      <c r="B1126" t="s">
        <v>324</v>
      </c>
      <c r="C1126" t="s">
        <v>22</v>
      </c>
      <c r="D1126" t="s">
        <v>35</v>
      </c>
      <c r="E1126" t="s">
        <v>1443</v>
      </c>
      <c r="F1126" t="s">
        <v>22</v>
      </c>
      <c r="G1126">
        <v>2</v>
      </c>
      <c r="H1126">
        <v>3</v>
      </c>
      <c r="I1126" s="13">
        <v>0.6</v>
      </c>
      <c r="J1126" t="s">
        <v>249</v>
      </c>
      <c r="L1126" t="s">
        <v>60</v>
      </c>
      <c r="M1126" t="s">
        <v>60</v>
      </c>
      <c r="N1126" t="s">
        <v>22</v>
      </c>
      <c r="O1126">
        <v>2</v>
      </c>
      <c r="P1126">
        <v>3</v>
      </c>
      <c r="Q1126" s="13">
        <v>0.71097091866178919</v>
      </c>
      <c r="R1126" t="s">
        <v>249</v>
      </c>
      <c r="S1126">
        <v>-1.785284855878317</v>
      </c>
      <c r="T1126" t="s">
        <v>60</v>
      </c>
      <c r="U1126" t="s">
        <v>60</v>
      </c>
      <c r="X1126" t="s">
        <v>60</v>
      </c>
      <c r="Y1126" t="s">
        <v>412</v>
      </c>
      <c r="Z1126" t="s">
        <v>60</v>
      </c>
      <c r="AA1126" t="s">
        <v>491</v>
      </c>
    </row>
    <row r="1127" spans="1:27" x14ac:dyDescent="0.2">
      <c r="A1127" s="1">
        <v>46105</v>
      </c>
      <c r="B1127" t="s">
        <v>328</v>
      </c>
      <c r="C1127" t="s">
        <v>28</v>
      </c>
      <c r="D1127" t="s">
        <v>27</v>
      </c>
      <c r="E1127" t="s">
        <v>1398</v>
      </c>
      <c r="F1127" t="s">
        <v>27</v>
      </c>
      <c r="G1127">
        <v>2</v>
      </c>
      <c r="H1127">
        <v>3</v>
      </c>
      <c r="I1127" s="13">
        <v>0.6</v>
      </c>
      <c r="J1127" t="s">
        <v>249</v>
      </c>
      <c r="L1127" t="s">
        <v>60</v>
      </c>
      <c r="M1127" t="s">
        <v>60</v>
      </c>
      <c r="N1127" t="s">
        <v>27</v>
      </c>
      <c r="O1127">
        <v>2</v>
      </c>
      <c r="P1127">
        <v>3</v>
      </c>
      <c r="Q1127" s="13">
        <v>0.58136057558031018</v>
      </c>
      <c r="R1127" t="s">
        <v>249</v>
      </c>
      <c r="S1127">
        <v>0.26465056976738671</v>
      </c>
      <c r="T1127" t="s">
        <v>60</v>
      </c>
      <c r="U1127" t="s">
        <v>60</v>
      </c>
      <c r="X1127" t="s">
        <v>60</v>
      </c>
      <c r="Y1127" t="s">
        <v>412</v>
      </c>
      <c r="Z1127" t="s">
        <v>60</v>
      </c>
      <c r="AA1127" t="s">
        <v>491</v>
      </c>
    </row>
    <row r="1128" spans="1:27" x14ac:dyDescent="0.2">
      <c r="A1128" s="1">
        <v>46105</v>
      </c>
      <c r="B1128" t="s">
        <v>324</v>
      </c>
      <c r="C1128" t="s">
        <v>24</v>
      </c>
      <c r="D1128" t="s">
        <v>39</v>
      </c>
      <c r="E1128" t="s">
        <v>1444</v>
      </c>
      <c r="F1128" t="s">
        <v>39</v>
      </c>
      <c r="G1128">
        <v>2</v>
      </c>
      <c r="H1128">
        <v>3</v>
      </c>
      <c r="I1128" s="13">
        <v>0.6</v>
      </c>
      <c r="J1128" t="s">
        <v>249</v>
      </c>
      <c r="L1128" t="s">
        <v>60</v>
      </c>
      <c r="M1128" t="s">
        <v>60</v>
      </c>
      <c r="N1128" t="s">
        <v>39</v>
      </c>
      <c r="O1128">
        <v>2</v>
      </c>
      <c r="P1128">
        <v>3</v>
      </c>
      <c r="Q1128" s="13">
        <v>0.60564762155605634</v>
      </c>
      <c r="R1128" t="s">
        <v>249</v>
      </c>
      <c r="S1128">
        <v>0.46181300001367798</v>
      </c>
      <c r="T1128" t="s">
        <v>60</v>
      </c>
      <c r="U1128" t="s">
        <v>60</v>
      </c>
      <c r="X1128" t="s">
        <v>60</v>
      </c>
      <c r="Y1128" t="s">
        <v>412</v>
      </c>
      <c r="Z1128" t="s">
        <v>60</v>
      </c>
      <c r="AA1128" t="s">
        <v>491</v>
      </c>
    </row>
    <row r="1129" spans="1:27" x14ac:dyDescent="0.2">
      <c r="A1129" s="1">
        <v>46105</v>
      </c>
      <c r="B1129" t="s">
        <v>324</v>
      </c>
      <c r="C1129" t="s">
        <v>33</v>
      </c>
      <c r="D1129" t="s">
        <v>29</v>
      </c>
      <c r="E1129" t="s">
        <v>1445</v>
      </c>
      <c r="F1129" t="s">
        <v>33</v>
      </c>
      <c r="G1129">
        <v>2</v>
      </c>
      <c r="H1129">
        <v>3</v>
      </c>
      <c r="I1129" s="13">
        <v>0.6</v>
      </c>
      <c r="J1129" t="s">
        <v>249</v>
      </c>
      <c r="L1129" t="s">
        <v>60</v>
      </c>
      <c r="M1129" t="s">
        <v>60</v>
      </c>
      <c r="N1129" t="s">
        <v>33</v>
      </c>
      <c r="O1129">
        <v>2</v>
      </c>
      <c r="P1129">
        <v>3</v>
      </c>
      <c r="Q1129" s="13">
        <v>0.563183329355187</v>
      </c>
      <c r="R1129" t="s">
        <v>249</v>
      </c>
      <c r="S1129">
        <v>-0.88368554250465514</v>
      </c>
      <c r="T1129" t="s">
        <v>60</v>
      </c>
      <c r="U1129" t="s">
        <v>60</v>
      </c>
      <c r="X1129" t="s">
        <v>60</v>
      </c>
      <c r="Y1129" t="s">
        <v>412</v>
      </c>
      <c r="Z1129" t="s">
        <v>60</v>
      </c>
      <c r="AA1129" t="s">
        <v>491</v>
      </c>
    </row>
    <row r="1130" spans="1:27" x14ac:dyDescent="0.2">
      <c r="A1130" s="1">
        <v>46105</v>
      </c>
      <c r="B1130" t="s">
        <v>328</v>
      </c>
      <c r="C1130" t="s">
        <v>25</v>
      </c>
      <c r="D1130" t="s">
        <v>18</v>
      </c>
      <c r="E1130" t="s">
        <v>1446</v>
      </c>
      <c r="F1130" t="s">
        <v>25</v>
      </c>
      <c r="G1130">
        <v>2</v>
      </c>
      <c r="H1130">
        <v>3</v>
      </c>
      <c r="I1130" s="13">
        <v>0.6</v>
      </c>
      <c r="J1130" t="s">
        <v>249</v>
      </c>
      <c r="L1130" t="s">
        <v>60</v>
      </c>
      <c r="M1130" t="s">
        <v>60</v>
      </c>
      <c r="N1130" t="s">
        <v>25</v>
      </c>
      <c r="O1130">
        <v>2</v>
      </c>
      <c r="P1130">
        <v>3</v>
      </c>
      <c r="Q1130" s="13">
        <v>0.64572898951568902</v>
      </c>
      <c r="R1130" t="s">
        <v>249</v>
      </c>
      <c r="S1130">
        <v>-0.96866401667921542</v>
      </c>
      <c r="T1130" t="s">
        <v>60</v>
      </c>
      <c r="U1130" t="s">
        <v>60</v>
      </c>
      <c r="X1130" t="s">
        <v>60</v>
      </c>
      <c r="Y1130" t="s">
        <v>412</v>
      </c>
      <c r="Z1130" t="s">
        <v>60</v>
      </c>
      <c r="AA1130" t="s">
        <v>491</v>
      </c>
    </row>
    <row r="1131" spans="1:27" x14ac:dyDescent="0.2">
      <c r="A1131" s="1">
        <v>46105</v>
      </c>
      <c r="B1131" t="s">
        <v>328</v>
      </c>
      <c r="C1131" t="s">
        <v>32</v>
      </c>
      <c r="D1131" t="s">
        <v>11</v>
      </c>
      <c r="E1131" t="s">
        <v>1447</v>
      </c>
      <c r="F1131" t="s">
        <v>11</v>
      </c>
      <c r="G1131">
        <v>2</v>
      </c>
      <c r="H1131">
        <v>3</v>
      </c>
      <c r="I1131" s="13">
        <v>0.6</v>
      </c>
      <c r="J1131" t="s">
        <v>249</v>
      </c>
      <c r="L1131" t="s">
        <v>60</v>
      </c>
      <c r="M1131" t="s">
        <v>60</v>
      </c>
      <c r="N1131" t="s">
        <v>11</v>
      </c>
      <c r="O1131">
        <v>2</v>
      </c>
      <c r="P1131">
        <v>3</v>
      </c>
      <c r="Q1131" s="13">
        <v>0.58929822423116462</v>
      </c>
      <c r="R1131" t="s">
        <v>249</v>
      </c>
      <c r="S1131">
        <v>0.30215969313714591</v>
      </c>
      <c r="T1131" t="s">
        <v>60</v>
      </c>
      <c r="U1131" t="s">
        <v>60</v>
      </c>
      <c r="X1131" t="s">
        <v>60</v>
      </c>
      <c r="Y1131" t="s">
        <v>412</v>
      </c>
      <c r="Z1131" t="s">
        <v>60</v>
      </c>
      <c r="AA1131" t="s">
        <v>491</v>
      </c>
    </row>
    <row r="1132" spans="1:27" x14ac:dyDescent="0.2">
      <c r="A1132" s="1">
        <v>46105</v>
      </c>
      <c r="B1132" t="s">
        <v>328</v>
      </c>
      <c r="C1132" t="s">
        <v>36</v>
      </c>
      <c r="D1132" t="s">
        <v>26</v>
      </c>
      <c r="E1132" t="s">
        <v>1210</v>
      </c>
      <c r="F1132" t="s">
        <v>36</v>
      </c>
      <c r="G1132">
        <v>2</v>
      </c>
      <c r="H1132">
        <v>3</v>
      </c>
      <c r="I1132" s="13">
        <v>0.6</v>
      </c>
      <c r="J1132" t="s">
        <v>249</v>
      </c>
      <c r="L1132" t="s">
        <v>60</v>
      </c>
      <c r="M1132" t="s">
        <v>60</v>
      </c>
      <c r="N1132" t="s">
        <v>36</v>
      </c>
      <c r="O1132">
        <v>2</v>
      </c>
      <c r="P1132">
        <v>3</v>
      </c>
      <c r="Q1132" s="13">
        <v>0.49433616789893409</v>
      </c>
      <c r="R1132" t="s">
        <v>249</v>
      </c>
      <c r="S1132">
        <v>-0.29406276524430841</v>
      </c>
      <c r="T1132" t="s">
        <v>60</v>
      </c>
      <c r="U1132" t="s">
        <v>60</v>
      </c>
      <c r="X1132" t="s">
        <v>60</v>
      </c>
      <c r="Y1132" t="s">
        <v>412</v>
      </c>
      <c r="Z1132" t="s">
        <v>60</v>
      </c>
      <c r="AA1132" t="s">
        <v>491</v>
      </c>
    </row>
    <row r="1133" spans="1:27" x14ac:dyDescent="0.2">
      <c r="A1133" s="1">
        <v>46105</v>
      </c>
      <c r="B1133" t="s">
        <v>326</v>
      </c>
      <c r="C1133" t="s">
        <v>13</v>
      </c>
      <c r="D1133" t="s">
        <v>16</v>
      </c>
      <c r="E1133" t="s">
        <v>1448</v>
      </c>
      <c r="F1133" t="s">
        <v>13</v>
      </c>
      <c r="G1133">
        <v>2</v>
      </c>
      <c r="H1133">
        <v>3</v>
      </c>
      <c r="I1133" s="13">
        <v>0.6</v>
      </c>
      <c r="J1133" t="s">
        <v>249</v>
      </c>
      <c r="L1133" t="s">
        <v>60</v>
      </c>
      <c r="M1133" t="s">
        <v>60</v>
      </c>
      <c r="N1133" t="s">
        <v>13</v>
      </c>
      <c r="O1133">
        <v>2</v>
      </c>
      <c r="P1133">
        <v>3</v>
      </c>
      <c r="Q1133" s="13">
        <v>0.60543523183675452</v>
      </c>
      <c r="R1133" t="s">
        <v>249</v>
      </c>
      <c r="S1133">
        <v>-0.67759693144424471</v>
      </c>
      <c r="T1133" t="s">
        <v>60</v>
      </c>
      <c r="U1133" t="s">
        <v>60</v>
      </c>
      <c r="X1133" t="s">
        <v>60</v>
      </c>
      <c r="Y1133" t="s">
        <v>412</v>
      </c>
      <c r="Z1133" t="s">
        <v>60</v>
      </c>
      <c r="AA1133" t="s">
        <v>491</v>
      </c>
    </row>
    <row r="1134" spans="1:27" x14ac:dyDescent="0.2">
      <c r="A1134" s="1">
        <v>46105</v>
      </c>
      <c r="B1134" t="s">
        <v>328</v>
      </c>
      <c r="C1134" t="s">
        <v>19</v>
      </c>
      <c r="D1134" t="s">
        <v>21</v>
      </c>
      <c r="E1134" t="s">
        <v>850</v>
      </c>
      <c r="F1134" t="s">
        <v>21</v>
      </c>
      <c r="G1134">
        <v>2</v>
      </c>
      <c r="H1134">
        <v>3</v>
      </c>
      <c r="I1134" s="13">
        <v>0.6</v>
      </c>
      <c r="J1134" t="s">
        <v>249</v>
      </c>
      <c r="L1134" t="s">
        <v>60</v>
      </c>
      <c r="M1134" t="s">
        <v>60</v>
      </c>
      <c r="N1134" t="s">
        <v>21</v>
      </c>
      <c r="O1134">
        <v>2</v>
      </c>
      <c r="P1134">
        <v>3</v>
      </c>
      <c r="Q1134" s="13">
        <v>0.63715157999313932</v>
      </c>
      <c r="R1134" t="s">
        <v>249</v>
      </c>
      <c r="S1134">
        <v>0.46460957979441142</v>
      </c>
      <c r="T1134" t="s">
        <v>60</v>
      </c>
      <c r="U1134" t="s">
        <v>60</v>
      </c>
      <c r="X1134" t="s">
        <v>60</v>
      </c>
      <c r="Y1134" t="s">
        <v>412</v>
      </c>
      <c r="Z1134" t="s">
        <v>60</v>
      </c>
      <c r="AA1134" t="s">
        <v>491</v>
      </c>
    </row>
    <row r="1135" spans="1:27" x14ac:dyDescent="0.2">
      <c r="A1135" s="1">
        <v>46105</v>
      </c>
      <c r="B1135" t="s">
        <v>328</v>
      </c>
      <c r="C1135" t="s">
        <v>10</v>
      </c>
      <c r="D1135" t="s">
        <v>30</v>
      </c>
      <c r="E1135" t="s">
        <v>1449</v>
      </c>
      <c r="F1135" t="s">
        <v>10</v>
      </c>
      <c r="G1135">
        <v>2</v>
      </c>
      <c r="H1135">
        <v>3</v>
      </c>
      <c r="I1135" s="13">
        <v>0.6</v>
      </c>
      <c r="J1135" t="s">
        <v>249</v>
      </c>
      <c r="L1135" t="s">
        <v>60</v>
      </c>
      <c r="M1135" t="s">
        <v>60</v>
      </c>
      <c r="N1135" t="s">
        <v>10</v>
      </c>
      <c r="O1135">
        <v>2</v>
      </c>
      <c r="P1135">
        <v>3</v>
      </c>
      <c r="Q1135" s="13">
        <v>0.46173220442060281</v>
      </c>
      <c r="R1135" t="s">
        <v>249</v>
      </c>
      <c r="S1135">
        <v>-1.4834993333856499E-2</v>
      </c>
      <c r="T1135" t="s">
        <v>60</v>
      </c>
      <c r="U1135" t="s">
        <v>60</v>
      </c>
      <c r="X1135" t="s">
        <v>60</v>
      </c>
      <c r="Y1135" t="s">
        <v>412</v>
      </c>
      <c r="Z1135" t="s">
        <v>60</v>
      </c>
      <c r="AA1135" t="s">
        <v>491</v>
      </c>
    </row>
    <row r="1136" spans="1:27" x14ac:dyDescent="0.2">
      <c r="A1136" s="1">
        <v>46106</v>
      </c>
      <c r="B1136" t="s">
        <v>328</v>
      </c>
      <c r="C1136" t="s">
        <v>21</v>
      </c>
      <c r="D1136" t="s">
        <v>23</v>
      </c>
      <c r="E1136" t="s">
        <v>1074</v>
      </c>
      <c r="F1136" t="s">
        <v>21</v>
      </c>
      <c r="G1136">
        <v>2</v>
      </c>
      <c r="H1136">
        <v>3</v>
      </c>
      <c r="I1136" s="13">
        <v>0.6</v>
      </c>
      <c r="J1136" t="s">
        <v>249</v>
      </c>
      <c r="L1136" t="s">
        <v>60</v>
      </c>
      <c r="M1136" t="s">
        <v>60</v>
      </c>
      <c r="N1136" t="s">
        <v>21</v>
      </c>
      <c r="O1136">
        <v>2</v>
      </c>
      <c r="P1136">
        <v>3</v>
      </c>
      <c r="Q1136" s="13">
        <v>0.47480913359163229</v>
      </c>
      <c r="R1136" t="s">
        <v>249</v>
      </c>
      <c r="S1136">
        <v>-0.2064399263696956</v>
      </c>
      <c r="T1136" t="s">
        <v>60</v>
      </c>
      <c r="U1136" t="s">
        <v>60</v>
      </c>
      <c r="X1136" t="s">
        <v>60</v>
      </c>
      <c r="Y1136" t="s">
        <v>412</v>
      </c>
      <c r="Z1136" t="s">
        <v>60</v>
      </c>
      <c r="AA1136" t="s">
        <v>491</v>
      </c>
    </row>
    <row r="1137" spans="1:27" x14ac:dyDescent="0.2">
      <c r="A1137" s="1">
        <v>46106</v>
      </c>
      <c r="B1137" t="s">
        <v>334</v>
      </c>
      <c r="C1137" t="s">
        <v>15</v>
      </c>
      <c r="D1137" t="s">
        <v>19</v>
      </c>
      <c r="E1137" t="s">
        <v>584</v>
      </c>
      <c r="F1137" t="s">
        <v>15</v>
      </c>
      <c r="G1137">
        <v>2</v>
      </c>
      <c r="H1137">
        <v>3</v>
      </c>
      <c r="I1137" s="13">
        <v>0.6</v>
      </c>
      <c r="J1137" t="s">
        <v>249</v>
      </c>
      <c r="L1137" t="s">
        <v>60</v>
      </c>
      <c r="M1137" t="s">
        <v>60</v>
      </c>
      <c r="N1137" t="s">
        <v>15</v>
      </c>
      <c r="O1137">
        <v>2</v>
      </c>
      <c r="P1137">
        <v>3</v>
      </c>
      <c r="Q1137" s="13">
        <v>0.59447380896340563</v>
      </c>
      <c r="R1137" t="s">
        <v>249</v>
      </c>
      <c r="S1137">
        <v>-0.29454385791187548</v>
      </c>
      <c r="T1137" t="s">
        <v>60</v>
      </c>
      <c r="U1137" t="s">
        <v>60</v>
      </c>
      <c r="X1137" t="s">
        <v>60</v>
      </c>
      <c r="Y1137" t="s">
        <v>412</v>
      </c>
      <c r="Z1137" t="s">
        <v>60</v>
      </c>
      <c r="AA1137" t="s">
        <v>491</v>
      </c>
    </row>
    <row r="1138" spans="1:27" x14ac:dyDescent="0.2">
      <c r="A1138" s="1">
        <v>46107</v>
      </c>
      <c r="B1138" t="s">
        <v>324</v>
      </c>
      <c r="C1138" t="s">
        <v>12</v>
      </c>
      <c r="D1138" t="s">
        <v>40</v>
      </c>
      <c r="E1138" t="s">
        <v>1396</v>
      </c>
      <c r="F1138" t="s">
        <v>12</v>
      </c>
      <c r="G1138">
        <v>2</v>
      </c>
      <c r="H1138">
        <v>3</v>
      </c>
      <c r="I1138" s="13">
        <v>0.6</v>
      </c>
      <c r="J1138" t="s">
        <v>249</v>
      </c>
      <c r="L1138" t="s">
        <v>60</v>
      </c>
      <c r="M1138" t="s">
        <v>60</v>
      </c>
      <c r="N1138" t="s">
        <v>12</v>
      </c>
      <c r="O1138">
        <v>2</v>
      </c>
      <c r="P1138">
        <v>3</v>
      </c>
      <c r="Q1138" s="13">
        <v>0.75141827635481073</v>
      </c>
      <c r="R1138" t="s">
        <v>249</v>
      </c>
      <c r="S1138">
        <v>-1.8952447332866049</v>
      </c>
      <c r="T1138" t="s">
        <v>60</v>
      </c>
      <c r="U1138" t="s">
        <v>60</v>
      </c>
      <c r="X1138" t="s">
        <v>60</v>
      </c>
      <c r="Y1138" t="s">
        <v>412</v>
      </c>
      <c r="Z1138" t="s">
        <v>60</v>
      </c>
      <c r="AA1138" t="s">
        <v>491</v>
      </c>
    </row>
    <row r="1139" spans="1:27" x14ac:dyDescent="0.2">
      <c r="A1139" s="1">
        <v>46107</v>
      </c>
      <c r="B1139" t="s">
        <v>326</v>
      </c>
      <c r="C1139" t="s">
        <v>22</v>
      </c>
      <c r="D1139" t="s">
        <v>55</v>
      </c>
      <c r="E1139" t="s">
        <v>1450</v>
      </c>
      <c r="F1139" t="s">
        <v>22</v>
      </c>
      <c r="G1139">
        <v>2</v>
      </c>
      <c r="H1139">
        <v>3</v>
      </c>
      <c r="I1139" s="13">
        <v>0.6</v>
      </c>
      <c r="J1139" t="s">
        <v>249</v>
      </c>
      <c r="L1139" t="s">
        <v>60</v>
      </c>
      <c r="M1139" t="s">
        <v>60</v>
      </c>
      <c r="N1139" t="s">
        <v>22</v>
      </c>
      <c r="O1139">
        <v>2</v>
      </c>
      <c r="P1139">
        <v>3</v>
      </c>
      <c r="Q1139" s="13">
        <v>0.55424148009773655</v>
      </c>
      <c r="R1139" t="s">
        <v>249</v>
      </c>
      <c r="S1139">
        <v>-0.79392977295177691</v>
      </c>
      <c r="T1139" t="s">
        <v>60</v>
      </c>
      <c r="U1139" t="s">
        <v>60</v>
      </c>
      <c r="X1139" t="s">
        <v>60</v>
      </c>
      <c r="Y1139" t="s">
        <v>412</v>
      </c>
      <c r="Z1139" t="s">
        <v>60</v>
      </c>
      <c r="AA1139" t="s">
        <v>491</v>
      </c>
    </row>
    <row r="1140" spans="1:27" x14ac:dyDescent="0.2">
      <c r="A1140" s="1">
        <v>46107</v>
      </c>
      <c r="B1140" t="s">
        <v>324</v>
      </c>
      <c r="C1140" t="s">
        <v>33</v>
      </c>
      <c r="D1140" t="s">
        <v>35</v>
      </c>
      <c r="E1140" t="s">
        <v>1451</v>
      </c>
      <c r="F1140" t="s">
        <v>33</v>
      </c>
      <c r="G1140">
        <v>2</v>
      </c>
      <c r="H1140">
        <v>3</v>
      </c>
      <c r="I1140" s="13">
        <v>0.6</v>
      </c>
      <c r="J1140" t="s">
        <v>249</v>
      </c>
      <c r="L1140" t="s">
        <v>60</v>
      </c>
      <c r="M1140" t="s">
        <v>60</v>
      </c>
      <c r="N1140" t="s">
        <v>33</v>
      </c>
      <c r="O1140">
        <v>2</v>
      </c>
      <c r="P1140">
        <v>3</v>
      </c>
      <c r="Q1140" s="13">
        <v>0.56429972750684865</v>
      </c>
      <c r="R1140" t="s">
        <v>249</v>
      </c>
      <c r="S1140">
        <v>-0.89324663064231669</v>
      </c>
      <c r="T1140" t="s">
        <v>60</v>
      </c>
      <c r="U1140" t="s">
        <v>60</v>
      </c>
      <c r="X1140" t="s">
        <v>60</v>
      </c>
      <c r="Y1140" t="s">
        <v>412</v>
      </c>
      <c r="Z1140" t="s">
        <v>60</v>
      </c>
      <c r="AA1140" t="s">
        <v>491</v>
      </c>
    </row>
    <row r="1141" spans="1:27" x14ac:dyDescent="0.2">
      <c r="A1141" s="1">
        <v>46107</v>
      </c>
      <c r="B1141" t="s">
        <v>426</v>
      </c>
      <c r="C1141" t="s">
        <v>17</v>
      </c>
      <c r="D1141" t="s">
        <v>20</v>
      </c>
      <c r="E1141" t="s">
        <v>1369</v>
      </c>
      <c r="F1141" t="s">
        <v>20</v>
      </c>
      <c r="G1141">
        <v>2</v>
      </c>
      <c r="H1141">
        <v>3</v>
      </c>
      <c r="I1141" s="13">
        <v>0.6</v>
      </c>
      <c r="J1141" t="s">
        <v>249</v>
      </c>
      <c r="L1141" t="s">
        <v>60</v>
      </c>
      <c r="M1141" t="s">
        <v>60</v>
      </c>
      <c r="N1141" t="s">
        <v>20</v>
      </c>
      <c r="O1141">
        <v>2</v>
      </c>
      <c r="P1141">
        <v>3</v>
      </c>
      <c r="Q1141" s="13">
        <v>0.61276856641927757</v>
      </c>
      <c r="R1141" t="s">
        <v>249</v>
      </c>
      <c r="S1141">
        <v>0.62320658284004771</v>
      </c>
      <c r="T1141" t="s">
        <v>60</v>
      </c>
      <c r="U1141" t="s">
        <v>60</v>
      </c>
      <c r="X1141" t="s">
        <v>60</v>
      </c>
      <c r="Y1141" t="s">
        <v>412</v>
      </c>
      <c r="Z1141" t="s">
        <v>60</v>
      </c>
      <c r="AA1141" t="s">
        <v>491</v>
      </c>
    </row>
    <row r="1142" spans="1:27" x14ac:dyDescent="0.2">
      <c r="A1142" s="1">
        <v>46107</v>
      </c>
      <c r="B1142" t="s">
        <v>322</v>
      </c>
      <c r="C1142" t="s">
        <v>13</v>
      </c>
      <c r="D1142" t="s">
        <v>38</v>
      </c>
      <c r="E1142" t="s">
        <v>1452</v>
      </c>
      <c r="F1142" t="s">
        <v>13</v>
      </c>
      <c r="G1142">
        <v>2</v>
      </c>
      <c r="H1142">
        <v>3</v>
      </c>
      <c r="I1142" s="13">
        <v>0.6</v>
      </c>
      <c r="J1142" t="s">
        <v>249</v>
      </c>
      <c r="L1142" t="s">
        <v>60</v>
      </c>
      <c r="M1142" t="s">
        <v>60</v>
      </c>
      <c r="N1142" t="s">
        <v>13</v>
      </c>
      <c r="O1142">
        <v>2</v>
      </c>
      <c r="P1142">
        <v>3</v>
      </c>
      <c r="Q1142" s="13">
        <v>0.59164490233387368</v>
      </c>
      <c r="R1142" t="s">
        <v>249</v>
      </c>
      <c r="S1142">
        <v>-0.55949340751042798</v>
      </c>
      <c r="T1142" t="s">
        <v>60</v>
      </c>
      <c r="U1142" t="s">
        <v>60</v>
      </c>
      <c r="X1142" t="s">
        <v>60</v>
      </c>
      <c r="Y1142" t="s">
        <v>412</v>
      </c>
      <c r="Z1142" t="s">
        <v>60</v>
      </c>
      <c r="AA1142" t="s">
        <v>491</v>
      </c>
    </row>
    <row r="1143" spans="1:27" x14ac:dyDescent="0.2">
      <c r="A1143" s="1">
        <v>46107</v>
      </c>
      <c r="B1143" t="s">
        <v>328</v>
      </c>
      <c r="C1143" t="s">
        <v>10</v>
      </c>
      <c r="D1143" t="s">
        <v>27</v>
      </c>
      <c r="E1143" t="s">
        <v>1453</v>
      </c>
      <c r="F1143" t="s">
        <v>10</v>
      </c>
      <c r="G1143">
        <v>2</v>
      </c>
      <c r="H1143">
        <v>3</v>
      </c>
      <c r="I1143" s="13">
        <v>0.6</v>
      </c>
      <c r="J1143" t="s">
        <v>249</v>
      </c>
      <c r="L1143" t="s">
        <v>60</v>
      </c>
      <c r="M1143" t="s">
        <v>60</v>
      </c>
      <c r="N1143" t="s">
        <v>10</v>
      </c>
      <c r="O1143">
        <v>2</v>
      </c>
      <c r="P1143">
        <v>3</v>
      </c>
      <c r="Q1143" s="13">
        <v>0.46398180062830402</v>
      </c>
      <c r="R1143" t="s">
        <v>249</v>
      </c>
      <c r="S1143">
        <v>-0.15414257939883991</v>
      </c>
      <c r="T1143" t="s">
        <v>60</v>
      </c>
      <c r="U1143" t="s">
        <v>60</v>
      </c>
      <c r="X1143" t="s">
        <v>60</v>
      </c>
      <c r="Y1143" t="s">
        <v>412</v>
      </c>
      <c r="Z1143" t="s">
        <v>60</v>
      </c>
      <c r="AA1143" t="s">
        <v>491</v>
      </c>
    </row>
    <row r="1144" spans="1:27" x14ac:dyDescent="0.2">
      <c r="A1144" s="1">
        <v>46107</v>
      </c>
      <c r="B1144" t="s">
        <v>328</v>
      </c>
      <c r="C1144" t="s">
        <v>32</v>
      </c>
      <c r="D1144" t="s">
        <v>37</v>
      </c>
      <c r="E1144" t="s">
        <v>1454</v>
      </c>
      <c r="F1144" t="s">
        <v>37</v>
      </c>
      <c r="G1144">
        <v>2</v>
      </c>
      <c r="H1144">
        <v>3</v>
      </c>
      <c r="I1144" s="13">
        <v>0.6</v>
      </c>
      <c r="J1144" t="s">
        <v>249</v>
      </c>
      <c r="L1144" t="s">
        <v>60</v>
      </c>
      <c r="M1144" t="s">
        <v>60</v>
      </c>
      <c r="N1144" t="s">
        <v>37</v>
      </c>
      <c r="O1144">
        <v>2</v>
      </c>
      <c r="P1144">
        <v>3</v>
      </c>
      <c r="Q1144" s="13">
        <v>0.7135060781181839</v>
      </c>
      <c r="R1144" t="s">
        <v>249</v>
      </c>
      <c r="S1144">
        <v>1.2097829309478569</v>
      </c>
      <c r="T1144" t="s">
        <v>60</v>
      </c>
      <c r="U1144" t="s">
        <v>60</v>
      </c>
      <c r="X1144" t="s">
        <v>60</v>
      </c>
      <c r="Y1144" t="s">
        <v>412</v>
      </c>
      <c r="Z1144" t="s">
        <v>60</v>
      </c>
      <c r="AA1144" t="s">
        <v>491</v>
      </c>
    </row>
    <row r="1145" spans="1:27" x14ac:dyDescent="0.2">
      <c r="A1145" s="1">
        <v>46107</v>
      </c>
      <c r="B1145" t="s">
        <v>328</v>
      </c>
      <c r="C1145" t="s">
        <v>39</v>
      </c>
      <c r="D1145" t="s">
        <v>30</v>
      </c>
      <c r="E1145" t="s">
        <v>1455</v>
      </c>
      <c r="F1145" t="s">
        <v>39</v>
      </c>
      <c r="G1145">
        <v>2</v>
      </c>
      <c r="H1145">
        <v>3</v>
      </c>
      <c r="I1145" s="13">
        <v>0.6</v>
      </c>
      <c r="J1145" t="s">
        <v>249</v>
      </c>
      <c r="L1145" t="s">
        <v>60</v>
      </c>
      <c r="M1145" t="s">
        <v>60</v>
      </c>
      <c r="N1145" t="s">
        <v>39</v>
      </c>
      <c r="O1145">
        <v>2</v>
      </c>
      <c r="P1145">
        <v>3</v>
      </c>
      <c r="Q1145" s="13">
        <v>0.63237898456089747</v>
      </c>
      <c r="R1145" t="s">
        <v>249</v>
      </c>
      <c r="S1145">
        <v>-0.60447375037328999</v>
      </c>
      <c r="T1145" t="s">
        <v>60</v>
      </c>
      <c r="U1145" t="s">
        <v>60</v>
      </c>
      <c r="X1145" t="s">
        <v>60</v>
      </c>
      <c r="Y1145" t="s">
        <v>412</v>
      </c>
      <c r="Z1145" t="s">
        <v>60</v>
      </c>
      <c r="AA1145" t="s">
        <v>491</v>
      </c>
    </row>
    <row r="1146" spans="1:27" x14ac:dyDescent="0.2">
      <c r="A1146" s="1">
        <v>46107</v>
      </c>
      <c r="B1146" t="s">
        <v>324</v>
      </c>
      <c r="C1146" t="s">
        <v>24</v>
      </c>
      <c r="D1146" t="s">
        <v>29</v>
      </c>
      <c r="E1146" t="s">
        <v>1456</v>
      </c>
      <c r="F1146" t="s">
        <v>24</v>
      </c>
      <c r="G1146">
        <v>2</v>
      </c>
      <c r="H1146">
        <v>3</v>
      </c>
      <c r="I1146" s="13">
        <v>0.6</v>
      </c>
      <c r="J1146" t="s">
        <v>249</v>
      </c>
      <c r="L1146" t="s">
        <v>60</v>
      </c>
      <c r="M1146" t="s">
        <v>60</v>
      </c>
      <c r="N1146" t="s">
        <v>24</v>
      </c>
      <c r="O1146">
        <v>2</v>
      </c>
      <c r="P1146">
        <v>3</v>
      </c>
      <c r="Q1146" s="13">
        <v>0.63683079401673515</v>
      </c>
      <c r="R1146" t="s">
        <v>249</v>
      </c>
      <c r="S1146">
        <v>-1.336546785651503</v>
      </c>
      <c r="T1146" t="s">
        <v>60</v>
      </c>
      <c r="U1146" t="s">
        <v>60</v>
      </c>
      <c r="X1146" t="s">
        <v>60</v>
      </c>
      <c r="Y1146" t="s">
        <v>412</v>
      </c>
      <c r="Z1146" t="s">
        <v>60</v>
      </c>
      <c r="AA1146" t="s">
        <v>491</v>
      </c>
    </row>
    <row r="1147" spans="1:27" x14ac:dyDescent="0.2">
      <c r="A1147" s="1">
        <v>46107</v>
      </c>
      <c r="B1147" t="s">
        <v>328</v>
      </c>
      <c r="C1147" t="s">
        <v>28</v>
      </c>
      <c r="D1147" t="s">
        <v>18</v>
      </c>
      <c r="E1147" t="s">
        <v>1457</v>
      </c>
      <c r="F1147" t="s">
        <v>18</v>
      </c>
      <c r="G1147">
        <v>2</v>
      </c>
      <c r="H1147">
        <v>3</v>
      </c>
      <c r="I1147" s="13">
        <v>0.6</v>
      </c>
      <c r="J1147" t="s">
        <v>249</v>
      </c>
      <c r="L1147" t="s">
        <v>60</v>
      </c>
      <c r="M1147" t="s">
        <v>60</v>
      </c>
      <c r="N1147" t="s">
        <v>18</v>
      </c>
      <c r="O1147">
        <v>2</v>
      </c>
      <c r="P1147">
        <v>3</v>
      </c>
      <c r="Q1147" s="13">
        <v>0.54249566982631203</v>
      </c>
      <c r="R1147" t="s">
        <v>249</v>
      </c>
      <c r="S1147">
        <v>5.20005249998775E-2</v>
      </c>
      <c r="T1147" t="s">
        <v>60</v>
      </c>
      <c r="U1147" t="s">
        <v>60</v>
      </c>
      <c r="X1147" t="s">
        <v>60</v>
      </c>
      <c r="Y1147" t="s">
        <v>412</v>
      </c>
      <c r="Z1147" t="s">
        <v>60</v>
      </c>
      <c r="AA1147" t="s">
        <v>491</v>
      </c>
    </row>
    <row r="1148" spans="1:27" x14ac:dyDescent="0.2">
      <c r="A1148" s="1">
        <v>46107</v>
      </c>
      <c r="B1148" t="s">
        <v>328</v>
      </c>
      <c r="C1148" t="s">
        <v>34</v>
      </c>
      <c r="D1148" t="s">
        <v>11</v>
      </c>
      <c r="E1148" t="s">
        <v>1458</v>
      </c>
      <c r="F1148" t="s">
        <v>34</v>
      </c>
      <c r="G1148">
        <v>2</v>
      </c>
      <c r="H1148">
        <v>3</v>
      </c>
      <c r="I1148" s="13">
        <v>0.6</v>
      </c>
      <c r="J1148" t="s">
        <v>249</v>
      </c>
      <c r="L1148" t="s">
        <v>60</v>
      </c>
      <c r="M1148" t="s">
        <v>60</v>
      </c>
      <c r="N1148" t="s">
        <v>34</v>
      </c>
      <c r="O1148">
        <v>2</v>
      </c>
      <c r="P1148">
        <v>3</v>
      </c>
      <c r="Q1148" s="13">
        <v>0.52247823311486485</v>
      </c>
      <c r="R1148" t="s">
        <v>249</v>
      </c>
      <c r="S1148">
        <v>-0.29209275469146517</v>
      </c>
      <c r="T1148" t="s">
        <v>60</v>
      </c>
      <c r="U1148" t="s">
        <v>60</v>
      </c>
      <c r="X1148" t="s">
        <v>60</v>
      </c>
      <c r="Y1148" t="s">
        <v>412</v>
      </c>
      <c r="Z1148" t="s">
        <v>60</v>
      </c>
      <c r="AA1148" t="s">
        <v>491</v>
      </c>
    </row>
    <row r="1149" spans="1:27" x14ac:dyDescent="0.2">
      <c r="A1149" s="1">
        <v>46107</v>
      </c>
      <c r="B1149" t="s">
        <v>326</v>
      </c>
      <c r="C1149" t="s">
        <v>31</v>
      </c>
      <c r="D1149" t="s">
        <v>16</v>
      </c>
      <c r="E1149" t="s">
        <v>1254</v>
      </c>
      <c r="F1149" t="s">
        <v>31</v>
      </c>
      <c r="G1149">
        <v>2</v>
      </c>
      <c r="H1149">
        <v>3</v>
      </c>
      <c r="I1149" s="13">
        <v>0.6</v>
      </c>
      <c r="J1149" t="s">
        <v>249</v>
      </c>
      <c r="L1149" t="s">
        <v>60</v>
      </c>
      <c r="M1149" t="s">
        <v>60</v>
      </c>
      <c r="N1149" t="s">
        <v>31</v>
      </c>
      <c r="O1149">
        <v>2</v>
      </c>
      <c r="P1149">
        <v>3</v>
      </c>
      <c r="Q1149" s="13">
        <v>0.62025449125554588</v>
      </c>
      <c r="R1149" t="s">
        <v>249</v>
      </c>
      <c r="S1149">
        <v>-1.1945835519607251</v>
      </c>
      <c r="T1149" t="s">
        <v>60</v>
      </c>
      <c r="U1149" t="s">
        <v>60</v>
      </c>
      <c r="X1149" t="s">
        <v>60</v>
      </c>
      <c r="Y1149" t="s">
        <v>412</v>
      </c>
      <c r="Z1149" t="s">
        <v>60</v>
      </c>
      <c r="AA1149" t="s">
        <v>491</v>
      </c>
    </row>
    <row r="1150" spans="1:27" x14ac:dyDescent="0.2">
      <c r="A1150" s="1">
        <v>46107</v>
      </c>
      <c r="B1150" t="s">
        <v>328</v>
      </c>
      <c r="C1150" t="s">
        <v>14</v>
      </c>
      <c r="D1150" t="s">
        <v>36</v>
      </c>
      <c r="E1150" t="s">
        <v>1026</v>
      </c>
      <c r="F1150" t="s">
        <v>14</v>
      </c>
      <c r="G1150">
        <v>2</v>
      </c>
      <c r="H1150">
        <v>3</v>
      </c>
      <c r="I1150" s="13">
        <v>0.6</v>
      </c>
      <c r="J1150" t="s">
        <v>249</v>
      </c>
      <c r="L1150" t="s">
        <v>60</v>
      </c>
      <c r="M1150" t="s">
        <v>60</v>
      </c>
      <c r="N1150" t="s">
        <v>14</v>
      </c>
      <c r="O1150">
        <v>2</v>
      </c>
      <c r="P1150">
        <v>3</v>
      </c>
      <c r="Q1150" s="13">
        <v>0.5363820935805419</v>
      </c>
      <c r="R1150" t="s">
        <v>249</v>
      </c>
      <c r="S1150">
        <v>-0.33921108037618608</v>
      </c>
      <c r="T1150" t="s">
        <v>60</v>
      </c>
      <c r="U1150" t="s">
        <v>60</v>
      </c>
      <c r="X1150" t="s">
        <v>60</v>
      </c>
      <c r="Y1150" t="s">
        <v>412</v>
      </c>
      <c r="Z1150" t="s">
        <v>60</v>
      </c>
      <c r="AA1150" t="s">
        <v>491</v>
      </c>
    </row>
    <row r="1151" spans="1:27" x14ac:dyDescent="0.2">
      <c r="A1151" s="1">
        <v>46108</v>
      </c>
      <c r="B1151" t="s">
        <v>328</v>
      </c>
      <c r="C1151" t="s">
        <v>26</v>
      </c>
      <c r="D1151" t="s">
        <v>23</v>
      </c>
      <c r="E1151" t="s">
        <v>642</v>
      </c>
      <c r="F1151" t="s">
        <v>23</v>
      </c>
      <c r="G1151">
        <v>2</v>
      </c>
      <c r="H1151">
        <v>3</v>
      </c>
      <c r="I1151" s="13">
        <v>0.6</v>
      </c>
      <c r="J1151" t="s">
        <v>249</v>
      </c>
      <c r="L1151" t="s">
        <v>60</v>
      </c>
      <c r="M1151" t="s">
        <v>60</v>
      </c>
      <c r="N1151" t="s">
        <v>23</v>
      </c>
      <c r="O1151">
        <v>2</v>
      </c>
      <c r="P1151">
        <v>3</v>
      </c>
      <c r="Q1151" s="13">
        <v>0.60256479135424768</v>
      </c>
      <c r="R1151" t="s">
        <v>249</v>
      </c>
      <c r="S1151">
        <v>0.44912987821488232</v>
      </c>
      <c r="T1151" t="s">
        <v>60</v>
      </c>
      <c r="U1151" t="s">
        <v>60</v>
      </c>
      <c r="X1151" t="s">
        <v>60</v>
      </c>
      <c r="Y1151" t="s">
        <v>412</v>
      </c>
      <c r="Z1151" t="s">
        <v>60</v>
      </c>
      <c r="AA1151" t="s">
        <v>491</v>
      </c>
    </row>
    <row r="1152" spans="1:27" x14ac:dyDescent="0.2">
      <c r="A1152" s="1">
        <v>46108</v>
      </c>
      <c r="B1152" t="s">
        <v>328</v>
      </c>
      <c r="C1152" t="s">
        <v>10</v>
      </c>
      <c r="D1152" t="s">
        <v>15</v>
      </c>
      <c r="E1152" t="s">
        <v>1459</v>
      </c>
      <c r="F1152" t="s">
        <v>10</v>
      </c>
      <c r="G1152">
        <v>2</v>
      </c>
      <c r="H1152">
        <v>3</v>
      </c>
      <c r="I1152" s="13">
        <v>0.6</v>
      </c>
      <c r="J1152" t="s">
        <v>249</v>
      </c>
      <c r="L1152" t="s">
        <v>60</v>
      </c>
      <c r="M1152" t="s">
        <v>60</v>
      </c>
      <c r="N1152" t="s">
        <v>10</v>
      </c>
      <c r="O1152">
        <v>2</v>
      </c>
      <c r="P1152">
        <v>3</v>
      </c>
      <c r="Q1152" s="13">
        <v>0.46746558610143418</v>
      </c>
      <c r="R1152" t="s">
        <v>249</v>
      </c>
      <c r="S1152">
        <v>-6.3936980376466501E-2</v>
      </c>
      <c r="T1152" t="s">
        <v>60</v>
      </c>
      <c r="U1152" t="s">
        <v>60</v>
      </c>
      <c r="X1152" t="s">
        <v>60</v>
      </c>
      <c r="Y1152" t="s">
        <v>412</v>
      </c>
      <c r="Z1152" t="s">
        <v>60</v>
      </c>
      <c r="AA1152" t="s">
        <v>491</v>
      </c>
    </row>
    <row r="1153" spans="1:27" x14ac:dyDescent="0.2">
      <c r="A1153" s="1">
        <v>46109</v>
      </c>
      <c r="B1153" t="s">
        <v>340</v>
      </c>
      <c r="C1153" t="s">
        <v>22</v>
      </c>
      <c r="D1153" t="s">
        <v>20</v>
      </c>
      <c r="E1153" t="s">
        <v>1460</v>
      </c>
      <c r="F1153" t="s">
        <v>22</v>
      </c>
      <c r="G1153">
        <v>2</v>
      </c>
      <c r="H1153">
        <v>3</v>
      </c>
      <c r="I1153" s="13">
        <v>0.6</v>
      </c>
      <c r="J1153" t="s">
        <v>249</v>
      </c>
      <c r="L1153" t="s">
        <v>60</v>
      </c>
      <c r="M1153" t="s">
        <v>60</v>
      </c>
      <c r="N1153" t="s">
        <v>22</v>
      </c>
      <c r="O1153">
        <v>2</v>
      </c>
      <c r="P1153">
        <v>3</v>
      </c>
      <c r="Q1153" s="13">
        <v>0.57668706233411582</v>
      </c>
      <c r="R1153" t="s">
        <v>249</v>
      </c>
      <c r="S1153">
        <v>-0.63524731425123093</v>
      </c>
      <c r="T1153" t="s">
        <v>60</v>
      </c>
      <c r="U1153" t="s">
        <v>60</v>
      </c>
      <c r="X1153" t="s">
        <v>60</v>
      </c>
      <c r="Y1153" t="s">
        <v>412</v>
      </c>
      <c r="Z1153" t="s">
        <v>60</v>
      </c>
      <c r="AA1153" t="s">
        <v>491</v>
      </c>
    </row>
    <row r="1154" spans="1:27" x14ac:dyDescent="0.2">
      <c r="A1154" s="1">
        <v>46109</v>
      </c>
      <c r="B1154" t="s">
        <v>347</v>
      </c>
      <c r="C1154" t="s">
        <v>36</v>
      </c>
      <c r="D1154" t="s">
        <v>37</v>
      </c>
      <c r="E1154" t="s">
        <v>506</v>
      </c>
      <c r="F1154" t="s">
        <v>37</v>
      </c>
      <c r="G1154">
        <v>2</v>
      </c>
      <c r="H1154">
        <v>3</v>
      </c>
      <c r="I1154" s="13">
        <v>0.6</v>
      </c>
      <c r="J1154" t="s">
        <v>249</v>
      </c>
      <c r="L1154" t="s">
        <v>60</v>
      </c>
      <c r="M1154" t="s">
        <v>60</v>
      </c>
      <c r="N1154" t="s">
        <v>37</v>
      </c>
      <c r="O1154">
        <v>2</v>
      </c>
      <c r="P1154">
        <v>3</v>
      </c>
      <c r="Q1154" s="13">
        <v>0.69972769826475267</v>
      </c>
      <c r="R1154" t="s">
        <v>249</v>
      </c>
      <c r="S1154">
        <v>1.0917817465346049</v>
      </c>
      <c r="T1154" t="s">
        <v>60</v>
      </c>
      <c r="U1154" t="s">
        <v>60</v>
      </c>
      <c r="X1154" t="s">
        <v>60</v>
      </c>
      <c r="Y1154" t="s">
        <v>412</v>
      </c>
      <c r="Z1154" t="s">
        <v>60</v>
      </c>
      <c r="AA1154" t="s">
        <v>491</v>
      </c>
    </row>
    <row r="1155" spans="1:27" x14ac:dyDescent="0.2">
      <c r="A1155" s="1">
        <v>46109</v>
      </c>
      <c r="B1155" t="s">
        <v>328</v>
      </c>
      <c r="C1155" t="s">
        <v>19</v>
      </c>
      <c r="D1155" t="s">
        <v>35</v>
      </c>
      <c r="E1155" t="s">
        <v>1461</v>
      </c>
      <c r="F1155" t="s">
        <v>19</v>
      </c>
      <c r="G1155">
        <v>2</v>
      </c>
      <c r="H1155">
        <v>3</v>
      </c>
      <c r="I1155" s="13">
        <v>0.6</v>
      </c>
      <c r="J1155" t="s">
        <v>249</v>
      </c>
      <c r="L1155" t="s">
        <v>60</v>
      </c>
      <c r="M1155" t="s">
        <v>60</v>
      </c>
      <c r="N1155" t="s">
        <v>19</v>
      </c>
      <c r="O1155">
        <v>2</v>
      </c>
      <c r="P1155">
        <v>3</v>
      </c>
      <c r="Q1155" s="13">
        <v>0.54291454226534464</v>
      </c>
      <c r="R1155" t="s">
        <v>249</v>
      </c>
      <c r="S1155">
        <v>-0.71009903170557953</v>
      </c>
      <c r="T1155" t="s">
        <v>60</v>
      </c>
      <c r="U1155" t="s">
        <v>60</v>
      </c>
      <c r="X1155" t="s">
        <v>60</v>
      </c>
      <c r="Y1155" t="s">
        <v>412</v>
      </c>
      <c r="Z1155" t="s">
        <v>60</v>
      </c>
      <c r="AA1155" t="s">
        <v>491</v>
      </c>
    </row>
    <row r="1156" spans="1:27" x14ac:dyDescent="0.2">
      <c r="A1156" s="1">
        <v>46109</v>
      </c>
      <c r="B1156" t="s">
        <v>365</v>
      </c>
      <c r="C1156" t="s">
        <v>39</v>
      </c>
      <c r="D1156" t="s">
        <v>14</v>
      </c>
      <c r="E1156" t="s">
        <v>1462</v>
      </c>
      <c r="F1156" t="s">
        <v>39</v>
      </c>
      <c r="G1156">
        <v>2</v>
      </c>
      <c r="H1156">
        <v>3</v>
      </c>
      <c r="I1156" s="13">
        <v>0.6</v>
      </c>
      <c r="J1156" t="s">
        <v>249</v>
      </c>
      <c r="L1156" t="s">
        <v>60</v>
      </c>
      <c r="M1156" t="s">
        <v>60</v>
      </c>
      <c r="N1156" t="s">
        <v>39</v>
      </c>
      <c r="O1156">
        <v>2</v>
      </c>
      <c r="P1156">
        <v>3</v>
      </c>
      <c r="Q1156" s="13">
        <v>0.62085806549495359</v>
      </c>
      <c r="R1156" t="s">
        <v>249</v>
      </c>
      <c r="S1156">
        <v>-0.50580597449744735</v>
      </c>
      <c r="T1156" t="s">
        <v>60</v>
      </c>
      <c r="U1156" t="s">
        <v>60</v>
      </c>
      <c r="X1156" t="s">
        <v>60</v>
      </c>
      <c r="Y1156" t="s">
        <v>412</v>
      </c>
      <c r="Z1156" t="s">
        <v>60</v>
      </c>
      <c r="AA1156" t="s">
        <v>491</v>
      </c>
    </row>
    <row r="1157" spans="1:27" x14ac:dyDescent="0.2">
      <c r="A1157" s="1">
        <v>46109</v>
      </c>
      <c r="B1157" t="s">
        <v>328</v>
      </c>
      <c r="C1157" t="s">
        <v>18</v>
      </c>
      <c r="D1157" t="s">
        <v>29</v>
      </c>
      <c r="E1157" t="s">
        <v>1463</v>
      </c>
      <c r="F1157" t="s">
        <v>18</v>
      </c>
      <c r="G1157">
        <v>2</v>
      </c>
      <c r="H1157">
        <v>3</v>
      </c>
      <c r="I1157" s="13">
        <v>0.6</v>
      </c>
      <c r="J1157" t="s">
        <v>249</v>
      </c>
      <c r="L1157" t="s">
        <v>60</v>
      </c>
      <c r="M1157" t="s">
        <v>60</v>
      </c>
      <c r="N1157" t="s">
        <v>18</v>
      </c>
      <c r="O1157">
        <v>2</v>
      </c>
      <c r="P1157">
        <v>3</v>
      </c>
      <c r="Q1157" s="13">
        <v>0.60594210318638431</v>
      </c>
      <c r="R1157" t="s">
        <v>249</v>
      </c>
      <c r="S1157">
        <v>-0.74212690661307334</v>
      </c>
      <c r="T1157" t="s">
        <v>60</v>
      </c>
      <c r="U1157" t="s">
        <v>60</v>
      </c>
      <c r="X1157" t="s">
        <v>60</v>
      </c>
      <c r="Y1157" t="s">
        <v>412</v>
      </c>
      <c r="Z1157" t="s">
        <v>60</v>
      </c>
      <c r="AA1157" t="s">
        <v>491</v>
      </c>
    </row>
    <row r="1158" spans="1:27" x14ac:dyDescent="0.2">
      <c r="A1158" s="1">
        <v>46109</v>
      </c>
      <c r="B1158" t="s">
        <v>326</v>
      </c>
      <c r="C1158" t="s">
        <v>55</v>
      </c>
      <c r="D1158" t="s">
        <v>13</v>
      </c>
      <c r="E1158" t="s">
        <v>1464</v>
      </c>
      <c r="F1158" t="s">
        <v>13</v>
      </c>
      <c r="G1158">
        <v>2</v>
      </c>
      <c r="H1158">
        <v>3</v>
      </c>
      <c r="I1158" s="13">
        <v>0.6</v>
      </c>
      <c r="J1158" t="s">
        <v>249</v>
      </c>
      <c r="L1158" t="s">
        <v>60</v>
      </c>
      <c r="M1158" t="s">
        <v>60</v>
      </c>
      <c r="N1158" t="s">
        <v>13</v>
      </c>
      <c r="O1158">
        <v>2</v>
      </c>
      <c r="P1158">
        <v>3</v>
      </c>
      <c r="Q1158" s="13">
        <v>0.55339763973245826</v>
      </c>
      <c r="R1158" t="s">
        <v>249</v>
      </c>
      <c r="S1158">
        <v>0.1147404392671313</v>
      </c>
      <c r="T1158" t="s">
        <v>60</v>
      </c>
      <c r="U1158" t="s">
        <v>60</v>
      </c>
      <c r="X1158" t="s">
        <v>60</v>
      </c>
      <c r="Y1158" t="s">
        <v>412</v>
      </c>
      <c r="Z1158" t="s">
        <v>60</v>
      </c>
      <c r="AA1158" t="s">
        <v>491</v>
      </c>
    </row>
    <row r="1159" spans="1:27" x14ac:dyDescent="0.2">
      <c r="A1159" s="1">
        <v>46109</v>
      </c>
      <c r="B1159" t="s">
        <v>352</v>
      </c>
      <c r="C1159" t="s">
        <v>31</v>
      </c>
      <c r="D1159" t="s">
        <v>17</v>
      </c>
      <c r="E1159" t="s">
        <v>1257</v>
      </c>
      <c r="F1159" t="s">
        <v>31</v>
      </c>
      <c r="G1159">
        <v>2</v>
      </c>
      <c r="H1159">
        <v>3</v>
      </c>
      <c r="I1159" s="13">
        <v>0.6</v>
      </c>
      <c r="J1159" t="s">
        <v>249</v>
      </c>
      <c r="L1159" t="s">
        <v>60</v>
      </c>
      <c r="M1159" t="s">
        <v>60</v>
      </c>
      <c r="N1159" t="s">
        <v>31</v>
      </c>
      <c r="O1159">
        <v>2</v>
      </c>
      <c r="P1159">
        <v>3</v>
      </c>
      <c r="Q1159" s="13">
        <v>0.5842077690042573</v>
      </c>
      <c r="R1159" t="s">
        <v>249</v>
      </c>
      <c r="S1159">
        <v>-0.94654893715362565</v>
      </c>
      <c r="T1159" t="s">
        <v>60</v>
      </c>
      <c r="U1159" t="s">
        <v>60</v>
      </c>
      <c r="X1159" t="s">
        <v>60</v>
      </c>
      <c r="Y1159" t="s">
        <v>412</v>
      </c>
      <c r="Z1159" t="s">
        <v>60</v>
      </c>
      <c r="AA1159" t="s">
        <v>491</v>
      </c>
    </row>
    <row r="1160" spans="1:27" x14ac:dyDescent="0.2">
      <c r="A1160" s="1">
        <v>46109</v>
      </c>
      <c r="B1160" t="s">
        <v>347</v>
      </c>
      <c r="C1160" t="s">
        <v>11</v>
      </c>
      <c r="D1160" t="s">
        <v>30</v>
      </c>
      <c r="E1160" t="s">
        <v>1329</v>
      </c>
      <c r="F1160" t="s">
        <v>30</v>
      </c>
      <c r="G1160">
        <v>2</v>
      </c>
      <c r="H1160">
        <v>3</v>
      </c>
      <c r="I1160" s="13">
        <v>0.6</v>
      </c>
      <c r="J1160" t="s">
        <v>249</v>
      </c>
      <c r="L1160" t="s">
        <v>60</v>
      </c>
      <c r="M1160" t="s">
        <v>60</v>
      </c>
      <c r="N1160" t="s">
        <v>30</v>
      </c>
      <c r="O1160">
        <v>2</v>
      </c>
      <c r="P1160">
        <v>3</v>
      </c>
      <c r="Q1160" s="13">
        <v>0.56406370384490223</v>
      </c>
      <c r="R1160" t="s">
        <v>249</v>
      </c>
      <c r="S1160">
        <v>0.20608704254593641</v>
      </c>
      <c r="T1160" t="s">
        <v>60</v>
      </c>
      <c r="U1160" t="s">
        <v>60</v>
      </c>
      <c r="X1160" t="s">
        <v>60</v>
      </c>
      <c r="Y1160" t="s">
        <v>412</v>
      </c>
      <c r="Z1160" t="s">
        <v>60</v>
      </c>
      <c r="AA1160" t="s">
        <v>491</v>
      </c>
    </row>
    <row r="1161" spans="1:27" x14ac:dyDescent="0.2">
      <c r="A1161" s="1">
        <v>46109</v>
      </c>
      <c r="B1161" t="s">
        <v>328</v>
      </c>
      <c r="C1161" t="s">
        <v>40</v>
      </c>
      <c r="D1161" t="s">
        <v>12</v>
      </c>
      <c r="E1161" t="s">
        <v>1033</v>
      </c>
      <c r="F1161" t="s">
        <v>12</v>
      </c>
      <c r="G1161">
        <v>2</v>
      </c>
      <c r="H1161">
        <v>3</v>
      </c>
      <c r="I1161" s="13">
        <v>0.6</v>
      </c>
      <c r="J1161" t="s">
        <v>249</v>
      </c>
      <c r="L1161" t="s">
        <v>60</v>
      </c>
      <c r="M1161" t="s">
        <v>60</v>
      </c>
      <c r="N1161" t="s">
        <v>12</v>
      </c>
      <c r="O1161">
        <v>2</v>
      </c>
      <c r="P1161">
        <v>3</v>
      </c>
      <c r="Q1161" s="13">
        <v>0.85795109226563959</v>
      </c>
      <c r="R1161" t="s">
        <v>249</v>
      </c>
      <c r="S1161">
        <v>1.99504623113293</v>
      </c>
      <c r="T1161" t="s">
        <v>60</v>
      </c>
      <c r="U1161" t="s">
        <v>60</v>
      </c>
      <c r="X1161" t="s">
        <v>60</v>
      </c>
      <c r="Y1161" t="s">
        <v>412</v>
      </c>
      <c r="Z1161" t="s">
        <v>60</v>
      </c>
      <c r="AA1161" t="s">
        <v>491</v>
      </c>
    </row>
    <row r="1162" spans="1:27" x14ac:dyDescent="0.2">
      <c r="A1162" s="1">
        <v>46109</v>
      </c>
      <c r="B1162" t="s">
        <v>322</v>
      </c>
      <c r="C1162" t="s">
        <v>38</v>
      </c>
      <c r="D1162" t="s">
        <v>16</v>
      </c>
      <c r="E1162" t="s">
        <v>1465</v>
      </c>
      <c r="F1162" t="s">
        <v>38</v>
      </c>
      <c r="G1162">
        <v>2</v>
      </c>
      <c r="H1162">
        <v>3</v>
      </c>
      <c r="I1162" s="13">
        <v>0.6</v>
      </c>
      <c r="J1162" t="s">
        <v>249</v>
      </c>
      <c r="L1162" t="s">
        <v>60</v>
      </c>
      <c r="M1162" t="s">
        <v>60</v>
      </c>
      <c r="N1162" t="s">
        <v>38</v>
      </c>
      <c r="O1162">
        <v>2</v>
      </c>
      <c r="P1162">
        <v>3</v>
      </c>
      <c r="Q1162" s="13">
        <v>0.47153983952400819</v>
      </c>
      <c r="R1162" t="s">
        <v>249</v>
      </c>
      <c r="S1162">
        <v>-6.8202775010654304E-2</v>
      </c>
      <c r="T1162" t="s">
        <v>60</v>
      </c>
      <c r="U1162" t="s">
        <v>60</v>
      </c>
      <c r="X1162" t="s">
        <v>60</v>
      </c>
      <c r="Y1162" t="s">
        <v>412</v>
      </c>
      <c r="Z1162" t="s">
        <v>60</v>
      </c>
      <c r="AA1162" t="s">
        <v>491</v>
      </c>
    </row>
    <row r="1163" spans="1:27" x14ac:dyDescent="0.2">
      <c r="A1163" s="1">
        <v>46109</v>
      </c>
      <c r="B1163" t="s">
        <v>365</v>
      </c>
      <c r="C1163" t="s">
        <v>33</v>
      </c>
      <c r="D1163" t="s">
        <v>28</v>
      </c>
      <c r="E1163" t="s">
        <v>1466</v>
      </c>
      <c r="F1163" t="s">
        <v>33</v>
      </c>
      <c r="G1163">
        <v>2</v>
      </c>
      <c r="H1163">
        <v>3</v>
      </c>
      <c r="I1163" s="13">
        <v>0.6</v>
      </c>
      <c r="J1163" t="s">
        <v>249</v>
      </c>
      <c r="L1163" t="s">
        <v>60</v>
      </c>
      <c r="M1163" t="s">
        <v>60</v>
      </c>
      <c r="N1163" t="s">
        <v>33</v>
      </c>
      <c r="O1163">
        <v>2</v>
      </c>
      <c r="P1163">
        <v>3</v>
      </c>
      <c r="Q1163" s="13">
        <v>0.47094759092486538</v>
      </c>
      <c r="R1163" t="s">
        <v>249</v>
      </c>
      <c r="S1163">
        <v>-9.3757663045134401E-2</v>
      </c>
      <c r="T1163" t="s">
        <v>60</v>
      </c>
      <c r="U1163" t="s">
        <v>60</v>
      </c>
      <c r="X1163" t="s">
        <v>60</v>
      </c>
      <c r="Y1163" t="s">
        <v>412</v>
      </c>
      <c r="Z1163" t="s">
        <v>60</v>
      </c>
      <c r="AA1163" t="s">
        <v>491</v>
      </c>
    </row>
    <row r="1164" spans="1:27" x14ac:dyDescent="0.2">
      <c r="A1164" s="1">
        <v>46109</v>
      </c>
      <c r="B1164" t="s">
        <v>365</v>
      </c>
      <c r="C1164" t="s">
        <v>24</v>
      </c>
      <c r="D1164" t="s">
        <v>25</v>
      </c>
      <c r="E1164" t="s">
        <v>516</v>
      </c>
      <c r="F1164" t="s">
        <v>25</v>
      </c>
      <c r="G1164">
        <v>2</v>
      </c>
      <c r="H1164">
        <v>3</v>
      </c>
      <c r="I1164" s="13">
        <v>0.6</v>
      </c>
      <c r="J1164" t="s">
        <v>249</v>
      </c>
      <c r="L1164" t="s">
        <v>60</v>
      </c>
      <c r="M1164" t="s">
        <v>60</v>
      </c>
      <c r="N1164" t="s">
        <v>25</v>
      </c>
      <c r="O1164">
        <v>2</v>
      </c>
      <c r="P1164">
        <v>3</v>
      </c>
      <c r="Q1164" s="13">
        <v>0.62678039578593081</v>
      </c>
      <c r="R1164" t="s">
        <v>249</v>
      </c>
      <c r="S1164">
        <v>0.47404563548711087</v>
      </c>
      <c r="T1164" t="s">
        <v>60</v>
      </c>
      <c r="U1164" t="s">
        <v>60</v>
      </c>
      <c r="X1164" t="s">
        <v>60</v>
      </c>
      <c r="Y1164" t="s">
        <v>412</v>
      </c>
      <c r="Z1164" t="s">
        <v>60</v>
      </c>
      <c r="AA1164" t="s">
        <v>491</v>
      </c>
    </row>
    <row r="1165" spans="1:27" x14ac:dyDescent="0.2">
      <c r="A1165" s="1">
        <v>46109</v>
      </c>
      <c r="B1165" t="s">
        <v>1361</v>
      </c>
      <c r="C1165" t="s">
        <v>32</v>
      </c>
      <c r="D1165" t="s">
        <v>23</v>
      </c>
      <c r="E1165" t="s">
        <v>1467</v>
      </c>
      <c r="F1165" t="s">
        <v>23</v>
      </c>
      <c r="G1165">
        <v>2</v>
      </c>
      <c r="H1165">
        <v>3</v>
      </c>
      <c r="I1165" s="13">
        <v>0.6</v>
      </c>
      <c r="J1165" t="s">
        <v>249</v>
      </c>
      <c r="L1165" t="s">
        <v>60</v>
      </c>
      <c r="M1165" t="s">
        <v>60</v>
      </c>
      <c r="N1165" t="s">
        <v>23</v>
      </c>
      <c r="O1165">
        <v>2</v>
      </c>
      <c r="P1165">
        <v>3</v>
      </c>
      <c r="Q1165" s="13">
        <v>0.57618035438947501</v>
      </c>
      <c r="R1165" t="s">
        <v>249</v>
      </c>
      <c r="S1165">
        <v>0.22316754846066281</v>
      </c>
      <c r="T1165" t="s">
        <v>60</v>
      </c>
      <c r="U1165" t="s">
        <v>60</v>
      </c>
      <c r="X1165" t="s">
        <v>60</v>
      </c>
      <c r="Y1165" t="s">
        <v>412</v>
      </c>
      <c r="Z1165" t="s">
        <v>60</v>
      </c>
      <c r="AA1165" t="s">
        <v>491</v>
      </c>
    </row>
    <row r="1166" spans="1:27" x14ac:dyDescent="0.2">
      <c r="A1166" s="1">
        <v>46109</v>
      </c>
      <c r="B1166" t="s">
        <v>365</v>
      </c>
      <c r="C1166" t="s">
        <v>34</v>
      </c>
      <c r="D1166" t="s">
        <v>21</v>
      </c>
      <c r="E1166" t="s">
        <v>1468</v>
      </c>
      <c r="F1166" t="s">
        <v>34</v>
      </c>
      <c r="G1166">
        <v>2</v>
      </c>
      <c r="H1166">
        <v>3</v>
      </c>
      <c r="I1166" s="13">
        <v>0.6</v>
      </c>
      <c r="J1166" t="s">
        <v>249</v>
      </c>
      <c r="L1166" t="s">
        <v>60</v>
      </c>
      <c r="M1166" t="s">
        <v>60</v>
      </c>
      <c r="N1166" t="s">
        <v>34</v>
      </c>
      <c r="O1166">
        <v>2</v>
      </c>
      <c r="P1166">
        <v>3</v>
      </c>
      <c r="Q1166" s="13">
        <v>0.47241447510727008</v>
      </c>
      <c r="R1166" t="s">
        <v>249</v>
      </c>
      <c r="S1166">
        <v>-0.1147442240750903</v>
      </c>
      <c r="T1166" t="s">
        <v>60</v>
      </c>
      <c r="U1166" t="s">
        <v>60</v>
      </c>
      <c r="X1166" t="s">
        <v>60</v>
      </c>
      <c r="Y1166" t="s">
        <v>412</v>
      </c>
      <c r="Z1166" t="s">
        <v>60</v>
      </c>
      <c r="AA1166" t="s">
        <v>491</v>
      </c>
    </row>
    <row r="1167" spans="1:27" x14ac:dyDescent="0.2">
      <c r="A1167" s="1">
        <v>46109</v>
      </c>
      <c r="B1167" t="s">
        <v>324</v>
      </c>
      <c r="C1167" t="s">
        <v>27</v>
      </c>
      <c r="D1167" t="s">
        <v>26</v>
      </c>
      <c r="E1167" t="s">
        <v>1469</v>
      </c>
      <c r="F1167" t="s">
        <v>27</v>
      </c>
      <c r="G1167">
        <v>2</v>
      </c>
      <c r="H1167">
        <v>3</v>
      </c>
      <c r="I1167" s="13">
        <v>0.6</v>
      </c>
      <c r="J1167" t="s">
        <v>249</v>
      </c>
      <c r="L1167" t="s">
        <v>60</v>
      </c>
      <c r="M1167" t="s">
        <v>60</v>
      </c>
      <c r="N1167" t="s">
        <v>27</v>
      </c>
      <c r="O1167">
        <v>2</v>
      </c>
      <c r="P1167">
        <v>3</v>
      </c>
      <c r="Q1167" s="13">
        <v>0.55449614389216906</v>
      </c>
      <c r="R1167" t="s">
        <v>249</v>
      </c>
      <c r="S1167">
        <v>-0.44519923260283101</v>
      </c>
      <c r="T1167" t="s">
        <v>60</v>
      </c>
      <c r="U1167" t="s">
        <v>60</v>
      </c>
      <c r="X1167" t="s">
        <v>60</v>
      </c>
      <c r="Y1167" t="s">
        <v>412</v>
      </c>
      <c r="Z1167" t="s">
        <v>60</v>
      </c>
      <c r="AA1167" t="s">
        <v>491</v>
      </c>
    </row>
    <row r="1168" spans="1:27" x14ac:dyDescent="0.2">
      <c r="A1168" s="1">
        <v>46110</v>
      </c>
      <c r="B1168" t="s">
        <v>365</v>
      </c>
      <c r="C1168" t="s">
        <v>29</v>
      </c>
      <c r="D1168" t="s">
        <v>37</v>
      </c>
      <c r="E1168" t="s">
        <v>1470</v>
      </c>
      <c r="F1168" t="s">
        <v>37</v>
      </c>
      <c r="G1168">
        <v>2</v>
      </c>
      <c r="H1168">
        <v>3</v>
      </c>
      <c r="I1168" s="13">
        <v>0.6</v>
      </c>
      <c r="J1168" t="s">
        <v>249</v>
      </c>
      <c r="L1168" t="s">
        <v>60</v>
      </c>
      <c r="M1168" t="s">
        <v>60</v>
      </c>
      <c r="N1168" t="s">
        <v>37</v>
      </c>
      <c r="O1168">
        <v>2</v>
      </c>
      <c r="P1168">
        <v>3</v>
      </c>
      <c r="Q1168" s="13">
        <v>0.79939123458061956</v>
      </c>
      <c r="R1168" t="s">
        <v>249</v>
      </c>
      <c r="S1168">
        <v>1.9453229794798279</v>
      </c>
      <c r="T1168" t="s">
        <v>60</v>
      </c>
      <c r="U1168" t="s">
        <v>60</v>
      </c>
      <c r="X1168" t="s">
        <v>60</v>
      </c>
      <c r="Y1168" t="s">
        <v>412</v>
      </c>
      <c r="Z1168" t="s">
        <v>60</v>
      </c>
      <c r="AA1168" t="s">
        <v>491</v>
      </c>
    </row>
    <row r="1169" spans="1:27" x14ac:dyDescent="0.2">
      <c r="A1169" s="1">
        <v>46110</v>
      </c>
      <c r="B1169" t="s">
        <v>328</v>
      </c>
      <c r="C1169" t="s">
        <v>39</v>
      </c>
      <c r="D1169" t="s">
        <v>27</v>
      </c>
      <c r="E1169" t="s">
        <v>1471</v>
      </c>
      <c r="F1169" t="s">
        <v>39</v>
      </c>
      <c r="G1169">
        <v>2</v>
      </c>
      <c r="H1169">
        <v>3</v>
      </c>
      <c r="I1169" s="13">
        <v>0.6</v>
      </c>
      <c r="J1169" t="s">
        <v>249</v>
      </c>
      <c r="L1169" t="s">
        <v>60</v>
      </c>
      <c r="M1169" t="s">
        <v>60</v>
      </c>
      <c r="N1169" t="s">
        <v>39</v>
      </c>
      <c r="O1169">
        <v>2</v>
      </c>
      <c r="P1169">
        <v>3</v>
      </c>
      <c r="Q1169" s="13">
        <v>0.63467353541474658</v>
      </c>
      <c r="R1169" t="s">
        <v>249</v>
      </c>
      <c r="S1169">
        <v>-0.74378133643827327</v>
      </c>
      <c r="T1169" t="s">
        <v>60</v>
      </c>
      <c r="U1169" t="s">
        <v>60</v>
      </c>
      <c r="X1169" t="s">
        <v>60</v>
      </c>
      <c r="Y1169" t="s">
        <v>412</v>
      </c>
      <c r="Z1169" t="s">
        <v>60</v>
      </c>
      <c r="AA1169" t="s">
        <v>491</v>
      </c>
    </row>
    <row r="1170" spans="1:27" x14ac:dyDescent="0.2">
      <c r="A1170" s="1">
        <v>46110</v>
      </c>
      <c r="B1170" t="s">
        <v>347</v>
      </c>
      <c r="C1170" t="s">
        <v>11</v>
      </c>
      <c r="D1170" t="s">
        <v>15</v>
      </c>
      <c r="E1170" t="s">
        <v>1472</v>
      </c>
      <c r="F1170" t="s">
        <v>15</v>
      </c>
      <c r="G1170">
        <v>2</v>
      </c>
      <c r="H1170">
        <v>3</v>
      </c>
      <c r="I1170" s="13">
        <v>0.6</v>
      </c>
      <c r="J1170" t="s">
        <v>249</v>
      </c>
      <c r="L1170" t="s">
        <v>60</v>
      </c>
      <c r="M1170" t="s">
        <v>60</v>
      </c>
      <c r="N1170" t="s">
        <v>15</v>
      </c>
      <c r="O1170">
        <v>2</v>
      </c>
      <c r="P1170">
        <v>3</v>
      </c>
      <c r="Q1170" s="13">
        <v>0.55833032216407086</v>
      </c>
      <c r="R1170" t="s">
        <v>249</v>
      </c>
      <c r="S1170">
        <v>0.15698505550332639</v>
      </c>
      <c r="T1170" t="s">
        <v>60</v>
      </c>
      <c r="U1170" t="s">
        <v>60</v>
      </c>
      <c r="X1170" t="s">
        <v>60</v>
      </c>
      <c r="Y1170" t="s">
        <v>412</v>
      </c>
      <c r="Z1170" t="s">
        <v>60</v>
      </c>
      <c r="AA1170" t="s">
        <v>491</v>
      </c>
    </row>
    <row r="1171" spans="1:27" x14ac:dyDescent="0.2">
      <c r="A1171" s="1">
        <v>46110</v>
      </c>
      <c r="B1171" t="s">
        <v>365</v>
      </c>
      <c r="C1171" t="s">
        <v>21</v>
      </c>
      <c r="D1171" t="s">
        <v>28</v>
      </c>
      <c r="E1171" t="s">
        <v>1473</v>
      </c>
      <c r="F1171" t="s">
        <v>21</v>
      </c>
      <c r="G1171">
        <v>2</v>
      </c>
      <c r="H1171">
        <v>3</v>
      </c>
      <c r="I1171" s="13">
        <v>0.6</v>
      </c>
      <c r="J1171" t="s">
        <v>249</v>
      </c>
      <c r="L1171" t="s">
        <v>60</v>
      </c>
      <c r="M1171" t="s">
        <v>60</v>
      </c>
      <c r="N1171" t="s">
        <v>21</v>
      </c>
      <c r="O1171">
        <v>2</v>
      </c>
      <c r="P1171">
        <v>3</v>
      </c>
      <c r="Q1171" s="13">
        <v>0.4988152754406433</v>
      </c>
      <c r="R1171" t="s">
        <v>249</v>
      </c>
      <c r="S1171">
        <v>-0.32531889497964622</v>
      </c>
      <c r="T1171" t="s">
        <v>60</v>
      </c>
      <c r="U1171" t="s">
        <v>60</v>
      </c>
      <c r="X1171" t="s">
        <v>60</v>
      </c>
      <c r="Y1171" t="s">
        <v>412</v>
      </c>
      <c r="Z1171" t="s">
        <v>60</v>
      </c>
      <c r="AA1171" t="s">
        <v>491</v>
      </c>
    </row>
    <row r="1172" spans="1:27" x14ac:dyDescent="0.2">
      <c r="A1172" s="1">
        <v>46110</v>
      </c>
      <c r="B1172" t="s">
        <v>365</v>
      </c>
      <c r="C1172" t="s">
        <v>18</v>
      </c>
      <c r="D1172" t="s">
        <v>25</v>
      </c>
      <c r="E1172" t="s">
        <v>1107</v>
      </c>
      <c r="F1172" t="s">
        <v>25</v>
      </c>
      <c r="G1172">
        <v>2</v>
      </c>
      <c r="H1172">
        <v>3</v>
      </c>
      <c r="I1172" s="13">
        <v>0.6</v>
      </c>
      <c r="J1172" t="s">
        <v>249</v>
      </c>
      <c r="L1172" t="s">
        <v>60</v>
      </c>
      <c r="M1172" t="s">
        <v>60</v>
      </c>
      <c r="N1172" t="s">
        <v>25</v>
      </c>
      <c r="O1172">
        <v>2</v>
      </c>
      <c r="P1172">
        <v>3</v>
      </c>
      <c r="Q1172" s="13">
        <v>0.65809245157970586</v>
      </c>
      <c r="R1172" t="s">
        <v>249</v>
      </c>
      <c r="S1172">
        <v>1.0684655145255399</v>
      </c>
      <c r="T1172" t="s">
        <v>60</v>
      </c>
      <c r="U1172" t="s">
        <v>60</v>
      </c>
      <c r="X1172" t="s">
        <v>60</v>
      </c>
      <c r="Y1172" t="s">
        <v>412</v>
      </c>
      <c r="Z1172" t="s">
        <v>60</v>
      </c>
      <c r="AA1172" t="s">
        <v>491</v>
      </c>
    </row>
    <row r="1173" spans="1:27" x14ac:dyDescent="0.2">
      <c r="A1173" s="1">
        <v>46110</v>
      </c>
      <c r="B1173" t="s">
        <v>328</v>
      </c>
      <c r="C1173" t="s">
        <v>10</v>
      </c>
      <c r="D1173" t="s">
        <v>24</v>
      </c>
      <c r="E1173" t="s">
        <v>1474</v>
      </c>
      <c r="F1173" t="s">
        <v>24</v>
      </c>
      <c r="G1173">
        <v>2</v>
      </c>
      <c r="H1173">
        <v>3</v>
      </c>
      <c r="I1173" s="13">
        <v>0.6</v>
      </c>
      <c r="J1173" t="s">
        <v>249</v>
      </c>
      <c r="L1173" t="s">
        <v>60</v>
      </c>
      <c r="M1173" t="s">
        <v>60</v>
      </c>
      <c r="N1173" t="s">
        <v>24</v>
      </c>
      <c r="O1173">
        <v>2</v>
      </c>
      <c r="P1173">
        <v>3</v>
      </c>
      <c r="Q1173" s="13">
        <v>0.64641355228862563</v>
      </c>
      <c r="R1173" t="s">
        <v>249</v>
      </c>
      <c r="S1173">
        <v>0.22762725487208041</v>
      </c>
      <c r="T1173" t="s">
        <v>60</v>
      </c>
      <c r="U1173" t="s">
        <v>60</v>
      </c>
      <c r="X1173" t="s">
        <v>60</v>
      </c>
      <c r="Y1173" t="s">
        <v>412</v>
      </c>
      <c r="Z1173" t="s">
        <v>60</v>
      </c>
      <c r="AA1173" t="s">
        <v>491</v>
      </c>
    </row>
    <row r="1174" spans="1:27" x14ac:dyDescent="0.2">
      <c r="A1174" s="1">
        <v>46111</v>
      </c>
      <c r="B1174" t="s">
        <v>322</v>
      </c>
      <c r="C1174" t="s">
        <v>19</v>
      </c>
      <c r="D1174" t="s">
        <v>31</v>
      </c>
      <c r="E1174" t="s">
        <v>1475</v>
      </c>
      <c r="F1174" t="s">
        <v>31</v>
      </c>
      <c r="G1174">
        <v>2</v>
      </c>
      <c r="H1174">
        <v>3</v>
      </c>
      <c r="I1174" s="13">
        <v>0.6</v>
      </c>
      <c r="J1174" t="s">
        <v>249</v>
      </c>
      <c r="L1174" t="s">
        <v>60</v>
      </c>
      <c r="M1174" t="s">
        <v>60</v>
      </c>
      <c r="N1174" t="s">
        <v>31</v>
      </c>
      <c r="O1174">
        <v>2</v>
      </c>
      <c r="P1174">
        <v>3</v>
      </c>
      <c r="Q1174" s="13">
        <v>0.72061231470333431</v>
      </c>
      <c r="R1174" t="s">
        <v>249</v>
      </c>
      <c r="S1174">
        <v>0.86308236208140932</v>
      </c>
      <c r="T1174" t="s">
        <v>60</v>
      </c>
      <c r="U1174" t="s">
        <v>60</v>
      </c>
      <c r="X1174" t="s">
        <v>60</v>
      </c>
      <c r="Y1174" t="s">
        <v>412</v>
      </c>
      <c r="Z1174" t="s">
        <v>60</v>
      </c>
      <c r="AA1174" t="s">
        <v>491</v>
      </c>
    </row>
    <row r="1175" spans="1:27" x14ac:dyDescent="0.2">
      <c r="A1175" s="1">
        <v>46111</v>
      </c>
      <c r="B1175" t="s">
        <v>416</v>
      </c>
      <c r="C1175" t="s">
        <v>16</v>
      </c>
      <c r="D1175" t="s">
        <v>12</v>
      </c>
      <c r="E1175" t="s">
        <v>1476</v>
      </c>
      <c r="F1175" t="s">
        <v>12</v>
      </c>
      <c r="G1175">
        <v>2</v>
      </c>
      <c r="H1175">
        <v>3</v>
      </c>
      <c r="I1175" s="13">
        <v>0.6</v>
      </c>
      <c r="J1175" t="s">
        <v>249</v>
      </c>
      <c r="L1175" t="s">
        <v>60</v>
      </c>
      <c r="M1175" t="s">
        <v>60</v>
      </c>
      <c r="N1175" t="s">
        <v>12</v>
      </c>
      <c r="O1175">
        <v>2</v>
      </c>
      <c r="P1175">
        <v>3</v>
      </c>
      <c r="Q1175" s="13">
        <v>0.96515107726433957</v>
      </c>
      <c r="R1175" t="s">
        <v>249</v>
      </c>
      <c r="S1175">
        <v>2.7475856863947601</v>
      </c>
      <c r="T1175" t="s">
        <v>60</v>
      </c>
      <c r="U1175" t="s">
        <v>60</v>
      </c>
      <c r="X1175" t="s">
        <v>60</v>
      </c>
      <c r="Y1175" t="s">
        <v>412</v>
      </c>
      <c r="Z1175" t="s">
        <v>60</v>
      </c>
      <c r="AA1175" t="s">
        <v>491</v>
      </c>
    </row>
    <row r="1176" spans="1:27" x14ac:dyDescent="0.2">
      <c r="A1176" s="1">
        <v>46111</v>
      </c>
      <c r="B1176" t="s">
        <v>328</v>
      </c>
      <c r="C1176" t="s">
        <v>14</v>
      </c>
      <c r="D1176" t="s">
        <v>30</v>
      </c>
      <c r="E1176" t="s">
        <v>1300</v>
      </c>
      <c r="F1176" t="s">
        <v>14</v>
      </c>
      <c r="G1176">
        <v>2</v>
      </c>
      <c r="H1176">
        <v>3</v>
      </c>
      <c r="I1176" s="13">
        <v>0.6</v>
      </c>
      <c r="J1176" t="s">
        <v>249</v>
      </c>
      <c r="L1176" t="s">
        <v>60</v>
      </c>
      <c r="M1176" t="s">
        <v>60</v>
      </c>
      <c r="N1176" t="s">
        <v>14</v>
      </c>
      <c r="O1176">
        <v>2</v>
      </c>
      <c r="P1176">
        <v>3</v>
      </c>
      <c r="Q1176" s="13">
        <v>0.50498100338490515</v>
      </c>
      <c r="R1176" t="s">
        <v>249</v>
      </c>
      <c r="S1176">
        <v>-4.87670269526801E-2</v>
      </c>
      <c r="T1176" t="s">
        <v>60</v>
      </c>
      <c r="U1176" t="s">
        <v>60</v>
      </c>
      <c r="X1176" t="s">
        <v>60</v>
      </c>
      <c r="Y1176" t="s">
        <v>412</v>
      </c>
      <c r="Z1176" t="s">
        <v>60</v>
      </c>
      <c r="AA1176" t="s">
        <v>491</v>
      </c>
    </row>
    <row r="1177" spans="1:27" x14ac:dyDescent="0.2">
      <c r="A1177" s="1">
        <v>46111</v>
      </c>
      <c r="B1177" t="s">
        <v>322</v>
      </c>
      <c r="C1177" t="s">
        <v>35</v>
      </c>
      <c r="D1177" t="s">
        <v>33</v>
      </c>
      <c r="E1177" t="s">
        <v>1358</v>
      </c>
      <c r="F1177" t="s">
        <v>33</v>
      </c>
      <c r="G1177">
        <v>2</v>
      </c>
      <c r="H1177">
        <v>3</v>
      </c>
      <c r="I1177" s="13">
        <v>0.6</v>
      </c>
      <c r="J1177" t="s">
        <v>249</v>
      </c>
      <c r="L1177" t="s">
        <v>60</v>
      </c>
      <c r="M1177" t="s">
        <v>60</v>
      </c>
      <c r="N1177" t="s">
        <v>33</v>
      </c>
      <c r="O1177">
        <v>2</v>
      </c>
      <c r="P1177">
        <v>3</v>
      </c>
      <c r="Q1177" s="13">
        <v>0.66607527473414152</v>
      </c>
      <c r="R1177" t="s">
        <v>249</v>
      </c>
      <c r="S1177">
        <v>0.99304812848864155</v>
      </c>
      <c r="T1177" t="s">
        <v>60</v>
      </c>
      <c r="U1177" t="s">
        <v>60</v>
      </c>
      <c r="X1177" t="s">
        <v>60</v>
      </c>
      <c r="Y1177" t="s">
        <v>412</v>
      </c>
      <c r="Z1177" t="s">
        <v>60</v>
      </c>
      <c r="AA1177" t="s">
        <v>491</v>
      </c>
    </row>
    <row r="1178" spans="1:27" x14ac:dyDescent="0.2">
      <c r="A1178" s="1">
        <v>46111</v>
      </c>
      <c r="B1178" t="s">
        <v>322</v>
      </c>
      <c r="C1178" t="s">
        <v>38</v>
      </c>
      <c r="D1178" t="s">
        <v>20</v>
      </c>
      <c r="E1178" t="s">
        <v>1307</v>
      </c>
      <c r="F1178" t="s">
        <v>20</v>
      </c>
      <c r="G1178">
        <v>2</v>
      </c>
      <c r="H1178">
        <v>3</v>
      </c>
      <c r="I1178" s="13">
        <v>0.6</v>
      </c>
      <c r="J1178" t="s">
        <v>249</v>
      </c>
      <c r="L1178" t="s">
        <v>60</v>
      </c>
      <c r="M1178" t="s">
        <v>60</v>
      </c>
      <c r="N1178" t="s">
        <v>20</v>
      </c>
      <c r="O1178">
        <v>2</v>
      </c>
      <c r="P1178">
        <v>3</v>
      </c>
      <c r="Q1178" s="13">
        <v>0.62436377998437298</v>
      </c>
      <c r="R1178" t="s">
        <v>249</v>
      </c>
      <c r="S1178">
        <v>0.75313767371333018</v>
      </c>
      <c r="T1178" t="s">
        <v>60</v>
      </c>
      <c r="U1178" t="s">
        <v>60</v>
      </c>
      <c r="X1178" t="s">
        <v>60</v>
      </c>
      <c r="Y1178" t="s">
        <v>412</v>
      </c>
      <c r="Z1178" t="s">
        <v>60</v>
      </c>
      <c r="AA1178" t="s">
        <v>491</v>
      </c>
    </row>
    <row r="1179" spans="1:27" x14ac:dyDescent="0.2">
      <c r="A1179" s="1">
        <v>46112</v>
      </c>
      <c r="B1179" t="s">
        <v>328</v>
      </c>
      <c r="C1179" t="s">
        <v>26</v>
      </c>
      <c r="D1179" t="s">
        <v>14</v>
      </c>
      <c r="E1179" t="s">
        <v>1102</v>
      </c>
      <c r="F1179" t="s">
        <v>14</v>
      </c>
      <c r="G1179">
        <v>2</v>
      </c>
      <c r="H1179">
        <v>3</v>
      </c>
      <c r="I1179" s="13">
        <v>0.6</v>
      </c>
      <c r="J1179" t="s">
        <v>249</v>
      </c>
      <c r="L1179" t="s">
        <v>60</v>
      </c>
      <c r="M1179" t="s">
        <v>60</v>
      </c>
      <c r="N1179" t="s">
        <v>14</v>
      </c>
      <c r="O1179">
        <v>2</v>
      </c>
      <c r="P1179">
        <v>3</v>
      </c>
      <c r="Q1179" s="13">
        <v>0.63142401468889853</v>
      </c>
      <c r="R1179" t="s">
        <v>249</v>
      </c>
      <c r="S1179">
        <v>0.78297609238998189</v>
      </c>
      <c r="T1179" t="s">
        <v>60</v>
      </c>
      <c r="U1179" t="s">
        <v>60</v>
      </c>
      <c r="X1179" t="s">
        <v>60</v>
      </c>
      <c r="Y1179" t="s">
        <v>412</v>
      </c>
      <c r="Z1179" t="s">
        <v>60</v>
      </c>
      <c r="AA1179" t="s">
        <v>491</v>
      </c>
    </row>
    <row r="1180" spans="1:27" x14ac:dyDescent="0.2">
      <c r="A1180" s="1">
        <v>46112</v>
      </c>
      <c r="B1180" t="s">
        <v>328</v>
      </c>
      <c r="C1180" t="s">
        <v>27</v>
      </c>
      <c r="D1180" t="s">
        <v>22</v>
      </c>
      <c r="E1180" t="s">
        <v>1312</v>
      </c>
      <c r="F1180" t="s">
        <v>22</v>
      </c>
      <c r="G1180">
        <v>2</v>
      </c>
      <c r="H1180">
        <v>3</v>
      </c>
      <c r="I1180" s="13">
        <v>0.6</v>
      </c>
      <c r="J1180" t="s">
        <v>249</v>
      </c>
      <c r="L1180" t="s">
        <v>60</v>
      </c>
      <c r="M1180" t="s">
        <v>60</v>
      </c>
      <c r="N1180" t="s">
        <v>22</v>
      </c>
      <c r="O1180">
        <v>2</v>
      </c>
      <c r="P1180">
        <v>3</v>
      </c>
      <c r="Q1180" s="13">
        <v>0.62549382984908919</v>
      </c>
      <c r="R1180" t="s">
        <v>249</v>
      </c>
      <c r="S1180">
        <v>0.87084756528323548</v>
      </c>
      <c r="T1180" t="s">
        <v>60</v>
      </c>
      <c r="U1180" t="s">
        <v>60</v>
      </c>
      <c r="X1180" t="s">
        <v>60</v>
      </c>
      <c r="Y1180" t="s">
        <v>412</v>
      </c>
      <c r="Z1180" t="s">
        <v>60</v>
      </c>
      <c r="AA1180" t="s">
        <v>491</v>
      </c>
    </row>
    <row r="1181" spans="1:27" x14ac:dyDescent="0.2">
      <c r="A1181" s="1">
        <v>46112</v>
      </c>
      <c r="B1181" t="s">
        <v>328</v>
      </c>
      <c r="C1181" t="s">
        <v>18</v>
      </c>
      <c r="D1181" t="s">
        <v>37</v>
      </c>
      <c r="E1181" t="s">
        <v>1076</v>
      </c>
      <c r="F1181" t="s">
        <v>37</v>
      </c>
      <c r="G1181">
        <v>2</v>
      </c>
      <c r="H1181">
        <v>3</v>
      </c>
      <c r="I1181" s="13">
        <v>0.6</v>
      </c>
      <c r="J1181" t="s">
        <v>249</v>
      </c>
      <c r="L1181" t="s">
        <v>60</v>
      </c>
      <c r="M1181" t="s">
        <v>60</v>
      </c>
      <c r="N1181" t="s">
        <v>37</v>
      </c>
      <c r="O1181">
        <v>2</v>
      </c>
      <c r="P1181">
        <v>3</v>
      </c>
      <c r="Q1181" s="13">
        <v>0.64803323445177996</v>
      </c>
      <c r="R1181" t="s">
        <v>249</v>
      </c>
      <c r="S1181">
        <v>1.1532953239435919</v>
      </c>
      <c r="T1181" t="s">
        <v>60</v>
      </c>
      <c r="U1181" t="s">
        <v>60</v>
      </c>
      <c r="X1181" t="s">
        <v>60</v>
      </c>
      <c r="Y1181" t="s">
        <v>412</v>
      </c>
      <c r="Z1181" t="s">
        <v>60</v>
      </c>
      <c r="AA1181" t="s">
        <v>491</v>
      </c>
    </row>
    <row r="1182" spans="1:27" x14ac:dyDescent="0.2">
      <c r="A1182" s="1">
        <v>46112</v>
      </c>
      <c r="B1182" t="s">
        <v>328</v>
      </c>
      <c r="C1182" t="s">
        <v>36</v>
      </c>
      <c r="D1182" t="s">
        <v>11</v>
      </c>
      <c r="E1182" t="s">
        <v>531</v>
      </c>
      <c r="F1182" t="s">
        <v>11</v>
      </c>
      <c r="G1182">
        <v>2</v>
      </c>
      <c r="H1182">
        <v>3</v>
      </c>
      <c r="I1182" s="13">
        <v>0.6</v>
      </c>
      <c r="J1182" t="s">
        <v>249</v>
      </c>
      <c r="L1182" t="s">
        <v>60</v>
      </c>
      <c r="M1182" t="s">
        <v>60</v>
      </c>
      <c r="N1182" t="s">
        <v>11</v>
      </c>
      <c r="O1182">
        <v>2</v>
      </c>
      <c r="P1182">
        <v>3</v>
      </c>
      <c r="Q1182" s="13">
        <v>0.57551984437773329</v>
      </c>
      <c r="R1182" t="s">
        <v>249</v>
      </c>
      <c r="S1182">
        <v>0.18415850872389461</v>
      </c>
      <c r="T1182" t="s">
        <v>60</v>
      </c>
      <c r="U1182" t="s">
        <v>60</v>
      </c>
      <c r="X1182" t="s">
        <v>60</v>
      </c>
      <c r="Y1182" t="s">
        <v>412</v>
      </c>
      <c r="Z1182" t="s">
        <v>60</v>
      </c>
      <c r="AA1182" t="s">
        <v>491</v>
      </c>
    </row>
    <row r="1183" spans="1:27" x14ac:dyDescent="0.2">
      <c r="A1183" s="1">
        <v>46112</v>
      </c>
      <c r="B1183" t="s">
        <v>328</v>
      </c>
      <c r="C1183" t="s">
        <v>24</v>
      </c>
      <c r="D1183" t="s">
        <v>15</v>
      </c>
      <c r="E1183" t="s">
        <v>1418</v>
      </c>
      <c r="F1183" t="s">
        <v>24</v>
      </c>
      <c r="G1183">
        <v>2</v>
      </c>
      <c r="H1183">
        <v>3</v>
      </c>
      <c r="I1183" s="13">
        <v>0.6</v>
      </c>
      <c r="J1183" t="s">
        <v>249</v>
      </c>
      <c r="L1183" t="s">
        <v>60</v>
      </c>
      <c r="M1183" t="s">
        <v>60</v>
      </c>
      <c r="N1183" t="s">
        <v>24</v>
      </c>
      <c r="O1183">
        <v>2</v>
      </c>
      <c r="P1183">
        <v>3</v>
      </c>
      <c r="Q1183" s="13">
        <v>0.50898700949621889</v>
      </c>
      <c r="R1183" t="s">
        <v>249</v>
      </c>
      <c r="S1183">
        <v>-0.2416634863253844</v>
      </c>
      <c r="T1183" t="s">
        <v>60</v>
      </c>
      <c r="U1183" t="s">
        <v>60</v>
      </c>
      <c r="X1183" t="s">
        <v>60</v>
      </c>
      <c r="Y1183" t="s">
        <v>412</v>
      </c>
      <c r="Z1183" t="s">
        <v>60</v>
      </c>
      <c r="AA1183" t="s">
        <v>491</v>
      </c>
    </row>
    <row r="1184" spans="1:27" x14ac:dyDescent="0.2">
      <c r="A1184" s="1">
        <v>46112</v>
      </c>
      <c r="B1184" t="s">
        <v>416</v>
      </c>
      <c r="C1184" t="s">
        <v>40</v>
      </c>
      <c r="D1184" t="s">
        <v>10</v>
      </c>
      <c r="E1184" t="s">
        <v>1216</v>
      </c>
      <c r="F1184" t="s">
        <v>10</v>
      </c>
      <c r="G1184">
        <v>2</v>
      </c>
      <c r="H1184">
        <v>3</v>
      </c>
      <c r="I1184" s="13">
        <v>0.6</v>
      </c>
      <c r="J1184" t="s">
        <v>249</v>
      </c>
      <c r="L1184" t="s">
        <v>60</v>
      </c>
      <c r="M1184" t="s">
        <v>60</v>
      </c>
      <c r="N1184" t="s">
        <v>10</v>
      </c>
      <c r="O1184">
        <v>2</v>
      </c>
      <c r="P1184">
        <v>3</v>
      </c>
      <c r="Q1184" s="13">
        <v>0.54105951093214566</v>
      </c>
      <c r="R1184" t="s">
        <v>249</v>
      </c>
      <c r="S1184">
        <v>0.1869463175216404</v>
      </c>
      <c r="T1184" t="s">
        <v>60</v>
      </c>
      <c r="U1184" t="s">
        <v>60</v>
      </c>
      <c r="X1184" t="s">
        <v>60</v>
      </c>
      <c r="Y1184" t="s">
        <v>412</v>
      </c>
      <c r="Z1184" t="s">
        <v>60</v>
      </c>
      <c r="AA1184" t="s">
        <v>491</v>
      </c>
    </row>
    <row r="1185" spans="1:27" x14ac:dyDescent="0.2">
      <c r="A1185" s="1">
        <v>46112</v>
      </c>
      <c r="B1185" t="s">
        <v>334</v>
      </c>
      <c r="C1185" t="s">
        <v>25</v>
      </c>
      <c r="D1185" t="s">
        <v>28</v>
      </c>
      <c r="E1185" t="s">
        <v>1416</v>
      </c>
      <c r="F1185" t="s">
        <v>25</v>
      </c>
      <c r="G1185">
        <v>2</v>
      </c>
      <c r="H1185">
        <v>3</v>
      </c>
      <c r="I1185" s="13">
        <v>0.6</v>
      </c>
      <c r="J1185" t="s">
        <v>249</v>
      </c>
      <c r="L1185" t="s">
        <v>60</v>
      </c>
      <c r="M1185" t="s">
        <v>60</v>
      </c>
      <c r="N1185" t="s">
        <v>25</v>
      </c>
      <c r="O1185">
        <v>2</v>
      </c>
      <c r="P1185">
        <v>3</v>
      </c>
      <c r="Q1185" s="13">
        <v>0.64597416936312857</v>
      </c>
      <c r="R1185" t="s">
        <v>249</v>
      </c>
      <c r="S1185">
        <v>-0.97076379275593039</v>
      </c>
      <c r="T1185" t="s">
        <v>60</v>
      </c>
      <c r="U1185" t="s">
        <v>60</v>
      </c>
      <c r="X1185" t="s">
        <v>60</v>
      </c>
      <c r="Y1185" t="s">
        <v>412</v>
      </c>
      <c r="Z1185" t="s">
        <v>60</v>
      </c>
      <c r="AA1185" t="s">
        <v>491</v>
      </c>
    </row>
    <row r="1186" spans="1:27" x14ac:dyDescent="0.2">
      <c r="A1186" s="1">
        <v>46112</v>
      </c>
      <c r="B1186" t="s">
        <v>328</v>
      </c>
      <c r="C1186" t="s">
        <v>30</v>
      </c>
      <c r="D1186" t="s">
        <v>23</v>
      </c>
      <c r="E1186" t="s">
        <v>1048</v>
      </c>
      <c r="F1186" t="s">
        <v>30</v>
      </c>
      <c r="G1186">
        <v>2</v>
      </c>
      <c r="H1186">
        <v>3</v>
      </c>
      <c r="I1186" s="13">
        <v>0.6</v>
      </c>
      <c r="J1186" t="s">
        <v>249</v>
      </c>
      <c r="L1186" t="s">
        <v>60</v>
      </c>
      <c r="M1186" t="s">
        <v>60</v>
      </c>
      <c r="N1186" t="s">
        <v>30</v>
      </c>
      <c r="O1186">
        <v>2</v>
      </c>
      <c r="P1186">
        <v>3</v>
      </c>
      <c r="Q1186" s="13">
        <v>0.54408288433002694</v>
      </c>
      <c r="R1186" t="s">
        <v>249</v>
      </c>
      <c r="S1186">
        <v>-0.1852776893760946</v>
      </c>
      <c r="T1186" t="s">
        <v>60</v>
      </c>
      <c r="U1186" t="s">
        <v>60</v>
      </c>
      <c r="X1186" t="s">
        <v>60</v>
      </c>
      <c r="Y1186" t="s">
        <v>412</v>
      </c>
      <c r="Z1186" t="s">
        <v>60</v>
      </c>
      <c r="AA1186" t="s">
        <v>491</v>
      </c>
    </row>
    <row r="1187" spans="1:27" x14ac:dyDescent="0.2">
      <c r="A1187" s="1">
        <v>46112</v>
      </c>
      <c r="B1187" t="s">
        <v>328</v>
      </c>
      <c r="C1187" t="s">
        <v>39</v>
      </c>
      <c r="D1187" t="s">
        <v>21</v>
      </c>
      <c r="E1187" t="s">
        <v>1477</v>
      </c>
      <c r="F1187" t="s">
        <v>39</v>
      </c>
      <c r="G1187">
        <v>2</v>
      </c>
      <c r="H1187">
        <v>3</v>
      </c>
      <c r="I1187" s="13">
        <v>0.6</v>
      </c>
      <c r="J1187" t="s">
        <v>249</v>
      </c>
      <c r="L1187" t="s">
        <v>60</v>
      </c>
      <c r="M1187" t="s">
        <v>60</v>
      </c>
      <c r="N1187" t="s">
        <v>39</v>
      </c>
      <c r="O1187">
        <v>2</v>
      </c>
      <c r="P1187">
        <v>3</v>
      </c>
      <c r="Q1187" s="13">
        <v>0.58662874676909771</v>
      </c>
      <c r="R1187" t="s">
        <v>249</v>
      </c>
      <c r="S1187">
        <v>-0.5833115133796889</v>
      </c>
      <c r="T1187" t="s">
        <v>60</v>
      </c>
      <c r="U1187" t="s">
        <v>60</v>
      </c>
      <c r="X1187" t="s">
        <v>60</v>
      </c>
      <c r="Y1187" t="s">
        <v>412</v>
      </c>
      <c r="Z1187" t="s">
        <v>60</v>
      </c>
      <c r="AA1187" t="s">
        <v>491</v>
      </c>
    </row>
    <row r="1188" spans="1:27" x14ac:dyDescent="0.2">
      <c r="A1188" s="1">
        <v>46112</v>
      </c>
      <c r="B1188" t="s">
        <v>326</v>
      </c>
      <c r="C1188" t="s">
        <v>32</v>
      </c>
      <c r="D1188" t="s">
        <v>17</v>
      </c>
      <c r="E1188" t="s">
        <v>930</v>
      </c>
      <c r="F1188" t="s">
        <v>32</v>
      </c>
      <c r="G1188">
        <v>2</v>
      </c>
      <c r="H1188">
        <v>3</v>
      </c>
      <c r="I1188" s="13">
        <v>0.6</v>
      </c>
      <c r="J1188" t="s">
        <v>249</v>
      </c>
      <c r="L1188" t="s">
        <v>60</v>
      </c>
      <c r="M1188" t="s">
        <v>60</v>
      </c>
      <c r="N1188" t="s">
        <v>32</v>
      </c>
      <c r="O1188">
        <v>2</v>
      </c>
      <c r="P1188">
        <v>3</v>
      </c>
      <c r="Q1188" s="13">
        <v>0.46678701500720537</v>
      </c>
      <c r="R1188" t="s">
        <v>249</v>
      </c>
      <c r="S1188">
        <v>-0.1184686800362693</v>
      </c>
      <c r="T1188" t="s">
        <v>60</v>
      </c>
      <c r="U1188" t="s">
        <v>60</v>
      </c>
      <c r="X1188" t="s">
        <v>60</v>
      </c>
      <c r="Y1188" t="s">
        <v>412</v>
      </c>
      <c r="Z1188" t="s">
        <v>60</v>
      </c>
      <c r="AA1188" t="s">
        <v>491</v>
      </c>
    </row>
    <row r="1189" spans="1:27" x14ac:dyDescent="0.2">
      <c r="A1189" s="1">
        <v>46113</v>
      </c>
      <c r="B1189" t="s">
        <v>416</v>
      </c>
      <c r="C1189" t="s">
        <v>38</v>
      </c>
      <c r="D1189" t="s">
        <v>12</v>
      </c>
      <c r="E1189" t="s">
        <v>478</v>
      </c>
      <c r="F1189" t="s">
        <v>12</v>
      </c>
      <c r="G1189">
        <v>2</v>
      </c>
      <c r="H1189">
        <v>3</v>
      </c>
      <c r="I1189" s="13">
        <v>0.6</v>
      </c>
      <c r="J1189" t="s">
        <v>249</v>
      </c>
      <c r="L1189" t="s">
        <v>60</v>
      </c>
      <c r="M1189" t="s">
        <v>60</v>
      </c>
      <c r="N1189" t="s">
        <v>12</v>
      </c>
      <c r="O1189">
        <v>2</v>
      </c>
      <c r="P1189">
        <v>3</v>
      </c>
      <c r="Q1189" s="13">
        <v>0.94805649187988317</v>
      </c>
      <c r="R1189" t="s">
        <v>249</v>
      </c>
      <c r="S1189">
        <v>2.6294821624609428</v>
      </c>
      <c r="T1189" t="s">
        <v>60</v>
      </c>
      <c r="U1189" t="s">
        <v>60</v>
      </c>
      <c r="X1189" t="s">
        <v>60</v>
      </c>
      <c r="Y1189" t="s">
        <v>412</v>
      </c>
      <c r="Z1189" t="s">
        <v>60</v>
      </c>
      <c r="AA1189" t="s">
        <v>491</v>
      </c>
    </row>
    <row r="1190" spans="1:27" x14ac:dyDescent="0.2">
      <c r="A1190" s="1">
        <v>46113</v>
      </c>
      <c r="B1190" t="s">
        <v>326</v>
      </c>
      <c r="C1190" t="s">
        <v>35</v>
      </c>
      <c r="D1190" t="s">
        <v>13</v>
      </c>
      <c r="E1190" t="s">
        <v>1478</v>
      </c>
      <c r="F1190" t="s">
        <v>13</v>
      </c>
      <c r="G1190">
        <v>2</v>
      </c>
      <c r="H1190">
        <v>3</v>
      </c>
      <c r="I1190" s="13">
        <v>0.6</v>
      </c>
      <c r="J1190" t="s">
        <v>249</v>
      </c>
      <c r="L1190" t="s">
        <v>60</v>
      </c>
      <c r="M1190" t="s">
        <v>60</v>
      </c>
      <c r="N1190" t="s">
        <v>13</v>
      </c>
      <c r="O1190">
        <v>2</v>
      </c>
      <c r="P1190">
        <v>3</v>
      </c>
      <c r="Q1190" s="13">
        <v>0.66915297702090215</v>
      </c>
      <c r="R1190" t="s">
        <v>249</v>
      </c>
      <c r="S1190">
        <v>1.106095522193671</v>
      </c>
      <c r="T1190" t="s">
        <v>60</v>
      </c>
      <c r="U1190" t="s">
        <v>60</v>
      </c>
      <c r="X1190" t="s">
        <v>60</v>
      </c>
      <c r="Y1190" t="s">
        <v>412</v>
      </c>
      <c r="Z1190" t="s">
        <v>60</v>
      </c>
      <c r="AA1190" t="s">
        <v>491</v>
      </c>
    </row>
    <row r="1191" spans="1:27" x14ac:dyDescent="0.2">
      <c r="A1191" s="1">
        <v>46113</v>
      </c>
      <c r="B1191" t="s">
        <v>322</v>
      </c>
      <c r="C1191" t="s">
        <v>31</v>
      </c>
      <c r="D1191" t="s">
        <v>33</v>
      </c>
      <c r="E1191" t="s">
        <v>538</v>
      </c>
      <c r="F1191" t="s">
        <v>31</v>
      </c>
      <c r="G1191">
        <v>2</v>
      </c>
      <c r="H1191">
        <v>3</v>
      </c>
      <c r="I1191" s="13">
        <v>0.6</v>
      </c>
      <c r="J1191" t="s">
        <v>249</v>
      </c>
      <c r="L1191" t="s">
        <v>60</v>
      </c>
      <c r="M1191" t="s">
        <v>60</v>
      </c>
      <c r="N1191" t="s">
        <v>31</v>
      </c>
      <c r="O1191">
        <v>2</v>
      </c>
      <c r="P1191">
        <v>3</v>
      </c>
      <c r="Q1191" s="13">
        <v>0.53832735617360639</v>
      </c>
      <c r="R1191" t="s">
        <v>249</v>
      </c>
      <c r="S1191">
        <v>-0.58013326529834719</v>
      </c>
      <c r="T1191" t="s">
        <v>60</v>
      </c>
      <c r="U1191" t="s">
        <v>60</v>
      </c>
      <c r="X1191" t="s">
        <v>60</v>
      </c>
      <c r="Y1191" t="s">
        <v>412</v>
      </c>
      <c r="Z1191" t="s">
        <v>60</v>
      </c>
      <c r="AA1191" t="s">
        <v>491</v>
      </c>
    </row>
    <row r="1192" spans="1:27" x14ac:dyDescent="0.2">
      <c r="A1192" s="1">
        <v>46114</v>
      </c>
      <c r="B1192" t="s">
        <v>322</v>
      </c>
      <c r="C1192" t="s">
        <v>16</v>
      </c>
      <c r="D1192" t="s">
        <v>20</v>
      </c>
      <c r="E1192" t="s">
        <v>609</v>
      </c>
      <c r="F1192" t="s">
        <v>20</v>
      </c>
      <c r="G1192">
        <v>2</v>
      </c>
      <c r="H1192">
        <v>3</v>
      </c>
      <c r="I1192" s="13">
        <v>0.6</v>
      </c>
      <c r="J1192" t="s">
        <v>249</v>
      </c>
      <c r="L1192" t="s">
        <v>60</v>
      </c>
      <c r="M1192" t="s">
        <v>60</v>
      </c>
      <c r="N1192" t="s">
        <v>20</v>
      </c>
      <c r="O1192">
        <v>2</v>
      </c>
      <c r="P1192">
        <v>3</v>
      </c>
      <c r="Q1192" s="13">
        <v>0.64173026842765124</v>
      </c>
      <c r="R1192" t="s">
        <v>249</v>
      </c>
      <c r="S1192">
        <v>0.8712411976471468</v>
      </c>
      <c r="T1192" t="s">
        <v>60</v>
      </c>
      <c r="U1192" t="s">
        <v>60</v>
      </c>
      <c r="X1192" t="s">
        <v>60</v>
      </c>
      <c r="Y1192" t="s">
        <v>412</v>
      </c>
      <c r="Z1192" t="s">
        <v>60</v>
      </c>
      <c r="AA1192" t="s">
        <v>491</v>
      </c>
    </row>
    <row r="1193" spans="1:27" x14ac:dyDescent="0.2">
      <c r="A1193" s="1">
        <v>46114</v>
      </c>
      <c r="B1193" t="s">
        <v>322</v>
      </c>
      <c r="C1193" t="s">
        <v>19</v>
      </c>
      <c r="D1193" t="s">
        <v>33</v>
      </c>
      <c r="E1193" t="s">
        <v>1479</v>
      </c>
      <c r="F1193" t="s">
        <v>33</v>
      </c>
      <c r="G1193">
        <v>2</v>
      </c>
      <c r="H1193">
        <v>3</v>
      </c>
      <c r="I1193" s="13">
        <v>0.6</v>
      </c>
      <c r="J1193" t="s">
        <v>249</v>
      </c>
      <c r="L1193" t="s">
        <v>60</v>
      </c>
      <c r="M1193" t="s">
        <v>60</v>
      </c>
      <c r="N1193" t="s">
        <v>33</v>
      </c>
      <c r="O1193">
        <v>2</v>
      </c>
      <c r="P1193">
        <v>3</v>
      </c>
      <c r="Q1193" s="13">
        <v>0.57733408354952698</v>
      </c>
      <c r="R1193" t="s">
        <v>249</v>
      </c>
      <c r="S1193">
        <v>0.23304834785989961</v>
      </c>
      <c r="T1193" t="s">
        <v>60</v>
      </c>
      <c r="U1193" t="s">
        <v>60</v>
      </c>
      <c r="X1193" t="s">
        <v>60</v>
      </c>
      <c r="Y1193" t="s">
        <v>412</v>
      </c>
      <c r="Z1193" t="s">
        <v>60</v>
      </c>
      <c r="AA1193" t="s">
        <v>491</v>
      </c>
    </row>
    <row r="1194" spans="1:27" x14ac:dyDescent="0.2">
      <c r="A1194" s="1">
        <v>46114</v>
      </c>
      <c r="B1194" t="s">
        <v>322</v>
      </c>
      <c r="C1194" t="s">
        <v>55</v>
      </c>
      <c r="D1194" t="s">
        <v>32</v>
      </c>
      <c r="E1194" t="s">
        <v>1480</v>
      </c>
      <c r="F1194" t="s">
        <v>55</v>
      </c>
      <c r="G1194">
        <v>2</v>
      </c>
      <c r="H1194">
        <v>3</v>
      </c>
      <c r="I1194" s="13">
        <v>0.6</v>
      </c>
      <c r="J1194" t="s">
        <v>249</v>
      </c>
      <c r="L1194" t="s">
        <v>60</v>
      </c>
      <c r="M1194" t="s">
        <v>60</v>
      </c>
      <c r="N1194" t="s">
        <v>55</v>
      </c>
      <c r="O1194">
        <v>2</v>
      </c>
      <c r="P1194">
        <v>3</v>
      </c>
      <c r="Q1194" s="13">
        <v>0.48292713375507679</v>
      </c>
      <c r="R1194" t="s">
        <v>249</v>
      </c>
      <c r="S1194">
        <v>-0.19635319733374509</v>
      </c>
      <c r="T1194" t="s">
        <v>60</v>
      </c>
      <c r="U1194" t="s">
        <v>60</v>
      </c>
      <c r="X1194" t="s">
        <v>60</v>
      </c>
      <c r="Y1194" t="s">
        <v>412</v>
      </c>
      <c r="Z1194" t="s">
        <v>60</v>
      </c>
      <c r="AA1194" t="s">
        <v>491</v>
      </c>
    </row>
    <row r="1195" spans="1:27" x14ac:dyDescent="0.2">
      <c r="A1195" s="1">
        <v>46114</v>
      </c>
      <c r="B1195" t="s">
        <v>328</v>
      </c>
      <c r="C1195" t="s">
        <v>26</v>
      </c>
      <c r="D1195" t="s">
        <v>27</v>
      </c>
      <c r="E1195" t="s">
        <v>1481</v>
      </c>
      <c r="F1195" t="s">
        <v>27</v>
      </c>
      <c r="G1195">
        <v>2</v>
      </c>
      <c r="H1195">
        <v>3</v>
      </c>
      <c r="I1195" s="13">
        <v>0.6</v>
      </c>
      <c r="J1195" t="s">
        <v>249</v>
      </c>
      <c r="L1195" t="s">
        <v>60</v>
      </c>
      <c r="M1195" t="s">
        <v>60</v>
      </c>
      <c r="N1195" t="s">
        <v>27</v>
      </c>
      <c r="O1195">
        <v>2</v>
      </c>
      <c r="P1195">
        <v>3</v>
      </c>
      <c r="Q1195" s="13">
        <v>0.61765349941525349</v>
      </c>
      <c r="R1195" t="s">
        <v>249</v>
      </c>
      <c r="S1195">
        <v>0.54500073044915598</v>
      </c>
      <c r="T1195" t="s">
        <v>60</v>
      </c>
      <c r="U1195" t="s">
        <v>60</v>
      </c>
      <c r="X1195" t="s">
        <v>60</v>
      </c>
      <c r="Y1195" t="s">
        <v>412</v>
      </c>
      <c r="Z1195" t="s">
        <v>60</v>
      </c>
      <c r="AA1195" t="s">
        <v>491</v>
      </c>
    </row>
    <row r="1196" spans="1:27" x14ac:dyDescent="0.2">
      <c r="A1196" s="1">
        <v>46114</v>
      </c>
      <c r="B1196" t="s">
        <v>328</v>
      </c>
      <c r="C1196" t="s">
        <v>23</v>
      </c>
      <c r="D1196" t="s">
        <v>36</v>
      </c>
      <c r="E1196" t="s">
        <v>1060</v>
      </c>
      <c r="F1196" t="s">
        <v>23</v>
      </c>
      <c r="G1196">
        <v>2</v>
      </c>
      <c r="H1196">
        <v>3</v>
      </c>
      <c r="I1196" s="13">
        <v>0.6</v>
      </c>
      <c r="J1196" t="s">
        <v>249</v>
      </c>
      <c r="L1196" t="s">
        <v>60</v>
      </c>
      <c r="M1196" t="s">
        <v>60</v>
      </c>
      <c r="N1196" t="s">
        <v>23</v>
      </c>
      <c r="O1196">
        <v>2</v>
      </c>
      <c r="P1196">
        <v>3</v>
      </c>
      <c r="Q1196" s="13">
        <v>0.45813094810441091</v>
      </c>
      <c r="R1196" t="s">
        <v>249</v>
      </c>
      <c r="S1196">
        <v>-5.3648662010864004E-3</v>
      </c>
      <c r="T1196" t="s">
        <v>60</v>
      </c>
      <c r="U1196" t="s">
        <v>60</v>
      </c>
      <c r="X1196" t="s">
        <v>60</v>
      </c>
      <c r="Y1196" t="s">
        <v>412</v>
      </c>
      <c r="Z1196" t="s">
        <v>60</v>
      </c>
      <c r="AA1196" t="s">
        <v>491</v>
      </c>
    </row>
    <row r="1197" spans="1:27" x14ac:dyDescent="0.2">
      <c r="A1197" s="1">
        <v>46114</v>
      </c>
      <c r="B1197" t="s">
        <v>328</v>
      </c>
      <c r="C1197" t="s">
        <v>18</v>
      </c>
      <c r="D1197" t="s">
        <v>15</v>
      </c>
      <c r="E1197" t="s">
        <v>993</v>
      </c>
      <c r="F1197" t="s">
        <v>15</v>
      </c>
      <c r="G1197">
        <v>2</v>
      </c>
      <c r="H1197">
        <v>3</v>
      </c>
      <c r="I1197" s="13">
        <v>0.6</v>
      </c>
      <c r="J1197" t="s">
        <v>249</v>
      </c>
      <c r="L1197" t="s">
        <v>60</v>
      </c>
      <c r="M1197" t="s">
        <v>60</v>
      </c>
      <c r="N1197" t="s">
        <v>15</v>
      </c>
      <c r="O1197">
        <v>2</v>
      </c>
      <c r="P1197">
        <v>3</v>
      </c>
      <c r="Q1197" s="13">
        <v>0.52190168133413184</v>
      </c>
      <c r="R1197" t="s">
        <v>249</v>
      </c>
      <c r="S1197">
        <v>0.35275639271304499</v>
      </c>
      <c r="T1197" t="s">
        <v>60</v>
      </c>
      <c r="U1197" t="s">
        <v>60</v>
      </c>
      <c r="X1197" t="s">
        <v>60</v>
      </c>
      <c r="Y1197" t="s">
        <v>412</v>
      </c>
      <c r="Z1197" t="s">
        <v>60</v>
      </c>
      <c r="AA1197" t="s">
        <v>491</v>
      </c>
    </row>
    <row r="1198" spans="1:27" x14ac:dyDescent="0.2">
      <c r="A1198" s="1">
        <v>46114</v>
      </c>
      <c r="B1198" t="s">
        <v>328</v>
      </c>
      <c r="C1198" t="s">
        <v>14</v>
      </c>
      <c r="D1198" t="s">
        <v>37</v>
      </c>
      <c r="E1198" t="s">
        <v>935</v>
      </c>
      <c r="F1198" t="s">
        <v>37</v>
      </c>
      <c r="G1198">
        <v>2</v>
      </c>
      <c r="H1198">
        <v>3</v>
      </c>
      <c r="I1198" s="13">
        <v>0.6</v>
      </c>
      <c r="J1198" t="s">
        <v>249</v>
      </c>
      <c r="L1198" t="s">
        <v>60</v>
      </c>
      <c r="M1198" t="s">
        <v>60</v>
      </c>
      <c r="N1198" t="s">
        <v>37</v>
      </c>
      <c r="O1198">
        <v>2</v>
      </c>
      <c r="P1198">
        <v>3</v>
      </c>
      <c r="Q1198" s="13">
        <v>0.61538041683836375</v>
      </c>
      <c r="R1198" t="s">
        <v>249</v>
      </c>
      <c r="S1198">
        <v>0.70266991723525674</v>
      </c>
      <c r="T1198" t="s">
        <v>60</v>
      </c>
      <c r="U1198" t="s">
        <v>60</v>
      </c>
      <c r="X1198" t="s">
        <v>60</v>
      </c>
      <c r="Y1198" t="s">
        <v>412</v>
      </c>
      <c r="Z1198" t="s">
        <v>60</v>
      </c>
      <c r="AA1198" t="s">
        <v>491</v>
      </c>
    </row>
    <row r="1199" spans="1:27" x14ac:dyDescent="0.2">
      <c r="A1199" s="1">
        <v>46114</v>
      </c>
      <c r="B1199" t="s">
        <v>324</v>
      </c>
      <c r="C1199" t="s">
        <v>38</v>
      </c>
      <c r="D1199" t="s">
        <v>34</v>
      </c>
      <c r="E1199" t="s">
        <v>756</v>
      </c>
      <c r="F1199" t="s">
        <v>34</v>
      </c>
      <c r="G1199">
        <v>2</v>
      </c>
      <c r="H1199">
        <v>3</v>
      </c>
      <c r="I1199" s="13">
        <v>0.6</v>
      </c>
      <c r="J1199" t="s">
        <v>249</v>
      </c>
      <c r="L1199" t="s">
        <v>60</v>
      </c>
      <c r="M1199" t="s">
        <v>60</v>
      </c>
      <c r="N1199" t="s">
        <v>34</v>
      </c>
      <c r="O1199">
        <v>2</v>
      </c>
      <c r="P1199">
        <v>3</v>
      </c>
      <c r="Q1199" s="13">
        <v>0.6464692220949555</v>
      </c>
      <c r="R1199" t="s">
        <v>249</v>
      </c>
      <c r="S1199">
        <v>0.94245371658448762</v>
      </c>
      <c r="T1199" t="s">
        <v>60</v>
      </c>
      <c r="U1199" t="s">
        <v>60</v>
      </c>
      <c r="X1199" t="s">
        <v>60</v>
      </c>
      <c r="Y1199" t="s">
        <v>412</v>
      </c>
      <c r="Z1199" t="s">
        <v>60</v>
      </c>
      <c r="AA1199" t="s">
        <v>491</v>
      </c>
    </row>
    <row r="1200" spans="1:27" x14ac:dyDescent="0.2">
      <c r="A1200" s="1">
        <v>46114</v>
      </c>
      <c r="B1200" t="s">
        <v>340</v>
      </c>
      <c r="C1200" t="s">
        <v>29</v>
      </c>
      <c r="D1200" t="s">
        <v>13</v>
      </c>
      <c r="E1200" t="s">
        <v>1482</v>
      </c>
      <c r="F1200" t="s">
        <v>13</v>
      </c>
      <c r="G1200">
        <v>2</v>
      </c>
      <c r="H1200">
        <v>3</v>
      </c>
      <c r="I1200" s="13">
        <v>0.6</v>
      </c>
      <c r="J1200" t="s">
        <v>249</v>
      </c>
      <c r="L1200" t="s">
        <v>60</v>
      </c>
      <c r="M1200" t="s">
        <v>60</v>
      </c>
      <c r="N1200" t="s">
        <v>13</v>
      </c>
      <c r="O1200">
        <v>2</v>
      </c>
      <c r="P1200">
        <v>3</v>
      </c>
      <c r="Q1200" s="13">
        <v>0.6680365788692405</v>
      </c>
      <c r="R1200" t="s">
        <v>249</v>
      </c>
      <c r="S1200">
        <v>1.0965344340560099</v>
      </c>
      <c r="T1200" t="s">
        <v>60</v>
      </c>
      <c r="U1200" t="s">
        <v>60</v>
      </c>
      <c r="X1200" t="s">
        <v>60</v>
      </c>
      <c r="Y1200" t="s">
        <v>412</v>
      </c>
      <c r="Z1200" t="s">
        <v>60</v>
      </c>
      <c r="AA1200" t="s">
        <v>491</v>
      </c>
    </row>
    <row r="1201" spans="1:27" x14ac:dyDescent="0.2">
      <c r="A1201" s="1">
        <v>46114</v>
      </c>
      <c r="B1201" t="s">
        <v>328</v>
      </c>
      <c r="C1201" t="s">
        <v>21</v>
      </c>
      <c r="D1201" t="s">
        <v>11</v>
      </c>
      <c r="E1201" t="s">
        <v>1309</v>
      </c>
      <c r="F1201" t="s">
        <v>21</v>
      </c>
      <c r="G1201">
        <v>2</v>
      </c>
      <c r="H1201">
        <v>3</v>
      </c>
      <c r="I1201" s="13">
        <v>0.6</v>
      </c>
      <c r="J1201" t="s">
        <v>249</v>
      </c>
      <c r="L1201" t="s">
        <v>60</v>
      </c>
      <c r="M1201" t="s">
        <v>60</v>
      </c>
      <c r="N1201" t="s">
        <v>21</v>
      </c>
      <c r="O1201">
        <v>2</v>
      </c>
      <c r="P1201">
        <v>3</v>
      </c>
      <c r="Q1201" s="13">
        <v>0.46168992014598992</v>
      </c>
      <c r="R1201" t="s">
        <v>249</v>
      </c>
      <c r="S1201">
        <v>-0.1274477816932125</v>
      </c>
      <c r="T1201" t="s">
        <v>60</v>
      </c>
      <c r="U1201" t="s">
        <v>60</v>
      </c>
      <c r="X1201" t="s">
        <v>60</v>
      </c>
      <c r="Y1201" t="s">
        <v>412</v>
      </c>
      <c r="Z1201" t="s">
        <v>60</v>
      </c>
      <c r="AA1201" t="s">
        <v>491</v>
      </c>
    </row>
    <row r="1202" spans="1:27" x14ac:dyDescent="0.2">
      <c r="A1202" s="1">
        <v>46114</v>
      </c>
      <c r="B1202" t="s">
        <v>326</v>
      </c>
      <c r="C1202" t="s">
        <v>10</v>
      </c>
      <c r="D1202" t="s">
        <v>17</v>
      </c>
      <c r="E1202" t="s">
        <v>751</v>
      </c>
      <c r="F1202" t="s">
        <v>10</v>
      </c>
      <c r="G1202">
        <v>2</v>
      </c>
      <c r="H1202">
        <v>3</v>
      </c>
      <c r="I1202" s="13">
        <v>0.6</v>
      </c>
      <c r="J1202" t="s">
        <v>249</v>
      </c>
      <c r="L1202" t="s">
        <v>60</v>
      </c>
      <c r="M1202" t="s">
        <v>60</v>
      </c>
      <c r="N1202" t="s">
        <v>10</v>
      </c>
      <c r="O1202">
        <v>2</v>
      </c>
      <c r="P1202">
        <v>3</v>
      </c>
      <c r="Q1202" s="13">
        <v>0.52203787808599023</v>
      </c>
      <c r="R1202" t="s">
        <v>249</v>
      </c>
      <c r="S1202">
        <v>-0.59164966013004561</v>
      </c>
      <c r="T1202" t="s">
        <v>60</v>
      </c>
      <c r="U1202" t="s">
        <v>60</v>
      </c>
      <c r="X1202" t="s">
        <v>60</v>
      </c>
      <c r="Y1202" t="s">
        <v>412</v>
      </c>
      <c r="Z1202" t="s">
        <v>60</v>
      </c>
      <c r="AA1202" t="s">
        <v>491</v>
      </c>
    </row>
    <row r="1203" spans="1:27" x14ac:dyDescent="0.2">
      <c r="A1203" s="1">
        <v>46114</v>
      </c>
      <c r="B1203" t="s">
        <v>324</v>
      </c>
      <c r="C1203" t="s">
        <v>40</v>
      </c>
      <c r="D1203" t="s">
        <v>39</v>
      </c>
      <c r="E1203" t="s">
        <v>1295</v>
      </c>
      <c r="F1203" t="s">
        <v>39</v>
      </c>
      <c r="G1203">
        <v>2</v>
      </c>
      <c r="H1203">
        <v>3</v>
      </c>
      <c r="I1203" s="13">
        <v>0.6</v>
      </c>
      <c r="J1203" t="s">
        <v>249</v>
      </c>
      <c r="L1203" t="s">
        <v>60</v>
      </c>
      <c r="M1203" t="s">
        <v>60</v>
      </c>
      <c r="N1203" t="s">
        <v>39</v>
      </c>
      <c r="O1203">
        <v>2</v>
      </c>
      <c r="P1203">
        <v>3</v>
      </c>
      <c r="Q1203" s="13">
        <v>0.6424019069637168</v>
      </c>
      <c r="R1203" t="s">
        <v>249</v>
      </c>
      <c r="S1203">
        <v>0.77658507456107384</v>
      </c>
      <c r="T1203" t="s">
        <v>60</v>
      </c>
      <c r="U1203" t="s">
        <v>60</v>
      </c>
      <c r="X1203" t="s">
        <v>60</v>
      </c>
      <c r="Y1203" t="s">
        <v>412</v>
      </c>
      <c r="Z1203" t="s">
        <v>60</v>
      </c>
      <c r="AA1203" t="s">
        <v>491</v>
      </c>
    </row>
    <row r="1204" spans="1:27" x14ac:dyDescent="0.2">
      <c r="A1204" s="1">
        <v>46114</v>
      </c>
      <c r="B1204" t="s">
        <v>328</v>
      </c>
      <c r="C1204" t="s">
        <v>28</v>
      </c>
      <c r="D1204" t="s">
        <v>25</v>
      </c>
      <c r="E1204" t="s">
        <v>969</v>
      </c>
      <c r="F1204" t="s">
        <v>25</v>
      </c>
      <c r="G1204">
        <v>2</v>
      </c>
      <c r="H1204">
        <v>3</v>
      </c>
      <c r="I1204" s="13">
        <v>0.6</v>
      </c>
      <c r="J1204" t="s">
        <v>249</v>
      </c>
      <c r="L1204" t="s">
        <v>60</v>
      </c>
      <c r="M1204" t="s">
        <v>60</v>
      </c>
      <c r="N1204" t="s">
        <v>25</v>
      </c>
      <c r="O1204">
        <v>2</v>
      </c>
      <c r="P1204">
        <v>3</v>
      </c>
      <c r="Q1204" s="13">
        <v>0.71323959221145916</v>
      </c>
      <c r="R1204" t="s">
        <v>249</v>
      </c>
      <c r="S1204">
        <v>1.0705652906022549</v>
      </c>
      <c r="T1204" t="s">
        <v>60</v>
      </c>
      <c r="U1204" t="s">
        <v>60</v>
      </c>
      <c r="X1204" t="s">
        <v>60</v>
      </c>
      <c r="Y1204" t="s">
        <v>412</v>
      </c>
      <c r="Z1204" t="s">
        <v>60</v>
      </c>
      <c r="AA1204" t="s">
        <v>491</v>
      </c>
    </row>
    <row r="1205" spans="1:27" x14ac:dyDescent="0.2">
      <c r="A1205" s="1">
        <v>46114</v>
      </c>
      <c r="B1205" t="s">
        <v>334</v>
      </c>
      <c r="C1205" t="s">
        <v>22</v>
      </c>
      <c r="D1205" t="s">
        <v>24</v>
      </c>
      <c r="E1205" t="s">
        <v>1075</v>
      </c>
      <c r="F1205" t="s">
        <v>22</v>
      </c>
      <c r="G1205">
        <v>2</v>
      </c>
      <c r="H1205">
        <v>3</v>
      </c>
      <c r="I1205" s="13">
        <v>0.6</v>
      </c>
      <c r="J1205" t="s">
        <v>249</v>
      </c>
      <c r="L1205" t="s">
        <v>60</v>
      </c>
      <c r="M1205" t="s">
        <v>60</v>
      </c>
      <c r="N1205" t="s">
        <v>22</v>
      </c>
      <c r="O1205">
        <v>2</v>
      </c>
      <c r="P1205">
        <v>3</v>
      </c>
      <c r="Q1205" s="13">
        <v>0.46650637710823029</v>
      </c>
      <c r="R1205" t="s">
        <v>249</v>
      </c>
      <c r="S1205">
        <v>-0.38927623316599019</v>
      </c>
      <c r="T1205" t="s">
        <v>60</v>
      </c>
      <c r="U1205" t="s">
        <v>60</v>
      </c>
      <c r="X1205" t="s">
        <v>60</v>
      </c>
      <c r="Y1205" t="s">
        <v>412</v>
      </c>
      <c r="Z1205" t="s">
        <v>60</v>
      </c>
      <c r="AA1205" t="s">
        <v>491</v>
      </c>
    </row>
    <row r="1206" spans="1:27" x14ac:dyDescent="0.2">
      <c r="A1206" s="1">
        <v>46115</v>
      </c>
      <c r="B1206" t="s">
        <v>322</v>
      </c>
      <c r="C1206" t="s">
        <v>35</v>
      </c>
      <c r="D1206" t="s">
        <v>31</v>
      </c>
      <c r="E1206" t="s">
        <v>1373</v>
      </c>
      <c r="F1206" t="s">
        <v>31</v>
      </c>
      <c r="G1206">
        <v>2</v>
      </c>
      <c r="H1206">
        <v>3</v>
      </c>
      <c r="I1206" s="13">
        <v>0.6</v>
      </c>
      <c r="J1206" t="s">
        <v>249</v>
      </c>
      <c r="L1206" t="s">
        <v>60</v>
      </c>
      <c r="M1206" t="s">
        <v>60</v>
      </c>
      <c r="N1206" t="s">
        <v>31</v>
      </c>
      <c r="O1206">
        <v>2</v>
      </c>
      <c r="P1206">
        <v>3</v>
      </c>
      <c r="Q1206" s="13">
        <v>0.80935350588794874</v>
      </c>
      <c r="R1206" t="s">
        <v>249</v>
      </c>
      <c r="S1206">
        <v>1.6230821427101509</v>
      </c>
      <c r="T1206" t="s">
        <v>60</v>
      </c>
      <c r="U1206" t="s">
        <v>60</v>
      </c>
      <c r="X1206" t="s">
        <v>60</v>
      </c>
      <c r="Y1206" t="s">
        <v>412</v>
      </c>
      <c r="Z1206" t="s">
        <v>60</v>
      </c>
      <c r="AA1206" t="s">
        <v>491</v>
      </c>
    </row>
    <row r="1207" spans="1:27" x14ac:dyDescent="0.2">
      <c r="A1207" s="1">
        <v>46115</v>
      </c>
      <c r="B1207" t="s">
        <v>328</v>
      </c>
      <c r="C1207" t="s">
        <v>27</v>
      </c>
      <c r="D1207" t="s">
        <v>30</v>
      </c>
      <c r="E1207" t="s">
        <v>443</v>
      </c>
      <c r="F1207" t="s">
        <v>30</v>
      </c>
      <c r="G1207">
        <v>2</v>
      </c>
      <c r="H1207">
        <v>3</v>
      </c>
      <c r="I1207" s="13">
        <v>0.6</v>
      </c>
      <c r="J1207" t="s">
        <v>249</v>
      </c>
      <c r="L1207" t="s">
        <v>60</v>
      </c>
      <c r="M1207" t="s">
        <v>60</v>
      </c>
      <c r="N1207" t="s">
        <v>30</v>
      </c>
      <c r="O1207">
        <v>2</v>
      </c>
      <c r="P1207">
        <v>3</v>
      </c>
      <c r="Q1207" s="13">
        <v>0.51958030281151568</v>
      </c>
      <c r="R1207" t="s">
        <v>249</v>
      </c>
      <c r="S1207">
        <v>0.18920833498814579</v>
      </c>
      <c r="T1207" t="s">
        <v>60</v>
      </c>
      <c r="U1207" t="s">
        <v>60</v>
      </c>
      <c r="X1207" t="s">
        <v>60</v>
      </c>
      <c r="Y1207" t="s">
        <v>412</v>
      </c>
      <c r="Z1207" t="s">
        <v>60</v>
      </c>
      <c r="AA1207" t="s">
        <v>491</v>
      </c>
    </row>
    <row r="1208" spans="1:27" x14ac:dyDescent="0.2">
      <c r="A1208" s="1">
        <v>46116</v>
      </c>
      <c r="B1208" t="s">
        <v>328</v>
      </c>
      <c r="C1208" t="s">
        <v>23</v>
      </c>
      <c r="D1208" t="s">
        <v>22</v>
      </c>
      <c r="E1208" t="s">
        <v>1483</v>
      </c>
      <c r="F1208" t="s">
        <v>22</v>
      </c>
      <c r="G1208">
        <v>2</v>
      </c>
      <c r="H1208">
        <v>3</v>
      </c>
      <c r="I1208" s="13">
        <v>0.6</v>
      </c>
      <c r="J1208" t="s">
        <v>249</v>
      </c>
      <c r="L1208" t="s">
        <v>60</v>
      </c>
      <c r="M1208" t="s">
        <v>60</v>
      </c>
      <c r="N1208" t="s">
        <v>22</v>
      </c>
      <c r="O1208">
        <v>2</v>
      </c>
      <c r="P1208">
        <v>3</v>
      </c>
      <c r="Q1208" s="13">
        <v>0.67891637883976597</v>
      </c>
      <c r="R1208" t="s">
        <v>249</v>
      </c>
      <c r="S1208">
        <v>0.9667184175175092</v>
      </c>
      <c r="T1208" t="s">
        <v>60</v>
      </c>
      <c r="U1208" t="s">
        <v>60</v>
      </c>
      <c r="X1208" t="s">
        <v>60</v>
      </c>
      <c r="Y1208" t="s">
        <v>412</v>
      </c>
      <c r="Z1208" t="s">
        <v>60</v>
      </c>
      <c r="AA1208" t="s">
        <v>491</v>
      </c>
    </row>
    <row r="1209" spans="1:27" x14ac:dyDescent="0.2">
      <c r="A1209" s="1">
        <v>46116</v>
      </c>
      <c r="B1209" t="s">
        <v>328</v>
      </c>
      <c r="C1209" t="s">
        <v>55</v>
      </c>
      <c r="D1209" t="s">
        <v>38</v>
      </c>
      <c r="E1209" t="s">
        <v>936</v>
      </c>
      <c r="F1209" t="s">
        <v>55</v>
      </c>
      <c r="G1209">
        <v>2</v>
      </c>
      <c r="H1209">
        <v>3</v>
      </c>
      <c r="I1209" s="13">
        <v>0.6</v>
      </c>
      <c r="J1209" t="s">
        <v>249</v>
      </c>
      <c r="L1209" t="s">
        <v>60</v>
      </c>
      <c r="M1209" t="s">
        <v>60</v>
      </c>
      <c r="N1209" t="s">
        <v>55</v>
      </c>
      <c r="O1209">
        <v>2</v>
      </c>
      <c r="P1209">
        <v>3</v>
      </c>
      <c r="Q1209" s="13">
        <v>0.51775812204700111</v>
      </c>
      <c r="R1209" t="s">
        <v>249</v>
      </c>
      <c r="S1209">
        <v>-0.49465371716645917</v>
      </c>
      <c r="T1209" t="s">
        <v>60</v>
      </c>
      <c r="U1209" t="s">
        <v>60</v>
      </c>
      <c r="X1209" t="s">
        <v>60</v>
      </c>
      <c r="Y1209" t="s">
        <v>412</v>
      </c>
      <c r="Z1209" t="s">
        <v>60</v>
      </c>
      <c r="AA1209" t="s">
        <v>491</v>
      </c>
    </row>
    <row r="1210" spans="1:27" x14ac:dyDescent="0.2">
      <c r="A1210" s="1">
        <v>46116</v>
      </c>
      <c r="B1210" t="s">
        <v>365</v>
      </c>
      <c r="C1210" t="s">
        <v>21</v>
      </c>
      <c r="D1210" t="s">
        <v>37</v>
      </c>
      <c r="E1210" t="s">
        <v>1289</v>
      </c>
      <c r="F1210" t="s">
        <v>37</v>
      </c>
      <c r="G1210">
        <v>2</v>
      </c>
      <c r="H1210">
        <v>3</v>
      </c>
      <c r="I1210" s="13">
        <v>0.6</v>
      </c>
      <c r="J1210" t="s">
        <v>249</v>
      </c>
      <c r="L1210" t="s">
        <v>60</v>
      </c>
      <c r="M1210" t="s">
        <v>60</v>
      </c>
      <c r="N1210" t="s">
        <v>37</v>
      </c>
      <c r="O1210">
        <v>2</v>
      </c>
      <c r="P1210">
        <v>3</v>
      </c>
      <c r="Q1210" s="13">
        <v>0.66252557049821614</v>
      </c>
      <c r="R1210" t="s">
        <v>249</v>
      </c>
      <c r="S1210">
        <v>0.78017545611749828</v>
      </c>
      <c r="T1210" t="s">
        <v>60</v>
      </c>
      <c r="U1210" t="s">
        <v>60</v>
      </c>
      <c r="X1210" t="s">
        <v>60</v>
      </c>
      <c r="Y1210" t="s">
        <v>412</v>
      </c>
      <c r="Z1210" t="s">
        <v>60</v>
      </c>
      <c r="AA1210" t="s">
        <v>491</v>
      </c>
    </row>
    <row r="1211" spans="1:27" x14ac:dyDescent="0.2">
      <c r="A1211" s="1">
        <v>46116</v>
      </c>
      <c r="B1211" t="s">
        <v>322</v>
      </c>
      <c r="C1211" t="s">
        <v>29</v>
      </c>
      <c r="D1211" t="s">
        <v>33</v>
      </c>
      <c r="E1211" t="s">
        <v>1484</v>
      </c>
      <c r="F1211" t="s">
        <v>33</v>
      </c>
      <c r="G1211">
        <v>2</v>
      </c>
      <c r="H1211">
        <v>3</v>
      </c>
      <c r="I1211" s="13">
        <v>0.6</v>
      </c>
      <c r="J1211" t="s">
        <v>249</v>
      </c>
      <c r="L1211" t="s">
        <v>60</v>
      </c>
      <c r="M1211" t="s">
        <v>60</v>
      </c>
      <c r="N1211" t="s">
        <v>33</v>
      </c>
      <c r="O1211">
        <v>2</v>
      </c>
      <c r="P1211">
        <v>3</v>
      </c>
      <c r="Q1211" s="13">
        <v>0.66495887658247987</v>
      </c>
      <c r="R1211" t="s">
        <v>249</v>
      </c>
      <c r="S1211">
        <v>0.98348704035098</v>
      </c>
      <c r="T1211" t="s">
        <v>60</v>
      </c>
      <c r="U1211" t="s">
        <v>60</v>
      </c>
      <c r="X1211" t="s">
        <v>60</v>
      </c>
      <c r="Y1211" t="s">
        <v>412</v>
      </c>
      <c r="Z1211" t="s">
        <v>60</v>
      </c>
      <c r="AA1211" t="s">
        <v>491</v>
      </c>
    </row>
    <row r="1212" spans="1:27" x14ac:dyDescent="0.2">
      <c r="A1212" s="1">
        <v>46116</v>
      </c>
      <c r="B1212" t="s">
        <v>322</v>
      </c>
      <c r="C1212" t="s">
        <v>10</v>
      </c>
      <c r="D1212" t="s">
        <v>32</v>
      </c>
      <c r="E1212" t="s">
        <v>775</v>
      </c>
      <c r="F1212" t="s">
        <v>10</v>
      </c>
      <c r="G1212">
        <v>2</v>
      </c>
      <c r="H1212">
        <v>3</v>
      </c>
      <c r="I1212" s="13">
        <v>0.6</v>
      </c>
      <c r="J1212" t="s">
        <v>249</v>
      </c>
      <c r="L1212" t="s">
        <v>60</v>
      </c>
      <c r="M1212" t="s">
        <v>60</v>
      </c>
      <c r="N1212" t="s">
        <v>10</v>
      </c>
      <c r="O1212">
        <v>2</v>
      </c>
      <c r="P1212">
        <v>3</v>
      </c>
      <c r="Q1212" s="13">
        <v>0.50942421415951489</v>
      </c>
      <c r="R1212" t="s">
        <v>249</v>
      </c>
      <c r="S1212">
        <v>-0.42328023117061392</v>
      </c>
      <c r="T1212" t="s">
        <v>60</v>
      </c>
      <c r="U1212" t="s">
        <v>60</v>
      </c>
      <c r="X1212" t="s">
        <v>60</v>
      </c>
      <c r="Y1212" t="s">
        <v>412</v>
      </c>
      <c r="Z1212" t="s">
        <v>60</v>
      </c>
      <c r="AA1212" t="s">
        <v>491</v>
      </c>
    </row>
    <row r="1213" spans="1:27" x14ac:dyDescent="0.2">
      <c r="A1213" s="1">
        <v>46116</v>
      </c>
      <c r="B1213" t="s">
        <v>365</v>
      </c>
      <c r="C1213" t="s">
        <v>11</v>
      </c>
      <c r="D1213" t="s">
        <v>14</v>
      </c>
      <c r="E1213" t="s">
        <v>1485</v>
      </c>
      <c r="F1213" t="s">
        <v>14</v>
      </c>
      <c r="G1213">
        <v>2</v>
      </c>
      <c r="H1213">
        <v>3</v>
      </c>
      <c r="I1213" s="13">
        <v>0.6</v>
      </c>
      <c r="J1213" t="s">
        <v>249</v>
      </c>
      <c r="L1213" t="s">
        <v>60</v>
      </c>
      <c r="M1213" t="s">
        <v>60</v>
      </c>
      <c r="N1213" t="s">
        <v>14</v>
      </c>
      <c r="O1213">
        <v>2</v>
      </c>
      <c r="P1213">
        <v>3</v>
      </c>
      <c r="Q1213" s="13">
        <v>0.57558462291084611</v>
      </c>
      <c r="R1213" t="s">
        <v>249</v>
      </c>
      <c r="S1213">
        <v>0.30475481842177898</v>
      </c>
      <c r="T1213" t="s">
        <v>60</v>
      </c>
      <c r="U1213" t="s">
        <v>60</v>
      </c>
      <c r="X1213" t="s">
        <v>60</v>
      </c>
      <c r="Y1213" t="s">
        <v>412</v>
      </c>
      <c r="Z1213" t="s">
        <v>60</v>
      </c>
      <c r="AA1213" t="s">
        <v>491</v>
      </c>
    </row>
    <row r="1214" spans="1:27" x14ac:dyDescent="0.2">
      <c r="A1214" s="1">
        <v>46116</v>
      </c>
      <c r="B1214" t="s">
        <v>347</v>
      </c>
      <c r="C1214" t="s">
        <v>34</v>
      </c>
      <c r="D1214" t="s">
        <v>36</v>
      </c>
      <c r="E1214" t="s">
        <v>1486</v>
      </c>
      <c r="F1214" t="s">
        <v>34</v>
      </c>
      <c r="G1214">
        <v>2</v>
      </c>
      <c r="H1214">
        <v>3</v>
      </c>
      <c r="I1214" s="13">
        <v>0.6</v>
      </c>
      <c r="J1214" t="s">
        <v>249</v>
      </c>
      <c r="L1214" t="s">
        <v>60</v>
      </c>
      <c r="M1214" t="s">
        <v>60</v>
      </c>
      <c r="N1214" t="s">
        <v>34</v>
      </c>
      <c r="O1214">
        <v>2</v>
      </c>
      <c r="P1214">
        <v>3</v>
      </c>
      <c r="Q1214" s="13">
        <v>0.54978271505145748</v>
      </c>
      <c r="R1214" t="s">
        <v>249</v>
      </c>
      <c r="S1214">
        <v>-0.4263505144921973</v>
      </c>
      <c r="T1214" t="s">
        <v>60</v>
      </c>
      <c r="U1214" t="s">
        <v>60</v>
      </c>
      <c r="X1214" t="s">
        <v>60</v>
      </c>
      <c r="Y1214" t="s">
        <v>412</v>
      </c>
      <c r="Z1214" t="s">
        <v>60</v>
      </c>
      <c r="AA1214" t="s">
        <v>491</v>
      </c>
    </row>
    <row r="1215" spans="1:27" x14ac:dyDescent="0.2">
      <c r="A1215" s="1">
        <v>46116</v>
      </c>
      <c r="B1215" t="s">
        <v>322</v>
      </c>
      <c r="C1215" t="s">
        <v>20</v>
      </c>
      <c r="D1215" t="s">
        <v>17</v>
      </c>
      <c r="E1215" t="s">
        <v>1052</v>
      </c>
      <c r="F1215" t="s">
        <v>20</v>
      </c>
      <c r="G1215">
        <v>2</v>
      </c>
      <c r="H1215">
        <v>3</v>
      </c>
      <c r="I1215" s="13">
        <v>0.6</v>
      </c>
      <c r="J1215" t="s">
        <v>249</v>
      </c>
      <c r="L1215" t="s">
        <v>60</v>
      </c>
      <c r="M1215" t="s">
        <v>60</v>
      </c>
      <c r="N1215" t="s">
        <v>20</v>
      </c>
      <c r="O1215">
        <v>2</v>
      </c>
      <c r="P1215">
        <v>3</v>
      </c>
      <c r="Q1215" s="13">
        <v>0.5140693167207816</v>
      </c>
      <c r="R1215" t="s">
        <v>249</v>
      </c>
      <c r="S1215">
        <v>-0.52340508499372285</v>
      </c>
      <c r="T1215" t="s">
        <v>60</v>
      </c>
      <c r="U1215" t="s">
        <v>60</v>
      </c>
      <c r="X1215" t="s">
        <v>60</v>
      </c>
      <c r="Y1215" t="s">
        <v>412</v>
      </c>
      <c r="Z1215" t="s">
        <v>60</v>
      </c>
      <c r="AA1215" t="s">
        <v>491</v>
      </c>
    </row>
    <row r="1216" spans="1:27" x14ac:dyDescent="0.2">
      <c r="A1216" s="1">
        <v>46116</v>
      </c>
      <c r="B1216" t="s">
        <v>328</v>
      </c>
      <c r="C1216" t="s">
        <v>18</v>
      </c>
      <c r="D1216" t="s">
        <v>24</v>
      </c>
      <c r="E1216" t="s">
        <v>801</v>
      </c>
      <c r="F1216" t="s">
        <v>24</v>
      </c>
      <c r="G1216">
        <v>2</v>
      </c>
      <c r="H1216">
        <v>3</v>
      </c>
      <c r="I1216" s="13">
        <v>0.6</v>
      </c>
      <c r="J1216" t="s">
        <v>249</v>
      </c>
      <c r="L1216" t="s">
        <v>60</v>
      </c>
      <c r="M1216" t="s">
        <v>60</v>
      </c>
      <c r="N1216" t="s">
        <v>24</v>
      </c>
      <c r="O1216">
        <v>2</v>
      </c>
      <c r="P1216">
        <v>3</v>
      </c>
      <c r="Q1216" s="13">
        <v>0.63773394280828299</v>
      </c>
      <c r="R1216" t="s">
        <v>249</v>
      </c>
      <c r="S1216">
        <v>0.64432062796159195</v>
      </c>
      <c r="T1216" t="s">
        <v>60</v>
      </c>
      <c r="U1216" t="s">
        <v>60</v>
      </c>
      <c r="X1216" t="s">
        <v>60</v>
      </c>
      <c r="Y1216" t="s">
        <v>412</v>
      </c>
      <c r="Z1216" t="s">
        <v>60</v>
      </c>
      <c r="AA1216" t="s">
        <v>491</v>
      </c>
    </row>
    <row r="1217" spans="1:27" x14ac:dyDescent="0.2">
      <c r="A1217" s="1">
        <v>46116</v>
      </c>
      <c r="B1217" t="s">
        <v>328</v>
      </c>
      <c r="C1217" t="s">
        <v>19</v>
      </c>
      <c r="D1217" t="s">
        <v>13</v>
      </c>
      <c r="E1217" t="s">
        <v>1487</v>
      </c>
      <c r="F1217" t="s">
        <v>13</v>
      </c>
      <c r="G1217">
        <v>2</v>
      </c>
      <c r="H1217">
        <v>3</v>
      </c>
      <c r="I1217" s="13">
        <v>0.6</v>
      </c>
      <c r="J1217" t="s">
        <v>249</v>
      </c>
      <c r="L1217" t="s">
        <v>60</v>
      </c>
      <c r="M1217" t="s">
        <v>60</v>
      </c>
      <c r="N1217" t="s">
        <v>13</v>
      </c>
      <c r="O1217">
        <v>2</v>
      </c>
      <c r="P1217">
        <v>3</v>
      </c>
      <c r="Q1217" s="13">
        <v>0.58041178583628772</v>
      </c>
      <c r="R1217" t="s">
        <v>249</v>
      </c>
      <c r="S1217">
        <v>0.34609574156492928</v>
      </c>
      <c r="T1217" t="s">
        <v>60</v>
      </c>
      <c r="U1217" t="s">
        <v>60</v>
      </c>
      <c r="X1217" t="s">
        <v>60</v>
      </c>
      <c r="Y1217" t="s">
        <v>412</v>
      </c>
      <c r="Z1217" t="s">
        <v>60</v>
      </c>
      <c r="AA1217" t="s">
        <v>491</v>
      </c>
    </row>
    <row r="1218" spans="1:27" x14ac:dyDescent="0.2">
      <c r="A1218" s="1">
        <v>46116</v>
      </c>
      <c r="B1218" t="s">
        <v>453</v>
      </c>
      <c r="C1218" t="s">
        <v>12</v>
      </c>
      <c r="D1218" t="s">
        <v>39</v>
      </c>
      <c r="E1218" t="s">
        <v>1356</v>
      </c>
      <c r="F1218" t="s">
        <v>12</v>
      </c>
      <c r="G1218">
        <v>2</v>
      </c>
      <c r="H1218">
        <v>3</v>
      </c>
      <c r="I1218" s="13">
        <v>0.6</v>
      </c>
      <c r="J1218" t="s">
        <v>249</v>
      </c>
      <c r="L1218" t="s">
        <v>60</v>
      </c>
      <c r="M1218" t="s">
        <v>60</v>
      </c>
      <c r="N1218" t="s">
        <v>12</v>
      </c>
      <c r="O1218">
        <v>2</v>
      </c>
      <c r="P1218">
        <v>3</v>
      </c>
      <c r="Q1218" s="13">
        <v>0.63644667431368729</v>
      </c>
      <c r="R1218" t="s">
        <v>249</v>
      </c>
      <c r="S1218">
        <v>-1.168560407648694</v>
      </c>
      <c r="T1218" t="s">
        <v>60</v>
      </c>
      <c r="U1218" t="s">
        <v>60</v>
      </c>
      <c r="X1218" t="s">
        <v>60</v>
      </c>
      <c r="Y1218" t="s">
        <v>412</v>
      </c>
      <c r="Z1218" t="s">
        <v>60</v>
      </c>
      <c r="AA1218" t="s">
        <v>491</v>
      </c>
    </row>
    <row r="1219" spans="1:27" x14ac:dyDescent="0.2">
      <c r="A1219" s="1">
        <v>46116</v>
      </c>
      <c r="B1219" t="s">
        <v>328</v>
      </c>
      <c r="C1219" t="s">
        <v>40</v>
      </c>
      <c r="D1219" t="s">
        <v>28</v>
      </c>
      <c r="E1219" t="s">
        <v>1488</v>
      </c>
      <c r="F1219" t="s">
        <v>40</v>
      </c>
      <c r="G1219">
        <v>2</v>
      </c>
      <c r="H1219">
        <v>3</v>
      </c>
      <c r="I1219" s="13">
        <v>0.6</v>
      </c>
      <c r="J1219" t="s">
        <v>249</v>
      </c>
      <c r="L1219" t="s">
        <v>60</v>
      </c>
      <c r="M1219" t="s">
        <v>60</v>
      </c>
      <c r="N1219" t="s">
        <v>40</v>
      </c>
      <c r="O1219">
        <v>2</v>
      </c>
      <c r="P1219">
        <v>3</v>
      </c>
      <c r="Q1219" s="13">
        <v>0.50784077017875306</v>
      </c>
      <c r="R1219" t="s">
        <v>249</v>
      </c>
      <c r="S1219">
        <v>-0.23184683164458619</v>
      </c>
      <c r="T1219" t="s">
        <v>60</v>
      </c>
      <c r="U1219" t="s">
        <v>60</v>
      </c>
      <c r="X1219" t="s">
        <v>60</v>
      </c>
      <c r="Y1219" t="s">
        <v>412</v>
      </c>
      <c r="Z1219" t="s">
        <v>60</v>
      </c>
      <c r="AA1219" t="s">
        <v>491</v>
      </c>
    </row>
    <row r="1220" spans="1:27" x14ac:dyDescent="0.2">
      <c r="A1220" s="1">
        <v>46116</v>
      </c>
      <c r="B1220" t="s">
        <v>328</v>
      </c>
      <c r="C1220" t="s">
        <v>30</v>
      </c>
      <c r="D1220" t="s">
        <v>25</v>
      </c>
      <c r="E1220" t="s">
        <v>742</v>
      </c>
      <c r="F1220" t="s">
        <v>25</v>
      </c>
      <c r="G1220">
        <v>2</v>
      </c>
      <c r="H1220">
        <v>3</v>
      </c>
      <c r="I1220" s="13">
        <v>0.6</v>
      </c>
      <c r="J1220" t="s">
        <v>249</v>
      </c>
      <c r="L1220" t="s">
        <v>60</v>
      </c>
      <c r="M1220" t="s">
        <v>60</v>
      </c>
      <c r="N1220" t="s">
        <v>25</v>
      </c>
      <c r="O1220">
        <v>2</v>
      </c>
      <c r="P1220">
        <v>3</v>
      </c>
      <c r="Q1220" s="13">
        <v>0.60366287032278598</v>
      </c>
      <c r="R1220" t="s">
        <v>249</v>
      </c>
      <c r="S1220">
        <v>0.71650788369304785</v>
      </c>
      <c r="T1220" t="s">
        <v>60</v>
      </c>
      <c r="U1220" t="s">
        <v>60</v>
      </c>
      <c r="X1220" t="s">
        <v>60</v>
      </c>
      <c r="Y1220" t="s">
        <v>412</v>
      </c>
      <c r="Z1220" t="s">
        <v>60</v>
      </c>
      <c r="AA1220" t="s">
        <v>491</v>
      </c>
    </row>
    <row r="1221" spans="1:27" x14ac:dyDescent="0.2">
      <c r="A1221" s="1">
        <v>46116</v>
      </c>
      <c r="B1221" t="s">
        <v>322</v>
      </c>
      <c r="C1221" t="s">
        <v>16</v>
      </c>
      <c r="D1221" t="s">
        <v>31</v>
      </c>
      <c r="E1221" t="s">
        <v>1327</v>
      </c>
      <c r="F1221" t="s">
        <v>31</v>
      </c>
      <c r="G1221">
        <v>2</v>
      </c>
      <c r="H1221">
        <v>3</v>
      </c>
      <c r="I1221" s="13">
        <v>0.6</v>
      </c>
      <c r="J1221" t="s">
        <v>249</v>
      </c>
      <c r="L1221" t="s">
        <v>60</v>
      </c>
      <c r="M1221" t="s">
        <v>60</v>
      </c>
      <c r="N1221" t="s">
        <v>31</v>
      </c>
      <c r="O1221">
        <v>2</v>
      </c>
      <c r="P1221">
        <v>3</v>
      </c>
      <c r="Q1221" s="13">
        <v>0.7709732690686566</v>
      </c>
      <c r="R1221" t="s">
        <v>249</v>
      </c>
      <c r="S1221">
        <v>1.294385049807049</v>
      </c>
      <c r="T1221" t="s">
        <v>60</v>
      </c>
      <c r="U1221" t="s">
        <v>60</v>
      </c>
      <c r="X1221" t="s">
        <v>60</v>
      </c>
      <c r="Y1221" t="s">
        <v>412</v>
      </c>
      <c r="Z1221" t="s">
        <v>60</v>
      </c>
      <c r="AA1221" t="s">
        <v>491</v>
      </c>
    </row>
    <row r="1222" spans="1:27" x14ac:dyDescent="0.2">
      <c r="A1222" s="1">
        <v>46116</v>
      </c>
      <c r="B1222" t="s">
        <v>555</v>
      </c>
      <c r="C1222" t="s">
        <v>26</v>
      </c>
      <c r="D1222" t="s">
        <v>15</v>
      </c>
      <c r="E1222" t="s">
        <v>897</v>
      </c>
      <c r="F1222" t="s">
        <v>15</v>
      </c>
      <c r="G1222">
        <v>2</v>
      </c>
      <c r="H1222">
        <v>3</v>
      </c>
      <c r="I1222" s="13">
        <v>0.6</v>
      </c>
      <c r="J1222" t="s">
        <v>249</v>
      </c>
      <c r="L1222" t="s">
        <v>60</v>
      </c>
      <c r="M1222" t="s">
        <v>60</v>
      </c>
      <c r="N1222" t="s">
        <v>15</v>
      </c>
      <c r="O1222">
        <v>2</v>
      </c>
      <c r="P1222">
        <v>3</v>
      </c>
      <c r="Q1222" s="13">
        <v>0.61416971394212327</v>
      </c>
      <c r="R1222" t="s">
        <v>249</v>
      </c>
      <c r="S1222">
        <v>0.63520632947152933</v>
      </c>
      <c r="T1222" t="s">
        <v>60</v>
      </c>
      <c r="U1222" t="s">
        <v>60</v>
      </c>
      <c r="X1222" t="s">
        <v>60</v>
      </c>
      <c r="Y1222" t="s">
        <v>412</v>
      </c>
      <c r="Z1222" t="s">
        <v>60</v>
      </c>
      <c r="AA1222" t="s">
        <v>491</v>
      </c>
    </row>
    <row r="1223" spans="1:27" x14ac:dyDescent="0.2">
      <c r="A1223" s="1">
        <v>46117</v>
      </c>
      <c r="B1223" t="s">
        <v>365</v>
      </c>
      <c r="C1223" t="s">
        <v>25</v>
      </c>
      <c r="D1223" t="s">
        <v>36</v>
      </c>
      <c r="E1223" t="s">
        <v>1245</v>
      </c>
      <c r="F1223" t="s">
        <v>25</v>
      </c>
      <c r="G1223">
        <v>2</v>
      </c>
      <c r="H1223">
        <v>3</v>
      </c>
      <c r="I1223" s="13">
        <v>0.6</v>
      </c>
      <c r="J1223" t="s">
        <v>249</v>
      </c>
      <c r="L1223" t="s">
        <v>60</v>
      </c>
      <c r="M1223" t="s">
        <v>60</v>
      </c>
      <c r="N1223" t="s">
        <v>25</v>
      </c>
      <c r="O1223">
        <v>2</v>
      </c>
      <c r="P1223">
        <v>3</v>
      </c>
      <c r="Q1223" s="13">
        <v>0.63604368429743785</v>
      </c>
      <c r="R1223" t="s">
        <v>249</v>
      </c>
      <c r="S1223">
        <v>-0.90715043927022876</v>
      </c>
      <c r="T1223" t="s">
        <v>60</v>
      </c>
      <c r="U1223" t="s">
        <v>60</v>
      </c>
      <c r="X1223" t="s">
        <v>60</v>
      </c>
      <c r="Y1223" t="s">
        <v>412</v>
      </c>
      <c r="Z1223" t="s">
        <v>60</v>
      </c>
      <c r="AA1223" t="s">
        <v>491</v>
      </c>
    </row>
    <row r="1224" spans="1:27" x14ac:dyDescent="0.2">
      <c r="A1224" s="1">
        <v>46117</v>
      </c>
      <c r="B1224" t="s">
        <v>352</v>
      </c>
      <c r="C1224" t="s">
        <v>21</v>
      </c>
      <c r="D1224" t="s">
        <v>27</v>
      </c>
      <c r="E1224" t="s">
        <v>1324</v>
      </c>
      <c r="F1224" t="s">
        <v>21</v>
      </c>
      <c r="G1224">
        <v>2</v>
      </c>
      <c r="H1224">
        <v>3</v>
      </c>
      <c r="I1224" s="13">
        <v>0.6</v>
      </c>
      <c r="J1224" t="s">
        <v>249</v>
      </c>
      <c r="L1224" t="s">
        <v>60</v>
      </c>
      <c r="M1224" t="s">
        <v>60</v>
      </c>
      <c r="N1224" t="s">
        <v>21</v>
      </c>
      <c r="O1224">
        <v>2</v>
      </c>
      <c r="P1224">
        <v>3</v>
      </c>
      <c r="Q1224" s="13">
        <v>0.45971908192667371</v>
      </c>
      <c r="R1224" t="s">
        <v>249</v>
      </c>
      <c r="S1224">
        <v>-0.1105690741354219</v>
      </c>
      <c r="T1224" t="s">
        <v>60</v>
      </c>
      <c r="U1224" t="s">
        <v>60</v>
      </c>
      <c r="X1224" t="s">
        <v>60</v>
      </c>
      <c r="Y1224" t="s">
        <v>412</v>
      </c>
      <c r="Z1224" t="s">
        <v>60</v>
      </c>
      <c r="AA1224" t="s">
        <v>491</v>
      </c>
    </row>
    <row r="1225" spans="1:27" x14ac:dyDescent="0.2">
      <c r="A1225" s="1">
        <v>46117</v>
      </c>
      <c r="B1225" t="s">
        <v>328</v>
      </c>
      <c r="C1225" t="s">
        <v>22</v>
      </c>
      <c r="D1225" t="s">
        <v>15</v>
      </c>
      <c r="E1225" t="s">
        <v>544</v>
      </c>
      <c r="F1225" t="s">
        <v>22</v>
      </c>
      <c r="G1225">
        <v>2</v>
      </c>
      <c r="H1225">
        <v>3</v>
      </c>
      <c r="I1225" s="13">
        <v>0.6</v>
      </c>
      <c r="J1225" t="s">
        <v>249</v>
      </c>
      <c r="L1225" t="s">
        <v>60</v>
      </c>
      <c r="M1225" t="s">
        <v>60</v>
      </c>
      <c r="N1225" t="s">
        <v>22</v>
      </c>
      <c r="O1225">
        <v>2</v>
      </c>
      <c r="P1225">
        <v>3</v>
      </c>
      <c r="Q1225" s="13">
        <v>0.58201073598961128</v>
      </c>
      <c r="R1225" t="s">
        <v>249</v>
      </c>
      <c r="S1225">
        <v>-0.68084046841453705</v>
      </c>
      <c r="T1225" t="s">
        <v>60</v>
      </c>
      <c r="U1225" t="s">
        <v>60</v>
      </c>
      <c r="X1225" t="s">
        <v>60</v>
      </c>
      <c r="Y1225" t="s">
        <v>412</v>
      </c>
      <c r="Z1225" t="s">
        <v>60</v>
      </c>
      <c r="AA1225" t="s">
        <v>491</v>
      </c>
    </row>
    <row r="1226" spans="1:27" x14ac:dyDescent="0.2">
      <c r="A1226" s="1">
        <v>46117</v>
      </c>
      <c r="B1226" t="s">
        <v>453</v>
      </c>
      <c r="C1226" t="s">
        <v>11</v>
      </c>
      <c r="D1226" t="s">
        <v>14</v>
      </c>
      <c r="E1226" t="s">
        <v>1485</v>
      </c>
      <c r="F1226" t="s">
        <v>14</v>
      </c>
      <c r="G1226">
        <v>2</v>
      </c>
      <c r="H1226">
        <v>3</v>
      </c>
      <c r="I1226" s="13">
        <v>0.6</v>
      </c>
      <c r="J1226" t="s">
        <v>249</v>
      </c>
      <c r="L1226" t="s">
        <v>60</v>
      </c>
      <c r="M1226" t="s">
        <v>60</v>
      </c>
      <c r="N1226" t="s">
        <v>14</v>
      </c>
      <c r="O1226">
        <v>2</v>
      </c>
      <c r="P1226">
        <v>3</v>
      </c>
      <c r="Q1226" s="13">
        <v>0.57558462291084611</v>
      </c>
      <c r="R1226" t="s">
        <v>249</v>
      </c>
      <c r="S1226">
        <v>0.30475481842177898</v>
      </c>
      <c r="T1226" t="s">
        <v>60</v>
      </c>
      <c r="U1226" t="s">
        <v>60</v>
      </c>
      <c r="X1226" t="s">
        <v>60</v>
      </c>
      <c r="Y1226" t="s">
        <v>412</v>
      </c>
      <c r="Z1226" t="s">
        <v>60</v>
      </c>
      <c r="AA1226" t="s">
        <v>491</v>
      </c>
    </row>
    <row r="1227" spans="1:27" x14ac:dyDescent="0.2">
      <c r="A1227" s="1">
        <v>46117</v>
      </c>
      <c r="B1227" t="s">
        <v>347</v>
      </c>
      <c r="C1227" t="s">
        <v>34</v>
      </c>
      <c r="D1227" t="s">
        <v>26</v>
      </c>
      <c r="E1227" t="s">
        <v>1489</v>
      </c>
      <c r="F1227" t="s">
        <v>34</v>
      </c>
      <c r="G1227">
        <v>2</v>
      </c>
      <c r="H1227">
        <v>3</v>
      </c>
      <c r="I1227" s="13">
        <v>0.6</v>
      </c>
      <c r="J1227" t="s">
        <v>249</v>
      </c>
      <c r="L1227" t="s">
        <v>60</v>
      </c>
      <c r="M1227" t="s">
        <v>60</v>
      </c>
      <c r="N1227" t="s">
        <v>34</v>
      </c>
      <c r="O1227">
        <v>2</v>
      </c>
      <c r="P1227">
        <v>3</v>
      </c>
      <c r="Q1227" s="13">
        <v>0.59245809468373167</v>
      </c>
      <c r="R1227" t="s">
        <v>249</v>
      </c>
      <c r="S1227">
        <v>-0.77031402865966825</v>
      </c>
      <c r="T1227" t="s">
        <v>60</v>
      </c>
      <c r="U1227" t="s">
        <v>60</v>
      </c>
      <c r="X1227" t="s">
        <v>60</v>
      </c>
      <c r="Y1227" t="s">
        <v>412</v>
      </c>
      <c r="Z1227" t="s">
        <v>60</v>
      </c>
      <c r="AA1227" t="s">
        <v>491</v>
      </c>
    </row>
    <row r="1228" spans="1:27" x14ac:dyDescent="0.2">
      <c r="A1228" s="1">
        <v>46117</v>
      </c>
      <c r="B1228" t="s">
        <v>426</v>
      </c>
      <c r="C1228" t="s">
        <v>35</v>
      </c>
      <c r="D1228" t="s">
        <v>12</v>
      </c>
      <c r="E1228" t="s">
        <v>1100</v>
      </c>
      <c r="F1228" t="s">
        <v>12</v>
      </c>
      <c r="G1228">
        <v>2</v>
      </c>
      <c r="H1228">
        <v>3</v>
      </c>
      <c r="I1228" s="13">
        <v>0.6</v>
      </c>
      <c r="J1228" t="s">
        <v>249</v>
      </c>
      <c r="L1228" t="s">
        <v>60</v>
      </c>
      <c r="M1228" t="s">
        <v>60</v>
      </c>
      <c r="N1228" t="s">
        <v>12</v>
      </c>
      <c r="O1228">
        <v>2</v>
      </c>
      <c r="P1228">
        <v>3</v>
      </c>
      <c r="Q1228" s="13">
        <v>1</v>
      </c>
      <c r="R1228" t="s">
        <v>249</v>
      </c>
      <c r="S1228">
        <v>3.0762827792978609</v>
      </c>
      <c r="T1228" t="s">
        <v>60</v>
      </c>
      <c r="U1228" t="s">
        <v>60</v>
      </c>
      <c r="X1228" t="s">
        <v>60</v>
      </c>
      <c r="Y1228" t="s">
        <v>412</v>
      </c>
      <c r="Z1228" t="s">
        <v>60</v>
      </c>
      <c r="AA1228" t="s">
        <v>491</v>
      </c>
    </row>
    <row r="1229" spans="1:27" x14ac:dyDescent="0.2">
      <c r="A1229" s="1">
        <v>46117</v>
      </c>
      <c r="B1229" t="s">
        <v>328</v>
      </c>
      <c r="C1229" t="s">
        <v>24</v>
      </c>
      <c r="D1229" t="s">
        <v>18</v>
      </c>
      <c r="E1229" t="s">
        <v>1490</v>
      </c>
      <c r="F1229" t="s">
        <v>24</v>
      </c>
      <c r="G1229">
        <v>2</v>
      </c>
      <c r="H1229">
        <v>3</v>
      </c>
      <c r="I1229" s="13">
        <v>0.6</v>
      </c>
      <c r="J1229" t="s">
        <v>249</v>
      </c>
      <c r="L1229" t="s">
        <v>60</v>
      </c>
      <c r="M1229" t="s">
        <v>60</v>
      </c>
      <c r="N1229" t="s">
        <v>24</v>
      </c>
      <c r="O1229">
        <v>2</v>
      </c>
      <c r="P1229">
        <v>3</v>
      </c>
      <c r="Q1229" s="13">
        <v>0.54434987573897409</v>
      </c>
      <c r="R1229" t="s">
        <v>249</v>
      </c>
      <c r="S1229">
        <v>-0.54451913011526698</v>
      </c>
      <c r="T1229" t="s">
        <v>60</v>
      </c>
      <c r="U1229" t="s">
        <v>60</v>
      </c>
      <c r="X1229" t="s">
        <v>60</v>
      </c>
      <c r="Y1229" t="s">
        <v>412</v>
      </c>
      <c r="Z1229" t="s">
        <v>60</v>
      </c>
      <c r="AA1229" t="s">
        <v>491</v>
      </c>
    </row>
    <row r="1230" spans="1:27" x14ac:dyDescent="0.2">
      <c r="A1230" s="1">
        <v>46118</v>
      </c>
      <c r="B1230" t="s">
        <v>328</v>
      </c>
      <c r="C1230" t="s">
        <v>37</v>
      </c>
      <c r="D1230" t="s">
        <v>23</v>
      </c>
      <c r="E1230" t="s">
        <v>1372</v>
      </c>
      <c r="F1230" t="s">
        <v>37</v>
      </c>
      <c r="G1230">
        <v>2</v>
      </c>
      <c r="H1230">
        <v>3</v>
      </c>
      <c r="I1230" s="13">
        <v>0.6</v>
      </c>
      <c r="J1230" t="s">
        <v>249</v>
      </c>
      <c r="L1230" t="s">
        <v>60</v>
      </c>
      <c r="M1230" t="s">
        <v>60</v>
      </c>
      <c r="N1230" t="s">
        <v>37</v>
      </c>
      <c r="O1230">
        <v>2</v>
      </c>
      <c r="P1230">
        <v>3</v>
      </c>
      <c r="Q1230" s="13">
        <v>0.65174813974582668</v>
      </c>
      <c r="R1230" t="s">
        <v>249</v>
      </c>
      <c r="S1230">
        <v>-0.93671463356403162</v>
      </c>
      <c r="T1230" t="s">
        <v>60</v>
      </c>
      <c r="U1230" t="s">
        <v>60</v>
      </c>
      <c r="X1230" t="s">
        <v>60</v>
      </c>
      <c r="Y1230" t="s">
        <v>412</v>
      </c>
      <c r="Z1230" t="s">
        <v>60</v>
      </c>
      <c r="AA1230" t="s">
        <v>491</v>
      </c>
    </row>
    <row r="1231" spans="1:27" x14ac:dyDescent="0.2">
      <c r="A1231" s="1">
        <v>46118</v>
      </c>
      <c r="B1231" t="s">
        <v>340</v>
      </c>
      <c r="C1231" t="s">
        <v>29</v>
      </c>
      <c r="D1231" t="s">
        <v>13</v>
      </c>
      <c r="E1231" t="s">
        <v>1482</v>
      </c>
      <c r="F1231" t="s">
        <v>13</v>
      </c>
      <c r="G1231">
        <v>2</v>
      </c>
      <c r="H1231">
        <v>3</v>
      </c>
      <c r="I1231" s="13">
        <v>0.6</v>
      </c>
      <c r="J1231" t="s">
        <v>249</v>
      </c>
      <c r="L1231" t="s">
        <v>60</v>
      </c>
      <c r="M1231" t="s">
        <v>60</v>
      </c>
      <c r="N1231" t="s">
        <v>13</v>
      </c>
      <c r="O1231">
        <v>2</v>
      </c>
      <c r="P1231">
        <v>3</v>
      </c>
      <c r="Q1231" s="13">
        <v>0.6680365788692405</v>
      </c>
      <c r="R1231" t="s">
        <v>249</v>
      </c>
      <c r="S1231">
        <v>1.0965344340560099</v>
      </c>
      <c r="T1231" t="s">
        <v>60</v>
      </c>
      <c r="U1231" t="s">
        <v>60</v>
      </c>
      <c r="X1231" t="s">
        <v>60</v>
      </c>
      <c r="Y1231" t="s">
        <v>412</v>
      </c>
      <c r="Z1231" t="s">
        <v>60</v>
      </c>
      <c r="AA1231" t="s">
        <v>491</v>
      </c>
    </row>
    <row r="1232" spans="1:27" x14ac:dyDescent="0.2">
      <c r="A1232" s="1">
        <v>46118</v>
      </c>
      <c r="B1232" t="s">
        <v>322</v>
      </c>
      <c r="C1232" t="s">
        <v>10</v>
      </c>
      <c r="D1232" t="s">
        <v>33</v>
      </c>
      <c r="E1232" t="s">
        <v>1491</v>
      </c>
      <c r="F1232" t="s">
        <v>10</v>
      </c>
      <c r="G1232">
        <v>2</v>
      </c>
      <c r="H1232">
        <v>3</v>
      </c>
      <c r="I1232" s="13">
        <v>0.6</v>
      </c>
      <c r="J1232" t="s">
        <v>249</v>
      </c>
      <c r="L1232" t="s">
        <v>60</v>
      </c>
      <c r="M1232" t="s">
        <v>60</v>
      </c>
      <c r="N1232" t="s">
        <v>10</v>
      </c>
      <c r="O1232">
        <v>2</v>
      </c>
      <c r="P1232">
        <v>3</v>
      </c>
      <c r="Q1232" s="13">
        <v>0.47617714295874047</v>
      </c>
      <c r="R1232" t="s">
        <v>249</v>
      </c>
      <c r="S1232">
        <v>-0.22523398827476729</v>
      </c>
      <c r="T1232" t="s">
        <v>60</v>
      </c>
      <c r="U1232" t="s">
        <v>60</v>
      </c>
      <c r="X1232" t="s">
        <v>60</v>
      </c>
      <c r="Y1232" t="s">
        <v>412</v>
      </c>
      <c r="Z1232" t="s">
        <v>60</v>
      </c>
      <c r="AA1232" t="s">
        <v>491</v>
      </c>
    </row>
    <row r="1233" spans="1:27" x14ac:dyDescent="0.2">
      <c r="A1233" s="1">
        <v>46118</v>
      </c>
      <c r="B1233" t="s">
        <v>334</v>
      </c>
      <c r="C1233" t="s">
        <v>32</v>
      </c>
      <c r="D1233" t="s">
        <v>40</v>
      </c>
      <c r="E1233" t="s">
        <v>651</v>
      </c>
      <c r="F1233" t="s">
        <v>40</v>
      </c>
      <c r="G1233">
        <v>2</v>
      </c>
      <c r="H1233">
        <v>3</v>
      </c>
      <c r="I1233" s="13">
        <v>0.6</v>
      </c>
      <c r="J1233" t="s">
        <v>249</v>
      </c>
      <c r="L1233" t="s">
        <v>60</v>
      </c>
      <c r="M1233" t="s">
        <v>60</v>
      </c>
      <c r="N1233" t="s">
        <v>40</v>
      </c>
      <c r="O1233">
        <v>2</v>
      </c>
      <c r="P1233">
        <v>3</v>
      </c>
      <c r="Q1233" s="13">
        <v>0.58757089842028809</v>
      </c>
      <c r="R1233" t="s">
        <v>249</v>
      </c>
      <c r="S1233">
        <v>0.38603616041846089</v>
      </c>
      <c r="T1233" t="s">
        <v>60</v>
      </c>
      <c r="U1233" t="s">
        <v>60</v>
      </c>
      <c r="X1233" t="s">
        <v>60</v>
      </c>
      <c r="Y1233" t="s">
        <v>412</v>
      </c>
      <c r="Z1233" t="s">
        <v>60</v>
      </c>
      <c r="AA1233" t="s">
        <v>491</v>
      </c>
    </row>
    <row r="1234" spans="1:27" x14ac:dyDescent="0.2">
      <c r="A1234" s="1">
        <v>46119</v>
      </c>
      <c r="B1234" t="s">
        <v>426</v>
      </c>
      <c r="C1234" t="s">
        <v>17</v>
      </c>
      <c r="D1234" t="s">
        <v>55</v>
      </c>
      <c r="E1234" t="s">
        <v>1441</v>
      </c>
      <c r="F1234" t="s">
        <v>55</v>
      </c>
      <c r="G1234">
        <v>2</v>
      </c>
      <c r="H1234">
        <v>3</v>
      </c>
      <c r="I1234" s="13">
        <v>0.6</v>
      </c>
      <c r="J1234" t="s">
        <v>249</v>
      </c>
      <c r="L1234" t="s">
        <v>60</v>
      </c>
      <c r="M1234" t="s">
        <v>60</v>
      </c>
      <c r="N1234" t="s">
        <v>55</v>
      </c>
      <c r="O1234">
        <v>2</v>
      </c>
      <c r="P1234">
        <v>3</v>
      </c>
      <c r="Q1234" s="13">
        <v>0.63467122482615079</v>
      </c>
      <c r="R1234" t="s">
        <v>249</v>
      </c>
      <c r="S1234">
        <v>0.46452412413950173</v>
      </c>
      <c r="T1234" t="s">
        <v>60</v>
      </c>
      <c r="U1234" t="s">
        <v>60</v>
      </c>
      <c r="X1234" t="s">
        <v>60</v>
      </c>
      <c r="Y1234" t="s">
        <v>412</v>
      </c>
      <c r="Z1234" t="s">
        <v>60</v>
      </c>
      <c r="AA1234" t="s">
        <v>491</v>
      </c>
    </row>
    <row r="1235" spans="1:27" x14ac:dyDescent="0.2">
      <c r="A1235" s="1">
        <v>46119</v>
      </c>
      <c r="B1235" t="s">
        <v>324</v>
      </c>
      <c r="C1235" t="s">
        <v>12</v>
      </c>
      <c r="D1235" t="s">
        <v>35</v>
      </c>
      <c r="E1235" t="s">
        <v>1492</v>
      </c>
      <c r="F1235" t="s">
        <v>12</v>
      </c>
      <c r="G1235">
        <v>2</v>
      </c>
      <c r="H1235">
        <v>3</v>
      </c>
      <c r="I1235" s="13">
        <v>0.6</v>
      </c>
      <c r="J1235" t="s">
        <v>249</v>
      </c>
      <c r="L1235" t="s">
        <v>60</v>
      </c>
      <c r="M1235" t="s">
        <v>60</v>
      </c>
      <c r="N1235" t="s">
        <v>12</v>
      </c>
      <c r="O1235">
        <v>2</v>
      </c>
      <c r="P1235">
        <v>3</v>
      </c>
      <c r="Q1235" s="13">
        <v>0.88017128844573156</v>
      </c>
      <c r="R1235" t="s">
        <v>249</v>
      </c>
      <c r="S1235">
        <v>-2.976481281451536</v>
      </c>
      <c r="T1235" t="s">
        <v>60</v>
      </c>
      <c r="U1235" t="s">
        <v>60</v>
      </c>
      <c r="X1235" t="s">
        <v>60</v>
      </c>
      <c r="Y1235" t="s">
        <v>412</v>
      </c>
      <c r="Z1235" t="s">
        <v>60</v>
      </c>
      <c r="AA1235" t="s">
        <v>491</v>
      </c>
    </row>
    <row r="1236" spans="1:27" x14ac:dyDescent="0.2">
      <c r="A1236" s="1">
        <v>46119</v>
      </c>
      <c r="B1236" t="s">
        <v>328</v>
      </c>
      <c r="C1236" t="s">
        <v>37</v>
      </c>
      <c r="D1236" t="s">
        <v>36</v>
      </c>
      <c r="E1236" t="s">
        <v>1493</v>
      </c>
      <c r="F1236" t="s">
        <v>37</v>
      </c>
      <c r="G1236">
        <v>2</v>
      </c>
      <c r="H1236">
        <v>3</v>
      </c>
      <c r="I1236" s="13">
        <v>0.6</v>
      </c>
      <c r="J1236" t="s">
        <v>249</v>
      </c>
      <c r="L1236" t="s">
        <v>60</v>
      </c>
      <c r="M1236" t="s">
        <v>60</v>
      </c>
      <c r="N1236" t="s">
        <v>37</v>
      </c>
      <c r="O1236">
        <v>2</v>
      </c>
      <c r="P1236">
        <v>3</v>
      </c>
      <c r="Q1236" s="13">
        <v>0.66582833461791524</v>
      </c>
      <c r="R1236" t="s">
        <v>249</v>
      </c>
      <c r="S1236">
        <v>-0.99198024868828039</v>
      </c>
      <c r="T1236" t="s">
        <v>60</v>
      </c>
      <c r="U1236" t="s">
        <v>60</v>
      </c>
      <c r="X1236" t="s">
        <v>60</v>
      </c>
      <c r="Y1236" t="s">
        <v>412</v>
      </c>
      <c r="Z1236" t="s">
        <v>60</v>
      </c>
      <c r="AA1236" t="s">
        <v>491</v>
      </c>
    </row>
    <row r="1237" spans="1:27" x14ac:dyDescent="0.2">
      <c r="A1237" s="1">
        <v>46119</v>
      </c>
      <c r="B1237" t="s">
        <v>328</v>
      </c>
      <c r="C1237" t="s">
        <v>27</v>
      </c>
      <c r="D1237" t="s">
        <v>24</v>
      </c>
      <c r="E1237" t="s">
        <v>457</v>
      </c>
      <c r="F1237" t="s">
        <v>24</v>
      </c>
      <c r="G1237">
        <v>2</v>
      </c>
      <c r="H1237">
        <v>3</v>
      </c>
      <c r="I1237" s="13">
        <v>0.6</v>
      </c>
      <c r="J1237" t="s">
        <v>249</v>
      </c>
      <c r="L1237" t="s">
        <v>60</v>
      </c>
      <c r="M1237" t="s">
        <v>60</v>
      </c>
      <c r="N1237" t="s">
        <v>24</v>
      </c>
      <c r="O1237">
        <v>2</v>
      </c>
      <c r="P1237">
        <v>3</v>
      </c>
      <c r="Q1237" s="13">
        <v>0.62935128001206531</v>
      </c>
      <c r="R1237" t="s">
        <v>249</v>
      </c>
      <c r="S1237">
        <v>0.43167058319408269</v>
      </c>
      <c r="T1237" t="s">
        <v>60</v>
      </c>
      <c r="U1237" t="s">
        <v>60</v>
      </c>
      <c r="X1237" t="s">
        <v>60</v>
      </c>
      <c r="Y1237" t="s">
        <v>412</v>
      </c>
      <c r="Z1237" t="s">
        <v>60</v>
      </c>
      <c r="AA1237" t="s">
        <v>491</v>
      </c>
    </row>
    <row r="1238" spans="1:27" x14ac:dyDescent="0.2">
      <c r="A1238" s="1">
        <v>46119</v>
      </c>
      <c r="B1238" t="s">
        <v>328</v>
      </c>
      <c r="C1238" t="s">
        <v>11</v>
      </c>
      <c r="D1238" t="s">
        <v>18</v>
      </c>
      <c r="E1238" t="s">
        <v>1149</v>
      </c>
      <c r="F1238" t="s">
        <v>11</v>
      </c>
      <c r="G1238">
        <v>2</v>
      </c>
      <c r="H1238">
        <v>3</v>
      </c>
      <c r="I1238" s="13">
        <v>0.6</v>
      </c>
      <c r="J1238" t="s">
        <v>249</v>
      </c>
      <c r="L1238" t="s">
        <v>60</v>
      </c>
      <c r="M1238" t="s">
        <v>60</v>
      </c>
      <c r="N1238" t="s">
        <v>11</v>
      </c>
      <c r="O1238">
        <v>2</v>
      </c>
      <c r="P1238">
        <v>3</v>
      </c>
      <c r="Q1238" s="13">
        <v>0.47703254407868428</v>
      </c>
      <c r="R1238" t="s">
        <v>249</v>
      </c>
      <c r="S1238">
        <v>-0.14587058828655619</v>
      </c>
      <c r="T1238" t="s">
        <v>60</v>
      </c>
      <c r="U1238" t="s">
        <v>60</v>
      </c>
      <c r="X1238" t="s">
        <v>60</v>
      </c>
      <c r="Y1238" t="s">
        <v>412</v>
      </c>
      <c r="Z1238" t="s">
        <v>60</v>
      </c>
      <c r="AA1238" t="s">
        <v>491</v>
      </c>
    </row>
    <row r="1239" spans="1:27" x14ac:dyDescent="0.2">
      <c r="A1239" s="1">
        <v>46119</v>
      </c>
      <c r="B1239" t="s">
        <v>324</v>
      </c>
      <c r="C1239" t="s">
        <v>16</v>
      </c>
      <c r="D1239" t="s">
        <v>39</v>
      </c>
      <c r="E1239" t="s">
        <v>1494</v>
      </c>
      <c r="F1239" t="s">
        <v>39</v>
      </c>
      <c r="G1239">
        <v>2</v>
      </c>
      <c r="H1239">
        <v>3</v>
      </c>
      <c r="I1239" s="13">
        <v>0.6</v>
      </c>
      <c r="J1239" t="s">
        <v>249</v>
      </c>
      <c r="L1239" t="s">
        <v>60</v>
      </c>
      <c r="M1239" t="s">
        <v>60</v>
      </c>
      <c r="N1239" t="s">
        <v>39</v>
      </c>
      <c r="O1239">
        <v>2</v>
      </c>
      <c r="P1239">
        <v>3</v>
      </c>
      <c r="Q1239" s="13">
        <v>0.75079392293246339</v>
      </c>
      <c r="R1239" t="s">
        <v>249</v>
      </c>
      <c r="S1239">
        <v>1.529124529822903</v>
      </c>
      <c r="T1239" t="s">
        <v>60</v>
      </c>
      <c r="U1239" t="s">
        <v>60</v>
      </c>
      <c r="X1239" t="s">
        <v>60</v>
      </c>
      <c r="Y1239" t="s">
        <v>412</v>
      </c>
      <c r="Z1239" t="s">
        <v>60</v>
      </c>
      <c r="AA1239" t="s">
        <v>491</v>
      </c>
    </row>
    <row r="1240" spans="1:27" x14ac:dyDescent="0.2">
      <c r="A1240" s="1">
        <v>46119</v>
      </c>
      <c r="B1240" t="s">
        <v>328</v>
      </c>
      <c r="C1240" t="s">
        <v>28</v>
      </c>
      <c r="D1240" t="s">
        <v>26</v>
      </c>
      <c r="E1240" t="s">
        <v>348</v>
      </c>
      <c r="F1240" t="s">
        <v>28</v>
      </c>
      <c r="G1240">
        <v>2</v>
      </c>
      <c r="H1240">
        <v>3</v>
      </c>
      <c r="I1240" s="13">
        <v>0.6</v>
      </c>
      <c r="J1240" t="s">
        <v>249</v>
      </c>
      <c r="L1240" t="s">
        <v>60</v>
      </c>
      <c r="M1240" t="s">
        <v>60</v>
      </c>
      <c r="N1240" t="s">
        <v>28</v>
      </c>
      <c r="O1240">
        <v>2</v>
      </c>
      <c r="P1240">
        <v>3</v>
      </c>
      <c r="Q1240" s="13">
        <v>0.49048452895378603</v>
      </c>
      <c r="R1240" t="s">
        <v>249</v>
      </c>
      <c r="S1240">
        <v>-0.23044941175860681</v>
      </c>
      <c r="T1240" t="s">
        <v>60</v>
      </c>
      <c r="U1240" t="s">
        <v>60</v>
      </c>
      <c r="X1240" t="s">
        <v>60</v>
      </c>
      <c r="Y1240" t="s">
        <v>412</v>
      </c>
      <c r="Z1240" t="s">
        <v>60</v>
      </c>
      <c r="AA1240" t="s">
        <v>491</v>
      </c>
    </row>
    <row r="1241" spans="1:27" x14ac:dyDescent="0.2">
      <c r="A1241" s="1">
        <v>46119</v>
      </c>
      <c r="B1241" t="s">
        <v>322</v>
      </c>
      <c r="C1241" t="s">
        <v>20</v>
      </c>
      <c r="D1241" t="s">
        <v>38</v>
      </c>
      <c r="E1241" t="s">
        <v>1495</v>
      </c>
      <c r="F1241" t="s">
        <v>20</v>
      </c>
      <c r="G1241">
        <v>2</v>
      </c>
      <c r="H1241">
        <v>3</v>
      </c>
      <c r="I1241" s="13">
        <v>0.6</v>
      </c>
      <c r="J1241" t="s">
        <v>249</v>
      </c>
      <c r="L1241" t="s">
        <v>60</v>
      </c>
      <c r="M1241" t="s">
        <v>60</v>
      </c>
      <c r="N1241" t="s">
        <v>20</v>
      </c>
      <c r="O1241">
        <v>2</v>
      </c>
      <c r="P1241">
        <v>3</v>
      </c>
      <c r="Q1241" s="13">
        <v>0.53628664108623059</v>
      </c>
      <c r="R1241" t="s">
        <v>249</v>
      </c>
      <c r="S1241">
        <v>-0.65333617586700521</v>
      </c>
      <c r="T1241" t="s">
        <v>60</v>
      </c>
      <c r="U1241" t="s">
        <v>60</v>
      </c>
      <c r="X1241" t="s">
        <v>60</v>
      </c>
      <c r="Y1241" t="s">
        <v>412</v>
      </c>
      <c r="Z1241" t="s">
        <v>60</v>
      </c>
      <c r="AA1241" t="s">
        <v>491</v>
      </c>
    </row>
    <row r="1242" spans="1:27" x14ac:dyDescent="0.2">
      <c r="A1242" s="1">
        <v>46119</v>
      </c>
      <c r="B1242" t="s">
        <v>328</v>
      </c>
      <c r="C1242" t="s">
        <v>21</v>
      </c>
      <c r="D1242" t="s">
        <v>25</v>
      </c>
      <c r="E1242" t="s">
        <v>1496</v>
      </c>
      <c r="F1242" t="s">
        <v>25</v>
      </c>
      <c r="G1242">
        <v>2</v>
      </c>
      <c r="H1242">
        <v>3</v>
      </c>
      <c r="I1242" s="13">
        <v>0.6</v>
      </c>
      <c r="J1242" t="s">
        <v>249</v>
      </c>
      <c r="L1242" t="s">
        <v>60</v>
      </c>
      <c r="M1242" t="s">
        <v>60</v>
      </c>
      <c r="N1242" t="s">
        <v>25</v>
      </c>
      <c r="O1242">
        <v>2</v>
      </c>
      <c r="P1242">
        <v>3</v>
      </c>
      <c r="Q1242" s="13">
        <v>0.67210095773054734</v>
      </c>
      <c r="R1242" t="s">
        <v>249</v>
      </c>
      <c r="S1242">
        <v>0.69534564669944676</v>
      </c>
      <c r="T1242" t="s">
        <v>60</v>
      </c>
      <c r="U1242" t="s">
        <v>60</v>
      </c>
      <c r="X1242" t="s">
        <v>60</v>
      </c>
      <c r="Y1242" t="s">
        <v>412</v>
      </c>
      <c r="Z1242" t="s">
        <v>60</v>
      </c>
      <c r="AA1242" t="s">
        <v>491</v>
      </c>
    </row>
    <row r="1243" spans="1:27" x14ac:dyDescent="0.2">
      <c r="A1243" s="1">
        <v>46119</v>
      </c>
      <c r="B1243" t="s">
        <v>322</v>
      </c>
      <c r="C1243" t="s">
        <v>29</v>
      </c>
      <c r="D1243" t="s">
        <v>31</v>
      </c>
      <c r="E1243" t="s">
        <v>1497</v>
      </c>
      <c r="F1243" t="s">
        <v>31</v>
      </c>
      <c r="G1243">
        <v>2</v>
      </c>
      <c r="H1243">
        <v>3</v>
      </c>
      <c r="I1243" s="13">
        <v>0.6</v>
      </c>
      <c r="J1243" t="s">
        <v>249</v>
      </c>
      <c r="L1243" t="s">
        <v>60</v>
      </c>
      <c r="M1243" t="s">
        <v>60</v>
      </c>
      <c r="N1243" t="s">
        <v>31</v>
      </c>
      <c r="O1243">
        <v>2</v>
      </c>
      <c r="P1243">
        <v>3</v>
      </c>
      <c r="Q1243" s="13">
        <v>0.8082371077362871</v>
      </c>
      <c r="R1243" t="s">
        <v>249</v>
      </c>
      <c r="S1243">
        <v>1.6135210545724901</v>
      </c>
      <c r="T1243" t="s">
        <v>60</v>
      </c>
      <c r="U1243" t="s">
        <v>60</v>
      </c>
      <c r="X1243" t="s">
        <v>60</v>
      </c>
      <c r="Y1243" t="s">
        <v>412</v>
      </c>
      <c r="Z1243" t="s">
        <v>60</v>
      </c>
      <c r="AA1243" t="s">
        <v>491</v>
      </c>
    </row>
    <row r="1244" spans="1:27" x14ac:dyDescent="0.2">
      <c r="A1244" s="1">
        <v>46119</v>
      </c>
      <c r="B1244" t="s">
        <v>324</v>
      </c>
      <c r="C1244" t="s">
        <v>32</v>
      </c>
      <c r="D1244" t="s">
        <v>34</v>
      </c>
      <c r="E1244" t="s">
        <v>1498</v>
      </c>
      <c r="F1244" t="s">
        <v>34</v>
      </c>
      <c r="G1244">
        <v>2</v>
      </c>
      <c r="H1244">
        <v>3</v>
      </c>
      <c r="I1244" s="13">
        <v>0.6</v>
      </c>
      <c r="J1244" t="s">
        <v>249</v>
      </c>
      <c r="L1244" t="s">
        <v>60</v>
      </c>
      <c r="M1244" t="s">
        <v>60</v>
      </c>
      <c r="N1244" t="s">
        <v>34</v>
      </c>
      <c r="O1244">
        <v>2</v>
      </c>
      <c r="P1244">
        <v>3</v>
      </c>
      <c r="Q1244" s="13">
        <v>0.6152143927434286</v>
      </c>
      <c r="R1244" t="s">
        <v>249</v>
      </c>
      <c r="S1244">
        <v>0.64415319675177363</v>
      </c>
      <c r="T1244" t="s">
        <v>60</v>
      </c>
      <c r="U1244" t="s">
        <v>60</v>
      </c>
      <c r="X1244" t="s">
        <v>60</v>
      </c>
      <c r="Y1244" t="s">
        <v>412</v>
      </c>
      <c r="Z1244" t="s">
        <v>60</v>
      </c>
      <c r="AA1244" t="s">
        <v>491</v>
      </c>
    </row>
    <row r="1245" spans="1:27" x14ac:dyDescent="0.2">
      <c r="A1245" s="1">
        <v>46120</v>
      </c>
      <c r="B1245" t="s">
        <v>322</v>
      </c>
      <c r="C1245" t="s">
        <v>17</v>
      </c>
      <c r="D1245" t="s">
        <v>33</v>
      </c>
      <c r="E1245" t="s">
        <v>1322</v>
      </c>
      <c r="F1245" t="s">
        <v>33</v>
      </c>
      <c r="G1245">
        <v>2</v>
      </c>
      <c r="H1245">
        <v>3</v>
      </c>
      <c r="I1245" s="13">
        <v>0.6</v>
      </c>
      <c r="J1245" t="s">
        <v>249</v>
      </c>
      <c r="L1245" t="s">
        <v>60</v>
      </c>
      <c r="M1245" t="s">
        <v>60</v>
      </c>
      <c r="N1245" t="s">
        <v>33</v>
      </c>
      <c r="O1245">
        <v>2</v>
      </c>
      <c r="P1245">
        <v>3</v>
      </c>
      <c r="Q1245" s="13">
        <v>0.59873333590647571</v>
      </c>
      <c r="R1245" t="s">
        <v>249</v>
      </c>
      <c r="S1245">
        <v>0.41631642077844078</v>
      </c>
      <c r="T1245" t="s">
        <v>60</v>
      </c>
      <c r="U1245" t="s">
        <v>60</v>
      </c>
      <c r="X1245" t="s">
        <v>60</v>
      </c>
      <c r="Y1245" t="s">
        <v>412</v>
      </c>
      <c r="Z1245" t="s">
        <v>60</v>
      </c>
      <c r="AA1245" t="s">
        <v>491</v>
      </c>
    </row>
    <row r="1246" spans="1:27" x14ac:dyDescent="0.2">
      <c r="A1246" s="1">
        <v>46120</v>
      </c>
      <c r="B1246" t="s">
        <v>334</v>
      </c>
      <c r="C1246" t="s">
        <v>22</v>
      </c>
      <c r="D1246" t="s">
        <v>19</v>
      </c>
      <c r="E1246" t="s">
        <v>1499</v>
      </c>
      <c r="F1246" t="s">
        <v>22</v>
      </c>
      <c r="G1246">
        <v>2</v>
      </c>
      <c r="H1246">
        <v>3</v>
      </c>
      <c r="I1246" s="13">
        <v>0.6</v>
      </c>
      <c r="J1246" t="s">
        <v>249</v>
      </c>
      <c r="L1246" t="s">
        <v>60</v>
      </c>
      <c r="M1246" t="s">
        <v>60</v>
      </c>
      <c r="N1246" t="s">
        <v>22</v>
      </c>
      <c r="O1246">
        <v>2</v>
      </c>
      <c r="P1246">
        <v>3</v>
      </c>
      <c r="Q1246" s="13">
        <v>0.62222972747717475</v>
      </c>
      <c r="R1246" t="s">
        <v>249</v>
      </c>
      <c r="S1246">
        <v>-1.025285075249575</v>
      </c>
      <c r="T1246" t="s">
        <v>60</v>
      </c>
      <c r="U1246" t="s">
        <v>60</v>
      </c>
      <c r="X1246" t="s">
        <v>60</v>
      </c>
      <c r="Y1246" t="s">
        <v>412</v>
      </c>
      <c r="Z1246" t="s">
        <v>60</v>
      </c>
      <c r="AA1246" t="s">
        <v>491</v>
      </c>
    </row>
    <row r="1247" spans="1:27" x14ac:dyDescent="0.2">
      <c r="A1247" s="1">
        <v>46120</v>
      </c>
      <c r="B1247" t="s">
        <v>328</v>
      </c>
      <c r="C1247" t="s">
        <v>23</v>
      </c>
      <c r="D1247" t="s">
        <v>15</v>
      </c>
      <c r="E1247" t="s">
        <v>1148</v>
      </c>
      <c r="F1247" t="s">
        <v>15</v>
      </c>
      <c r="G1247">
        <v>2</v>
      </c>
      <c r="H1247">
        <v>3</v>
      </c>
      <c r="I1247" s="13">
        <v>0.6</v>
      </c>
      <c r="J1247" t="s">
        <v>249</v>
      </c>
      <c r="L1247" t="s">
        <v>60</v>
      </c>
      <c r="M1247" t="s">
        <v>60</v>
      </c>
      <c r="N1247" t="s">
        <v>15</v>
      </c>
      <c r="O1247">
        <v>2</v>
      </c>
      <c r="P1247">
        <v>3</v>
      </c>
      <c r="Q1247" s="13">
        <v>0.56755382089589856</v>
      </c>
      <c r="R1247" t="s">
        <v>249</v>
      </c>
      <c r="S1247">
        <v>0.2359772001798095</v>
      </c>
      <c r="T1247" t="s">
        <v>60</v>
      </c>
      <c r="U1247" t="s">
        <v>60</v>
      </c>
      <c r="X1247" t="s">
        <v>60</v>
      </c>
      <c r="Y1247" t="s">
        <v>412</v>
      </c>
      <c r="Z1247" t="s">
        <v>60</v>
      </c>
      <c r="AA1247" t="s">
        <v>491</v>
      </c>
    </row>
    <row r="1248" spans="1:27" x14ac:dyDescent="0.2">
      <c r="A1248" s="1">
        <v>46121</v>
      </c>
      <c r="B1248" t="s">
        <v>328</v>
      </c>
      <c r="C1248" t="s">
        <v>19</v>
      </c>
      <c r="D1248" t="s">
        <v>30</v>
      </c>
      <c r="E1248" t="s">
        <v>1112</v>
      </c>
      <c r="F1248" t="s">
        <v>30</v>
      </c>
      <c r="G1248">
        <v>2</v>
      </c>
      <c r="H1248">
        <v>3</v>
      </c>
      <c r="I1248" s="13">
        <v>0.6</v>
      </c>
      <c r="J1248" t="s">
        <v>249</v>
      </c>
      <c r="L1248" t="s">
        <v>60</v>
      </c>
      <c r="M1248" t="s">
        <v>60</v>
      </c>
      <c r="N1248" t="s">
        <v>30</v>
      </c>
      <c r="O1248">
        <v>2</v>
      </c>
      <c r="P1248">
        <v>3</v>
      </c>
      <c r="Q1248" s="13">
        <v>0.59177902208766475</v>
      </c>
      <c r="R1248" t="s">
        <v>249</v>
      </c>
      <c r="S1248">
        <v>0.44344734280081027</v>
      </c>
      <c r="T1248" t="s">
        <v>60</v>
      </c>
      <c r="U1248" t="s">
        <v>60</v>
      </c>
      <c r="X1248" t="s">
        <v>60</v>
      </c>
      <c r="Y1248" t="s">
        <v>412</v>
      </c>
      <c r="Z1248" t="s">
        <v>60</v>
      </c>
      <c r="AA1248" t="s">
        <v>491</v>
      </c>
    </row>
    <row r="1249" spans="1:27" x14ac:dyDescent="0.2">
      <c r="A1249" s="1">
        <v>46121</v>
      </c>
      <c r="B1249" t="s">
        <v>326</v>
      </c>
      <c r="C1249" t="s">
        <v>29</v>
      </c>
      <c r="D1249" t="s">
        <v>55</v>
      </c>
      <c r="E1249" t="s">
        <v>1081</v>
      </c>
      <c r="F1249" t="s">
        <v>55</v>
      </c>
      <c r="G1249">
        <v>2</v>
      </c>
      <c r="H1249">
        <v>3</v>
      </c>
      <c r="I1249" s="13">
        <v>0.6</v>
      </c>
      <c r="J1249" t="s">
        <v>249</v>
      </c>
      <c r="L1249" t="s">
        <v>60</v>
      </c>
      <c r="M1249" t="s">
        <v>60</v>
      </c>
      <c r="N1249" t="s">
        <v>55</v>
      </c>
      <c r="O1249">
        <v>2</v>
      </c>
      <c r="P1249">
        <v>3</v>
      </c>
      <c r="Q1249" s="13">
        <v>0.70089676550215485</v>
      </c>
      <c r="R1249" t="s">
        <v>249</v>
      </c>
      <c r="S1249">
        <v>1.031694743712041</v>
      </c>
      <c r="T1249" t="s">
        <v>60</v>
      </c>
      <c r="U1249" t="s">
        <v>60</v>
      </c>
      <c r="X1249" t="s">
        <v>60</v>
      </c>
      <c r="Y1249" t="s">
        <v>412</v>
      </c>
      <c r="Z1249" t="s">
        <v>60</v>
      </c>
      <c r="AA1249" t="s">
        <v>491</v>
      </c>
    </row>
    <row r="1250" spans="1:27" x14ac:dyDescent="0.2">
      <c r="A1250" s="1">
        <v>46121</v>
      </c>
      <c r="B1250" t="s">
        <v>324</v>
      </c>
      <c r="C1250" t="s">
        <v>40</v>
      </c>
      <c r="D1250" t="s">
        <v>35</v>
      </c>
      <c r="E1250" t="s">
        <v>1020</v>
      </c>
      <c r="F1250" t="s">
        <v>40</v>
      </c>
      <c r="G1250">
        <v>2</v>
      </c>
      <c r="H1250">
        <v>3</v>
      </c>
      <c r="I1250" s="13">
        <v>0.6</v>
      </c>
      <c r="J1250" t="s">
        <v>249</v>
      </c>
      <c r="L1250" t="s">
        <v>60</v>
      </c>
      <c r="M1250" t="s">
        <v>60</v>
      </c>
      <c r="N1250" t="s">
        <v>40</v>
      </c>
      <c r="O1250">
        <v>2</v>
      </c>
      <c r="P1250">
        <v>3</v>
      </c>
      <c r="Q1250" s="13">
        <v>0.60119290676073633</v>
      </c>
      <c r="R1250" t="s">
        <v>249</v>
      </c>
      <c r="S1250">
        <v>-1.031335799241768</v>
      </c>
      <c r="T1250" t="s">
        <v>60</v>
      </c>
      <c r="U1250" t="s">
        <v>60</v>
      </c>
      <c r="X1250" t="s">
        <v>60</v>
      </c>
      <c r="Y1250" t="s">
        <v>412</v>
      </c>
      <c r="Z1250" t="s">
        <v>60</v>
      </c>
      <c r="AA1250" t="s">
        <v>491</v>
      </c>
    </row>
    <row r="1251" spans="1:27" x14ac:dyDescent="0.2">
      <c r="A1251" s="1">
        <v>46121</v>
      </c>
      <c r="B1251" t="s">
        <v>322</v>
      </c>
      <c r="C1251" t="s">
        <v>20</v>
      </c>
      <c r="D1251" t="s">
        <v>32</v>
      </c>
      <c r="E1251" t="s">
        <v>536</v>
      </c>
      <c r="F1251" t="s">
        <v>20</v>
      </c>
      <c r="G1251">
        <v>2</v>
      </c>
      <c r="H1251">
        <v>3</v>
      </c>
      <c r="I1251" s="13">
        <v>0.6</v>
      </c>
      <c r="J1251" t="s">
        <v>249</v>
      </c>
      <c r="L1251" t="s">
        <v>60</v>
      </c>
      <c r="M1251" t="s">
        <v>60</v>
      </c>
      <c r="N1251" t="s">
        <v>20</v>
      </c>
      <c r="O1251">
        <v>2</v>
      </c>
      <c r="P1251">
        <v>3</v>
      </c>
      <c r="Q1251" s="13">
        <v>0.50145565279430626</v>
      </c>
      <c r="R1251" t="s">
        <v>249</v>
      </c>
      <c r="S1251">
        <v>-0.3550356560342911</v>
      </c>
      <c r="T1251" t="s">
        <v>60</v>
      </c>
      <c r="U1251" t="s">
        <v>60</v>
      </c>
      <c r="X1251" t="s">
        <v>60</v>
      </c>
      <c r="Y1251" t="s">
        <v>412</v>
      </c>
      <c r="Z1251" t="s">
        <v>60</v>
      </c>
      <c r="AA1251" t="s">
        <v>491</v>
      </c>
    </row>
    <row r="1252" spans="1:27" x14ac:dyDescent="0.2">
      <c r="A1252" s="1">
        <v>46121</v>
      </c>
      <c r="B1252" t="s">
        <v>328</v>
      </c>
      <c r="C1252" t="s">
        <v>11</v>
      </c>
      <c r="D1252" t="s">
        <v>36</v>
      </c>
      <c r="E1252" t="s">
        <v>1161</v>
      </c>
      <c r="F1252" t="s">
        <v>11</v>
      </c>
      <c r="G1252">
        <v>2</v>
      </c>
      <c r="H1252">
        <v>3</v>
      </c>
      <c r="I1252" s="13">
        <v>0.6</v>
      </c>
      <c r="J1252" t="s">
        <v>249</v>
      </c>
      <c r="L1252" t="s">
        <v>60</v>
      </c>
      <c r="M1252" t="s">
        <v>60</v>
      </c>
      <c r="N1252" t="s">
        <v>11</v>
      </c>
      <c r="O1252">
        <v>2</v>
      </c>
      <c r="P1252">
        <v>3</v>
      </c>
      <c r="Q1252" s="13">
        <v>0.46735444683623861</v>
      </c>
      <c r="R1252" t="s">
        <v>249</v>
      </c>
      <c r="S1252">
        <v>-8.4357010877569499E-2</v>
      </c>
      <c r="T1252" t="s">
        <v>60</v>
      </c>
      <c r="U1252" t="s">
        <v>60</v>
      </c>
      <c r="X1252" t="s">
        <v>60</v>
      </c>
      <c r="Y1252" t="s">
        <v>412</v>
      </c>
      <c r="Z1252" t="s">
        <v>60</v>
      </c>
      <c r="AA1252" t="s">
        <v>491</v>
      </c>
    </row>
    <row r="1253" spans="1:27" x14ac:dyDescent="0.2">
      <c r="A1253" s="1">
        <v>46121</v>
      </c>
      <c r="B1253" t="s">
        <v>328</v>
      </c>
      <c r="C1253" t="s">
        <v>14</v>
      </c>
      <c r="D1253" t="s">
        <v>24</v>
      </c>
      <c r="E1253" t="s">
        <v>825</v>
      </c>
      <c r="F1253" t="s">
        <v>24</v>
      </c>
      <c r="G1253">
        <v>2</v>
      </c>
      <c r="H1253">
        <v>3</v>
      </c>
      <c r="I1253" s="13">
        <v>0.6</v>
      </c>
      <c r="J1253" t="s">
        <v>249</v>
      </c>
      <c r="L1253" t="s">
        <v>60</v>
      </c>
      <c r="M1253" t="s">
        <v>60</v>
      </c>
      <c r="N1253" t="s">
        <v>24</v>
      </c>
      <c r="O1253">
        <v>2</v>
      </c>
      <c r="P1253">
        <v>3</v>
      </c>
      <c r="Q1253" s="13">
        <v>0.60470632805755864</v>
      </c>
      <c r="R1253" t="s">
        <v>249</v>
      </c>
      <c r="S1253">
        <v>0.19369522125325681</v>
      </c>
      <c r="T1253" t="s">
        <v>60</v>
      </c>
      <c r="U1253" t="s">
        <v>60</v>
      </c>
      <c r="X1253" t="s">
        <v>60</v>
      </c>
      <c r="Y1253" t="s">
        <v>412</v>
      </c>
      <c r="Z1253" t="s">
        <v>60</v>
      </c>
      <c r="AA1253" t="s">
        <v>491</v>
      </c>
    </row>
    <row r="1254" spans="1:27" x14ac:dyDescent="0.2">
      <c r="A1254" s="1">
        <v>46121</v>
      </c>
      <c r="B1254" t="s">
        <v>328</v>
      </c>
      <c r="C1254" t="s">
        <v>37</v>
      </c>
      <c r="D1254" t="s">
        <v>18</v>
      </c>
      <c r="E1254" t="s">
        <v>967</v>
      </c>
      <c r="F1254" t="s">
        <v>37</v>
      </c>
      <c r="G1254">
        <v>2</v>
      </c>
      <c r="H1254">
        <v>3</v>
      </c>
      <c r="I1254" s="13">
        <v>0.6</v>
      </c>
      <c r="J1254" t="s">
        <v>249</v>
      </c>
      <c r="L1254" t="s">
        <v>60</v>
      </c>
      <c r="M1254" t="s">
        <v>60</v>
      </c>
      <c r="N1254" t="s">
        <v>37</v>
      </c>
      <c r="O1254">
        <v>2</v>
      </c>
      <c r="P1254">
        <v>3</v>
      </c>
      <c r="Q1254" s="13">
        <v>0.67549714050132492</v>
      </c>
      <c r="R1254" t="s">
        <v>249</v>
      </c>
      <c r="S1254">
        <v>-1.053493826097267</v>
      </c>
      <c r="T1254" t="s">
        <v>60</v>
      </c>
      <c r="U1254" t="s">
        <v>60</v>
      </c>
      <c r="X1254" t="s">
        <v>60</v>
      </c>
      <c r="Y1254" t="s">
        <v>412</v>
      </c>
      <c r="Z1254" t="s">
        <v>60</v>
      </c>
      <c r="AA1254" t="s">
        <v>491</v>
      </c>
    </row>
    <row r="1255" spans="1:27" x14ac:dyDescent="0.2">
      <c r="A1255" s="1">
        <v>46121</v>
      </c>
      <c r="B1255" t="s">
        <v>725</v>
      </c>
      <c r="C1255" t="s">
        <v>27</v>
      </c>
      <c r="D1255" t="s">
        <v>26</v>
      </c>
      <c r="E1255" t="s">
        <v>1469</v>
      </c>
      <c r="F1255" t="s">
        <v>27</v>
      </c>
      <c r="G1255">
        <v>2</v>
      </c>
      <c r="H1255">
        <v>3</v>
      </c>
      <c r="I1255" s="13">
        <v>0.6</v>
      </c>
      <c r="J1255" t="s">
        <v>249</v>
      </c>
      <c r="L1255" t="s">
        <v>60</v>
      </c>
      <c r="M1255" t="s">
        <v>60</v>
      </c>
      <c r="N1255" t="s">
        <v>27</v>
      </c>
      <c r="O1255">
        <v>2</v>
      </c>
      <c r="P1255">
        <v>3</v>
      </c>
      <c r="Q1255" s="13">
        <v>0.55449614389216906</v>
      </c>
      <c r="R1255" t="s">
        <v>249</v>
      </c>
      <c r="S1255">
        <v>-0.44519923260283101</v>
      </c>
      <c r="T1255" t="s">
        <v>60</v>
      </c>
      <c r="U1255" t="s">
        <v>60</v>
      </c>
      <c r="X1255" t="s">
        <v>60</v>
      </c>
      <c r="Y1255" t="s">
        <v>412</v>
      </c>
      <c r="Z1255" t="s">
        <v>60</v>
      </c>
      <c r="AA1255" t="s">
        <v>491</v>
      </c>
    </row>
    <row r="1256" spans="1:27" x14ac:dyDescent="0.2">
      <c r="A1256" s="1">
        <v>46121</v>
      </c>
      <c r="B1256" t="s">
        <v>326</v>
      </c>
      <c r="C1256" t="s">
        <v>34</v>
      </c>
      <c r="D1256" t="s">
        <v>39</v>
      </c>
      <c r="E1256" t="s">
        <v>565</v>
      </c>
      <c r="F1256" t="s">
        <v>39</v>
      </c>
      <c r="G1256">
        <v>2</v>
      </c>
      <c r="H1256">
        <v>3</v>
      </c>
      <c r="I1256" s="13">
        <v>0.6</v>
      </c>
      <c r="J1256" t="s">
        <v>249</v>
      </c>
      <c r="L1256" t="s">
        <v>60</v>
      </c>
      <c r="M1256" t="s">
        <v>60</v>
      </c>
      <c r="N1256" t="s">
        <v>39</v>
      </c>
      <c r="O1256">
        <v>2</v>
      </c>
      <c r="P1256">
        <v>3</v>
      </c>
      <c r="Q1256" s="13">
        <v>0.5906592774329128</v>
      </c>
      <c r="R1256" t="s">
        <v>249</v>
      </c>
      <c r="S1256">
        <v>0.51846803822776111</v>
      </c>
      <c r="T1256" t="s">
        <v>60</v>
      </c>
      <c r="U1256" t="s">
        <v>60</v>
      </c>
      <c r="X1256" t="s">
        <v>60</v>
      </c>
      <c r="Y1256" t="s">
        <v>412</v>
      </c>
      <c r="Z1256" t="s">
        <v>60</v>
      </c>
      <c r="AA1256" t="s">
        <v>491</v>
      </c>
    </row>
    <row r="1257" spans="1:27" x14ac:dyDescent="0.2">
      <c r="A1257" s="1">
        <v>46121</v>
      </c>
      <c r="B1257" t="s">
        <v>326</v>
      </c>
      <c r="C1257" t="s">
        <v>16</v>
      </c>
      <c r="D1257" t="s">
        <v>12</v>
      </c>
      <c r="E1257" t="s">
        <v>1476</v>
      </c>
      <c r="F1257" t="s">
        <v>12</v>
      </c>
      <c r="G1257">
        <v>2</v>
      </c>
      <c r="H1257">
        <v>3</v>
      </c>
      <c r="I1257" s="13">
        <v>0.6</v>
      </c>
      <c r="J1257" t="s">
        <v>249</v>
      </c>
      <c r="L1257" t="s">
        <v>60</v>
      </c>
      <c r="M1257" t="s">
        <v>60</v>
      </c>
      <c r="N1257" t="s">
        <v>12</v>
      </c>
      <c r="O1257">
        <v>2</v>
      </c>
      <c r="P1257">
        <v>3</v>
      </c>
      <c r="Q1257" s="13">
        <v>0.96515107726433957</v>
      </c>
      <c r="R1257" t="s">
        <v>249</v>
      </c>
      <c r="S1257">
        <v>2.7475856863947601</v>
      </c>
      <c r="T1257" t="s">
        <v>60</v>
      </c>
      <c r="U1257" t="s">
        <v>60</v>
      </c>
      <c r="X1257" t="s">
        <v>60</v>
      </c>
      <c r="Y1257" t="s">
        <v>412</v>
      </c>
      <c r="Z1257" t="s">
        <v>60</v>
      </c>
      <c r="AA1257" t="s">
        <v>491</v>
      </c>
    </row>
    <row r="1258" spans="1:27" x14ac:dyDescent="0.2">
      <c r="A1258" s="1">
        <v>46121</v>
      </c>
      <c r="B1258" t="s">
        <v>416</v>
      </c>
      <c r="C1258" t="s">
        <v>25</v>
      </c>
      <c r="D1258" t="s">
        <v>10</v>
      </c>
      <c r="E1258" t="s">
        <v>1500</v>
      </c>
      <c r="F1258" t="s">
        <v>25</v>
      </c>
      <c r="G1258">
        <v>2</v>
      </c>
      <c r="H1258">
        <v>3</v>
      </c>
      <c r="I1258" s="13">
        <v>0.6</v>
      </c>
      <c r="J1258" t="s">
        <v>249</v>
      </c>
      <c r="L1258" t="s">
        <v>60</v>
      </c>
      <c r="M1258" t="s">
        <v>60</v>
      </c>
      <c r="N1258" t="s">
        <v>25</v>
      </c>
      <c r="O1258">
        <v>2</v>
      </c>
      <c r="P1258">
        <v>3</v>
      </c>
      <c r="Q1258" s="13">
        <v>0.59707388825222985</v>
      </c>
      <c r="R1258" t="s">
        <v>249</v>
      </c>
      <c r="S1258">
        <v>-0.55197064358970382</v>
      </c>
      <c r="T1258" t="s">
        <v>60</v>
      </c>
      <c r="U1258" t="s">
        <v>60</v>
      </c>
      <c r="X1258" t="s">
        <v>60</v>
      </c>
      <c r="Y1258" t="s">
        <v>412</v>
      </c>
      <c r="Z1258" t="s">
        <v>60</v>
      </c>
      <c r="AA1258" t="s">
        <v>491</v>
      </c>
    </row>
    <row r="1259" spans="1:27" x14ac:dyDescent="0.2">
      <c r="A1259" s="1">
        <v>46121</v>
      </c>
      <c r="B1259" t="s">
        <v>328</v>
      </c>
      <c r="C1259" t="s">
        <v>28</v>
      </c>
      <c r="D1259" t="s">
        <v>23</v>
      </c>
      <c r="E1259" t="s">
        <v>722</v>
      </c>
      <c r="F1259" t="s">
        <v>23</v>
      </c>
      <c r="G1259">
        <v>2</v>
      </c>
      <c r="H1259">
        <v>3</v>
      </c>
      <c r="I1259" s="13">
        <v>0.6</v>
      </c>
      <c r="J1259" t="s">
        <v>249</v>
      </c>
      <c r="L1259" t="s">
        <v>60</v>
      </c>
      <c r="M1259" t="s">
        <v>60</v>
      </c>
      <c r="N1259" t="s">
        <v>23</v>
      </c>
      <c r="O1259">
        <v>2</v>
      </c>
      <c r="P1259">
        <v>3</v>
      </c>
      <c r="Q1259" s="13">
        <v>0.5662662274862772</v>
      </c>
      <c r="R1259" t="s">
        <v>249</v>
      </c>
      <c r="S1259">
        <v>0.16877971753311299</v>
      </c>
      <c r="T1259" t="s">
        <v>60</v>
      </c>
      <c r="U1259" t="s">
        <v>60</v>
      </c>
      <c r="X1259" t="s">
        <v>60</v>
      </c>
      <c r="Y1259" t="s">
        <v>412</v>
      </c>
      <c r="Z1259" t="s">
        <v>60</v>
      </c>
      <c r="AA1259" t="s">
        <v>491</v>
      </c>
    </row>
    <row r="1260" spans="1:27" x14ac:dyDescent="0.2">
      <c r="A1260" s="1">
        <v>46121</v>
      </c>
      <c r="B1260" t="s">
        <v>322</v>
      </c>
      <c r="C1260" t="s">
        <v>33</v>
      </c>
      <c r="D1260" t="s">
        <v>31</v>
      </c>
      <c r="E1260" t="s">
        <v>1080</v>
      </c>
      <c r="F1260" t="s">
        <v>31</v>
      </c>
      <c r="G1260">
        <v>2</v>
      </c>
      <c r="H1260">
        <v>3</v>
      </c>
      <c r="I1260" s="13">
        <v>0.6</v>
      </c>
      <c r="J1260" t="s">
        <v>249</v>
      </c>
      <c r="L1260" t="s">
        <v>60</v>
      </c>
      <c r="M1260" t="s">
        <v>60</v>
      </c>
      <c r="N1260" t="s">
        <v>31</v>
      </c>
      <c r="O1260">
        <v>2</v>
      </c>
      <c r="P1260">
        <v>3</v>
      </c>
      <c r="Q1260" s="13">
        <v>0.69922712946183019</v>
      </c>
      <c r="R1260" t="s">
        <v>249</v>
      </c>
      <c r="S1260">
        <v>0.67993476314467216</v>
      </c>
      <c r="T1260" t="s">
        <v>60</v>
      </c>
      <c r="U1260" t="s">
        <v>60</v>
      </c>
      <c r="X1260" t="s">
        <v>60</v>
      </c>
      <c r="Y1260" t="s">
        <v>412</v>
      </c>
      <c r="Z1260" t="s">
        <v>60</v>
      </c>
      <c r="AA1260" t="s">
        <v>491</v>
      </c>
    </row>
    <row r="1261" spans="1:27" x14ac:dyDescent="0.2">
      <c r="A1261" s="1">
        <v>46121</v>
      </c>
      <c r="B1261" t="s">
        <v>340</v>
      </c>
      <c r="C1261" t="s">
        <v>38</v>
      </c>
      <c r="D1261" t="s">
        <v>13</v>
      </c>
      <c r="E1261" t="s">
        <v>455</v>
      </c>
      <c r="F1261" t="s">
        <v>13</v>
      </c>
      <c r="G1261">
        <v>2</v>
      </c>
      <c r="H1261">
        <v>3</v>
      </c>
      <c r="I1261" s="13">
        <v>0.6</v>
      </c>
      <c r="J1261" t="s">
        <v>249</v>
      </c>
      <c r="L1261" t="s">
        <v>60</v>
      </c>
      <c r="M1261" t="s">
        <v>60</v>
      </c>
      <c r="N1261" t="s">
        <v>13</v>
      </c>
      <c r="O1261">
        <v>2</v>
      </c>
      <c r="P1261">
        <v>3</v>
      </c>
      <c r="Q1261" s="13">
        <v>0.61340625175833186</v>
      </c>
      <c r="R1261" t="s">
        <v>249</v>
      </c>
      <c r="S1261">
        <v>0.65929490535675295</v>
      </c>
      <c r="T1261" t="s">
        <v>60</v>
      </c>
      <c r="U1261" t="s">
        <v>60</v>
      </c>
      <c r="X1261" t="s">
        <v>60</v>
      </c>
      <c r="Y1261" t="s">
        <v>412</v>
      </c>
      <c r="Z1261" t="s">
        <v>60</v>
      </c>
      <c r="AA1261" t="s">
        <v>491</v>
      </c>
    </row>
    <row r="1262" spans="1:27" x14ac:dyDescent="0.2">
      <c r="A1262" s="1">
        <v>46123</v>
      </c>
      <c r="B1262" t="s">
        <v>453</v>
      </c>
      <c r="C1262" t="s">
        <v>22</v>
      </c>
      <c r="D1262" t="s">
        <v>14</v>
      </c>
      <c r="E1262" t="s">
        <v>798</v>
      </c>
      <c r="F1262" t="s">
        <v>22</v>
      </c>
      <c r="G1262">
        <v>2</v>
      </c>
      <c r="H1262">
        <v>3</v>
      </c>
      <c r="I1262" s="13">
        <v>0.6</v>
      </c>
      <c r="J1262" t="s">
        <v>249</v>
      </c>
      <c r="L1262" t="s">
        <v>60</v>
      </c>
      <c r="M1262" t="s">
        <v>60</v>
      </c>
      <c r="N1262" t="s">
        <v>22</v>
      </c>
      <c r="O1262">
        <v>2</v>
      </c>
      <c r="P1262">
        <v>3</v>
      </c>
      <c r="Q1262" s="13">
        <v>0.56475643524283603</v>
      </c>
      <c r="R1262" t="s">
        <v>249</v>
      </c>
      <c r="S1262">
        <v>-0.53307070549608448</v>
      </c>
      <c r="T1262" t="s">
        <v>60</v>
      </c>
      <c r="U1262" t="s">
        <v>60</v>
      </c>
      <c r="X1262" t="s">
        <v>60</v>
      </c>
      <c r="Y1262" t="s">
        <v>412</v>
      </c>
      <c r="Z1262" t="s">
        <v>60</v>
      </c>
      <c r="AA1262" t="s">
        <v>491</v>
      </c>
    </row>
    <row r="1263" spans="1:27" x14ac:dyDescent="0.2">
      <c r="A1263" s="1">
        <v>46123</v>
      </c>
      <c r="B1263" t="s">
        <v>328</v>
      </c>
      <c r="C1263" t="s">
        <v>16</v>
      </c>
      <c r="D1263" t="s">
        <v>32</v>
      </c>
      <c r="E1263" t="s">
        <v>1501</v>
      </c>
      <c r="F1263" t="s">
        <v>32</v>
      </c>
      <c r="G1263">
        <v>2</v>
      </c>
      <c r="H1263">
        <v>3</v>
      </c>
      <c r="I1263" s="13">
        <v>0.6</v>
      </c>
      <c r="J1263" t="s">
        <v>249</v>
      </c>
      <c r="L1263" t="s">
        <v>60</v>
      </c>
      <c r="M1263" t="s">
        <v>60</v>
      </c>
      <c r="N1263" t="s">
        <v>32</v>
      </c>
      <c r="O1263">
        <v>2</v>
      </c>
      <c r="P1263">
        <v>3</v>
      </c>
      <c r="Q1263" s="13">
        <v>0.59444796671407507</v>
      </c>
      <c r="R1263" t="s">
        <v>249</v>
      </c>
      <c r="S1263">
        <v>0.46630479268969333</v>
      </c>
      <c r="T1263" t="s">
        <v>60</v>
      </c>
      <c r="U1263" t="s">
        <v>60</v>
      </c>
      <c r="X1263" t="s">
        <v>60</v>
      </c>
      <c r="Y1263" t="s">
        <v>412</v>
      </c>
      <c r="Z1263" t="s">
        <v>60</v>
      </c>
      <c r="AA1263" t="s">
        <v>491</v>
      </c>
    </row>
    <row r="1264" spans="1:27" x14ac:dyDescent="0.2">
      <c r="A1264" s="1">
        <v>46123</v>
      </c>
      <c r="B1264" t="s">
        <v>328</v>
      </c>
      <c r="C1264" t="s">
        <v>27</v>
      </c>
      <c r="D1264" t="s">
        <v>40</v>
      </c>
      <c r="E1264" t="s">
        <v>1502</v>
      </c>
      <c r="F1264" t="s">
        <v>40</v>
      </c>
      <c r="G1264">
        <v>2</v>
      </c>
      <c r="H1264">
        <v>3</v>
      </c>
      <c r="I1264" s="13">
        <v>0.6</v>
      </c>
      <c r="J1264" t="s">
        <v>249</v>
      </c>
      <c r="L1264" t="s">
        <v>60</v>
      </c>
      <c r="M1264" t="s">
        <v>60</v>
      </c>
      <c r="N1264" t="s">
        <v>40</v>
      </c>
      <c r="O1264">
        <v>2</v>
      </c>
      <c r="P1264">
        <v>3</v>
      </c>
      <c r="Q1264" s="13">
        <v>0.51364962618335208</v>
      </c>
      <c r="R1264" t="s">
        <v>249</v>
      </c>
      <c r="S1264">
        <v>0.1168985086466869</v>
      </c>
      <c r="T1264" t="s">
        <v>60</v>
      </c>
      <c r="U1264" t="s">
        <v>60</v>
      </c>
      <c r="X1264" t="s">
        <v>60</v>
      </c>
      <c r="Y1264" t="s">
        <v>412</v>
      </c>
      <c r="Z1264" t="s">
        <v>60</v>
      </c>
      <c r="AA1264" t="s">
        <v>491</v>
      </c>
    </row>
    <row r="1265" spans="1:27" x14ac:dyDescent="0.2">
      <c r="A1265" s="1">
        <v>46123</v>
      </c>
      <c r="B1265" t="s">
        <v>328</v>
      </c>
      <c r="C1265" t="s">
        <v>11</v>
      </c>
      <c r="D1265" t="s">
        <v>19</v>
      </c>
      <c r="E1265" t="s">
        <v>1134</v>
      </c>
      <c r="F1265" t="s">
        <v>11</v>
      </c>
      <c r="G1265">
        <v>2</v>
      </c>
      <c r="H1265">
        <v>3</v>
      </c>
      <c r="I1265" s="13">
        <v>0.6</v>
      </c>
      <c r="J1265" t="s">
        <v>249</v>
      </c>
      <c r="L1265" t="s">
        <v>60</v>
      </c>
      <c r="M1265" t="s">
        <v>60</v>
      </c>
      <c r="N1265" t="s">
        <v>11</v>
      </c>
      <c r="O1265">
        <v>2</v>
      </c>
      <c r="P1265">
        <v>3</v>
      </c>
      <c r="Q1265" s="13">
        <v>0.48188866932349261</v>
      </c>
      <c r="R1265" t="s">
        <v>249</v>
      </c>
      <c r="S1265">
        <v>-0.18745955133171149</v>
      </c>
      <c r="T1265" t="s">
        <v>60</v>
      </c>
      <c r="U1265" t="s">
        <v>60</v>
      </c>
      <c r="X1265" t="s">
        <v>60</v>
      </c>
      <c r="Y1265" t="s">
        <v>412</v>
      </c>
      <c r="Z1265" t="s">
        <v>60</v>
      </c>
      <c r="AA1265" t="s">
        <v>491</v>
      </c>
    </row>
    <row r="1266" spans="1:27" x14ac:dyDescent="0.2">
      <c r="A1266" s="1">
        <v>46123</v>
      </c>
      <c r="B1266" t="s">
        <v>365</v>
      </c>
      <c r="C1266" t="s">
        <v>25</v>
      </c>
      <c r="D1266" t="s">
        <v>55</v>
      </c>
      <c r="E1266" t="s">
        <v>1503</v>
      </c>
      <c r="F1266" t="s">
        <v>25</v>
      </c>
      <c r="G1266">
        <v>2</v>
      </c>
      <c r="H1266">
        <v>3</v>
      </c>
      <c r="I1266" s="13">
        <v>0.6</v>
      </c>
      <c r="J1266" t="s">
        <v>249</v>
      </c>
      <c r="L1266" t="s">
        <v>60</v>
      </c>
      <c r="M1266" t="s">
        <v>60</v>
      </c>
      <c r="N1266" t="s">
        <v>25</v>
      </c>
      <c r="O1266">
        <v>2</v>
      </c>
      <c r="P1266">
        <v>3</v>
      </c>
      <c r="Q1266" s="13">
        <v>0.58256791128065522</v>
      </c>
      <c r="R1266" t="s">
        <v>249</v>
      </c>
      <c r="S1266">
        <v>-0.77889767742657268</v>
      </c>
      <c r="T1266" t="s">
        <v>60</v>
      </c>
      <c r="U1266" t="s">
        <v>60</v>
      </c>
      <c r="X1266" t="s">
        <v>60</v>
      </c>
      <c r="Y1266" t="s">
        <v>412</v>
      </c>
      <c r="Z1266" t="s">
        <v>60</v>
      </c>
      <c r="AA1266" t="s">
        <v>491</v>
      </c>
    </row>
    <row r="1267" spans="1:27" x14ac:dyDescent="0.2">
      <c r="A1267" s="1">
        <v>46123</v>
      </c>
      <c r="B1267" t="s">
        <v>322</v>
      </c>
      <c r="C1267" t="s">
        <v>38</v>
      </c>
      <c r="D1267" t="s">
        <v>33</v>
      </c>
      <c r="E1267" t="s">
        <v>444</v>
      </c>
      <c r="F1267" t="s">
        <v>33</v>
      </c>
      <c r="G1267">
        <v>2</v>
      </c>
      <c r="H1267">
        <v>3</v>
      </c>
      <c r="I1267" s="13">
        <v>0.6</v>
      </c>
      <c r="J1267" t="s">
        <v>249</v>
      </c>
      <c r="L1267" t="s">
        <v>60</v>
      </c>
      <c r="M1267" t="s">
        <v>60</v>
      </c>
      <c r="N1267" t="s">
        <v>33</v>
      </c>
      <c r="O1267">
        <v>2</v>
      </c>
      <c r="P1267">
        <v>3</v>
      </c>
      <c r="Q1267" s="13">
        <v>0.61034116347665668</v>
      </c>
      <c r="R1267" t="s">
        <v>249</v>
      </c>
      <c r="S1267">
        <v>0.54624751165172314</v>
      </c>
      <c r="T1267" t="s">
        <v>60</v>
      </c>
      <c r="U1267" t="s">
        <v>60</v>
      </c>
      <c r="X1267" t="s">
        <v>60</v>
      </c>
      <c r="Y1267" t="s">
        <v>412</v>
      </c>
      <c r="Z1267" t="s">
        <v>60</v>
      </c>
      <c r="AA1267" t="s">
        <v>491</v>
      </c>
    </row>
    <row r="1268" spans="1:27" x14ac:dyDescent="0.2">
      <c r="A1268" s="1">
        <v>46123</v>
      </c>
      <c r="B1268" t="s">
        <v>365</v>
      </c>
      <c r="C1268" t="s">
        <v>34</v>
      </c>
      <c r="D1268" t="s">
        <v>29</v>
      </c>
      <c r="E1268" t="s">
        <v>1305</v>
      </c>
      <c r="F1268" t="s">
        <v>34</v>
      </c>
      <c r="G1268">
        <v>2</v>
      </c>
      <c r="H1268">
        <v>3</v>
      </c>
      <c r="I1268" s="13">
        <v>0.6</v>
      </c>
      <c r="J1268" t="s">
        <v>249</v>
      </c>
      <c r="L1268" t="s">
        <v>60</v>
      </c>
      <c r="M1268" t="s">
        <v>60</v>
      </c>
      <c r="N1268" t="s">
        <v>34</v>
      </c>
      <c r="O1268">
        <v>2</v>
      </c>
      <c r="P1268">
        <v>3</v>
      </c>
      <c r="Q1268" s="13">
        <v>0.65195881418139467</v>
      </c>
      <c r="R1268" t="s">
        <v>249</v>
      </c>
      <c r="S1268">
        <v>-1.2798917474374201</v>
      </c>
      <c r="T1268" t="s">
        <v>60</v>
      </c>
      <c r="U1268" t="s">
        <v>60</v>
      </c>
      <c r="X1268" t="s">
        <v>60</v>
      </c>
      <c r="Y1268" t="s">
        <v>412</v>
      </c>
      <c r="Z1268" t="s">
        <v>60</v>
      </c>
      <c r="AA1268" t="s">
        <v>491</v>
      </c>
    </row>
    <row r="1269" spans="1:27" x14ac:dyDescent="0.2">
      <c r="A1269" s="1">
        <v>46123</v>
      </c>
      <c r="B1269" t="s">
        <v>347</v>
      </c>
      <c r="C1269" t="s">
        <v>36</v>
      </c>
      <c r="D1269" t="s">
        <v>30</v>
      </c>
      <c r="E1269" t="s">
        <v>1504</v>
      </c>
      <c r="F1269" t="s">
        <v>30</v>
      </c>
      <c r="G1269">
        <v>2</v>
      </c>
      <c r="H1269">
        <v>3</v>
      </c>
      <c r="I1269" s="13">
        <v>0.6</v>
      </c>
      <c r="J1269" t="s">
        <v>249</v>
      </c>
      <c r="L1269" t="s">
        <v>60</v>
      </c>
      <c r="M1269" t="s">
        <v>60</v>
      </c>
      <c r="N1269" t="s">
        <v>30</v>
      </c>
      <c r="O1269">
        <v>2</v>
      </c>
      <c r="P1269">
        <v>3</v>
      </c>
      <c r="Q1269" s="13">
        <v>0.57974027880475065</v>
      </c>
      <c r="R1269" t="s">
        <v>249</v>
      </c>
      <c r="S1269">
        <v>0.34034480234666842</v>
      </c>
      <c r="T1269" t="s">
        <v>60</v>
      </c>
      <c r="U1269" t="s">
        <v>60</v>
      </c>
      <c r="X1269" t="s">
        <v>60</v>
      </c>
      <c r="Y1269" t="s">
        <v>412</v>
      </c>
      <c r="Z1269" t="s">
        <v>60</v>
      </c>
      <c r="AA1269" t="s">
        <v>491</v>
      </c>
    </row>
    <row r="1270" spans="1:27" x14ac:dyDescent="0.2">
      <c r="A1270" s="1">
        <v>46123</v>
      </c>
      <c r="B1270" t="s">
        <v>369</v>
      </c>
      <c r="C1270" t="s">
        <v>17</v>
      </c>
      <c r="D1270" t="s">
        <v>13</v>
      </c>
      <c r="E1270" t="s">
        <v>1316</v>
      </c>
      <c r="F1270" t="s">
        <v>13</v>
      </c>
      <c r="G1270">
        <v>2</v>
      </c>
      <c r="H1270">
        <v>3</v>
      </c>
      <c r="I1270" s="13">
        <v>0.6</v>
      </c>
      <c r="J1270" t="s">
        <v>249</v>
      </c>
      <c r="L1270" t="s">
        <v>60</v>
      </c>
      <c r="M1270" t="s">
        <v>60</v>
      </c>
      <c r="N1270" t="s">
        <v>13</v>
      </c>
      <c r="O1270">
        <v>2</v>
      </c>
      <c r="P1270">
        <v>3</v>
      </c>
      <c r="Q1270" s="13">
        <v>0.60181103819323645</v>
      </c>
      <c r="R1270" t="s">
        <v>249</v>
      </c>
      <c r="S1270">
        <v>0.52936381448347047</v>
      </c>
      <c r="T1270" t="s">
        <v>60</v>
      </c>
      <c r="U1270" t="s">
        <v>60</v>
      </c>
      <c r="X1270" t="s">
        <v>60</v>
      </c>
      <c r="Y1270" t="s">
        <v>412</v>
      </c>
      <c r="Z1270" t="s">
        <v>60</v>
      </c>
      <c r="AA1270" t="s">
        <v>491</v>
      </c>
    </row>
    <row r="1271" spans="1:27" x14ac:dyDescent="0.2">
      <c r="A1271" s="1">
        <v>46123</v>
      </c>
      <c r="B1271" t="s">
        <v>365</v>
      </c>
      <c r="C1271" t="s">
        <v>24</v>
      </c>
      <c r="D1271" t="s">
        <v>26</v>
      </c>
      <c r="E1271" t="s">
        <v>1505</v>
      </c>
      <c r="F1271" t="s">
        <v>24</v>
      </c>
      <c r="G1271">
        <v>2</v>
      </c>
      <c r="H1271">
        <v>3</v>
      </c>
      <c r="I1271" s="13">
        <v>0.6</v>
      </c>
      <c r="J1271" t="s">
        <v>249</v>
      </c>
      <c r="L1271" t="s">
        <v>60</v>
      </c>
      <c r="M1271" t="s">
        <v>60</v>
      </c>
      <c r="N1271" t="s">
        <v>24</v>
      </c>
      <c r="O1271">
        <v>2</v>
      </c>
      <c r="P1271">
        <v>3</v>
      </c>
      <c r="Q1271" s="13">
        <v>0.57733007451907226</v>
      </c>
      <c r="R1271" t="s">
        <v>249</v>
      </c>
      <c r="S1271">
        <v>-0.82696906687375127</v>
      </c>
      <c r="T1271" t="s">
        <v>60</v>
      </c>
      <c r="U1271" t="s">
        <v>60</v>
      </c>
      <c r="X1271" t="s">
        <v>60</v>
      </c>
      <c r="Y1271" t="s">
        <v>412</v>
      </c>
      <c r="Z1271" t="s">
        <v>60</v>
      </c>
      <c r="AA1271" t="s">
        <v>491</v>
      </c>
    </row>
    <row r="1272" spans="1:27" x14ac:dyDescent="0.2">
      <c r="A1272" s="1">
        <v>46123</v>
      </c>
      <c r="B1272" t="s">
        <v>365</v>
      </c>
      <c r="C1272" t="s">
        <v>15</v>
      </c>
      <c r="D1272" t="s">
        <v>39</v>
      </c>
      <c r="E1272" t="s">
        <v>1506</v>
      </c>
      <c r="F1272" t="s">
        <v>39</v>
      </c>
      <c r="G1272">
        <v>2</v>
      </c>
      <c r="H1272">
        <v>3</v>
      </c>
      <c r="I1272" s="13">
        <v>0.6</v>
      </c>
      <c r="J1272" t="s">
        <v>249</v>
      </c>
      <c r="L1272" t="s">
        <v>60</v>
      </c>
      <c r="M1272" t="s">
        <v>60</v>
      </c>
      <c r="N1272" t="s">
        <v>39</v>
      </c>
      <c r="O1272">
        <v>2</v>
      </c>
      <c r="P1272">
        <v>3</v>
      </c>
      <c r="Q1272" s="13">
        <v>0.56029263451851241</v>
      </c>
      <c r="R1272" t="s">
        <v>249</v>
      </c>
      <c r="S1272">
        <v>0.75337723526222489</v>
      </c>
      <c r="T1272" t="s">
        <v>60</v>
      </c>
      <c r="U1272" t="s">
        <v>60</v>
      </c>
      <c r="X1272" t="s">
        <v>60</v>
      </c>
      <c r="Y1272" t="s">
        <v>412</v>
      </c>
      <c r="Z1272" t="s">
        <v>60</v>
      </c>
      <c r="AA1272" t="s">
        <v>491</v>
      </c>
    </row>
    <row r="1273" spans="1:27" x14ac:dyDescent="0.2">
      <c r="A1273" s="1">
        <v>46123</v>
      </c>
      <c r="B1273" t="s">
        <v>324</v>
      </c>
      <c r="C1273" t="s">
        <v>20</v>
      </c>
      <c r="D1273" t="s">
        <v>12</v>
      </c>
      <c r="E1273" t="s">
        <v>1507</v>
      </c>
      <c r="F1273" t="s">
        <v>12</v>
      </c>
      <c r="G1273">
        <v>2</v>
      </c>
      <c r="H1273">
        <v>3</v>
      </c>
      <c r="I1273" s="13">
        <v>0.6</v>
      </c>
      <c r="J1273" t="s">
        <v>249</v>
      </c>
      <c r="L1273" t="s">
        <v>60</v>
      </c>
      <c r="M1273" t="s">
        <v>60</v>
      </c>
      <c r="N1273" t="s">
        <v>12</v>
      </c>
      <c r="O1273">
        <v>2</v>
      </c>
      <c r="P1273">
        <v>3</v>
      </c>
      <c r="Q1273" s="13">
        <v>0.86924745775595813</v>
      </c>
      <c r="R1273" t="s">
        <v>249</v>
      </c>
      <c r="S1273">
        <v>1.926245237670775</v>
      </c>
      <c r="T1273" t="s">
        <v>60</v>
      </c>
      <c r="U1273" t="s">
        <v>60</v>
      </c>
      <c r="X1273" t="s">
        <v>60</v>
      </c>
      <c r="Y1273" t="s">
        <v>412</v>
      </c>
      <c r="Z1273" t="s">
        <v>60</v>
      </c>
      <c r="AA1273" t="s">
        <v>491</v>
      </c>
    </row>
    <row r="1274" spans="1:27" x14ac:dyDescent="0.2">
      <c r="A1274" s="1">
        <v>46123</v>
      </c>
      <c r="B1274" t="s">
        <v>365</v>
      </c>
      <c r="C1274" t="s">
        <v>35</v>
      </c>
      <c r="D1274" t="s">
        <v>10</v>
      </c>
      <c r="E1274" t="s">
        <v>1141</v>
      </c>
      <c r="F1274" t="s">
        <v>10</v>
      </c>
      <c r="G1274">
        <v>2</v>
      </c>
      <c r="H1274">
        <v>3</v>
      </c>
      <c r="I1274" s="13">
        <v>0.6</v>
      </c>
      <c r="J1274" t="s">
        <v>249</v>
      </c>
      <c r="L1274" t="s">
        <v>60</v>
      </c>
      <c r="M1274" t="s">
        <v>60</v>
      </c>
      <c r="N1274" t="s">
        <v>10</v>
      </c>
      <c r="O1274">
        <v>2</v>
      </c>
      <c r="P1274">
        <v>3</v>
      </c>
      <c r="Q1274" s="13">
        <v>0.6880790666121519</v>
      </c>
      <c r="R1274" t="s">
        <v>249</v>
      </c>
      <c r="S1274">
        <v>1.268182865686571</v>
      </c>
      <c r="T1274" t="s">
        <v>60</v>
      </c>
      <c r="U1274" t="s">
        <v>60</v>
      </c>
      <c r="X1274" t="s">
        <v>60</v>
      </c>
      <c r="Y1274" t="s">
        <v>412</v>
      </c>
      <c r="Z1274" t="s">
        <v>60</v>
      </c>
      <c r="AA1274" t="s">
        <v>491</v>
      </c>
    </row>
    <row r="1275" spans="1:27" x14ac:dyDescent="0.2">
      <c r="A1275" s="1">
        <v>46123</v>
      </c>
      <c r="B1275" t="s">
        <v>555</v>
      </c>
      <c r="C1275" t="s">
        <v>37</v>
      </c>
      <c r="D1275" t="s">
        <v>21</v>
      </c>
      <c r="E1275" t="s">
        <v>557</v>
      </c>
      <c r="F1275" t="s">
        <v>37</v>
      </c>
      <c r="G1275">
        <v>2</v>
      </c>
      <c r="H1275">
        <v>3</v>
      </c>
      <c r="I1275" s="13">
        <v>0.6</v>
      </c>
      <c r="J1275" t="s">
        <v>249</v>
      </c>
      <c r="L1275" t="s">
        <v>60</v>
      </c>
      <c r="M1275" t="s">
        <v>60</v>
      </c>
      <c r="N1275" t="s">
        <v>37</v>
      </c>
      <c r="O1275">
        <v>2</v>
      </c>
      <c r="P1275">
        <v>3</v>
      </c>
      <c r="Q1275" s="13">
        <v>0.58853461032201404</v>
      </c>
      <c r="R1275" t="s">
        <v>249</v>
      </c>
      <c r="S1275">
        <v>-0.68037395827117342</v>
      </c>
      <c r="T1275" t="s">
        <v>60</v>
      </c>
      <c r="U1275" t="s">
        <v>60</v>
      </c>
      <c r="X1275" t="s">
        <v>60</v>
      </c>
      <c r="Y1275" t="s">
        <v>412</v>
      </c>
      <c r="Z1275" t="s">
        <v>60</v>
      </c>
      <c r="AA1275" t="s">
        <v>491</v>
      </c>
    </row>
    <row r="1276" spans="1:27" x14ac:dyDescent="0.2">
      <c r="A1276" s="1">
        <v>46123</v>
      </c>
      <c r="B1276" t="s">
        <v>328</v>
      </c>
      <c r="C1276" t="s">
        <v>28</v>
      </c>
      <c r="D1276" t="s">
        <v>18</v>
      </c>
      <c r="E1276" t="s">
        <v>1457</v>
      </c>
      <c r="F1276" t="s">
        <v>18</v>
      </c>
      <c r="G1276">
        <v>2</v>
      </c>
      <c r="H1276">
        <v>3</v>
      </c>
      <c r="I1276" s="13">
        <v>0.6</v>
      </c>
      <c r="J1276" t="s">
        <v>249</v>
      </c>
      <c r="L1276" t="s">
        <v>60</v>
      </c>
      <c r="M1276" t="s">
        <v>60</v>
      </c>
      <c r="N1276" t="s">
        <v>18</v>
      </c>
      <c r="O1276">
        <v>2</v>
      </c>
      <c r="P1276">
        <v>3</v>
      </c>
      <c r="Q1276" s="13">
        <v>0.54249566982631203</v>
      </c>
      <c r="R1276" t="s">
        <v>249</v>
      </c>
      <c r="S1276">
        <v>5.20005249998775E-2</v>
      </c>
      <c r="T1276" t="s">
        <v>60</v>
      </c>
      <c r="U1276" t="s">
        <v>60</v>
      </c>
      <c r="X1276" t="s">
        <v>60</v>
      </c>
      <c r="Y1276" t="s">
        <v>412</v>
      </c>
      <c r="Z1276" t="s">
        <v>60</v>
      </c>
      <c r="AA1276" t="s">
        <v>491</v>
      </c>
    </row>
    <row r="1277" spans="1:27" x14ac:dyDescent="0.2">
      <c r="A1277" s="1">
        <v>46124</v>
      </c>
      <c r="B1277" t="s">
        <v>453</v>
      </c>
      <c r="C1277" t="s">
        <v>14</v>
      </c>
      <c r="D1277" t="s">
        <v>22</v>
      </c>
      <c r="E1277" t="s">
        <v>1508</v>
      </c>
      <c r="F1277" t="s">
        <v>22</v>
      </c>
      <c r="G1277">
        <v>2</v>
      </c>
      <c r="H1277">
        <v>3</v>
      </c>
      <c r="I1277" s="13">
        <v>0.6</v>
      </c>
      <c r="J1277" t="s">
        <v>249</v>
      </c>
      <c r="L1277" t="s">
        <v>60</v>
      </c>
      <c r="M1277" t="s">
        <v>60</v>
      </c>
      <c r="N1277" t="s">
        <v>22</v>
      </c>
      <c r="O1277">
        <v>2</v>
      </c>
      <c r="P1277">
        <v>3</v>
      </c>
      <c r="Q1277" s="13">
        <v>0.60092419729433255</v>
      </c>
      <c r="R1277" t="s">
        <v>249</v>
      </c>
      <c r="S1277">
        <v>0.63287220334240946</v>
      </c>
      <c r="T1277" t="s">
        <v>60</v>
      </c>
      <c r="U1277" t="s">
        <v>60</v>
      </c>
      <c r="X1277" t="s">
        <v>60</v>
      </c>
      <c r="Y1277" t="s">
        <v>412</v>
      </c>
      <c r="Z1277" t="s">
        <v>60</v>
      </c>
      <c r="AA1277" t="s">
        <v>491</v>
      </c>
    </row>
    <row r="1278" spans="1:27" x14ac:dyDescent="0.2">
      <c r="A1278" s="1">
        <v>46124</v>
      </c>
      <c r="B1278" t="s">
        <v>469</v>
      </c>
      <c r="C1278" t="s">
        <v>18</v>
      </c>
      <c r="D1278" t="s">
        <v>30</v>
      </c>
      <c r="E1278" t="s">
        <v>1509</v>
      </c>
      <c r="F1278" t="s">
        <v>30</v>
      </c>
      <c r="G1278">
        <v>2</v>
      </c>
      <c r="H1278">
        <v>3</v>
      </c>
      <c r="I1278" s="13">
        <v>0.6</v>
      </c>
      <c r="J1278" t="s">
        <v>249</v>
      </c>
      <c r="L1278" t="s">
        <v>60</v>
      </c>
      <c r="M1278" t="s">
        <v>60</v>
      </c>
      <c r="N1278" t="s">
        <v>30</v>
      </c>
      <c r="O1278">
        <v>2</v>
      </c>
      <c r="P1278">
        <v>3</v>
      </c>
      <c r="Q1278" s="13">
        <v>0.52763506301496321</v>
      </c>
      <c r="R1278" t="s">
        <v>249</v>
      </c>
      <c r="S1278">
        <v>0.40185837975565503</v>
      </c>
      <c r="T1278" t="s">
        <v>60</v>
      </c>
      <c r="U1278" t="s">
        <v>60</v>
      </c>
      <c r="X1278" t="s">
        <v>60</v>
      </c>
      <c r="Y1278" t="s">
        <v>412</v>
      </c>
      <c r="Z1278" t="s">
        <v>60</v>
      </c>
      <c r="AA1278" t="s">
        <v>491</v>
      </c>
    </row>
    <row r="1279" spans="1:27" x14ac:dyDescent="0.2">
      <c r="A1279" s="1">
        <v>46124</v>
      </c>
      <c r="B1279" t="s">
        <v>328</v>
      </c>
      <c r="C1279" t="s">
        <v>36</v>
      </c>
      <c r="D1279" t="s">
        <v>24</v>
      </c>
      <c r="E1279" t="s">
        <v>1510</v>
      </c>
      <c r="F1279" t="s">
        <v>24</v>
      </c>
      <c r="G1279">
        <v>2</v>
      </c>
      <c r="H1279">
        <v>3</v>
      </c>
      <c r="I1279" s="13">
        <v>0.6</v>
      </c>
      <c r="J1279" t="s">
        <v>249</v>
      </c>
      <c r="L1279" t="s">
        <v>60</v>
      </c>
      <c r="M1279" t="s">
        <v>60</v>
      </c>
      <c r="N1279" t="s">
        <v>24</v>
      </c>
      <c r="O1279">
        <v>2</v>
      </c>
      <c r="P1279">
        <v>3</v>
      </c>
      <c r="Q1279" s="13">
        <v>0.68788603551397898</v>
      </c>
      <c r="R1279" t="s">
        <v>249</v>
      </c>
      <c r="S1279">
        <v>0.5828070505526054</v>
      </c>
      <c r="T1279" t="s">
        <v>60</v>
      </c>
      <c r="U1279" t="s">
        <v>60</v>
      </c>
      <c r="X1279" t="s">
        <v>60</v>
      </c>
      <c r="Y1279" t="s">
        <v>412</v>
      </c>
      <c r="Z1279" t="s">
        <v>60</v>
      </c>
      <c r="AA1279" t="s">
        <v>491</v>
      </c>
    </row>
    <row r="1280" spans="1:27" x14ac:dyDescent="0.2">
      <c r="A1280" s="1">
        <v>46124</v>
      </c>
      <c r="B1280" t="s">
        <v>469</v>
      </c>
      <c r="C1280" t="s">
        <v>21</v>
      </c>
      <c r="D1280" t="s">
        <v>28</v>
      </c>
      <c r="E1280" t="s">
        <v>1473</v>
      </c>
      <c r="F1280" t="s">
        <v>21</v>
      </c>
      <c r="G1280">
        <v>2</v>
      </c>
      <c r="H1280">
        <v>3</v>
      </c>
      <c r="I1280" s="13">
        <v>0.6</v>
      </c>
      <c r="J1280" t="s">
        <v>249</v>
      </c>
      <c r="L1280" t="s">
        <v>60</v>
      </c>
      <c r="M1280" t="s">
        <v>60</v>
      </c>
      <c r="N1280" t="s">
        <v>21</v>
      </c>
      <c r="O1280">
        <v>2</v>
      </c>
      <c r="P1280">
        <v>3</v>
      </c>
      <c r="Q1280" s="13">
        <v>0.4988152754406433</v>
      </c>
      <c r="R1280" t="s">
        <v>249</v>
      </c>
      <c r="S1280">
        <v>-0.32531889497964622</v>
      </c>
      <c r="T1280" t="s">
        <v>60</v>
      </c>
      <c r="U1280" t="s">
        <v>60</v>
      </c>
      <c r="X1280" t="s">
        <v>60</v>
      </c>
      <c r="Y1280" t="s">
        <v>412</v>
      </c>
      <c r="Z1280" t="s">
        <v>60</v>
      </c>
      <c r="AA1280" t="s">
        <v>491</v>
      </c>
    </row>
    <row r="1281" spans="1:27" x14ac:dyDescent="0.2">
      <c r="A1281" s="1">
        <v>46124</v>
      </c>
      <c r="B1281" t="s">
        <v>324</v>
      </c>
      <c r="C1281" t="s">
        <v>38</v>
      </c>
      <c r="D1281" t="s">
        <v>31</v>
      </c>
      <c r="E1281" t="s">
        <v>413</v>
      </c>
      <c r="F1281" t="s">
        <v>31</v>
      </c>
      <c r="G1281">
        <v>2</v>
      </c>
      <c r="H1281">
        <v>3</v>
      </c>
      <c r="I1281" s="13">
        <v>0.6</v>
      </c>
      <c r="J1281" t="s">
        <v>249</v>
      </c>
      <c r="L1281" t="s">
        <v>60</v>
      </c>
      <c r="M1281" t="s">
        <v>60</v>
      </c>
      <c r="N1281" t="s">
        <v>31</v>
      </c>
      <c r="O1281">
        <v>2</v>
      </c>
      <c r="P1281">
        <v>3</v>
      </c>
      <c r="Q1281" s="13">
        <v>0.75378658498635764</v>
      </c>
      <c r="R1281" t="s">
        <v>249</v>
      </c>
      <c r="S1281">
        <v>1.1762815258732331</v>
      </c>
      <c r="T1281" t="s">
        <v>60</v>
      </c>
      <c r="U1281" t="s">
        <v>60</v>
      </c>
      <c r="X1281" t="s">
        <v>60</v>
      </c>
      <c r="Y1281" t="s">
        <v>412</v>
      </c>
      <c r="Z1281" t="s">
        <v>60</v>
      </c>
      <c r="AA1281" t="s">
        <v>491</v>
      </c>
    </row>
    <row r="1282" spans="1:27" x14ac:dyDescent="0.2">
      <c r="A1282" s="1">
        <v>46124</v>
      </c>
      <c r="B1282" t="s">
        <v>326</v>
      </c>
      <c r="C1282" t="s">
        <v>55</v>
      </c>
      <c r="D1282" t="s">
        <v>16</v>
      </c>
      <c r="E1282" t="s">
        <v>948</v>
      </c>
      <c r="F1282" t="s">
        <v>55</v>
      </c>
      <c r="G1282">
        <v>2</v>
      </c>
      <c r="H1282">
        <v>3</v>
      </c>
      <c r="I1282" s="13">
        <v>0.6</v>
      </c>
      <c r="J1282" t="s">
        <v>249</v>
      </c>
      <c r="L1282" t="s">
        <v>60</v>
      </c>
      <c r="M1282" t="s">
        <v>60</v>
      </c>
      <c r="N1282" t="s">
        <v>55</v>
      </c>
      <c r="O1282">
        <v>2</v>
      </c>
      <c r="P1282">
        <v>3</v>
      </c>
      <c r="Q1282" s="13">
        <v>0.53154845154988206</v>
      </c>
      <c r="R1282" t="s">
        <v>249</v>
      </c>
      <c r="S1282">
        <v>-0.61275724110027596</v>
      </c>
      <c r="T1282" t="s">
        <v>60</v>
      </c>
      <c r="U1282" t="s">
        <v>60</v>
      </c>
      <c r="X1282" t="s">
        <v>60</v>
      </c>
      <c r="Y1282" t="s">
        <v>412</v>
      </c>
      <c r="Z1282" t="s">
        <v>60</v>
      </c>
      <c r="AA1282" t="s">
        <v>491</v>
      </c>
    </row>
    <row r="1283" spans="1:27" x14ac:dyDescent="0.2">
      <c r="A1283" s="1">
        <v>46125</v>
      </c>
      <c r="B1283" t="s">
        <v>324</v>
      </c>
      <c r="C1283" t="s">
        <v>34</v>
      </c>
      <c r="D1283" t="s">
        <v>35</v>
      </c>
      <c r="E1283" t="s">
        <v>508</v>
      </c>
      <c r="F1283" t="s">
        <v>34</v>
      </c>
      <c r="G1283">
        <v>2</v>
      </c>
      <c r="H1283">
        <v>3</v>
      </c>
      <c r="I1283" s="13">
        <v>0.6</v>
      </c>
      <c r="J1283" t="s">
        <v>249</v>
      </c>
      <c r="L1283" t="s">
        <v>60</v>
      </c>
      <c r="M1283" t="s">
        <v>60</v>
      </c>
      <c r="N1283" t="s">
        <v>34</v>
      </c>
      <c r="O1283">
        <v>2</v>
      </c>
      <c r="P1283">
        <v>3</v>
      </c>
      <c r="Q1283" s="13">
        <v>0.65307521233305632</v>
      </c>
      <c r="R1283" t="s">
        <v>249</v>
      </c>
      <c r="S1283">
        <v>-1.2894528355750809</v>
      </c>
      <c r="T1283" t="s">
        <v>60</v>
      </c>
      <c r="U1283" t="s">
        <v>60</v>
      </c>
      <c r="X1283" t="s">
        <v>60</v>
      </c>
      <c r="Y1283" t="s">
        <v>412</v>
      </c>
      <c r="Z1283" t="s">
        <v>60</v>
      </c>
      <c r="AA1283" t="s">
        <v>491</v>
      </c>
    </row>
    <row r="1284" spans="1:27" x14ac:dyDescent="0.2">
      <c r="A1284" s="1">
        <v>46125</v>
      </c>
      <c r="B1284" t="s">
        <v>322</v>
      </c>
      <c r="C1284" t="s">
        <v>40</v>
      </c>
      <c r="D1284" t="s">
        <v>20</v>
      </c>
      <c r="E1284" t="s">
        <v>1511</v>
      </c>
      <c r="F1284" t="s">
        <v>20</v>
      </c>
      <c r="G1284">
        <v>2</v>
      </c>
      <c r="H1284">
        <v>3</v>
      </c>
      <c r="I1284" s="13">
        <v>0.6</v>
      </c>
      <c r="J1284" t="s">
        <v>249</v>
      </c>
      <c r="L1284" t="s">
        <v>60</v>
      </c>
      <c r="M1284" t="s">
        <v>60</v>
      </c>
      <c r="N1284" t="s">
        <v>20</v>
      </c>
      <c r="O1284">
        <v>2</v>
      </c>
      <c r="P1284">
        <v>3</v>
      </c>
      <c r="Q1284" s="13">
        <v>0.53309094956693703</v>
      </c>
      <c r="R1284" t="s">
        <v>249</v>
      </c>
      <c r="S1284">
        <v>0.1187017423853176</v>
      </c>
      <c r="T1284" t="s">
        <v>60</v>
      </c>
      <c r="U1284" t="s">
        <v>60</v>
      </c>
      <c r="X1284" t="s">
        <v>60</v>
      </c>
      <c r="Y1284" t="s">
        <v>412</v>
      </c>
      <c r="Z1284" t="s">
        <v>60</v>
      </c>
      <c r="AA1284" t="s">
        <v>491</v>
      </c>
    </row>
    <row r="1285" spans="1:27" x14ac:dyDescent="0.2">
      <c r="A1285" s="1">
        <v>46125</v>
      </c>
      <c r="B1285" t="s">
        <v>328</v>
      </c>
      <c r="C1285" t="s">
        <v>26</v>
      </c>
      <c r="D1285" t="s">
        <v>37</v>
      </c>
      <c r="E1285" t="s">
        <v>1389</v>
      </c>
      <c r="F1285" t="s">
        <v>37</v>
      </c>
      <c r="G1285">
        <v>2</v>
      </c>
      <c r="H1285">
        <v>3</v>
      </c>
      <c r="I1285" s="13">
        <v>0.6</v>
      </c>
      <c r="J1285" t="s">
        <v>249</v>
      </c>
      <c r="L1285" t="s">
        <v>60</v>
      </c>
      <c r="M1285" t="s">
        <v>60</v>
      </c>
      <c r="N1285" t="s">
        <v>37</v>
      </c>
      <c r="O1285">
        <v>2</v>
      </c>
      <c r="P1285">
        <v>3</v>
      </c>
      <c r="Q1285" s="13">
        <v>0.73989051508295656</v>
      </c>
      <c r="R1285" t="s">
        <v>249</v>
      </c>
      <c r="S1285">
        <v>1.435745260702076</v>
      </c>
      <c r="T1285" t="s">
        <v>60</v>
      </c>
      <c r="U1285" t="s">
        <v>60</v>
      </c>
      <c r="X1285" t="s">
        <v>60</v>
      </c>
      <c r="Y1285" t="s">
        <v>412</v>
      </c>
      <c r="Z1285" t="s">
        <v>60</v>
      </c>
      <c r="AA1285" t="s">
        <v>491</v>
      </c>
    </row>
    <row r="1286" spans="1:27" x14ac:dyDescent="0.2">
      <c r="A1286" s="1">
        <v>46125</v>
      </c>
      <c r="B1286" t="s">
        <v>426</v>
      </c>
      <c r="C1286" t="s">
        <v>13</v>
      </c>
      <c r="D1286" t="s">
        <v>32</v>
      </c>
      <c r="E1286" t="s">
        <v>973</v>
      </c>
      <c r="F1286" t="s">
        <v>13</v>
      </c>
      <c r="G1286">
        <v>2</v>
      </c>
      <c r="H1286">
        <v>3</v>
      </c>
      <c r="I1286" s="13">
        <v>0.6</v>
      </c>
      <c r="J1286" t="s">
        <v>249</v>
      </c>
      <c r="L1286" t="s">
        <v>60</v>
      </c>
      <c r="M1286" t="s">
        <v>60</v>
      </c>
      <c r="N1286" t="s">
        <v>13</v>
      </c>
      <c r="O1286">
        <v>2</v>
      </c>
      <c r="P1286">
        <v>3</v>
      </c>
      <c r="Q1286" s="13">
        <v>0.55681391404194935</v>
      </c>
      <c r="R1286" t="s">
        <v>249</v>
      </c>
      <c r="S1286">
        <v>-0.26119288767771393</v>
      </c>
      <c r="T1286" t="s">
        <v>60</v>
      </c>
      <c r="U1286" t="s">
        <v>60</v>
      </c>
      <c r="X1286" t="s">
        <v>60</v>
      </c>
      <c r="Y1286" t="s">
        <v>412</v>
      </c>
      <c r="Z1286" t="s">
        <v>60</v>
      </c>
      <c r="AA1286" t="s">
        <v>491</v>
      </c>
    </row>
    <row r="1287" spans="1:27" x14ac:dyDescent="0.2">
      <c r="A1287" s="1">
        <v>46125</v>
      </c>
      <c r="B1287" t="s">
        <v>334</v>
      </c>
      <c r="C1287" t="s">
        <v>39</v>
      </c>
      <c r="D1287" t="s">
        <v>19</v>
      </c>
      <c r="E1287" t="s">
        <v>1512</v>
      </c>
      <c r="F1287" t="s">
        <v>39</v>
      </c>
      <c r="G1287">
        <v>2</v>
      </c>
      <c r="H1287">
        <v>3</v>
      </c>
      <c r="I1287" s="13">
        <v>0.6</v>
      </c>
      <c r="J1287" t="s">
        <v>249</v>
      </c>
      <c r="L1287" t="s">
        <v>60</v>
      </c>
      <c r="M1287" t="s">
        <v>60</v>
      </c>
      <c r="N1287" t="s">
        <v>39</v>
      </c>
      <c r="O1287">
        <v>2</v>
      </c>
      <c r="P1287">
        <v>3</v>
      </c>
      <c r="Q1287" s="13">
        <v>0.67833135772929232</v>
      </c>
      <c r="R1287" t="s">
        <v>249</v>
      </c>
      <c r="S1287">
        <v>-0.998020344250938</v>
      </c>
      <c r="T1287" t="s">
        <v>60</v>
      </c>
      <c r="U1287" t="s">
        <v>60</v>
      </c>
      <c r="X1287" t="s">
        <v>60</v>
      </c>
      <c r="Y1287" t="s">
        <v>412</v>
      </c>
      <c r="Z1287" t="s">
        <v>60</v>
      </c>
      <c r="AA1287" t="s">
        <v>491</v>
      </c>
    </row>
    <row r="1288" spans="1:27" x14ac:dyDescent="0.2">
      <c r="A1288" s="1">
        <v>46125</v>
      </c>
      <c r="B1288" t="s">
        <v>324</v>
      </c>
      <c r="C1288" t="s">
        <v>33</v>
      </c>
      <c r="D1288" t="s">
        <v>29</v>
      </c>
      <c r="E1288" t="s">
        <v>1445</v>
      </c>
      <c r="F1288" t="s">
        <v>33</v>
      </c>
      <c r="G1288">
        <v>2</v>
      </c>
      <c r="H1288">
        <v>3</v>
      </c>
      <c r="I1288" s="13">
        <v>0.6</v>
      </c>
      <c r="J1288" t="s">
        <v>249</v>
      </c>
      <c r="L1288" t="s">
        <v>60</v>
      </c>
      <c r="M1288" t="s">
        <v>60</v>
      </c>
      <c r="N1288" t="s">
        <v>33</v>
      </c>
      <c r="O1288">
        <v>2</v>
      </c>
      <c r="P1288">
        <v>3</v>
      </c>
      <c r="Q1288" s="13">
        <v>0.563183329355187</v>
      </c>
      <c r="R1288" t="s">
        <v>249</v>
      </c>
      <c r="S1288">
        <v>-0.88368554250465514</v>
      </c>
      <c r="T1288" t="s">
        <v>60</v>
      </c>
      <c r="U1288" t="s">
        <v>60</v>
      </c>
      <c r="X1288" t="s">
        <v>60</v>
      </c>
      <c r="Y1288" t="s">
        <v>412</v>
      </c>
      <c r="Z1288" t="s">
        <v>60</v>
      </c>
      <c r="AA1288" t="s">
        <v>491</v>
      </c>
    </row>
    <row r="1289" spans="1:27" x14ac:dyDescent="0.2">
      <c r="A1289" s="1">
        <v>46125</v>
      </c>
      <c r="B1289" t="s">
        <v>328</v>
      </c>
      <c r="C1289" t="s">
        <v>15</v>
      </c>
      <c r="D1289" t="s">
        <v>11</v>
      </c>
      <c r="E1289" t="s">
        <v>1110</v>
      </c>
      <c r="F1289" t="s">
        <v>15</v>
      </c>
      <c r="G1289">
        <v>2</v>
      </c>
      <c r="H1289">
        <v>3</v>
      </c>
      <c r="I1289" s="13">
        <v>0.6</v>
      </c>
      <c r="J1289" t="s">
        <v>249</v>
      </c>
      <c r="L1289" t="s">
        <v>60</v>
      </c>
      <c r="M1289" t="s">
        <v>60</v>
      </c>
      <c r="N1289" t="s">
        <v>15</v>
      </c>
      <c r="O1289">
        <v>2</v>
      </c>
      <c r="P1289">
        <v>3</v>
      </c>
      <c r="Q1289" s="13">
        <v>0.55277631510567293</v>
      </c>
      <c r="R1289" t="s">
        <v>249</v>
      </c>
      <c r="S1289">
        <v>-5.7183557657001401E-2</v>
      </c>
      <c r="T1289" t="s">
        <v>60</v>
      </c>
      <c r="U1289" t="s">
        <v>60</v>
      </c>
      <c r="X1289" t="s">
        <v>60</v>
      </c>
      <c r="Y1289" t="s">
        <v>412</v>
      </c>
      <c r="Z1289" t="s">
        <v>60</v>
      </c>
      <c r="AA1289" t="s">
        <v>491</v>
      </c>
    </row>
    <row r="1290" spans="1:27" x14ac:dyDescent="0.2">
      <c r="A1290" s="1">
        <v>46125</v>
      </c>
      <c r="B1290" t="s">
        <v>426</v>
      </c>
      <c r="C1290" t="s">
        <v>12</v>
      </c>
      <c r="D1290" t="s">
        <v>17</v>
      </c>
      <c r="E1290" t="s">
        <v>828</v>
      </c>
      <c r="F1290" t="s">
        <v>12</v>
      </c>
      <c r="G1290">
        <v>2</v>
      </c>
      <c r="H1290">
        <v>3</v>
      </c>
      <c r="I1290" s="13">
        <v>0.6</v>
      </c>
      <c r="J1290" t="s">
        <v>249</v>
      </c>
      <c r="L1290" t="s">
        <v>60</v>
      </c>
      <c r="M1290" t="s">
        <v>60</v>
      </c>
      <c r="N1290" t="s">
        <v>12</v>
      </c>
      <c r="O1290">
        <v>2</v>
      </c>
      <c r="P1290">
        <v>3</v>
      </c>
      <c r="Q1290" s="13">
        <v>0.80575362576568399</v>
      </c>
      <c r="R1290" t="s">
        <v>249</v>
      </c>
      <c r="S1290">
        <v>-2.3997495737413348</v>
      </c>
      <c r="T1290" t="s">
        <v>60</v>
      </c>
      <c r="U1290" t="s">
        <v>60</v>
      </c>
      <c r="X1290" t="s">
        <v>60</v>
      </c>
      <c r="Y1290" t="s">
        <v>412</v>
      </c>
      <c r="Z1290" t="s">
        <v>60</v>
      </c>
      <c r="AA1290" t="s">
        <v>491</v>
      </c>
    </row>
    <row r="1291" spans="1:27" x14ac:dyDescent="0.2">
      <c r="A1291" s="1">
        <v>46125</v>
      </c>
      <c r="B1291" t="s">
        <v>416</v>
      </c>
      <c r="C1291" t="s">
        <v>23</v>
      </c>
      <c r="D1291" t="s">
        <v>10</v>
      </c>
      <c r="E1291" t="s">
        <v>1513</v>
      </c>
      <c r="F1291" t="s">
        <v>10</v>
      </c>
      <c r="G1291">
        <v>2</v>
      </c>
      <c r="H1291">
        <v>3</v>
      </c>
      <c r="I1291" s="13">
        <v>0.6</v>
      </c>
      <c r="J1291" t="s">
        <v>249</v>
      </c>
      <c r="L1291" t="s">
        <v>60</v>
      </c>
      <c r="M1291" t="s">
        <v>60</v>
      </c>
      <c r="N1291" t="s">
        <v>10</v>
      </c>
      <c r="O1291">
        <v>2</v>
      </c>
      <c r="P1291">
        <v>3</v>
      </c>
      <c r="Q1291" s="13">
        <v>0.58084605591660265</v>
      </c>
      <c r="R1291" t="s">
        <v>249</v>
      </c>
      <c r="S1291">
        <v>0.34981492947943849</v>
      </c>
      <c r="T1291" t="s">
        <v>60</v>
      </c>
      <c r="U1291" t="s">
        <v>60</v>
      </c>
      <c r="X1291" t="s">
        <v>60</v>
      </c>
      <c r="Y1291" t="s">
        <v>412</v>
      </c>
      <c r="Z1291" t="s">
        <v>60</v>
      </c>
      <c r="AA1291" t="s">
        <v>491</v>
      </c>
    </row>
    <row r="1292" spans="1:27" x14ac:dyDescent="0.2">
      <c r="A1292" s="1">
        <v>46125</v>
      </c>
      <c r="B1292" t="s">
        <v>328</v>
      </c>
      <c r="C1292" t="s">
        <v>25</v>
      </c>
      <c r="D1292" t="s">
        <v>27</v>
      </c>
      <c r="E1292" t="s">
        <v>992</v>
      </c>
      <c r="F1292" t="s">
        <v>25</v>
      </c>
      <c r="G1292">
        <v>2</v>
      </c>
      <c r="H1292">
        <v>3</v>
      </c>
      <c r="I1292" s="13">
        <v>0.6</v>
      </c>
      <c r="J1292" t="s">
        <v>249</v>
      </c>
      <c r="L1292" t="s">
        <v>60</v>
      </c>
      <c r="M1292" t="s">
        <v>60</v>
      </c>
      <c r="N1292" t="s">
        <v>25</v>
      </c>
      <c r="O1292">
        <v>2</v>
      </c>
      <c r="P1292">
        <v>3</v>
      </c>
      <c r="Q1292" s="13">
        <v>0.60679430770908094</v>
      </c>
      <c r="R1292" t="s">
        <v>249</v>
      </c>
      <c r="S1292">
        <v>-0.75601397191170627</v>
      </c>
      <c r="T1292" t="s">
        <v>60</v>
      </c>
      <c r="U1292" t="s">
        <v>60</v>
      </c>
      <c r="X1292" t="s">
        <v>60</v>
      </c>
      <c r="Y1292" t="s">
        <v>412</v>
      </c>
      <c r="Z1292" t="s">
        <v>60</v>
      </c>
      <c r="AA1292" t="s">
        <v>491</v>
      </c>
    </row>
    <row r="1293" spans="1:27" x14ac:dyDescent="0.2">
      <c r="A1293" s="1">
        <v>46126</v>
      </c>
      <c r="B1293" t="s">
        <v>322</v>
      </c>
      <c r="C1293" t="s">
        <v>13</v>
      </c>
      <c r="D1293" t="s">
        <v>38</v>
      </c>
      <c r="E1293" t="s">
        <v>1452</v>
      </c>
      <c r="F1293" t="s">
        <v>13</v>
      </c>
      <c r="G1293">
        <v>2</v>
      </c>
      <c r="H1293">
        <v>3</v>
      </c>
      <c r="I1293" s="13">
        <v>0.6</v>
      </c>
      <c r="J1293" t="s">
        <v>249</v>
      </c>
      <c r="L1293" t="s">
        <v>60</v>
      </c>
      <c r="M1293" t="s">
        <v>60</v>
      </c>
      <c r="N1293" t="s">
        <v>13</v>
      </c>
      <c r="O1293">
        <v>2</v>
      </c>
      <c r="P1293">
        <v>3</v>
      </c>
      <c r="Q1293" s="13">
        <v>0.59164490233387368</v>
      </c>
      <c r="R1293" t="s">
        <v>249</v>
      </c>
      <c r="S1293">
        <v>-0.55949340751042798</v>
      </c>
      <c r="T1293" t="s">
        <v>60</v>
      </c>
      <c r="U1293" t="s">
        <v>60</v>
      </c>
      <c r="X1293" t="s">
        <v>60</v>
      </c>
      <c r="Y1293" t="s">
        <v>412</v>
      </c>
      <c r="Z1293" t="s">
        <v>60</v>
      </c>
      <c r="AA1293" t="s">
        <v>491</v>
      </c>
    </row>
    <row r="1294" spans="1:27" x14ac:dyDescent="0.2">
      <c r="A1294" s="1">
        <v>46126</v>
      </c>
      <c r="B1294" t="s">
        <v>426</v>
      </c>
      <c r="C1294" t="s">
        <v>14</v>
      </c>
      <c r="D1294" t="s">
        <v>35</v>
      </c>
      <c r="E1294" t="s">
        <v>1514</v>
      </c>
      <c r="F1294" t="s">
        <v>14</v>
      </c>
      <c r="G1294">
        <v>2</v>
      </c>
      <c r="H1294">
        <v>3</v>
      </c>
      <c r="I1294" s="13">
        <v>0.6</v>
      </c>
      <c r="J1294" t="s">
        <v>249</v>
      </c>
      <c r="L1294" t="s">
        <v>60</v>
      </c>
      <c r="M1294" t="s">
        <v>60</v>
      </c>
      <c r="N1294" t="s">
        <v>14</v>
      </c>
      <c r="O1294">
        <v>2</v>
      </c>
      <c r="P1294">
        <v>3</v>
      </c>
      <c r="Q1294" s="13">
        <v>0.63967456773791442</v>
      </c>
      <c r="R1294" t="s">
        <v>249</v>
      </c>
      <c r="S1294">
        <v>-1.20231340145907</v>
      </c>
      <c r="T1294" t="s">
        <v>60</v>
      </c>
      <c r="U1294" t="s">
        <v>60</v>
      </c>
      <c r="X1294" t="s">
        <v>60</v>
      </c>
      <c r="Y1294" t="s">
        <v>412</v>
      </c>
      <c r="Z1294" t="s">
        <v>60</v>
      </c>
      <c r="AA1294" t="s">
        <v>491</v>
      </c>
    </row>
    <row r="1295" spans="1:27" x14ac:dyDescent="0.2">
      <c r="A1295" s="1">
        <v>46126</v>
      </c>
      <c r="B1295" t="s">
        <v>328</v>
      </c>
      <c r="C1295" t="s">
        <v>18</v>
      </c>
      <c r="D1295" t="s">
        <v>27</v>
      </c>
      <c r="E1295" t="s">
        <v>1515</v>
      </c>
      <c r="F1295" t="s">
        <v>27</v>
      </c>
      <c r="G1295">
        <v>2</v>
      </c>
      <c r="H1295">
        <v>3</v>
      </c>
      <c r="I1295" s="13">
        <v>0.6</v>
      </c>
      <c r="J1295" t="s">
        <v>249</v>
      </c>
      <c r="L1295" t="s">
        <v>60</v>
      </c>
      <c r="M1295" t="s">
        <v>60</v>
      </c>
      <c r="N1295" t="s">
        <v>27</v>
      </c>
      <c r="O1295">
        <v>2</v>
      </c>
      <c r="P1295">
        <v>3</v>
      </c>
      <c r="Q1295" s="13">
        <v>0.52550204096128261</v>
      </c>
      <c r="R1295" t="s">
        <v>249</v>
      </c>
      <c r="S1295">
        <v>0.26255079369067158</v>
      </c>
      <c r="T1295" t="s">
        <v>60</v>
      </c>
      <c r="U1295" t="s">
        <v>60</v>
      </c>
      <c r="X1295" t="s">
        <v>60</v>
      </c>
      <c r="Y1295" t="s">
        <v>412</v>
      </c>
      <c r="Z1295" t="s">
        <v>60</v>
      </c>
      <c r="AA1295" t="s">
        <v>491</v>
      </c>
    </row>
    <row r="1296" spans="1:27" x14ac:dyDescent="0.2">
      <c r="A1296" s="1">
        <v>46126</v>
      </c>
      <c r="B1296" t="s">
        <v>328</v>
      </c>
      <c r="C1296" t="s">
        <v>25</v>
      </c>
      <c r="D1296" t="s">
        <v>30</v>
      </c>
      <c r="E1296" t="s">
        <v>1516</v>
      </c>
      <c r="F1296" t="s">
        <v>25</v>
      </c>
      <c r="G1296">
        <v>2</v>
      </c>
      <c r="H1296">
        <v>3</v>
      </c>
      <c r="I1296" s="13">
        <v>0.6</v>
      </c>
      <c r="J1296" t="s">
        <v>249</v>
      </c>
      <c r="L1296" t="s">
        <v>60</v>
      </c>
      <c r="M1296" t="s">
        <v>60</v>
      </c>
      <c r="N1296" t="s">
        <v>25</v>
      </c>
      <c r="O1296">
        <v>2</v>
      </c>
      <c r="P1296">
        <v>3</v>
      </c>
      <c r="Q1296" s="13">
        <v>0.60463274159210245</v>
      </c>
      <c r="R1296" t="s">
        <v>249</v>
      </c>
      <c r="S1296">
        <v>-0.61670638584672288</v>
      </c>
      <c r="T1296" t="s">
        <v>60</v>
      </c>
      <c r="U1296" t="s">
        <v>60</v>
      </c>
      <c r="X1296" t="s">
        <v>60</v>
      </c>
      <c r="Y1296" t="s">
        <v>412</v>
      </c>
      <c r="Z1296" t="s">
        <v>60</v>
      </c>
      <c r="AA1296" t="s">
        <v>491</v>
      </c>
    </row>
    <row r="1297" spans="1:27" x14ac:dyDescent="0.2">
      <c r="A1297" s="1">
        <v>46126</v>
      </c>
      <c r="B1297" t="s">
        <v>326</v>
      </c>
      <c r="C1297" t="s">
        <v>40</v>
      </c>
      <c r="D1297" t="s">
        <v>55</v>
      </c>
      <c r="E1297" t="s">
        <v>1051</v>
      </c>
      <c r="F1297" t="s">
        <v>40</v>
      </c>
      <c r="G1297">
        <v>2</v>
      </c>
      <c r="H1297">
        <v>3</v>
      </c>
      <c r="I1297" s="13">
        <v>0.6</v>
      </c>
      <c r="J1297" t="s">
        <v>249</v>
      </c>
      <c r="L1297" t="s">
        <v>60</v>
      </c>
      <c r="M1297" t="s">
        <v>60</v>
      </c>
      <c r="N1297" t="s">
        <v>40</v>
      </c>
      <c r="O1297">
        <v>2</v>
      </c>
      <c r="P1297">
        <v>3</v>
      </c>
      <c r="Q1297" s="13">
        <v>0.44466833870306172</v>
      </c>
      <c r="R1297" t="s">
        <v>249</v>
      </c>
      <c r="S1297">
        <v>-3.9980716315228398E-2</v>
      </c>
      <c r="T1297" t="s">
        <v>60</v>
      </c>
      <c r="U1297" t="s">
        <v>60</v>
      </c>
      <c r="X1297" t="s">
        <v>60</v>
      </c>
      <c r="Y1297" t="s">
        <v>412</v>
      </c>
      <c r="Z1297" t="s">
        <v>60</v>
      </c>
      <c r="AA1297" t="s">
        <v>491</v>
      </c>
    </row>
    <row r="1298" spans="1:27" x14ac:dyDescent="0.2">
      <c r="A1298" s="1">
        <v>46126</v>
      </c>
      <c r="B1298" t="s">
        <v>326</v>
      </c>
      <c r="C1298" t="s">
        <v>12</v>
      </c>
      <c r="D1298" t="s">
        <v>16</v>
      </c>
      <c r="E1298" t="s">
        <v>1517</v>
      </c>
      <c r="F1298" t="s">
        <v>12</v>
      </c>
      <c r="G1298">
        <v>2</v>
      </c>
      <c r="H1298">
        <v>3</v>
      </c>
      <c r="I1298" s="13">
        <v>0.6</v>
      </c>
      <c r="J1298" t="s">
        <v>249</v>
      </c>
      <c r="L1298" t="s">
        <v>60</v>
      </c>
      <c r="M1298" t="s">
        <v>60</v>
      </c>
      <c r="N1298" t="s">
        <v>12</v>
      </c>
      <c r="O1298">
        <v>2</v>
      </c>
      <c r="P1298">
        <v>3</v>
      </c>
      <c r="Q1298" s="13">
        <v>0.84179105162643941</v>
      </c>
      <c r="R1298" t="s">
        <v>249</v>
      </c>
      <c r="S1298">
        <v>-2.6477841885484339</v>
      </c>
      <c r="T1298" t="s">
        <v>60</v>
      </c>
      <c r="U1298" t="s">
        <v>60</v>
      </c>
      <c r="X1298" t="s">
        <v>60</v>
      </c>
      <c r="Y1298" t="s">
        <v>412</v>
      </c>
      <c r="Z1298" t="s">
        <v>60</v>
      </c>
      <c r="AA1298" t="s">
        <v>491</v>
      </c>
    </row>
    <row r="1299" spans="1:27" x14ac:dyDescent="0.2">
      <c r="A1299" s="1">
        <v>46126</v>
      </c>
      <c r="B1299" t="s">
        <v>328</v>
      </c>
      <c r="C1299" t="s">
        <v>22</v>
      </c>
      <c r="D1299" t="s">
        <v>28</v>
      </c>
      <c r="E1299" t="s">
        <v>664</v>
      </c>
      <c r="F1299" t="s">
        <v>22</v>
      </c>
      <c r="G1299">
        <v>2</v>
      </c>
      <c r="H1299">
        <v>3</v>
      </c>
      <c r="I1299" s="13">
        <v>0.6</v>
      </c>
      <c r="J1299" t="s">
        <v>249</v>
      </c>
      <c r="L1299" t="s">
        <v>60</v>
      </c>
      <c r="M1299" t="s">
        <v>60</v>
      </c>
      <c r="N1299" t="s">
        <v>22</v>
      </c>
      <c r="O1299">
        <v>2</v>
      </c>
      <c r="P1299">
        <v>3</v>
      </c>
      <c r="Q1299" s="13">
        <v>0.61761878207980603</v>
      </c>
      <c r="R1299" t="s">
        <v>249</v>
      </c>
      <c r="S1299">
        <v>-0.98579588828113485</v>
      </c>
      <c r="T1299" t="s">
        <v>60</v>
      </c>
      <c r="U1299" t="s">
        <v>60</v>
      </c>
      <c r="X1299" t="s">
        <v>60</v>
      </c>
      <c r="Y1299" t="s">
        <v>412</v>
      </c>
      <c r="Z1299" t="s">
        <v>60</v>
      </c>
      <c r="AA1299" t="s">
        <v>491</v>
      </c>
    </row>
    <row r="1300" spans="1:27" x14ac:dyDescent="0.2">
      <c r="A1300" s="1">
        <v>46126</v>
      </c>
      <c r="B1300" t="s">
        <v>328</v>
      </c>
      <c r="C1300" t="s">
        <v>24</v>
      </c>
      <c r="D1300" t="s">
        <v>21</v>
      </c>
      <c r="E1300" t="s">
        <v>950</v>
      </c>
      <c r="F1300" t="s">
        <v>24</v>
      </c>
      <c r="G1300">
        <v>2</v>
      </c>
      <c r="H1300">
        <v>3</v>
      </c>
      <c r="I1300" s="13">
        <v>0.6</v>
      </c>
      <c r="J1300" t="s">
        <v>249</v>
      </c>
      <c r="L1300" t="s">
        <v>60</v>
      </c>
      <c r="M1300" t="s">
        <v>60</v>
      </c>
      <c r="N1300" t="s">
        <v>24</v>
      </c>
      <c r="O1300">
        <v>2</v>
      </c>
      <c r="P1300">
        <v>3</v>
      </c>
      <c r="Q1300" s="13">
        <v>0.45751339354482728</v>
      </c>
      <c r="R1300" t="s">
        <v>249</v>
      </c>
      <c r="S1300">
        <v>-0.1713992622891734</v>
      </c>
      <c r="T1300" t="s">
        <v>60</v>
      </c>
      <c r="U1300" t="s">
        <v>60</v>
      </c>
      <c r="X1300" t="s">
        <v>60</v>
      </c>
      <c r="Y1300" t="s">
        <v>412</v>
      </c>
      <c r="Z1300" t="s">
        <v>60</v>
      </c>
      <c r="AA1300" t="s">
        <v>491</v>
      </c>
    </row>
    <row r="1301" spans="1:27" x14ac:dyDescent="0.2">
      <c r="A1301" s="1">
        <v>46126</v>
      </c>
      <c r="B1301" t="s">
        <v>324</v>
      </c>
      <c r="C1301" t="s">
        <v>31</v>
      </c>
      <c r="D1301" t="s">
        <v>34</v>
      </c>
      <c r="E1301" t="s">
        <v>885</v>
      </c>
      <c r="F1301" t="s">
        <v>31</v>
      </c>
      <c r="G1301">
        <v>2</v>
      </c>
      <c r="H1301">
        <v>3</v>
      </c>
      <c r="I1301" s="13">
        <v>0.6</v>
      </c>
      <c r="J1301" t="s">
        <v>249</v>
      </c>
      <c r="L1301" t="s">
        <v>60</v>
      </c>
      <c r="M1301" t="s">
        <v>60</v>
      </c>
      <c r="N1301" t="s">
        <v>31</v>
      </c>
      <c r="O1301">
        <v>2</v>
      </c>
      <c r="P1301">
        <v>3</v>
      </c>
      <c r="Q1301" s="13">
        <v>0.50224542963658214</v>
      </c>
      <c r="R1301" t="s">
        <v>249</v>
      </c>
      <c r="S1301">
        <v>-0.18392706036558271</v>
      </c>
      <c r="T1301" t="s">
        <v>60</v>
      </c>
      <c r="U1301" t="s">
        <v>60</v>
      </c>
      <c r="X1301" t="s">
        <v>60</v>
      </c>
      <c r="Y1301" t="s">
        <v>412</v>
      </c>
      <c r="Z1301" t="s">
        <v>60</v>
      </c>
      <c r="AA1301" t="s">
        <v>491</v>
      </c>
    </row>
    <row r="1302" spans="1:27" x14ac:dyDescent="0.2">
      <c r="A1302" s="1">
        <v>46127</v>
      </c>
      <c r="B1302" t="s">
        <v>328</v>
      </c>
      <c r="C1302" t="s">
        <v>39</v>
      </c>
      <c r="D1302" t="s">
        <v>23</v>
      </c>
      <c r="E1302" t="s">
        <v>1518</v>
      </c>
      <c r="F1302" t="s">
        <v>39</v>
      </c>
      <c r="G1302">
        <v>2</v>
      </c>
      <c r="H1302">
        <v>3</v>
      </c>
      <c r="I1302" s="13">
        <v>0.6</v>
      </c>
      <c r="J1302" t="s">
        <v>249</v>
      </c>
      <c r="L1302" t="s">
        <v>60</v>
      </c>
      <c r="M1302" t="s">
        <v>60</v>
      </c>
      <c r="N1302" t="s">
        <v>39</v>
      </c>
      <c r="O1302">
        <v>2</v>
      </c>
      <c r="P1302">
        <v>3</v>
      </c>
      <c r="Q1302" s="13">
        <v>0.64976592334040328</v>
      </c>
      <c r="R1302" t="s">
        <v>249</v>
      </c>
      <c r="S1302">
        <v>-0.83965218867254698</v>
      </c>
      <c r="T1302" t="s">
        <v>60</v>
      </c>
      <c r="U1302" t="s">
        <v>60</v>
      </c>
      <c r="X1302" t="s">
        <v>60</v>
      </c>
      <c r="Y1302" t="s">
        <v>412</v>
      </c>
      <c r="Z1302" t="s">
        <v>60</v>
      </c>
      <c r="AA1302" t="s">
        <v>491</v>
      </c>
    </row>
    <row r="1303" spans="1:27" x14ac:dyDescent="0.2">
      <c r="A1303" s="1">
        <v>46127</v>
      </c>
      <c r="B1303" t="s">
        <v>416</v>
      </c>
      <c r="C1303" t="s">
        <v>33</v>
      </c>
      <c r="D1303" t="s">
        <v>10</v>
      </c>
      <c r="E1303" t="s">
        <v>1293</v>
      </c>
      <c r="F1303" t="s">
        <v>10</v>
      </c>
      <c r="G1303">
        <v>2</v>
      </c>
      <c r="H1303">
        <v>3</v>
      </c>
      <c r="I1303" s="13">
        <v>0.6</v>
      </c>
      <c r="J1303" t="s">
        <v>249</v>
      </c>
      <c r="L1303" t="s">
        <v>60</v>
      </c>
      <c r="M1303" t="s">
        <v>60</v>
      </c>
      <c r="N1303" t="s">
        <v>10</v>
      </c>
      <c r="O1303">
        <v>2</v>
      </c>
      <c r="P1303">
        <v>3</v>
      </c>
      <c r="Q1303" s="13">
        <v>0.57795269018603335</v>
      </c>
      <c r="R1303" t="s">
        <v>249</v>
      </c>
      <c r="S1303">
        <v>0.32503548612109218</v>
      </c>
      <c r="T1303" t="s">
        <v>60</v>
      </c>
      <c r="U1303" t="s">
        <v>60</v>
      </c>
      <c r="X1303" t="s">
        <v>60</v>
      </c>
      <c r="Y1303" t="s">
        <v>412</v>
      </c>
      <c r="Z1303" t="s">
        <v>60</v>
      </c>
      <c r="AA1303" t="s">
        <v>491</v>
      </c>
    </row>
    <row r="1304" spans="1:27" x14ac:dyDescent="0.2">
      <c r="A1304" s="1">
        <v>46127</v>
      </c>
      <c r="B1304" t="s">
        <v>328</v>
      </c>
      <c r="C1304" t="s">
        <v>26</v>
      </c>
      <c r="D1304" t="s">
        <v>11</v>
      </c>
      <c r="E1304" t="s">
        <v>1380</v>
      </c>
      <c r="F1304" t="s">
        <v>11</v>
      </c>
      <c r="G1304">
        <v>2</v>
      </c>
      <c r="H1304">
        <v>3</v>
      </c>
      <c r="I1304" s="13">
        <v>0.6</v>
      </c>
      <c r="J1304" t="s">
        <v>249</v>
      </c>
      <c r="L1304" t="s">
        <v>60</v>
      </c>
      <c r="M1304" t="s">
        <v>60</v>
      </c>
      <c r="N1304" t="s">
        <v>11</v>
      </c>
      <c r="O1304">
        <v>2</v>
      </c>
      <c r="P1304">
        <v>3</v>
      </c>
      <c r="Q1304" s="13">
        <v>0.61568266119593729</v>
      </c>
      <c r="R1304" t="s">
        <v>249</v>
      </c>
      <c r="S1304">
        <v>0.52812202289136545</v>
      </c>
      <c r="T1304" t="s">
        <v>60</v>
      </c>
      <c r="U1304" t="s">
        <v>60</v>
      </c>
      <c r="X1304" t="s">
        <v>60</v>
      </c>
      <c r="Y1304" t="s">
        <v>412</v>
      </c>
      <c r="Z1304" t="s">
        <v>60</v>
      </c>
      <c r="AA1304" t="s">
        <v>491</v>
      </c>
    </row>
    <row r="1305" spans="1:27" x14ac:dyDescent="0.2">
      <c r="A1305" s="1">
        <v>46127</v>
      </c>
      <c r="B1305" t="s">
        <v>334</v>
      </c>
      <c r="C1305" t="s">
        <v>19</v>
      </c>
      <c r="D1305" t="s">
        <v>36</v>
      </c>
      <c r="E1305" t="s">
        <v>1431</v>
      </c>
      <c r="F1305" t="s">
        <v>36</v>
      </c>
      <c r="G1305">
        <v>2</v>
      </c>
      <c r="H1305">
        <v>3</v>
      </c>
      <c r="I1305" s="13">
        <v>0.6</v>
      </c>
      <c r="J1305" t="s">
        <v>249</v>
      </c>
      <c r="L1305" t="s">
        <v>60</v>
      </c>
      <c r="M1305" t="s">
        <v>60</v>
      </c>
      <c r="N1305" t="s">
        <v>36</v>
      </c>
      <c r="O1305">
        <v>2</v>
      </c>
      <c r="P1305">
        <v>3</v>
      </c>
      <c r="Q1305" s="13">
        <v>0.56036087140652391</v>
      </c>
      <c r="R1305" t="s">
        <v>249</v>
      </c>
      <c r="S1305">
        <v>0.1530032893773044</v>
      </c>
      <c r="T1305" t="s">
        <v>60</v>
      </c>
      <c r="U1305" t="s">
        <v>60</v>
      </c>
      <c r="X1305" t="s">
        <v>60</v>
      </c>
      <c r="Y1305" t="s">
        <v>412</v>
      </c>
      <c r="Z1305" t="s">
        <v>60</v>
      </c>
      <c r="AA1305" t="s">
        <v>491</v>
      </c>
    </row>
    <row r="1306" spans="1:27" x14ac:dyDescent="0.2">
      <c r="A1306" s="1">
        <v>46127</v>
      </c>
      <c r="B1306" t="s">
        <v>328</v>
      </c>
      <c r="C1306" t="s">
        <v>15</v>
      </c>
      <c r="D1306" t="s">
        <v>37</v>
      </c>
      <c r="E1306" t="s">
        <v>859</v>
      </c>
      <c r="F1306" t="s">
        <v>37</v>
      </c>
      <c r="G1306">
        <v>2</v>
      </c>
      <c r="H1306">
        <v>3</v>
      </c>
      <c r="I1306" s="13">
        <v>0.6</v>
      </c>
      <c r="J1306" t="s">
        <v>249</v>
      </c>
      <c r="L1306" t="s">
        <v>60</v>
      </c>
      <c r="M1306" t="s">
        <v>60</v>
      </c>
      <c r="N1306" t="s">
        <v>37</v>
      </c>
      <c r="O1306">
        <v>2</v>
      </c>
      <c r="P1306">
        <v>3</v>
      </c>
      <c r="Q1306" s="13">
        <v>0.57162610749903808</v>
      </c>
      <c r="R1306" t="s">
        <v>249</v>
      </c>
      <c r="S1306">
        <v>0.8504396801537093</v>
      </c>
      <c r="T1306" t="s">
        <v>60</v>
      </c>
      <c r="U1306" t="s">
        <v>60</v>
      </c>
      <c r="X1306" t="s">
        <v>60</v>
      </c>
      <c r="Y1306" t="s">
        <v>412</v>
      </c>
      <c r="Z1306" t="s">
        <v>60</v>
      </c>
      <c r="AA1306" t="s">
        <v>491</v>
      </c>
    </row>
    <row r="1307" spans="1:27" x14ac:dyDescent="0.2">
      <c r="A1307" s="1">
        <v>46127</v>
      </c>
      <c r="B1307" t="s">
        <v>322</v>
      </c>
      <c r="C1307" t="s">
        <v>32</v>
      </c>
      <c r="D1307" t="s">
        <v>20</v>
      </c>
      <c r="E1307" t="s">
        <v>1282</v>
      </c>
      <c r="F1307" t="s">
        <v>20</v>
      </c>
      <c r="G1307">
        <v>2</v>
      </c>
      <c r="H1307">
        <v>3</v>
      </c>
      <c r="I1307" s="13">
        <v>0.6</v>
      </c>
      <c r="J1307" t="s">
        <v>249</v>
      </c>
      <c r="L1307" t="s">
        <v>60</v>
      </c>
      <c r="M1307" t="s">
        <v>60</v>
      </c>
      <c r="N1307" t="s">
        <v>20</v>
      </c>
      <c r="O1307">
        <v>2</v>
      </c>
      <c r="P1307">
        <v>3</v>
      </c>
      <c r="Q1307" s="13">
        <v>0.59310895063284608</v>
      </c>
      <c r="R1307" t="s">
        <v>249</v>
      </c>
      <c r="S1307">
        <v>0.45483715388061602</v>
      </c>
      <c r="T1307" t="s">
        <v>60</v>
      </c>
      <c r="U1307" t="s">
        <v>60</v>
      </c>
      <c r="X1307" t="s">
        <v>60</v>
      </c>
      <c r="Y1307" t="s">
        <v>412</v>
      </c>
      <c r="Z1307" t="s">
        <v>60</v>
      </c>
      <c r="AA1307" t="s">
        <v>491</v>
      </c>
    </row>
    <row r="1308" spans="1:27" x14ac:dyDescent="0.2">
      <c r="A1308" s="1">
        <v>46128</v>
      </c>
      <c r="B1308" t="s">
        <v>324</v>
      </c>
      <c r="C1308" t="s">
        <v>35</v>
      </c>
      <c r="D1308" t="s">
        <v>55</v>
      </c>
      <c r="E1308" t="s">
        <v>1156</v>
      </c>
      <c r="F1308" t="s">
        <v>55</v>
      </c>
      <c r="G1308">
        <v>2</v>
      </c>
      <c r="H1308">
        <v>3</v>
      </c>
      <c r="I1308" s="13">
        <v>0.6</v>
      </c>
      <c r="J1308" t="s">
        <v>249</v>
      </c>
      <c r="L1308" t="s">
        <v>60</v>
      </c>
      <c r="M1308" t="s">
        <v>60</v>
      </c>
      <c r="N1308" t="s">
        <v>55</v>
      </c>
      <c r="O1308">
        <v>2</v>
      </c>
      <c r="P1308">
        <v>3</v>
      </c>
      <c r="Q1308" s="13">
        <v>0.7020131636538165</v>
      </c>
      <c r="R1308" t="s">
        <v>249</v>
      </c>
      <c r="S1308">
        <v>1.0412558318497021</v>
      </c>
      <c r="T1308" t="s">
        <v>60</v>
      </c>
      <c r="U1308" t="s">
        <v>60</v>
      </c>
      <c r="X1308" t="s">
        <v>60</v>
      </c>
      <c r="Y1308" t="s">
        <v>412</v>
      </c>
      <c r="Z1308" t="s">
        <v>60</v>
      </c>
      <c r="AA1308" t="s">
        <v>491</v>
      </c>
    </row>
    <row r="1309" spans="1:27" x14ac:dyDescent="0.2">
      <c r="A1309" s="1">
        <v>46128</v>
      </c>
      <c r="B1309" t="s">
        <v>326</v>
      </c>
      <c r="C1309" t="s">
        <v>13</v>
      </c>
      <c r="D1309" t="s">
        <v>16</v>
      </c>
      <c r="E1309" t="s">
        <v>1448</v>
      </c>
      <c r="F1309" t="s">
        <v>13</v>
      </c>
      <c r="G1309">
        <v>2</v>
      </c>
      <c r="H1309">
        <v>3</v>
      </c>
      <c r="I1309" s="13">
        <v>0.6</v>
      </c>
      <c r="J1309" t="s">
        <v>249</v>
      </c>
      <c r="L1309" t="s">
        <v>60</v>
      </c>
      <c r="M1309" t="s">
        <v>60</v>
      </c>
      <c r="N1309" t="s">
        <v>13</v>
      </c>
      <c r="O1309">
        <v>2</v>
      </c>
      <c r="P1309">
        <v>3</v>
      </c>
      <c r="Q1309" s="13">
        <v>0.60543523183675452</v>
      </c>
      <c r="R1309" t="s">
        <v>249</v>
      </c>
      <c r="S1309">
        <v>-0.67759693144424471</v>
      </c>
      <c r="T1309" t="s">
        <v>60</v>
      </c>
      <c r="U1309" t="s">
        <v>60</v>
      </c>
      <c r="X1309" t="s">
        <v>60</v>
      </c>
      <c r="Y1309" t="s">
        <v>412</v>
      </c>
      <c r="Z1309" t="s">
        <v>60</v>
      </c>
      <c r="AA1309" t="s">
        <v>491</v>
      </c>
    </row>
    <row r="1310" spans="1:27" x14ac:dyDescent="0.2">
      <c r="A1310" s="1">
        <v>46128</v>
      </c>
      <c r="B1310" t="s">
        <v>340</v>
      </c>
      <c r="C1310" t="s">
        <v>32</v>
      </c>
      <c r="D1310" t="s">
        <v>12</v>
      </c>
      <c r="E1310" t="s">
        <v>1519</v>
      </c>
      <c r="F1310" t="s">
        <v>12</v>
      </c>
      <c r="G1310">
        <v>2</v>
      </c>
      <c r="H1310">
        <v>3</v>
      </c>
      <c r="I1310" s="13">
        <v>0.6</v>
      </c>
      <c r="J1310" t="s">
        <v>249</v>
      </c>
      <c r="L1310" t="s">
        <v>60</v>
      </c>
      <c r="M1310" t="s">
        <v>60</v>
      </c>
      <c r="N1310" t="s">
        <v>12</v>
      </c>
      <c r="O1310">
        <v>2</v>
      </c>
      <c r="P1310">
        <v>3</v>
      </c>
      <c r="Q1310" s="13">
        <v>0.91652975946953441</v>
      </c>
      <c r="R1310" t="s">
        <v>249</v>
      </c>
      <c r="S1310">
        <v>2.3311816426282288</v>
      </c>
      <c r="T1310" t="s">
        <v>60</v>
      </c>
      <c r="U1310" t="s">
        <v>60</v>
      </c>
      <c r="X1310" t="s">
        <v>60</v>
      </c>
      <c r="Y1310" t="s">
        <v>412</v>
      </c>
      <c r="Z1310" t="s">
        <v>60</v>
      </c>
      <c r="AA1310" t="s">
        <v>491</v>
      </c>
    </row>
    <row r="1311" spans="1:27" x14ac:dyDescent="0.2">
      <c r="A1311" s="1">
        <v>46128</v>
      </c>
      <c r="B1311" t="s">
        <v>326</v>
      </c>
      <c r="C1311" t="s">
        <v>38</v>
      </c>
      <c r="D1311" t="s">
        <v>17</v>
      </c>
      <c r="E1311" t="s">
        <v>528</v>
      </c>
      <c r="F1311" t="s">
        <v>17</v>
      </c>
      <c r="G1311">
        <v>2</v>
      </c>
      <c r="H1311">
        <v>3</v>
      </c>
      <c r="I1311" s="13">
        <v>0.6</v>
      </c>
      <c r="J1311" t="s">
        <v>249</v>
      </c>
      <c r="L1311" t="s">
        <v>60</v>
      </c>
      <c r="M1311" t="s">
        <v>60</v>
      </c>
      <c r="N1311" t="s">
        <v>17</v>
      </c>
      <c r="O1311">
        <v>2</v>
      </c>
      <c r="P1311">
        <v>3</v>
      </c>
      <c r="Q1311" s="13">
        <v>0.564476282294328</v>
      </c>
      <c r="R1311" t="s">
        <v>249</v>
      </c>
      <c r="S1311">
        <v>0.17983183979644479</v>
      </c>
      <c r="T1311" t="s">
        <v>60</v>
      </c>
      <c r="U1311" t="s">
        <v>60</v>
      </c>
      <c r="X1311" t="s">
        <v>60</v>
      </c>
      <c r="Y1311" t="s">
        <v>412</v>
      </c>
      <c r="Z1311" t="s">
        <v>60</v>
      </c>
      <c r="AA1311" t="s">
        <v>491</v>
      </c>
    </row>
    <row r="1312" spans="1:27" x14ac:dyDescent="0.2">
      <c r="A1312" s="1">
        <v>46128</v>
      </c>
      <c r="B1312" t="s">
        <v>324</v>
      </c>
      <c r="C1312" t="s">
        <v>31</v>
      </c>
      <c r="D1312" t="s">
        <v>29</v>
      </c>
      <c r="E1312" t="s">
        <v>634</v>
      </c>
      <c r="F1312" t="s">
        <v>31</v>
      </c>
      <c r="G1312">
        <v>2</v>
      </c>
      <c r="H1312">
        <v>3</v>
      </c>
      <c r="I1312" s="13">
        <v>0.6</v>
      </c>
      <c r="J1312" t="s">
        <v>249</v>
      </c>
      <c r="L1312" t="s">
        <v>60</v>
      </c>
      <c r="M1312" t="s">
        <v>60</v>
      </c>
      <c r="N1312" t="s">
        <v>31</v>
      </c>
      <c r="O1312">
        <v>2</v>
      </c>
      <c r="P1312">
        <v>3</v>
      </c>
      <c r="Q1312" s="13">
        <v>0.65751832992317638</v>
      </c>
      <c r="R1312" t="s">
        <v>249</v>
      </c>
      <c r="S1312">
        <v>-1.513719556726165</v>
      </c>
      <c r="T1312" t="s">
        <v>60</v>
      </c>
      <c r="U1312" t="s">
        <v>60</v>
      </c>
      <c r="X1312" t="s">
        <v>60</v>
      </c>
      <c r="Y1312" t="s">
        <v>412</v>
      </c>
      <c r="Z1312" t="s">
        <v>60</v>
      </c>
      <c r="AA1312" t="s">
        <v>491</v>
      </c>
    </row>
    <row r="1313" spans="1:27" x14ac:dyDescent="0.2">
      <c r="A1313" s="1">
        <v>46128</v>
      </c>
      <c r="B1313" t="s">
        <v>324</v>
      </c>
      <c r="C1313" t="s">
        <v>33</v>
      </c>
      <c r="D1313" t="s">
        <v>40</v>
      </c>
      <c r="E1313" t="s">
        <v>1520</v>
      </c>
      <c r="F1313" t="s">
        <v>40</v>
      </c>
      <c r="G1313">
        <v>2</v>
      </c>
      <c r="H1313">
        <v>3</v>
      </c>
      <c r="I1313" s="13">
        <v>0.6</v>
      </c>
      <c r="J1313" t="s">
        <v>249</v>
      </c>
      <c r="L1313" t="s">
        <v>60</v>
      </c>
      <c r="M1313" t="s">
        <v>60</v>
      </c>
      <c r="N1313" t="s">
        <v>40</v>
      </c>
      <c r="O1313">
        <v>2</v>
      </c>
      <c r="P1313">
        <v>3</v>
      </c>
      <c r="Q1313" s="13">
        <v>0.56444607660826673</v>
      </c>
      <c r="R1313" t="s">
        <v>249</v>
      </c>
      <c r="S1313">
        <v>0.18798991752261429</v>
      </c>
      <c r="T1313" t="s">
        <v>60</v>
      </c>
      <c r="U1313" t="s">
        <v>60</v>
      </c>
      <c r="X1313" t="s">
        <v>60</v>
      </c>
      <c r="Y1313" t="s">
        <v>412</v>
      </c>
      <c r="Z1313" t="s">
        <v>60</v>
      </c>
      <c r="AA1313" t="s">
        <v>491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268</v>
      </c>
      <c r="C3" s="19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2025-12-03T15:40:44Z</dcterms:modified>
</cp:coreProperties>
</file>